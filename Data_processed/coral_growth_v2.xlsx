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Drive\Academicos\Articulos\Pendientes\Varadero growth rates\Data_processed\"/>
    </mc:Choice>
  </mc:AlternateContent>
  <xr:revisionPtr revIDLastSave="0" documentId="13_ncr:1_{BEB823A8-DB39-434E-BA94-332135310E11}" xr6:coauthVersionLast="47" xr6:coauthVersionMax="47" xr10:uidLastSave="{00000000-0000-0000-0000-000000000000}"/>
  <bookViews>
    <workbookView xWindow="-108" yWindow="-108" windowWidth="23256" windowHeight="12456" xr2:uid="{36D0C925-08D7-451E-8993-763FD046DB2C}"/>
  </bookViews>
  <sheets>
    <sheet name="indexed" sheetId="1" r:id="rId1"/>
    <sheet name="colum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" i="1" l="1"/>
  <c r="O7" i="1" l="1"/>
  <c r="J7" i="1"/>
  <c r="M7" i="1"/>
  <c r="L7" i="1"/>
  <c r="N7" i="1"/>
  <c r="K7" i="1"/>
  <c r="N6" i="1"/>
  <c r="O6" i="1"/>
  <c r="M6" i="1"/>
  <c r="N5" i="1"/>
  <c r="O5" i="1"/>
  <c r="M5" i="1"/>
  <c r="N4" i="1"/>
  <c r="O4" i="1"/>
  <c r="M4" i="1"/>
  <c r="K6" i="1"/>
  <c r="L6" i="1"/>
  <c r="J6" i="1"/>
  <c r="K5" i="1"/>
  <c r="L5" i="1"/>
  <c r="J5" i="1"/>
  <c r="K4" i="1"/>
  <c r="J4" i="1"/>
  <c r="N3" i="1"/>
  <c r="O3" i="1"/>
  <c r="M3" i="1"/>
  <c r="L3" i="1"/>
  <c r="K3" i="1"/>
  <c r="J3" i="1"/>
</calcChain>
</file>

<file path=xl/sharedStrings.xml><?xml version="1.0" encoding="utf-8"?>
<sst xmlns="http://schemas.openxmlformats.org/spreadsheetml/2006/main" count="523" uniqueCount="17">
  <si>
    <t>Extension</t>
  </si>
  <si>
    <t>Core</t>
  </si>
  <si>
    <t>Year</t>
  </si>
  <si>
    <t>Density</t>
  </si>
  <si>
    <t>Calcification</t>
  </si>
  <si>
    <t>VAR1</t>
  </si>
  <si>
    <t>VAR2</t>
  </si>
  <si>
    <t>VAR3</t>
  </si>
  <si>
    <t>VAR4</t>
  </si>
  <si>
    <t>Mean</t>
  </si>
  <si>
    <t>Specimen</t>
  </si>
  <si>
    <t>Time span</t>
  </si>
  <si>
    <t>n</t>
  </si>
  <si>
    <t>1982-2015</t>
  </si>
  <si>
    <t>1951-2015</t>
  </si>
  <si>
    <t>1942-2015</t>
  </si>
  <si>
    <t>1950-2015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</si>
</sst>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2" fontId="0" fillId="0" borderId="0" xfId="0" applyNumberFormat="1"/>
    <xf numFmtId="0" fontId="1" fillId="0" borderId="2" xfId="0" applyFont="1" applyBorder="1"/>
    <xf numFmtId="0" fontId="0" fillId="0" borderId="1" xfId="0" applyBorder="1"/>
    <xf numFmtId="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F051E-5AD9-49A4-B036-CA0D2592AD18}">
  <dimension ref="A1:O240"/>
  <sheetViews>
    <sheetView tabSelected="1" workbookViewId="0">
      <selection activeCell="G16" sqref="G16"/>
    </sheetView>
  </sheetViews>
  <sheetFormatPr baseColWidth="10" defaultRowHeight="14.4" x14ac:dyDescent="0.3"/>
  <cols>
    <col min="1" max="1" width="11.5546875" customWidth="1"/>
    <col min="3" max="5" width="12.5546875" bestFit="1" customWidth="1"/>
    <col min="9" max="9" width="4.77734375" customWidth="1"/>
    <col min="10" max="10" width="8.6640625" customWidth="1"/>
    <col min="11" max="11" width="9.5546875" customWidth="1"/>
    <col min="12" max="12" width="11" customWidth="1"/>
    <col min="13" max="13" width="5.44140625" customWidth="1"/>
    <col min="14" max="14" width="5.21875" customWidth="1"/>
    <col min="15" max="15" width="5.5546875" customWidth="1"/>
  </cols>
  <sheetData>
    <row r="1" spans="1:15" x14ac:dyDescent="0.3">
      <c r="A1" t="s">
        <v>1</v>
      </c>
      <c r="B1" t="s">
        <v>2</v>
      </c>
      <c r="C1" t="s">
        <v>3</v>
      </c>
      <c r="D1" t="s">
        <v>0</v>
      </c>
      <c r="E1" t="s">
        <v>4</v>
      </c>
    </row>
    <row r="2" spans="1:15" x14ac:dyDescent="0.3">
      <c r="A2" t="s">
        <v>5</v>
      </c>
      <c r="B2">
        <v>2015</v>
      </c>
      <c r="C2" s="1">
        <v>0.66367558197985399</v>
      </c>
      <c r="D2" s="1">
        <v>1.5082</v>
      </c>
      <c r="E2" s="1">
        <v>1.00095551274201</v>
      </c>
      <c r="G2" s="3" t="s">
        <v>10</v>
      </c>
      <c r="H2" s="3" t="s">
        <v>11</v>
      </c>
      <c r="I2" s="3" t="s">
        <v>12</v>
      </c>
      <c r="J2" s="3" t="s">
        <v>3</v>
      </c>
      <c r="K2" s="3" t="s">
        <v>0</v>
      </c>
      <c r="L2" s="3" t="s">
        <v>4</v>
      </c>
    </row>
    <row r="3" spans="1:15" x14ac:dyDescent="0.3">
      <c r="A3" t="s">
        <v>5</v>
      </c>
      <c r="B3">
        <v>2014</v>
      </c>
      <c r="C3" s="1">
        <v>0.64346973635441895</v>
      </c>
      <c r="D3" s="1">
        <v>1.61479999999999</v>
      </c>
      <c r="E3" s="1">
        <v>1.0390749302651101</v>
      </c>
      <c r="G3" t="s">
        <v>5</v>
      </c>
      <c r="H3" t="s">
        <v>13</v>
      </c>
      <c r="I3">
        <v>34</v>
      </c>
      <c r="J3" s="2">
        <f>AVERAGE(C2:C35)</f>
        <v>0.69278899608465849</v>
      </c>
      <c r="K3" s="2">
        <f>AVERAGE(D2:D35)</f>
        <v>1.3458252941177078</v>
      </c>
      <c r="L3" s="2">
        <f>AVERAGE(E2:E35)</f>
        <v>0.92372782585269297</v>
      </c>
      <c r="M3">
        <f>_xlfn.STDEV.S(C2:C35)</f>
        <v>8.5405570112169898E-2</v>
      </c>
      <c r="N3">
        <f t="shared" ref="N3:O3" si="0">_xlfn.STDEV.S(D2:D35)</f>
        <v>0.32176457522244989</v>
      </c>
      <c r="O3">
        <f t="shared" si="0"/>
        <v>0.21670870126220601</v>
      </c>
    </row>
    <row r="4" spans="1:15" x14ac:dyDescent="0.3">
      <c r="A4" t="s">
        <v>5</v>
      </c>
      <c r="B4">
        <v>2013</v>
      </c>
      <c r="C4" s="1">
        <v>0.613066530565894</v>
      </c>
      <c r="D4" s="1">
        <v>1.7519</v>
      </c>
      <c r="E4" s="1">
        <v>1.0740312548983899</v>
      </c>
      <c r="G4" t="s">
        <v>6</v>
      </c>
      <c r="H4" t="s">
        <v>14</v>
      </c>
      <c r="I4">
        <v>65</v>
      </c>
      <c r="J4" s="2">
        <f>AVERAGE(C36:C100)</f>
        <v>0.72468379549748696</v>
      </c>
      <c r="K4" s="2">
        <f t="shared" ref="K4" si="1">AVERAGE(D36:D100)</f>
        <v>1.0784230769230823</v>
      </c>
      <c r="L4" s="2">
        <f>AVERAGE(E36:E100)</f>
        <v>0.79707054736635063</v>
      </c>
      <c r="M4">
        <f>_xlfn.STDEV.S(C36:C100)</f>
        <v>0.14850847562861019</v>
      </c>
      <c r="N4">
        <f t="shared" ref="N4:O4" si="2">_xlfn.STDEV.S(D36:D100)</f>
        <v>0.2139997565121485</v>
      </c>
      <c r="O4">
        <f t="shared" si="2"/>
        <v>0.22243523632019913</v>
      </c>
    </row>
    <row r="5" spans="1:15" x14ac:dyDescent="0.3">
      <c r="A5" t="s">
        <v>5</v>
      </c>
      <c r="B5">
        <v>2012</v>
      </c>
      <c r="C5" s="1">
        <v>0.623243382194406</v>
      </c>
      <c r="D5" s="1">
        <v>1.8129</v>
      </c>
      <c r="E5" s="1">
        <v>1.12987792758023</v>
      </c>
      <c r="G5" t="s">
        <v>7</v>
      </c>
      <c r="H5" t="s">
        <v>15</v>
      </c>
      <c r="I5">
        <v>74</v>
      </c>
      <c r="J5" s="2">
        <f>AVERAGE(C101:C174)</f>
        <v>0.78894827684430491</v>
      </c>
      <c r="K5" s="2">
        <f t="shared" ref="K5:L5" si="3">AVERAGE(D101:D174)</f>
        <v>0.95151304054054775</v>
      </c>
      <c r="L5" s="2">
        <f t="shared" si="3"/>
        <v>0.7650527546342677</v>
      </c>
      <c r="M5">
        <f>_xlfn.STDEV.S(C101:C174)</f>
        <v>0.1449720834682996</v>
      </c>
      <c r="N5">
        <f t="shared" ref="N5:O5" si="4">_xlfn.STDEV.S(D101:D174)</f>
        <v>0.21581194947971241</v>
      </c>
      <c r="O5">
        <f t="shared" si="4"/>
        <v>0.21955970496446434</v>
      </c>
    </row>
    <row r="6" spans="1:15" x14ac:dyDescent="0.3">
      <c r="A6" t="s">
        <v>5</v>
      </c>
      <c r="B6">
        <v>2011</v>
      </c>
      <c r="C6" s="1">
        <v>0.49989232987623899</v>
      </c>
      <c r="D6" s="1">
        <v>1.4320999999999999</v>
      </c>
      <c r="E6" s="1">
        <v>0.71589580561576305</v>
      </c>
      <c r="G6" t="s">
        <v>8</v>
      </c>
      <c r="H6" t="s">
        <v>16</v>
      </c>
      <c r="I6">
        <v>66</v>
      </c>
      <c r="J6" s="2">
        <f>AVERAGE(C175:C240)</f>
        <v>0.66153289918142089</v>
      </c>
      <c r="K6" s="2">
        <f t="shared" ref="K6:L6" si="5">AVERAGE(D175:D240)</f>
        <v>1.0310893939393928</v>
      </c>
      <c r="L6" s="2">
        <f t="shared" si="5"/>
        <v>0.67766085615512972</v>
      </c>
      <c r="M6">
        <f>_xlfn.STDEV.S(C175:C240)</f>
        <v>0.13578813148297839</v>
      </c>
      <c r="N6">
        <f t="shared" ref="N6:O6" si="6">_xlfn.STDEV.S(D175:D240)</f>
        <v>0.19150225696905535</v>
      </c>
      <c r="O6">
        <f t="shared" si="6"/>
        <v>0.14718441430941542</v>
      </c>
    </row>
    <row r="7" spans="1:15" x14ac:dyDescent="0.3">
      <c r="A7" t="s">
        <v>5</v>
      </c>
      <c r="B7">
        <v>2010</v>
      </c>
      <c r="C7" s="1">
        <v>0.63715168858283</v>
      </c>
      <c r="D7" s="1">
        <v>1.4472</v>
      </c>
      <c r="E7" s="1">
        <v>0.92208592371707199</v>
      </c>
      <c r="G7" s="4" t="s">
        <v>9</v>
      </c>
      <c r="H7" s="4" t="s">
        <v>14</v>
      </c>
      <c r="I7" s="4">
        <v>65</v>
      </c>
      <c r="J7" s="5">
        <f>AVERAGE(columns!V2:V75)</f>
        <v>0.72965813160313742</v>
      </c>
      <c r="K7" s="5">
        <f>AVERAGE(columns!W2:W75)</f>
        <v>1.0528590822072217</v>
      </c>
      <c r="L7" s="5">
        <f>AVERAGE(columns!X2:X75)</f>
        <v>0.78528803415836834</v>
      </c>
      <c r="M7" s="2">
        <f>_xlfn.STDEV.S(columns!V2:V75)</f>
        <v>0.11439809795751602</v>
      </c>
      <c r="N7" s="2">
        <f>_xlfn.STDEV.S(columns!W2:W75)</f>
        <v>0.16012259894369812</v>
      </c>
      <c r="O7" s="2">
        <f>_xlfn.STDEV.S(columns!X2:X75)</f>
        <v>0.15044141236766495</v>
      </c>
    </row>
    <row r="8" spans="1:15" x14ac:dyDescent="0.3">
      <c r="A8" t="s">
        <v>5</v>
      </c>
      <c r="B8">
        <v>2009</v>
      </c>
      <c r="C8" s="1">
        <v>0.56353530237466898</v>
      </c>
      <c r="D8" s="1">
        <v>1.1425999999999901</v>
      </c>
      <c r="E8" s="1">
        <v>0.64389543649329695</v>
      </c>
    </row>
    <row r="9" spans="1:15" x14ac:dyDescent="0.3">
      <c r="A9" t="s">
        <v>5</v>
      </c>
      <c r="B9">
        <v>2008</v>
      </c>
      <c r="C9" s="1">
        <v>0.67246570620674295</v>
      </c>
      <c r="D9" s="1">
        <v>1.2492000000000001</v>
      </c>
      <c r="E9" s="1">
        <v>0.84004416019346295</v>
      </c>
    </row>
    <row r="10" spans="1:15" x14ac:dyDescent="0.3">
      <c r="A10" t="s">
        <v>5</v>
      </c>
      <c r="B10">
        <v>2007</v>
      </c>
      <c r="C10" s="1">
        <v>0.64241555046926702</v>
      </c>
      <c r="D10" s="1">
        <v>1.4168000000000001</v>
      </c>
      <c r="E10" s="1">
        <v>0.91017435190485896</v>
      </c>
    </row>
    <row r="11" spans="1:15" x14ac:dyDescent="0.3">
      <c r="A11" t="s">
        <v>5</v>
      </c>
      <c r="B11">
        <v>2006</v>
      </c>
      <c r="C11" s="1">
        <v>0.72705608333723104</v>
      </c>
      <c r="D11" s="1">
        <v>0.85309999999999897</v>
      </c>
      <c r="E11" s="1">
        <v>0.620251544694992</v>
      </c>
    </row>
    <row r="12" spans="1:15" x14ac:dyDescent="0.3">
      <c r="A12" t="s">
        <v>5</v>
      </c>
      <c r="B12">
        <v>2005</v>
      </c>
      <c r="C12" s="1">
        <v>0.63195382311662296</v>
      </c>
      <c r="D12" s="1">
        <v>1.9804999999999999</v>
      </c>
      <c r="E12" s="1">
        <v>1.25158454668247</v>
      </c>
    </row>
    <row r="13" spans="1:15" x14ac:dyDescent="0.3">
      <c r="A13" t="s">
        <v>5</v>
      </c>
      <c r="B13">
        <v>2004</v>
      </c>
      <c r="C13" s="1">
        <v>0.62146618296580602</v>
      </c>
      <c r="D13" s="1">
        <v>1.23399999999999</v>
      </c>
      <c r="E13" s="1">
        <v>0.76688926977980398</v>
      </c>
    </row>
    <row r="14" spans="1:15" x14ac:dyDescent="0.3">
      <c r="A14" t="s">
        <v>5</v>
      </c>
      <c r="B14">
        <v>2003</v>
      </c>
      <c r="C14" s="1">
        <v>0.63409067448072998</v>
      </c>
      <c r="D14" s="1">
        <v>1.2948999999999999</v>
      </c>
      <c r="E14" s="1">
        <v>0.82108401438509904</v>
      </c>
    </row>
    <row r="15" spans="1:15" x14ac:dyDescent="0.3">
      <c r="A15" t="s">
        <v>5</v>
      </c>
      <c r="B15">
        <v>2002</v>
      </c>
      <c r="C15" s="1">
        <v>0.684403730292511</v>
      </c>
      <c r="D15" s="1">
        <v>1.2491999999999901</v>
      </c>
      <c r="E15" s="1">
        <v>0.85495713988140398</v>
      </c>
    </row>
    <row r="16" spans="1:15" x14ac:dyDescent="0.3">
      <c r="A16" t="s">
        <v>5</v>
      </c>
      <c r="B16">
        <v>2001</v>
      </c>
      <c r="C16" s="1">
        <v>0.68401499310435598</v>
      </c>
      <c r="D16" s="1">
        <v>1.91949999999999</v>
      </c>
      <c r="E16" s="1">
        <v>1.31296677926381</v>
      </c>
    </row>
    <row r="17" spans="1:5" x14ac:dyDescent="0.3">
      <c r="A17" t="s">
        <v>5</v>
      </c>
      <c r="B17">
        <v>2000</v>
      </c>
      <c r="C17" s="1">
        <v>0.63685605049111804</v>
      </c>
      <c r="D17" s="1">
        <v>1.5844</v>
      </c>
      <c r="E17" s="1">
        <v>1.0090347263981201</v>
      </c>
    </row>
    <row r="18" spans="1:5" x14ac:dyDescent="0.3">
      <c r="A18" t="s">
        <v>5</v>
      </c>
      <c r="B18">
        <v>1999</v>
      </c>
      <c r="C18" s="1">
        <v>0.70072623190870298</v>
      </c>
      <c r="D18" s="1">
        <v>1.7061999999999899</v>
      </c>
      <c r="E18" s="1">
        <v>1.1955790968826201</v>
      </c>
    </row>
    <row r="19" spans="1:5" x14ac:dyDescent="0.3">
      <c r="A19" t="s">
        <v>5</v>
      </c>
      <c r="B19">
        <v>1998</v>
      </c>
      <c r="C19" s="1">
        <v>0.66170288893569795</v>
      </c>
      <c r="D19" s="1">
        <v>1.4316799999999099</v>
      </c>
      <c r="E19" s="1">
        <v>0.94734679203140104</v>
      </c>
    </row>
    <row r="20" spans="1:5" x14ac:dyDescent="0.3">
      <c r="A20" t="s">
        <v>5</v>
      </c>
      <c r="B20">
        <v>1997</v>
      </c>
      <c r="C20" s="1">
        <v>0.65477524219141803</v>
      </c>
      <c r="D20" s="1">
        <v>1.00517999999993</v>
      </c>
      <c r="E20" s="1">
        <v>0.65816697794592505</v>
      </c>
    </row>
    <row r="21" spans="1:5" x14ac:dyDescent="0.3">
      <c r="A21" t="s">
        <v>5</v>
      </c>
      <c r="B21">
        <v>1996</v>
      </c>
      <c r="C21" s="1">
        <v>0.62050093494333902</v>
      </c>
      <c r="D21" s="1">
        <v>1.4316199999999</v>
      </c>
      <c r="E21" s="1">
        <v>0.88832154848352296</v>
      </c>
    </row>
    <row r="22" spans="1:5" x14ac:dyDescent="0.3">
      <c r="A22" t="s">
        <v>5</v>
      </c>
      <c r="B22">
        <v>1995</v>
      </c>
      <c r="C22" s="1">
        <v>0.77970027363605598</v>
      </c>
      <c r="D22" s="1">
        <v>1.08132999999992</v>
      </c>
      <c r="E22" s="1">
        <v>0.84311329689082004</v>
      </c>
    </row>
    <row r="23" spans="1:5" x14ac:dyDescent="0.3">
      <c r="A23" t="s">
        <v>5</v>
      </c>
      <c r="B23">
        <v>1994</v>
      </c>
      <c r="C23" s="1">
        <v>0.75276503886555601</v>
      </c>
      <c r="D23" s="1">
        <v>1.3250100000001399</v>
      </c>
      <c r="E23" s="1">
        <v>0.99742120414735902</v>
      </c>
    </row>
    <row r="24" spans="1:5" x14ac:dyDescent="0.3">
      <c r="A24" t="s">
        <v>5</v>
      </c>
      <c r="B24">
        <v>1993</v>
      </c>
      <c r="C24" s="1">
        <v>0.69559597955421104</v>
      </c>
      <c r="D24" s="1">
        <v>1.40116000000023</v>
      </c>
      <c r="E24" s="1">
        <v>0.97464126271233997</v>
      </c>
    </row>
    <row r="25" spans="1:5" x14ac:dyDescent="0.3">
      <c r="A25" t="s">
        <v>5</v>
      </c>
      <c r="B25">
        <v>1992</v>
      </c>
      <c r="C25" s="1">
        <v>0.74370343784232895</v>
      </c>
      <c r="D25" s="1">
        <v>1.30978000000021</v>
      </c>
      <c r="E25" s="1">
        <v>0.97408788881728703</v>
      </c>
    </row>
    <row r="26" spans="1:5" x14ac:dyDescent="0.3">
      <c r="A26" t="s">
        <v>5</v>
      </c>
      <c r="B26">
        <v>1991</v>
      </c>
      <c r="C26" s="1">
        <v>0.780150961948188</v>
      </c>
      <c r="D26" s="1">
        <v>1.1879400000001901</v>
      </c>
      <c r="E26" s="1">
        <v>0.92677253373688295</v>
      </c>
    </row>
    <row r="27" spans="1:5" x14ac:dyDescent="0.3">
      <c r="A27" t="s">
        <v>5</v>
      </c>
      <c r="B27">
        <v>1990</v>
      </c>
      <c r="C27" s="1">
        <v>0.75473397316317103</v>
      </c>
      <c r="D27" s="1">
        <v>1.1422500000001801</v>
      </c>
      <c r="E27" s="1">
        <v>0.86209488084577401</v>
      </c>
    </row>
    <row r="28" spans="1:5" x14ac:dyDescent="0.3">
      <c r="A28" t="s">
        <v>5</v>
      </c>
      <c r="B28">
        <v>1989</v>
      </c>
      <c r="C28" s="1">
        <v>0.58890618811588302</v>
      </c>
      <c r="D28" s="1">
        <v>0.95949000000015805</v>
      </c>
      <c r="E28" s="1">
        <v>0.56504959843540203</v>
      </c>
    </row>
    <row r="29" spans="1:5" x14ac:dyDescent="0.3">
      <c r="A29" t="s">
        <v>5</v>
      </c>
      <c r="B29">
        <v>1988</v>
      </c>
      <c r="C29" s="1">
        <v>0.78581135280307601</v>
      </c>
      <c r="D29" s="1">
        <v>1.5991500000002601</v>
      </c>
      <c r="E29" s="1">
        <v>1.2566302248352399</v>
      </c>
    </row>
    <row r="30" spans="1:5" x14ac:dyDescent="0.3">
      <c r="A30" t="s">
        <v>5</v>
      </c>
      <c r="B30">
        <v>1987</v>
      </c>
      <c r="C30" s="1">
        <v>0.77176650452809703</v>
      </c>
      <c r="D30" s="1">
        <v>0.700580000000115</v>
      </c>
      <c r="E30" s="1">
        <v>0.54068417774238298</v>
      </c>
    </row>
    <row r="31" spans="1:5" x14ac:dyDescent="0.3">
      <c r="A31" t="s">
        <v>5</v>
      </c>
      <c r="B31">
        <v>1986</v>
      </c>
      <c r="C31" s="1">
        <v>0.75372637336398496</v>
      </c>
      <c r="D31" s="1">
        <v>1.8580600000003</v>
      </c>
      <c r="E31" s="1">
        <v>1.4004688252929101</v>
      </c>
    </row>
    <row r="32" spans="1:5" x14ac:dyDescent="0.3">
      <c r="A32" t="s">
        <v>5</v>
      </c>
      <c r="B32">
        <v>1985</v>
      </c>
      <c r="C32" s="1">
        <v>0.91341223506069702</v>
      </c>
      <c r="D32" s="1">
        <v>1.2793200000002101</v>
      </c>
      <c r="E32" s="1">
        <v>1.16854654055804</v>
      </c>
    </row>
    <row r="33" spans="1:5" x14ac:dyDescent="0.3">
      <c r="A33" t="s">
        <v>5</v>
      </c>
      <c r="B33">
        <v>1984</v>
      </c>
      <c r="C33" s="1">
        <v>0.80622452775797404</v>
      </c>
      <c r="D33" s="1">
        <v>1.0965600000001801</v>
      </c>
      <c r="E33" s="1">
        <v>0.88407356815842997</v>
      </c>
    </row>
    <row r="34" spans="1:5" x14ac:dyDescent="0.3">
      <c r="A34" t="s">
        <v>5</v>
      </c>
      <c r="B34">
        <v>1983</v>
      </c>
      <c r="C34" s="1">
        <v>0.79795754739123304</v>
      </c>
      <c r="D34" s="1">
        <v>0.91380000000015105</v>
      </c>
      <c r="E34" s="1">
        <v>0.729173606806229</v>
      </c>
    </row>
    <row r="35" spans="1:5" x14ac:dyDescent="0.3">
      <c r="A35" t="s">
        <v>5</v>
      </c>
      <c r="B35">
        <v>1982</v>
      </c>
      <c r="C35" s="1">
        <v>0.81390882847608004</v>
      </c>
      <c r="D35" s="1">
        <v>0.83765000000013801</v>
      </c>
      <c r="E35" s="1">
        <v>0.68177073017310097</v>
      </c>
    </row>
    <row r="36" spans="1:5" x14ac:dyDescent="0.3">
      <c r="A36" t="s">
        <v>6</v>
      </c>
      <c r="B36">
        <v>2015</v>
      </c>
      <c r="C36" s="1">
        <v>0.62070002516273304</v>
      </c>
      <c r="D36" s="1">
        <v>0.86139999999999906</v>
      </c>
      <c r="E36" s="1">
        <v>0.534671001675178</v>
      </c>
    </row>
    <row r="37" spans="1:5" x14ac:dyDescent="0.3">
      <c r="A37" t="s">
        <v>6</v>
      </c>
      <c r="B37">
        <v>2014</v>
      </c>
      <c r="C37" s="1">
        <v>0.64222611521435602</v>
      </c>
      <c r="D37" s="1">
        <v>1.661349999999995</v>
      </c>
      <c r="E37" s="1">
        <v>1.07717245190401</v>
      </c>
    </row>
    <row r="38" spans="1:5" x14ac:dyDescent="0.3">
      <c r="A38" t="s">
        <v>6</v>
      </c>
      <c r="B38">
        <v>2013</v>
      </c>
      <c r="C38" s="1">
        <v>0.57407598804878901</v>
      </c>
      <c r="D38" s="1">
        <v>1.2922</v>
      </c>
      <c r="E38" s="1">
        <v>0.73136273711781297</v>
      </c>
    </row>
    <row r="39" spans="1:5" x14ac:dyDescent="0.3">
      <c r="A39" t="s">
        <v>6</v>
      </c>
      <c r="B39">
        <v>2012</v>
      </c>
      <c r="C39" s="1">
        <v>0.52368544375187698</v>
      </c>
      <c r="D39" s="1">
        <v>1.0767999999999949</v>
      </c>
      <c r="E39" s="1">
        <v>0.58705830614692545</v>
      </c>
    </row>
    <row r="40" spans="1:5" x14ac:dyDescent="0.3">
      <c r="A40" t="s">
        <v>6</v>
      </c>
      <c r="B40">
        <v>2011</v>
      </c>
      <c r="C40" s="1">
        <v>0.62126066559106952</v>
      </c>
      <c r="D40" s="1">
        <v>0.95369999999999489</v>
      </c>
      <c r="E40" s="1">
        <v>0.56870008160839347</v>
      </c>
    </row>
    <row r="41" spans="1:5" x14ac:dyDescent="0.3">
      <c r="A41" t="s">
        <v>6</v>
      </c>
      <c r="B41">
        <v>2010</v>
      </c>
      <c r="C41" s="1">
        <v>0.74836514276889499</v>
      </c>
      <c r="D41" s="1">
        <v>0.89220000000000055</v>
      </c>
      <c r="E41" s="1">
        <v>0.6647259883355201</v>
      </c>
    </row>
    <row r="42" spans="1:5" x14ac:dyDescent="0.3">
      <c r="A42" t="s">
        <v>6</v>
      </c>
      <c r="B42">
        <v>2009</v>
      </c>
      <c r="C42" s="1">
        <v>0.64815066490703799</v>
      </c>
      <c r="D42" s="1">
        <v>0.92299999999999904</v>
      </c>
      <c r="E42" s="1">
        <v>0.59824306370919555</v>
      </c>
    </row>
    <row r="43" spans="1:5" x14ac:dyDescent="0.3">
      <c r="A43" t="s">
        <v>6</v>
      </c>
      <c r="B43">
        <v>2008</v>
      </c>
      <c r="C43" s="1">
        <v>0.67276675374501305</v>
      </c>
      <c r="D43" s="1">
        <v>1.292149999999995</v>
      </c>
      <c r="E43" s="1">
        <v>0.882858826773537</v>
      </c>
    </row>
    <row r="44" spans="1:5" x14ac:dyDescent="0.3">
      <c r="A44" t="s">
        <v>6</v>
      </c>
      <c r="B44">
        <v>2007</v>
      </c>
      <c r="C44" s="1">
        <v>0.66736371032113895</v>
      </c>
      <c r="D44" s="1">
        <v>1.1075499999999949</v>
      </c>
      <c r="E44" s="1">
        <v>0.73332086425039655</v>
      </c>
    </row>
    <row r="45" spans="1:5" x14ac:dyDescent="0.3">
      <c r="A45" t="s">
        <v>6</v>
      </c>
      <c r="B45">
        <v>2006</v>
      </c>
      <c r="C45" s="1">
        <v>0.68793992344997501</v>
      </c>
      <c r="D45" s="1">
        <v>1.2305999999999901</v>
      </c>
      <c r="E45" s="1">
        <v>0.84911532888459496</v>
      </c>
    </row>
    <row r="46" spans="1:5" x14ac:dyDescent="0.3">
      <c r="A46" t="s">
        <v>6</v>
      </c>
      <c r="B46">
        <v>2005</v>
      </c>
      <c r="C46" s="1">
        <v>0.71503627471346798</v>
      </c>
      <c r="D46" s="1">
        <v>1.1691</v>
      </c>
      <c r="E46" s="1">
        <v>0.82632546473103607</v>
      </c>
    </row>
    <row r="47" spans="1:5" x14ac:dyDescent="0.3">
      <c r="A47" t="s">
        <v>6</v>
      </c>
      <c r="B47">
        <v>2004</v>
      </c>
      <c r="C47" s="1">
        <v>0.61254729691842147</v>
      </c>
      <c r="D47" s="1">
        <v>0.98454999999999993</v>
      </c>
      <c r="E47" s="1">
        <v>0.58331741854971408</v>
      </c>
    </row>
    <row r="48" spans="1:5" x14ac:dyDescent="0.3">
      <c r="A48" t="s">
        <v>6</v>
      </c>
      <c r="B48">
        <v>2003</v>
      </c>
      <c r="C48" s="1">
        <v>0.54183011840359996</v>
      </c>
      <c r="D48" s="1">
        <v>1.2613499999999949</v>
      </c>
      <c r="E48" s="1">
        <v>0.69035809698315853</v>
      </c>
    </row>
    <row r="49" spans="1:5" x14ac:dyDescent="0.3">
      <c r="A49" t="s">
        <v>6</v>
      </c>
      <c r="B49">
        <v>2002</v>
      </c>
      <c r="C49" s="1">
        <v>0.48363788505927352</v>
      </c>
      <c r="D49" s="1">
        <v>1.415249999999995</v>
      </c>
      <c r="E49" s="1">
        <v>0.68025289219995444</v>
      </c>
    </row>
    <row r="50" spans="1:5" x14ac:dyDescent="0.3">
      <c r="A50" t="s">
        <v>6</v>
      </c>
      <c r="B50">
        <v>2001</v>
      </c>
      <c r="C50" s="1">
        <v>0.61860126799759796</v>
      </c>
      <c r="D50" s="1">
        <v>0.92294999999999949</v>
      </c>
      <c r="E50" s="1">
        <v>0.5680108047401945</v>
      </c>
    </row>
    <row r="51" spans="1:5" x14ac:dyDescent="0.3">
      <c r="A51" t="s">
        <v>6</v>
      </c>
      <c r="B51">
        <v>2000</v>
      </c>
      <c r="C51" s="1">
        <v>0.70132449094058202</v>
      </c>
      <c r="D51" s="1">
        <v>1.292149999999995</v>
      </c>
      <c r="E51" s="1">
        <v>0.9557004678445995</v>
      </c>
    </row>
    <row r="52" spans="1:5" x14ac:dyDescent="0.3">
      <c r="A52" t="s">
        <v>6</v>
      </c>
      <c r="B52">
        <v>1999</v>
      </c>
      <c r="C52" s="1">
        <v>0.60089050901350749</v>
      </c>
      <c r="D52" s="1">
        <v>0.98450000000000093</v>
      </c>
      <c r="E52" s="1">
        <v>0.60050496401625097</v>
      </c>
    </row>
    <row r="53" spans="1:5" x14ac:dyDescent="0.3">
      <c r="A53" t="s">
        <v>6</v>
      </c>
      <c r="B53">
        <v>1998</v>
      </c>
      <c r="C53" s="1">
        <v>0.53054184591137998</v>
      </c>
      <c r="D53" s="1">
        <v>1.4152</v>
      </c>
      <c r="E53" s="1">
        <v>0.75135729029139497</v>
      </c>
    </row>
    <row r="54" spans="1:5" x14ac:dyDescent="0.3">
      <c r="A54" t="s">
        <v>6</v>
      </c>
      <c r="B54">
        <v>1997</v>
      </c>
      <c r="C54" s="1">
        <v>0.5690516546927864</v>
      </c>
      <c r="D54" s="1">
        <v>1.0459999999999929</v>
      </c>
      <c r="E54" s="1">
        <v>0.59737227156019601</v>
      </c>
    </row>
    <row r="55" spans="1:5" x14ac:dyDescent="0.3">
      <c r="A55" t="s">
        <v>6</v>
      </c>
      <c r="B55">
        <v>1996</v>
      </c>
      <c r="C55" s="1">
        <v>0.60451566030071502</v>
      </c>
      <c r="D55" s="1">
        <v>1.2921999999999998</v>
      </c>
      <c r="E55" s="1">
        <v>0.78635296643945507</v>
      </c>
    </row>
    <row r="56" spans="1:5" x14ac:dyDescent="0.3">
      <c r="A56" t="s">
        <v>6</v>
      </c>
      <c r="B56">
        <v>1995</v>
      </c>
      <c r="C56" s="1">
        <v>0.76830144733170047</v>
      </c>
      <c r="D56" s="1">
        <v>1.0460499999999988</v>
      </c>
      <c r="E56" s="1">
        <v>0.78208727654084598</v>
      </c>
    </row>
    <row r="57" spans="1:5" x14ac:dyDescent="0.3">
      <c r="A57" t="s">
        <v>6</v>
      </c>
      <c r="B57">
        <v>1994</v>
      </c>
      <c r="C57" s="1">
        <v>0.91720922590036502</v>
      </c>
      <c r="D57" s="1">
        <v>1.0460499999999988</v>
      </c>
      <c r="E57" s="1">
        <v>0.94467670825718097</v>
      </c>
    </row>
    <row r="58" spans="1:5" x14ac:dyDescent="0.3">
      <c r="A58" t="s">
        <v>6</v>
      </c>
      <c r="B58">
        <v>1993</v>
      </c>
      <c r="C58" s="1">
        <v>0.75080923205584249</v>
      </c>
      <c r="D58" s="1">
        <v>0.86140000000000305</v>
      </c>
      <c r="E58" s="1">
        <v>0.65090692166823594</v>
      </c>
    </row>
    <row r="59" spans="1:5" x14ac:dyDescent="0.3">
      <c r="A59" t="s">
        <v>6</v>
      </c>
      <c r="B59">
        <v>1992</v>
      </c>
      <c r="C59" s="1">
        <v>0.63800005078189248</v>
      </c>
      <c r="D59" s="1">
        <v>0.73834999999999651</v>
      </c>
      <c r="E59" s="1">
        <v>0.47106464323388147</v>
      </c>
    </row>
    <row r="60" spans="1:5" x14ac:dyDescent="0.3">
      <c r="A60" t="s">
        <v>6</v>
      </c>
      <c r="B60">
        <v>1991</v>
      </c>
      <c r="C60" s="1">
        <v>0.60001997309881006</v>
      </c>
      <c r="D60" s="1">
        <v>0.73840000000000205</v>
      </c>
      <c r="E60" s="1">
        <v>0.456706524730221</v>
      </c>
    </row>
    <row r="61" spans="1:5" x14ac:dyDescent="0.3">
      <c r="A61" t="s">
        <v>6</v>
      </c>
      <c r="B61">
        <v>1990</v>
      </c>
      <c r="C61" s="1">
        <v>0.60572602153125055</v>
      </c>
      <c r="D61" s="1">
        <v>1.2306499999999998</v>
      </c>
      <c r="E61" s="1">
        <v>0.74544124739410744</v>
      </c>
    </row>
    <row r="62" spans="1:5" x14ac:dyDescent="0.3">
      <c r="A62" t="s">
        <v>6</v>
      </c>
      <c r="B62">
        <v>1989</v>
      </c>
      <c r="C62" s="1">
        <v>0.57686262654071951</v>
      </c>
      <c r="D62" s="1">
        <v>0.79984999999999795</v>
      </c>
      <c r="E62" s="1">
        <v>0.4287184395316645</v>
      </c>
    </row>
    <row r="63" spans="1:5" x14ac:dyDescent="0.3">
      <c r="A63" t="s">
        <v>6</v>
      </c>
      <c r="B63">
        <v>1988</v>
      </c>
      <c r="C63" s="1">
        <v>0.52471645638921149</v>
      </c>
      <c r="D63" s="1">
        <v>0.95374999999999444</v>
      </c>
      <c r="E63" s="1">
        <v>0.51756599300220096</v>
      </c>
    </row>
    <row r="64" spans="1:5" x14ac:dyDescent="0.3">
      <c r="A64" t="s">
        <v>6</v>
      </c>
      <c r="B64">
        <v>1987</v>
      </c>
      <c r="C64" s="1">
        <v>0.55891091686095207</v>
      </c>
      <c r="D64" s="1">
        <v>1.1994500000000099</v>
      </c>
      <c r="E64" s="1">
        <v>0.665219820949284</v>
      </c>
    </row>
    <row r="65" spans="1:5" x14ac:dyDescent="0.3">
      <c r="A65" t="s">
        <v>6</v>
      </c>
      <c r="B65">
        <v>1986</v>
      </c>
      <c r="C65" s="1">
        <v>0.76250303999281555</v>
      </c>
      <c r="D65" s="1">
        <v>0.70745000000000802</v>
      </c>
      <c r="E65" s="1">
        <v>0.54897236578563902</v>
      </c>
    </row>
    <row r="66" spans="1:5" x14ac:dyDescent="0.3">
      <c r="A66" t="s">
        <v>6</v>
      </c>
      <c r="B66">
        <v>1985</v>
      </c>
      <c r="C66" s="1">
        <v>0.78017537159978245</v>
      </c>
      <c r="D66" s="1">
        <v>0.89204999999999957</v>
      </c>
      <c r="E66" s="1">
        <v>0.78608805091149103</v>
      </c>
    </row>
    <row r="67" spans="1:5" x14ac:dyDescent="0.3">
      <c r="A67" t="s">
        <v>6</v>
      </c>
      <c r="B67">
        <v>1984</v>
      </c>
      <c r="C67" s="1">
        <v>0.66729800417449492</v>
      </c>
      <c r="D67" s="1">
        <v>0.86125000000000851</v>
      </c>
      <c r="E67" s="1">
        <v>0.59682004830097501</v>
      </c>
    </row>
    <row r="68" spans="1:5" x14ac:dyDescent="0.3">
      <c r="A68" t="s">
        <v>6</v>
      </c>
      <c r="B68">
        <v>1983</v>
      </c>
      <c r="C68" s="1">
        <v>0.77584861269710248</v>
      </c>
      <c r="D68" s="1">
        <v>0.9535500000000019</v>
      </c>
      <c r="E68" s="1">
        <v>0.8118509464882705</v>
      </c>
    </row>
    <row r="69" spans="1:5" x14ac:dyDescent="0.3">
      <c r="A69" t="s">
        <v>6</v>
      </c>
      <c r="B69">
        <v>1982</v>
      </c>
      <c r="C69" s="1">
        <v>0.74893519381346052</v>
      </c>
      <c r="D69" s="1">
        <v>0.92275000000000751</v>
      </c>
      <c r="E69" s="1">
        <v>0.70335503967473545</v>
      </c>
    </row>
    <row r="70" spans="1:5" x14ac:dyDescent="0.3">
      <c r="A70" t="s">
        <v>6</v>
      </c>
      <c r="B70">
        <v>1981</v>
      </c>
      <c r="C70" s="1">
        <v>0.90458881125750001</v>
      </c>
      <c r="D70" s="1">
        <v>1.4764500000000051</v>
      </c>
      <c r="E70" s="1">
        <v>1.420228423842544</v>
      </c>
    </row>
    <row r="71" spans="1:5" x14ac:dyDescent="0.3">
      <c r="A71" t="s">
        <v>6</v>
      </c>
      <c r="B71">
        <v>1980</v>
      </c>
      <c r="C71" s="1">
        <v>0.85646492447751799</v>
      </c>
      <c r="D71" s="1">
        <v>1.1072500000000036</v>
      </c>
      <c r="E71" s="1">
        <v>0.91738162955164992</v>
      </c>
    </row>
    <row r="72" spans="1:5" x14ac:dyDescent="0.3">
      <c r="A72" t="s">
        <v>6</v>
      </c>
      <c r="B72">
        <v>1979</v>
      </c>
      <c r="C72" s="1">
        <v>0.81861256664182558</v>
      </c>
      <c r="D72" s="1">
        <v>1.2302500000000121</v>
      </c>
      <c r="E72" s="1">
        <v>0.97998266883601293</v>
      </c>
    </row>
    <row r="73" spans="1:5" x14ac:dyDescent="0.3">
      <c r="A73" t="s">
        <v>6</v>
      </c>
      <c r="B73">
        <v>1978</v>
      </c>
      <c r="C73" s="1">
        <v>0.98942803820514402</v>
      </c>
      <c r="D73" s="1">
        <v>1.1688000000000001</v>
      </c>
      <c r="E73" s="1">
        <v>1.1582065483894799</v>
      </c>
    </row>
    <row r="74" spans="1:5" x14ac:dyDescent="0.3">
      <c r="A74" t="s">
        <v>6</v>
      </c>
      <c r="B74">
        <v>1977</v>
      </c>
      <c r="C74" s="1">
        <v>0.91001949153696793</v>
      </c>
      <c r="D74" s="1">
        <v>0.92255000000001153</v>
      </c>
      <c r="E74" s="1">
        <v>0.83598365233178251</v>
      </c>
    </row>
    <row r="75" spans="1:5" x14ac:dyDescent="0.3">
      <c r="A75" t="s">
        <v>6</v>
      </c>
      <c r="B75">
        <v>1976</v>
      </c>
      <c r="C75" s="1">
        <v>0.85802752933322046</v>
      </c>
      <c r="D75" s="1">
        <v>1.13775000000001</v>
      </c>
      <c r="E75" s="1">
        <v>0.97273020189202997</v>
      </c>
    </row>
    <row r="76" spans="1:5" x14ac:dyDescent="0.3">
      <c r="A76" t="s">
        <v>6</v>
      </c>
      <c r="B76">
        <v>1975</v>
      </c>
      <c r="C76" s="1">
        <v>0.89276325089522746</v>
      </c>
      <c r="D76" s="1">
        <v>1.076250000000013</v>
      </c>
      <c r="E76" s="1">
        <v>0.97339370746010556</v>
      </c>
    </row>
    <row r="77" spans="1:5" x14ac:dyDescent="0.3">
      <c r="A77" t="s">
        <v>6</v>
      </c>
      <c r="B77">
        <v>1974</v>
      </c>
      <c r="C77" s="1">
        <v>1.0604316034732011</v>
      </c>
      <c r="D77" s="1">
        <v>1.076250000000013</v>
      </c>
      <c r="E77" s="1">
        <v>1.2393365205028395</v>
      </c>
    </row>
    <row r="78" spans="1:5" x14ac:dyDescent="0.3">
      <c r="A78" t="s">
        <v>6</v>
      </c>
      <c r="B78">
        <v>1973</v>
      </c>
      <c r="C78" s="1">
        <v>1.1548418146885124</v>
      </c>
      <c r="D78" s="1">
        <v>1.0455000000000101</v>
      </c>
      <c r="E78" s="1">
        <v>1.2073871172568564</v>
      </c>
    </row>
    <row r="79" spans="1:5" x14ac:dyDescent="0.3">
      <c r="A79" t="s">
        <v>6</v>
      </c>
      <c r="B79">
        <v>1972</v>
      </c>
      <c r="C79" s="1">
        <v>0.86175918541627405</v>
      </c>
      <c r="D79" s="1">
        <v>0.95325000000001447</v>
      </c>
      <c r="E79" s="1">
        <v>0.82320922488014192</v>
      </c>
    </row>
    <row r="80" spans="1:5" x14ac:dyDescent="0.3">
      <c r="A80" t="s">
        <v>6</v>
      </c>
      <c r="B80">
        <v>1971</v>
      </c>
      <c r="C80" s="1">
        <v>0.86099293634469354</v>
      </c>
      <c r="D80" s="1">
        <v>1.076250000000013</v>
      </c>
      <c r="E80" s="1">
        <v>0.93532891771456605</v>
      </c>
    </row>
    <row r="81" spans="1:5" x14ac:dyDescent="0.3">
      <c r="A81" t="s">
        <v>6</v>
      </c>
      <c r="B81">
        <v>1970</v>
      </c>
      <c r="C81" s="1">
        <v>0.87313105483970854</v>
      </c>
      <c r="D81" s="1">
        <v>1.260750000000018</v>
      </c>
      <c r="E81" s="1">
        <v>1.0722680457944449</v>
      </c>
    </row>
    <row r="82" spans="1:5" x14ac:dyDescent="0.3">
      <c r="A82" t="s">
        <v>6</v>
      </c>
      <c r="B82">
        <v>1969</v>
      </c>
      <c r="C82" s="1">
        <v>0.78729113639681247</v>
      </c>
      <c r="D82" s="1">
        <v>1.0147500000000131</v>
      </c>
      <c r="E82" s="1">
        <v>0.8047575626402319</v>
      </c>
    </row>
    <row r="83" spans="1:5" x14ac:dyDescent="0.3">
      <c r="A83" t="s">
        <v>6</v>
      </c>
      <c r="B83">
        <v>1968</v>
      </c>
      <c r="C83" s="1">
        <v>0.80804523876066892</v>
      </c>
      <c r="D83" s="1">
        <v>0.98400000000000709</v>
      </c>
      <c r="E83" s="1">
        <v>0.76953957301880793</v>
      </c>
    </row>
    <row r="84" spans="1:5" x14ac:dyDescent="0.3">
      <c r="A84" t="s">
        <v>6</v>
      </c>
      <c r="B84">
        <v>1967</v>
      </c>
      <c r="C84" s="1">
        <v>0.77217658015169899</v>
      </c>
      <c r="D84" s="1">
        <v>1.076250000000013</v>
      </c>
      <c r="E84" s="1">
        <v>0.80828646500430645</v>
      </c>
    </row>
    <row r="85" spans="1:5" x14ac:dyDescent="0.3">
      <c r="A85" t="s">
        <v>6</v>
      </c>
      <c r="B85">
        <v>1966</v>
      </c>
      <c r="C85" s="1">
        <v>0.73579657469764648</v>
      </c>
      <c r="D85" s="1">
        <v>1.137750000000018</v>
      </c>
      <c r="E85" s="1">
        <v>0.825443092089724</v>
      </c>
    </row>
    <row r="86" spans="1:5" x14ac:dyDescent="0.3">
      <c r="A86" t="s">
        <v>6</v>
      </c>
      <c r="B86">
        <v>1965</v>
      </c>
      <c r="C86" s="1">
        <v>0.64336117455747199</v>
      </c>
      <c r="D86" s="1">
        <v>1.0455000000000105</v>
      </c>
      <c r="E86" s="1">
        <v>0.65621360573563403</v>
      </c>
    </row>
    <row r="87" spans="1:5" x14ac:dyDescent="0.3">
      <c r="A87" t="s">
        <v>6</v>
      </c>
      <c r="B87">
        <v>1964</v>
      </c>
      <c r="C87" s="1">
        <v>0.671559725721387</v>
      </c>
      <c r="D87" s="1">
        <v>1.1070000000000131</v>
      </c>
      <c r="E87" s="1">
        <v>0.73053094572664956</v>
      </c>
    </row>
    <row r="88" spans="1:5" x14ac:dyDescent="0.3">
      <c r="A88" t="s">
        <v>6</v>
      </c>
      <c r="B88">
        <v>1963</v>
      </c>
      <c r="C88" s="1">
        <v>0.83416862580883944</v>
      </c>
      <c r="D88" s="1">
        <v>1.1377500000000165</v>
      </c>
      <c r="E88" s="1">
        <v>0.93223042515706045</v>
      </c>
    </row>
    <row r="89" spans="1:5" x14ac:dyDescent="0.3">
      <c r="A89" t="s">
        <v>6</v>
      </c>
      <c r="B89">
        <v>1962</v>
      </c>
      <c r="C89" s="1">
        <v>0.96794166318555153</v>
      </c>
      <c r="D89" s="1">
        <v>1.168500000000013</v>
      </c>
      <c r="E89" s="1">
        <v>1.1088546897393452</v>
      </c>
    </row>
    <row r="90" spans="1:5" x14ac:dyDescent="0.3">
      <c r="A90" t="s">
        <v>6</v>
      </c>
      <c r="B90">
        <v>1961</v>
      </c>
      <c r="C90" s="1">
        <v>0.93600405529596853</v>
      </c>
      <c r="D90" s="1">
        <v>1.4145000000000199</v>
      </c>
      <c r="E90" s="1">
        <v>1.3331647964355551</v>
      </c>
    </row>
    <row r="91" spans="1:5" x14ac:dyDescent="0.3">
      <c r="A91" t="s">
        <v>6</v>
      </c>
      <c r="B91">
        <v>1960</v>
      </c>
      <c r="C91" s="1">
        <v>0.763432809468369</v>
      </c>
      <c r="D91" s="1">
        <v>1.2915000000000101</v>
      </c>
      <c r="E91" s="1">
        <v>0.97125771413960704</v>
      </c>
    </row>
    <row r="92" spans="1:5" x14ac:dyDescent="0.3">
      <c r="A92" t="s">
        <v>6</v>
      </c>
      <c r="B92">
        <v>1959</v>
      </c>
      <c r="C92" s="1">
        <v>0.87513870131825144</v>
      </c>
      <c r="D92" s="1">
        <v>1.2915000000000152</v>
      </c>
      <c r="E92" s="1">
        <v>1.1325104649018505</v>
      </c>
    </row>
    <row r="93" spans="1:5" x14ac:dyDescent="0.3">
      <c r="A93" t="s">
        <v>6</v>
      </c>
      <c r="B93">
        <v>1958</v>
      </c>
      <c r="C93" s="1">
        <v>0.68724868864449251</v>
      </c>
      <c r="D93" s="1">
        <v>1.10700000000001</v>
      </c>
      <c r="E93" s="1">
        <v>0.76078429832946248</v>
      </c>
    </row>
    <row r="94" spans="1:5" x14ac:dyDescent="0.3">
      <c r="A94" t="s">
        <v>6</v>
      </c>
      <c r="B94">
        <v>1957</v>
      </c>
      <c r="C94" s="1">
        <v>0.75950478863948201</v>
      </c>
      <c r="D94" s="1">
        <v>0.92250000000001298</v>
      </c>
      <c r="E94" s="1">
        <v>0.70064316751993294</v>
      </c>
    </row>
    <row r="95" spans="1:5" x14ac:dyDescent="0.3">
      <c r="A95" t="s">
        <v>6</v>
      </c>
      <c r="B95">
        <v>1956</v>
      </c>
      <c r="C95" s="1">
        <v>0.71104780875537199</v>
      </c>
      <c r="D95" s="1">
        <v>1.199250000000015</v>
      </c>
      <c r="E95" s="1">
        <v>0.86642548027407196</v>
      </c>
    </row>
    <row r="96" spans="1:5" x14ac:dyDescent="0.3">
      <c r="A96" t="s">
        <v>6</v>
      </c>
      <c r="B96">
        <v>1955</v>
      </c>
      <c r="C96" s="1">
        <v>0.74236759788555995</v>
      </c>
      <c r="D96" s="1">
        <v>1.199250000000015</v>
      </c>
      <c r="E96" s="1">
        <v>0.8864320153809</v>
      </c>
    </row>
    <row r="97" spans="1:5" x14ac:dyDescent="0.3">
      <c r="A97" t="s">
        <v>6</v>
      </c>
      <c r="B97">
        <v>1954</v>
      </c>
      <c r="C97" s="1">
        <v>0.73597373863440607</v>
      </c>
      <c r="D97" s="1">
        <v>1.414500000000015</v>
      </c>
      <c r="E97" s="1">
        <v>1.0403397216028449</v>
      </c>
    </row>
    <row r="98" spans="1:5" x14ac:dyDescent="0.3">
      <c r="A98" t="s">
        <v>6</v>
      </c>
      <c r="B98">
        <v>1953</v>
      </c>
      <c r="C98" s="1">
        <v>0.73666217201845896</v>
      </c>
      <c r="D98" s="1">
        <v>0.95325000000000948</v>
      </c>
      <c r="E98" s="1">
        <v>0.67802484164753851</v>
      </c>
    </row>
    <row r="99" spans="1:5" x14ac:dyDescent="0.3">
      <c r="A99" t="s">
        <v>6</v>
      </c>
      <c r="B99">
        <v>1952</v>
      </c>
      <c r="C99" s="1">
        <v>0.39478142765105501</v>
      </c>
      <c r="D99" s="1">
        <v>0.61500000000000499</v>
      </c>
      <c r="E99" s="1">
        <v>0.48558115601080448</v>
      </c>
    </row>
    <row r="100" spans="1:5" x14ac:dyDescent="0.3">
      <c r="A100" t="s">
        <v>6</v>
      </c>
      <c r="B100">
        <v>1951</v>
      </c>
      <c r="C100" s="1">
        <v>0.4410553829547445</v>
      </c>
      <c r="D100" s="1">
        <v>0.46125000000000649</v>
      </c>
      <c r="E100" s="1">
        <v>0.40687359077575802</v>
      </c>
    </row>
    <row r="101" spans="1:5" x14ac:dyDescent="0.3">
      <c r="A101" t="s">
        <v>7</v>
      </c>
      <c r="B101">
        <v>2015</v>
      </c>
      <c r="C101" s="1">
        <v>1.022775822540976</v>
      </c>
      <c r="D101" s="1">
        <v>0.70758499999999991</v>
      </c>
      <c r="E101" s="1">
        <v>0.717568528944315</v>
      </c>
    </row>
    <row r="102" spans="1:5" x14ac:dyDescent="0.3">
      <c r="A102" t="s">
        <v>7</v>
      </c>
      <c r="B102">
        <v>2014</v>
      </c>
      <c r="C102" s="1">
        <v>0.72230319081108796</v>
      </c>
      <c r="D102" s="1">
        <v>1.0152800000000006</v>
      </c>
      <c r="E102" s="1">
        <v>0.77270752838577961</v>
      </c>
    </row>
    <row r="103" spans="1:5" x14ac:dyDescent="0.3">
      <c r="A103" t="s">
        <v>7</v>
      </c>
      <c r="B103">
        <v>2013</v>
      </c>
      <c r="C103" s="1">
        <v>0.75686751358955995</v>
      </c>
      <c r="D103" s="1">
        <v>0.52299999999999791</v>
      </c>
      <c r="E103" s="1">
        <v>0.39708989262912597</v>
      </c>
    </row>
    <row r="104" spans="1:5" x14ac:dyDescent="0.3">
      <c r="A104" t="s">
        <v>7</v>
      </c>
      <c r="B104">
        <v>2012</v>
      </c>
      <c r="C104" s="1">
        <v>0.86020557051988344</v>
      </c>
      <c r="D104" s="1">
        <v>0.70759999999999845</v>
      </c>
      <c r="E104" s="1">
        <v>0.61553127595567347</v>
      </c>
    </row>
    <row r="105" spans="1:5" x14ac:dyDescent="0.3">
      <c r="A105" t="s">
        <v>7</v>
      </c>
      <c r="B105">
        <v>2011</v>
      </c>
      <c r="C105" s="1">
        <v>1.1521029512584315</v>
      </c>
      <c r="D105" s="1">
        <v>0.73836999999999908</v>
      </c>
      <c r="E105" s="1">
        <v>0.88887820007034402</v>
      </c>
    </row>
    <row r="106" spans="1:5" x14ac:dyDescent="0.3">
      <c r="A106" t="s">
        <v>7</v>
      </c>
      <c r="B106">
        <v>2010</v>
      </c>
      <c r="C106" s="1">
        <v>0.79720459782603004</v>
      </c>
      <c r="D106" s="1">
        <v>0.73837999999999804</v>
      </c>
      <c r="E106" s="1">
        <v>0.58863873855744597</v>
      </c>
    </row>
    <row r="107" spans="1:5" x14ac:dyDescent="0.3">
      <c r="A107" t="s">
        <v>7</v>
      </c>
      <c r="B107">
        <v>2009</v>
      </c>
      <c r="C107" s="1">
        <v>0.76829506262430247</v>
      </c>
      <c r="D107" s="1">
        <v>0.76911499999999799</v>
      </c>
      <c r="E107" s="1">
        <v>0.58661404995681243</v>
      </c>
    </row>
    <row r="108" spans="1:5" x14ac:dyDescent="0.3">
      <c r="A108" t="s">
        <v>7</v>
      </c>
      <c r="B108">
        <v>2008</v>
      </c>
      <c r="C108" s="1">
        <v>0.69581166849818155</v>
      </c>
      <c r="D108" s="1">
        <v>0.55380000000000251</v>
      </c>
      <c r="E108" s="1">
        <v>0.38657140352588404</v>
      </c>
    </row>
    <row r="109" spans="1:5" x14ac:dyDescent="0.3">
      <c r="A109" t="s">
        <v>7</v>
      </c>
      <c r="B109">
        <v>2007</v>
      </c>
      <c r="C109" s="1">
        <v>0.69136974223336245</v>
      </c>
      <c r="D109" s="1">
        <v>0.98450000000000193</v>
      </c>
      <c r="E109" s="1">
        <v>0.68330000981705208</v>
      </c>
    </row>
    <row r="110" spans="1:5" x14ac:dyDescent="0.3">
      <c r="A110" t="s">
        <v>7</v>
      </c>
      <c r="B110">
        <v>2006</v>
      </c>
      <c r="C110" s="1">
        <v>0.81503482755450196</v>
      </c>
      <c r="D110" s="1">
        <v>0.73836500000000249</v>
      </c>
      <c r="E110" s="1">
        <v>0.61025313393900749</v>
      </c>
    </row>
    <row r="111" spans="1:5" x14ac:dyDescent="0.3">
      <c r="A111" t="s">
        <v>7</v>
      </c>
      <c r="B111">
        <v>2005</v>
      </c>
      <c r="C111" s="1">
        <v>0.77560446204005196</v>
      </c>
      <c r="D111" s="1">
        <v>1.2305899999999981</v>
      </c>
      <c r="E111" s="1">
        <v>0.89914982023128842</v>
      </c>
    </row>
    <row r="112" spans="1:5" x14ac:dyDescent="0.3">
      <c r="A112" t="s">
        <v>7</v>
      </c>
      <c r="B112">
        <v>2004</v>
      </c>
      <c r="C112" s="1">
        <v>0.68155796247408795</v>
      </c>
      <c r="D112" s="1">
        <v>0.61530500000000155</v>
      </c>
      <c r="E112" s="1">
        <v>0.39625336784611598</v>
      </c>
    </row>
    <row r="113" spans="1:5" x14ac:dyDescent="0.3">
      <c r="A113" t="s">
        <v>7</v>
      </c>
      <c r="B113">
        <v>2003</v>
      </c>
      <c r="C113" s="1">
        <v>0.57770597092319509</v>
      </c>
      <c r="D113" s="1">
        <v>0.89221999999999946</v>
      </c>
      <c r="E113" s="1">
        <v>0.50505170469257155</v>
      </c>
    </row>
    <row r="114" spans="1:5" x14ac:dyDescent="0.3">
      <c r="A114" t="s">
        <v>7</v>
      </c>
      <c r="B114">
        <v>2002</v>
      </c>
      <c r="C114" s="1">
        <v>0.644990754350384</v>
      </c>
      <c r="D114" s="1">
        <v>1.076750000000001</v>
      </c>
      <c r="E114" s="1">
        <v>0.67223223685809852</v>
      </c>
    </row>
    <row r="115" spans="1:5" x14ac:dyDescent="0.3">
      <c r="A115" t="s">
        <v>7</v>
      </c>
      <c r="B115">
        <v>2001</v>
      </c>
      <c r="C115" s="1">
        <v>0.55822079961708004</v>
      </c>
      <c r="D115" s="1">
        <v>0.86144500000000201</v>
      </c>
      <c r="E115" s="1">
        <v>0.482084183135148</v>
      </c>
    </row>
    <row r="116" spans="1:5" x14ac:dyDescent="0.3">
      <c r="A116" t="s">
        <v>7</v>
      </c>
      <c r="B116">
        <v>2000</v>
      </c>
      <c r="C116" s="1">
        <v>0.73972922671908292</v>
      </c>
      <c r="D116" s="1">
        <v>0.83066499999999555</v>
      </c>
      <c r="E116" s="1">
        <v>0.6034204031548045</v>
      </c>
    </row>
    <row r="117" spans="1:5" x14ac:dyDescent="0.3">
      <c r="A117" t="s">
        <v>7</v>
      </c>
      <c r="B117">
        <v>1999</v>
      </c>
      <c r="C117" s="1">
        <v>0.7665612008062046</v>
      </c>
      <c r="D117" s="1">
        <v>1.0459999999999896</v>
      </c>
      <c r="E117" s="1">
        <v>0.79713638883203652</v>
      </c>
    </row>
    <row r="118" spans="1:5" x14ac:dyDescent="0.3">
      <c r="A118" t="s">
        <v>7</v>
      </c>
      <c r="B118">
        <v>1998</v>
      </c>
      <c r="C118" s="1">
        <v>0.88726311017932402</v>
      </c>
      <c r="D118" s="1">
        <v>0.67684999999999396</v>
      </c>
      <c r="E118" s="1">
        <v>0.61417241301362002</v>
      </c>
    </row>
    <row r="119" spans="1:5" x14ac:dyDescent="0.3">
      <c r="A119" t="s">
        <v>7</v>
      </c>
      <c r="B119">
        <v>1997</v>
      </c>
      <c r="C119" s="1">
        <v>0.9222500015846995</v>
      </c>
      <c r="D119" s="1">
        <v>0.86143499999999107</v>
      </c>
      <c r="E119" s="1">
        <v>0.7378421398221735</v>
      </c>
    </row>
    <row r="120" spans="1:5" x14ac:dyDescent="0.3">
      <c r="A120" t="s">
        <v>7</v>
      </c>
      <c r="B120">
        <v>1996</v>
      </c>
      <c r="C120" s="1">
        <v>0.93380544325300407</v>
      </c>
      <c r="D120" s="1">
        <v>0.7999149999999946</v>
      </c>
      <c r="E120" s="1">
        <v>0.75310277076310594</v>
      </c>
    </row>
    <row r="121" spans="1:5" x14ac:dyDescent="0.3">
      <c r="A121" t="s">
        <v>7</v>
      </c>
      <c r="B121">
        <v>1995</v>
      </c>
      <c r="C121" s="1">
        <v>0.90123665007574605</v>
      </c>
      <c r="D121" s="1">
        <v>0.92292999999999448</v>
      </c>
      <c r="E121" s="1">
        <v>0.84200678662247697</v>
      </c>
    </row>
    <row r="122" spans="1:5" x14ac:dyDescent="0.3">
      <c r="A122" t="s">
        <v>7</v>
      </c>
      <c r="B122">
        <v>1994</v>
      </c>
      <c r="C122" s="1">
        <v>0.83460916435604604</v>
      </c>
      <c r="D122" s="1">
        <v>0.76916499999999155</v>
      </c>
      <c r="E122" s="1">
        <v>0.63807991203541048</v>
      </c>
    </row>
    <row r="123" spans="1:5" x14ac:dyDescent="0.3">
      <c r="A123" t="s">
        <v>7</v>
      </c>
      <c r="B123">
        <v>1993</v>
      </c>
      <c r="C123" s="1">
        <v>0.79716146744864702</v>
      </c>
      <c r="D123" s="1">
        <v>0.89219499999999352</v>
      </c>
      <c r="E123" s="1">
        <v>0.69449227623089949</v>
      </c>
    </row>
    <row r="124" spans="1:5" x14ac:dyDescent="0.3">
      <c r="A124" t="s">
        <v>7</v>
      </c>
      <c r="B124">
        <v>1992</v>
      </c>
      <c r="C124" s="1">
        <v>0.73723975204831205</v>
      </c>
      <c r="D124" s="1">
        <v>1.32290499999999</v>
      </c>
      <c r="E124" s="1">
        <v>0.95415383112090901</v>
      </c>
    </row>
    <row r="125" spans="1:5" x14ac:dyDescent="0.3">
      <c r="A125" t="s">
        <v>7</v>
      </c>
      <c r="B125">
        <v>1991</v>
      </c>
      <c r="C125" s="1">
        <v>0.68123537356153951</v>
      </c>
      <c r="D125" s="1">
        <v>0.64604499999999354</v>
      </c>
      <c r="E125" s="1">
        <v>0.41925485886097946</v>
      </c>
    </row>
    <row r="126" spans="1:5" x14ac:dyDescent="0.3">
      <c r="A126" t="s">
        <v>7</v>
      </c>
      <c r="B126">
        <v>1990</v>
      </c>
      <c r="C126" s="1">
        <v>0.71563166771191944</v>
      </c>
      <c r="D126" s="1">
        <v>0.7691249999999914</v>
      </c>
      <c r="E126" s="1">
        <v>0.54062116355507295</v>
      </c>
    </row>
    <row r="127" spans="1:5" x14ac:dyDescent="0.3">
      <c r="A127" t="s">
        <v>7</v>
      </c>
      <c r="B127">
        <v>1989</v>
      </c>
      <c r="C127" s="1">
        <v>0.73454484975747247</v>
      </c>
      <c r="D127" s="1">
        <v>1.07680499999999</v>
      </c>
      <c r="E127" s="1">
        <v>0.79117679339533853</v>
      </c>
    </row>
    <row r="128" spans="1:5" x14ac:dyDescent="0.3">
      <c r="A128" t="s">
        <v>7</v>
      </c>
      <c r="B128">
        <v>1988</v>
      </c>
      <c r="C128" s="1">
        <v>0.76220616674726949</v>
      </c>
      <c r="D128" s="1">
        <v>1.01525499999999</v>
      </c>
      <c r="E128" s="1">
        <v>0.77408993042238405</v>
      </c>
    </row>
    <row r="129" spans="1:5" x14ac:dyDescent="0.3">
      <c r="A129" t="s">
        <v>7</v>
      </c>
      <c r="B129">
        <v>1987</v>
      </c>
      <c r="C129" s="1">
        <v>0.6602734833792121</v>
      </c>
      <c r="D129" s="1">
        <v>0.9845099999999869</v>
      </c>
      <c r="E129" s="1">
        <v>0.63399144354116799</v>
      </c>
    </row>
    <row r="130" spans="1:5" x14ac:dyDescent="0.3">
      <c r="A130" t="s">
        <v>7</v>
      </c>
      <c r="B130">
        <v>1986</v>
      </c>
      <c r="C130" s="1">
        <v>0.78073330884970749</v>
      </c>
      <c r="D130" s="1">
        <v>1.3228849999999901</v>
      </c>
      <c r="E130" s="1">
        <v>1.0394095240607359</v>
      </c>
    </row>
    <row r="131" spans="1:5" x14ac:dyDescent="0.3">
      <c r="A131" t="s">
        <v>7</v>
      </c>
      <c r="B131">
        <v>1985</v>
      </c>
      <c r="C131" s="1">
        <v>0.80462677003431449</v>
      </c>
      <c r="D131" s="1">
        <v>0.86142999999999459</v>
      </c>
      <c r="E131" s="1">
        <v>0.70198663662906458</v>
      </c>
    </row>
    <row r="132" spans="1:5" x14ac:dyDescent="0.3">
      <c r="A132" t="s">
        <v>7</v>
      </c>
      <c r="B132">
        <v>1984</v>
      </c>
      <c r="C132" s="1">
        <v>0.77138439632588351</v>
      </c>
      <c r="D132" s="1">
        <v>1.0767849999999886</v>
      </c>
      <c r="E132" s="1">
        <v>0.8338198764122795</v>
      </c>
    </row>
    <row r="133" spans="1:5" x14ac:dyDescent="0.3">
      <c r="A133" t="s">
        <v>7</v>
      </c>
      <c r="B133">
        <v>1983</v>
      </c>
      <c r="C133" s="1">
        <v>0.66724207289361548</v>
      </c>
      <c r="D133" s="1">
        <v>1.3228949999999848</v>
      </c>
      <c r="E133" s="1">
        <v>0.88531680578270344</v>
      </c>
    </row>
    <row r="134" spans="1:5" x14ac:dyDescent="0.3">
      <c r="A134" t="s">
        <v>7</v>
      </c>
      <c r="B134">
        <v>1982</v>
      </c>
      <c r="C134" s="1">
        <v>0.66000948773983203</v>
      </c>
      <c r="D134" s="1">
        <v>0.89219499999999352</v>
      </c>
      <c r="E134" s="1">
        <v>0.58903882016077647</v>
      </c>
    </row>
    <row r="135" spans="1:5" x14ac:dyDescent="0.3">
      <c r="A135" t="s">
        <v>7</v>
      </c>
      <c r="B135">
        <v>1981</v>
      </c>
      <c r="C135" s="1">
        <v>0.68277064841762547</v>
      </c>
      <c r="D135" s="1">
        <v>1.1998449999999869</v>
      </c>
      <c r="E135" s="1">
        <v>0.79007760987037345</v>
      </c>
    </row>
    <row r="136" spans="1:5" x14ac:dyDescent="0.3">
      <c r="A136" t="s">
        <v>7</v>
      </c>
      <c r="B136">
        <v>1980</v>
      </c>
      <c r="C136" s="1">
        <v>0.59149239165693002</v>
      </c>
      <c r="D136" s="1">
        <v>0.9537249999999895</v>
      </c>
      <c r="E136" s="1">
        <v>0.56448819263823857</v>
      </c>
    </row>
    <row r="137" spans="1:5" x14ac:dyDescent="0.3">
      <c r="A137" t="s">
        <v>7</v>
      </c>
      <c r="B137">
        <v>1979</v>
      </c>
      <c r="C137" s="1">
        <v>0.96872326683599252</v>
      </c>
      <c r="D137" s="1">
        <v>0.79992999999999603</v>
      </c>
      <c r="E137" s="1">
        <v>0.76576324010018193</v>
      </c>
    </row>
    <row r="138" spans="1:5" x14ac:dyDescent="0.3">
      <c r="A138" t="s">
        <v>7</v>
      </c>
      <c r="B138">
        <v>1978</v>
      </c>
      <c r="C138" s="1">
        <v>0.58598594929834802</v>
      </c>
      <c r="D138" s="1">
        <v>0.89198999999999606</v>
      </c>
      <c r="E138" s="1">
        <v>0.51937634873186544</v>
      </c>
    </row>
    <row r="139" spans="1:5" x14ac:dyDescent="0.3">
      <c r="A139" t="s">
        <v>7</v>
      </c>
      <c r="B139">
        <v>1977</v>
      </c>
      <c r="C139" s="1">
        <v>0.701485969225212</v>
      </c>
      <c r="D139" s="1">
        <v>0.92271000000000192</v>
      </c>
      <c r="E139" s="1">
        <v>0.64344767331199648</v>
      </c>
    </row>
    <row r="140" spans="1:5" x14ac:dyDescent="0.3">
      <c r="A140" t="s">
        <v>7</v>
      </c>
      <c r="B140">
        <v>1976</v>
      </c>
      <c r="C140" s="1">
        <v>0.59007431856339543</v>
      </c>
      <c r="D140" s="1">
        <v>0.76897499999999752</v>
      </c>
      <c r="E140" s="1">
        <v>0.45187628779291156</v>
      </c>
    </row>
    <row r="141" spans="1:5" x14ac:dyDescent="0.3">
      <c r="A141" t="s">
        <v>7</v>
      </c>
      <c r="B141">
        <v>1975</v>
      </c>
      <c r="C141" s="1">
        <v>0.66952194805100596</v>
      </c>
      <c r="D141" s="1">
        <v>1.014974999999998</v>
      </c>
      <c r="E141" s="1">
        <v>0.68469290074236799</v>
      </c>
    </row>
    <row r="142" spans="1:5" x14ac:dyDescent="0.3">
      <c r="A142" t="s">
        <v>7</v>
      </c>
      <c r="B142">
        <v>1974</v>
      </c>
      <c r="C142" s="1">
        <v>0.62510806746743452</v>
      </c>
      <c r="D142" s="1">
        <v>0.7996800000000015</v>
      </c>
      <c r="E142" s="1">
        <v>0.49962461455622198</v>
      </c>
    </row>
    <row r="143" spans="1:5" x14ac:dyDescent="0.3">
      <c r="A143" t="s">
        <v>7</v>
      </c>
      <c r="B143">
        <v>1973</v>
      </c>
      <c r="C143" s="1">
        <v>0.71499685681235203</v>
      </c>
      <c r="D143" s="1">
        <v>0.98422499999999802</v>
      </c>
      <c r="E143" s="1">
        <v>0.69975079481020097</v>
      </c>
    </row>
    <row r="144" spans="1:5" x14ac:dyDescent="0.3">
      <c r="A144" t="s">
        <v>7</v>
      </c>
      <c r="B144">
        <v>1972</v>
      </c>
      <c r="C144" s="1">
        <v>0.75873308684687957</v>
      </c>
      <c r="D144" s="1">
        <v>0.86119500000000149</v>
      </c>
      <c r="E144" s="1">
        <v>0.65305260584706493</v>
      </c>
    </row>
    <row r="145" spans="1:5" x14ac:dyDescent="0.3">
      <c r="A145" t="s">
        <v>7</v>
      </c>
      <c r="B145">
        <v>1971</v>
      </c>
      <c r="C145" s="1">
        <v>0.74573172518308251</v>
      </c>
      <c r="D145" s="1">
        <v>0.8611800000000005</v>
      </c>
      <c r="E145" s="1">
        <v>0.65941354801952745</v>
      </c>
    </row>
    <row r="146" spans="1:5" x14ac:dyDescent="0.3">
      <c r="A146" t="s">
        <v>7</v>
      </c>
      <c r="B146">
        <v>1970</v>
      </c>
      <c r="C146" s="1">
        <v>0.99502618774367146</v>
      </c>
      <c r="D146" s="1">
        <v>1.014945</v>
      </c>
      <c r="E146" s="1">
        <v>1.0227835452953455</v>
      </c>
    </row>
    <row r="147" spans="1:5" x14ac:dyDescent="0.3">
      <c r="A147" t="s">
        <v>7</v>
      </c>
      <c r="B147">
        <v>1969</v>
      </c>
      <c r="C147" s="1">
        <v>0.92342054885841596</v>
      </c>
      <c r="D147" s="1">
        <v>0.73813500000000298</v>
      </c>
      <c r="E147" s="1">
        <v>0.66730943277356447</v>
      </c>
    </row>
    <row r="148" spans="1:5" x14ac:dyDescent="0.3">
      <c r="A148" t="s">
        <v>7</v>
      </c>
      <c r="B148">
        <v>1968</v>
      </c>
      <c r="C148" s="1">
        <v>0.80216947350504053</v>
      </c>
      <c r="D148" s="1">
        <v>1.1379900000000016</v>
      </c>
      <c r="E148" s="1">
        <v>0.891698701378974</v>
      </c>
    </row>
    <row r="149" spans="1:5" x14ac:dyDescent="0.3">
      <c r="A149" t="s">
        <v>7</v>
      </c>
      <c r="B149">
        <v>1967</v>
      </c>
      <c r="C149" s="1">
        <v>0.82948030136999251</v>
      </c>
      <c r="D149" s="1">
        <v>0.89191499999999901</v>
      </c>
      <c r="E149" s="1">
        <v>0.72612569051408005</v>
      </c>
    </row>
    <row r="150" spans="1:5" x14ac:dyDescent="0.3">
      <c r="A150" t="s">
        <v>7</v>
      </c>
      <c r="B150">
        <v>1966</v>
      </c>
      <c r="C150" s="1">
        <v>0.80622440507191051</v>
      </c>
      <c r="D150" s="1">
        <v>0.86120999999999948</v>
      </c>
      <c r="E150" s="1">
        <v>0.69434835419104901</v>
      </c>
    </row>
    <row r="151" spans="1:5" x14ac:dyDescent="0.3">
      <c r="A151" t="s">
        <v>7</v>
      </c>
      <c r="B151">
        <v>1965</v>
      </c>
      <c r="C151" s="1">
        <v>0.83749937090609694</v>
      </c>
      <c r="D151" s="1">
        <v>1.3839900000000065</v>
      </c>
      <c r="E151" s="1">
        <v>1.2196402003840721</v>
      </c>
    </row>
    <row r="152" spans="1:5" x14ac:dyDescent="0.3">
      <c r="A152" t="s">
        <v>7</v>
      </c>
      <c r="B152">
        <v>1964</v>
      </c>
      <c r="C152" s="1">
        <v>0.76367736230886052</v>
      </c>
      <c r="D152" s="1">
        <v>1.1687100000000039</v>
      </c>
      <c r="E152" s="1">
        <v>0.92044424117270052</v>
      </c>
    </row>
    <row r="153" spans="1:5" x14ac:dyDescent="0.3">
      <c r="A153" t="s">
        <v>7</v>
      </c>
      <c r="B153">
        <v>1963</v>
      </c>
      <c r="C153" s="1">
        <v>0.8024480695192675</v>
      </c>
      <c r="D153" s="1">
        <v>0.92272499999999946</v>
      </c>
      <c r="E153" s="1">
        <v>0.74044509243832457</v>
      </c>
    </row>
    <row r="154" spans="1:5" x14ac:dyDescent="0.3">
      <c r="A154" t="s">
        <v>7</v>
      </c>
      <c r="B154">
        <v>1962</v>
      </c>
      <c r="C154" s="1">
        <v>0.87639483120509354</v>
      </c>
      <c r="D154" s="1">
        <v>1.2609900000000016</v>
      </c>
      <c r="E154" s="1">
        <v>1.0829877037716635</v>
      </c>
    </row>
    <row r="155" spans="1:5" x14ac:dyDescent="0.3">
      <c r="A155" t="s">
        <v>7</v>
      </c>
      <c r="B155">
        <v>1961</v>
      </c>
      <c r="C155" s="1">
        <v>0.85696480679906406</v>
      </c>
      <c r="D155" s="1">
        <v>1.0148850000000065</v>
      </c>
      <c r="E155" s="1">
        <v>0.82722903320337893</v>
      </c>
    </row>
    <row r="156" spans="1:5" x14ac:dyDescent="0.3">
      <c r="A156" t="s">
        <v>7</v>
      </c>
      <c r="B156">
        <v>1960</v>
      </c>
      <c r="C156" s="1">
        <v>0.87818432729039797</v>
      </c>
      <c r="D156" s="1">
        <v>1.076534999999998</v>
      </c>
      <c r="E156" s="1">
        <v>0.95334160835686299</v>
      </c>
    </row>
    <row r="157" spans="1:5" x14ac:dyDescent="0.3">
      <c r="A157" t="s">
        <v>7</v>
      </c>
      <c r="B157">
        <v>1959</v>
      </c>
      <c r="C157" s="1">
        <v>0.83051447578698556</v>
      </c>
      <c r="D157" s="1">
        <v>1.0765049999999949</v>
      </c>
      <c r="E157" s="1">
        <v>0.89594717190260709</v>
      </c>
    </row>
    <row r="158" spans="1:5" x14ac:dyDescent="0.3">
      <c r="A158" t="s">
        <v>7</v>
      </c>
      <c r="B158">
        <v>1958</v>
      </c>
      <c r="C158" s="1">
        <v>0.82713494560797596</v>
      </c>
      <c r="D158" s="1">
        <v>1.1995050000000251</v>
      </c>
      <c r="E158" s="1">
        <v>1.0030632955463417</v>
      </c>
    </row>
    <row r="159" spans="1:5" x14ac:dyDescent="0.3">
      <c r="A159" t="s">
        <v>7</v>
      </c>
      <c r="B159">
        <v>1957</v>
      </c>
      <c r="C159" s="1">
        <v>0.93055799392945304</v>
      </c>
      <c r="D159" s="1">
        <v>1.0149450000000355</v>
      </c>
      <c r="E159" s="1">
        <v>0.94335693641429252</v>
      </c>
    </row>
    <row r="160" spans="1:5" x14ac:dyDescent="0.3">
      <c r="A160" t="s">
        <v>7</v>
      </c>
      <c r="B160">
        <v>1956</v>
      </c>
      <c r="C160" s="1">
        <v>0.94231787195316952</v>
      </c>
      <c r="D160" s="1">
        <v>1.0456950000000407</v>
      </c>
      <c r="E160" s="1">
        <v>0.94956674757300008</v>
      </c>
    </row>
    <row r="161" spans="1:5" x14ac:dyDescent="0.3">
      <c r="A161" t="s">
        <v>7</v>
      </c>
      <c r="B161">
        <v>1955</v>
      </c>
      <c r="C161" s="1">
        <v>0.81887658359144044</v>
      </c>
      <c r="D161" s="1">
        <v>1.076490000000043</v>
      </c>
      <c r="E161" s="1">
        <v>0.87905523531148355</v>
      </c>
    </row>
    <row r="162" spans="1:5" x14ac:dyDescent="0.3">
      <c r="A162" t="s">
        <v>7</v>
      </c>
      <c r="B162">
        <v>1954</v>
      </c>
      <c r="C162" s="1">
        <v>0.95041860358075902</v>
      </c>
      <c r="D162" s="1">
        <v>0.95344500000004051</v>
      </c>
      <c r="E162" s="1">
        <v>0.89178757967435751</v>
      </c>
    </row>
    <row r="163" spans="1:5" x14ac:dyDescent="0.3">
      <c r="A163" t="s">
        <v>7</v>
      </c>
      <c r="B163">
        <v>1953</v>
      </c>
      <c r="C163" s="1">
        <v>0.92646798279494247</v>
      </c>
      <c r="D163" s="1">
        <v>1.0457100000000379</v>
      </c>
      <c r="E163" s="1">
        <v>0.96509394426612694</v>
      </c>
    </row>
    <row r="164" spans="1:5" x14ac:dyDescent="0.3">
      <c r="A164" t="s">
        <v>7</v>
      </c>
      <c r="B164">
        <v>1952</v>
      </c>
      <c r="C164" s="1">
        <v>1.0023448821946594</v>
      </c>
      <c r="D164" s="1">
        <v>1.1072100000000331</v>
      </c>
      <c r="E164" s="1">
        <v>1.1080557582746315</v>
      </c>
    </row>
    <row r="165" spans="1:5" x14ac:dyDescent="0.3">
      <c r="A165" t="s">
        <v>7</v>
      </c>
      <c r="B165">
        <v>1951</v>
      </c>
      <c r="C165" s="1">
        <v>0.82204353135087693</v>
      </c>
      <c r="D165" s="1">
        <v>1.322595000000055</v>
      </c>
      <c r="E165" s="1">
        <v>1.0884742738162716</v>
      </c>
    </row>
    <row r="166" spans="1:5" x14ac:dyDescent="0.3">
      <c r="A166" t="s">
        <v>7</v>
      </c>
      <c r="B166">
        <v>1950</v>
      </c>
      <c r="C166" s="1">
        <v>0.91056618775198794</v>
      </c>
      <c r="D166" s="1">
        <v>0.98421000000004299</v>
      </c>
      <c r="E166" s="1">
        <v>0.88868529272005303</v>
      </c>
    </row>
    <row r="167" spans="1:5" x14ac:dyDescent="0.3">
      <c r="A167" t="s">
        <v>7</v>
      </c>
      <c r="B167">
        <v>1949</v>
      </c>
      <c r="C167" s="1">
        <v>1.02005658930383</v>
      </c>
      <c r="D167" s="1">
        <v>1.138065000000049</v>
      </c>
      <c r="E167" s="1">
        <v>1.13712962908911</v>
      </c>
    </row>
    <row r="168" spans="1:5" x14ac:dyDescent="0.3">
      <c r="A168" t="s">
        <v>7</v>
      </c>
      <c r="B168">
        <v>1948</v>
      </c>
      <c r="C168" s="1">
        <v>0.87307897545355351</v>
      </c>
      <c r="D168" s="1">
        <v>1.1996250000000641</v>
      </c>
      <c r="E168" s="1">
        <v>0.94858992613804649</v>
      </c>
    </row>
    <row r="169" spans="1:5" x14ac:dyDescent="0.3">
      <c r="A169" t="s">
        <v>7</v>
      </c>
      <c r="B169">
        <v>1947</v>
      </c>
      <c r="C169" s="1">
        <v>0.92764805764993097</v>
      </c>
      <c r="D169" s="1">
        <v>1.5070950000000551</v>
      </c>
      <c r="E169" s="1">
        <v>1.4112743672758299</v>
      </c>
    </row>
    <row r="170" spans="1:5" x14ac:dyDescent="0.3">
      <c r="A170" t="s">
        <v>7</v>
      </c>
      <c r="B170">
        <v>1946</v>
      </c>
      <c r="C170" s="1">
        <v>0.88869477977974698</v>
      </c>
      <c r="D170" s="1">
        <v>1.1380350000000501</v>
      </c>
      <c r="E170" s="1">
        <v>1.0057531913583599</v>
      </c>
    </row>
    <row r="171" spans="1:5" x14ac:dyDescent="0.3">
      <c r="A171" t="s">
        <v>7</v>
      </c>
      <c r="B171">
        <v>1945</v>
      </c>
      <c r="C171" s="1">
        <v>1.1279307305988699</v>
      </c>
      <c r="D171" s="1">
        <v>1.0764750000000405</v>
      </c>
      <c r="E171" s="1">
        <v>1.2632019718098511</v>
      </c>
    </row>
    <row r="172" spans="1:5" x14ac:dyDescent="0.3">
      <c r="A172" t="s">
        <v>7</v>
      </c>
      <c r="B172">
        <v>1944</v>
      </c>
      <c r="C172" s="1">
        <v>0.43646169388040151</v>
      </c>
      <c r="D172" s="1">
        <v>0.73836000000005497</v>
      </c>
      <c r="E172" s="1">
        <v>0.64453171258711495</v>
      </c>
    </row>
    <row r="173" spans="1:5" x14ac:dyDescent="0.3">
      <c r="A173" t="s">
        <v>7</v>
      </c>
      <c r="B173">
        <v>1943</v>
      </c>
      <c r="C173" s="1">
        <v>0.38321721150490451</v>
      </c>
      <c r="D173" s="1">
        <v>0.55377000000003995</v>
      </c>
      <c r="E173" s="1">
        <v>0.4244283904301745</v>
      </c>
    </row>
    <row r="174" spans="1:5" x14ac:dyDescent="0.3">
      <c r="A174" t="s">
        <v>7</v>
      </c>
      <c r="B174">
        <v>1942</v>
      </c>
      <c r="C174" s="1">
        <v>0.47993298649607952</v>
      </c>
      <c r="D174" s="1">
        <v>0.4614750000000355</v>
      </c>
      <c r="E174" s="1">
        <v>0.44295414988659049</v>
      </c>
    </row>
    <row r="175" spans="1:5" x14ac:dyDescent="0.3">
      <c r="A175" t="s">
        <v>8</v>
      </c>
      <c r="B175">
        <v>2015</v>
      </c>
      <c r="C175" s="1">
        <v>0.55092273486715593</v>
      </c>
      <c r="D175" s="1">
        <v>1.007299999999995</v>
      </c>
      <c r="E175" s="1">
        <v>0.55578430815134294</v>
      </c>
    </row>
    <row r="176" spans="1:5" x14ac:dyDescent="0.3">
      <c r="A176" t="s">
        <v>8</v>
      </c>
      <c r="B176">
        <v>2014</v>
      </c>
      <c r="C176" s="1">
        <v>0.67307180372249897</v>
      </c>
      <c r="D176" s="1">
        <v>1.0793499999999949</v>
      </c>
      <c r="E176" s="1">
        <v>0.72330960991332649</v>
      </c>
    </row>
    <row r="177" spans="1:5" x14ac:dyDescent="0.3">
      <c r="A177" t="s">
        <v>8</v>
      </c>
      <c r="B177">
        <v>2013</v>
      </c>
      <c r="C177" s="1">
        <v>0.67628116457221099</v>
      </c>
      <c r="D177" s="1">
        <v>1.1512</v>
      </c>
      <c r="E177" s="1">
        <v>0.77853487665552956</v>
      </c>
    </row>
    <row r="178" spans="1:5" x14ac:dyDescent="0.3">
      <c r="A178" t="s">
        <v>8</v>
      </c>
      <c r="B178">
        <v>2012</v>
      </c>
      <c r="C178" s="1">
        <v>0.809107020650636</v>
      </c>
      <c r="D178" s="1">
        <v>0.86345000000000005</v>
      </c>
      <c r="E178" s="1">
        <v>0.69954575564734345</v>
      </c>
    </row>
    <row r="179" spans="1:5" x14ac:dyDescent="0.3">
      <c r="A179" t="s">
        <v>8</v>
      </c>
      <c r="B179">
        <v>2011</v>
      </c>
      <c r="C179" s="1">
        <v>0.87060684864552651</v>
      </c>
      <c r="D179" s="1">
        <v>1.0793499999999949</v>
      </c>
      <c r="E179" s="1">
        <v>0.94460146260668654</v>
      </c>
    </row>
    <row r="180" spans="1:5" x14ac:dyDescent="0.3">
      <c r="A180" t="s">
        <v>8</v>
      </c>
      <c r="B180">
        <v>2010</v>
      </c>
      <c r="C180" s="1">
        <v>0.90540729758952043</v>
      </c>
      <c r="D180" s="1">
        <v>0.93534999999999946</v>
      </c>
      <c r="E180" s="1">
        <v>0.85636773091716489</v>
      </c>
    </row>
    <row r="181" spans="1:5" x14ac:dyDescent="0.3">
      <c r="A181" t="s">
        <v>8</v>
      </c>
      <c r="B181">
        <v>2009</v>
      </c>
      <c r="C181" s="1">
        <v>0.77464380319253401</v>
      </c>
      <c r="D181" s="1">
        <v>1.0553499999999949</v>
      </c>
      <c r="E181" s="1">
        <v>0.80538955811903201</v>
      </c>
    </row>
    <row r="182" spans="1:5" x14ac:dyDescent="0.3">
      <c r="A182" t="s">
        <v>8</v>
      </c>
      <c r="B182">
        <v>2008</v>
      </c>
      <c r="C182" s="1">
        <v>0.67075041793012158</v>
      </c>
      <c r="D182" s="1">
        <v>1.24715</v>
      </c>
      <c r="E182" s="1">
        <v>0.83652275649692498</v>
      </c>
    </row>
    <row r="183" spans="1:5" x14ac:dyDescent="0.3">
      <c r="A183" t="s">
        <v>8</v>
      </c>
      <c r="B183">
        <v>2007</v>
      </c>
      <c r="C183" s="1">
        <v>0.60497941569637703</v>
      </c>
      <c r="D183" s="1">
        <v>1.2234999999999951</v>
      </c>
      <c r="E183" s="1">
        <v>0.74041516758199855</v>
      </c>
    </row>
    <row r="184" spans="1:5" x14ac:dyDescent="0.3">
      <c r="A184" t="s">
        <v>8</v>
      </c>
      <c r="B184">
        <v>2006</v>
      </c>
      <c r="C184" s="1">
        <v>0.48859725946259602</v>
      </c>
      <c r="D184" s="1">
        <v>0.98364999999999847</v>
      </c>
      <c r="E184" s="1">
        <v>0.48299471851737652</v>
      </c>
    </row>
    <row r="185" spans="1:5" x14ac:dyDescent="0.3">
      <c r="A185" t="s">
        <v>8</v>
      </c>
      <c r="B185">
        <v>2005</v>
      </c>
      <c r="C185" s="1">
        <v>0.77498582377600245</v>
      </c>
      <c r="D185" s="1">
        <v>1.031649999999994</v>
      </c>
      <c r="E185" s="1">
        <v>0.80151611265931844</v>
      </c>
    </row>
    <row r="186" spans="1:5" x14ac:dyDescent="0.3">
      <c r="A186" t="s">
        <v>8</v>
      </c>
      <c r="B186">
        <v>2004</v>
      </c>
      <c r="C186" s="1">
        <v>0.67179980604053147</v>
      </c>
      <c r="D186" s="1">
        <v>1.1995999999999851</v>
      </c>
      <c r="E186" s="1">
        <v>0.8081235680811315</v>
      </c>
    </row>
    <row r="187" spans="1:5" x14ac:dyDescent="0.3">
      <c r="A187" t="s">
        <v>8</v>
      </c>
      <c r="B187">
        <v>2003</v>
      </c>
      <c r="C187" s="1">
        <v>0.62408200629994148</v>
      </c>
      <c r="D187" s="1">
        <v>1.10364999999998</v>
      </c>
      <c r="E187" s="1">
        <v>0.68922630064325152</v>
      </c>
    </row>
    <row r="188" spans="1:5" x14ac:dyDescent="0.3">
      <c r="A188" t="s">
        <v>8</v>
      </c>
      <c r="B188">
        <v>2002</v>
      </c>
      <c r="C188" s="1">
        <v>0.62944864069531747</v>
      </c>
      <c r="D188" s="1">
        <v>1.2235499999999799</v>
      </c>
      <c r="E188" s="1">
        <v>0.76736130580185946</v>
      </c>
    </row>
    <row r="189" spans="1:5" x14ac:dyDescent="0.3">
      <c r="A189" t="s">
        <v>8</v>
      </c>
      <c r="B189">
        <v>2001</v>
      </c>
      <c r="C189" s="1">
        <v>0.66208127411655149</v>
      </c>
      <c r="D189" s="1">
        <v>1.2475999999999801</v>
      </c>
      <c r="E189" s="1">
        <v>0.82604624462525256</v>
      </c>
    </row>
    <row r="190" spans="1:5" x14ac:dyDescent="0.3">
      <c r="A190" t="s">
        <v>8</v>
      </c>
      <c r="B190">
        <v>2000</v>
      </c>
      <c r="C190" s="1">
        <v>0.58191803470779202</v>
      </c>
      <c r="D190" s="1">
        <v>1.05564999999998</v>
      </c>
      <c r="E190" s="1">
        <v>0.61431930760023246</v>
      </c>
    </row>
    <row r="191" spans="1:5" x14ac:dyDescent="0.3">
      <c r="A191" t="s">
        <v>8</v>
      </c>
      <c r="B191">
        <v>1999</v>
      </c>
      <c r="C191" s="1">
        <v>0.59182001676967699</v>
      </c>
      <c r="D191" s="1">
        <v>1.2475999999999852</v>
      </c>
      <c r="E191" s="1">
        <v>0.73840022505584857</v>
      </c>
    </row>
    <row r="192" spans="1:5" x14ac:dyDescent="0.3">
      <c r="A192" t="s">
        <v>8</v>
      </c>
      <c r="B192">
        <v>1998</v>
      </c>
      <c r="C192" s="1">
        <v>0.62264124975905699</v>
      </c>
      <c r="D192" s="1">
        <v>1.5114499999999851</v>
      </c>
      <c r="E192" s="1">
        <v>0.93414783471007201</v>
      </c>
    </row>
    <row r="193" spans="1:5" x14ac:dyDescent="0.3">
      <c r="A193" t="s">
        <v>8</v>
      </c>
      <c r="B193">
        <v>1997</v>
      </c>
      <c r="C193" s="1">
        <v>0.6297798169953126</v>
      </c>
      <c r="D193" s="1">
        <v>1.1516499999999801</v>
      </c>
      <c r="E193" s="1">
        <v>0.73018904651899952</v>
      </c>
    </row>
    <row r="194" spans="1:5" x14ac:dyDescent="0.3">
      <c r="A194" t="s">
        <v>8</v>
      </c>
      <c r="B194">
        <v>1996</v>
      </c>
      <c r="C194" s="1">
        <v>0.68074515915435696</v>
      </c>
      <c r="D194" s="1">
        <v>1.27154999999998</v>
      </c>
      <c r="E194" s="1">
        <v>0.8656907814370175</v>
      </c>
    </row>
    <row r="195" spans="1:5" x14ac:dyDescent="0.3">
      <c r="A195" t="s">
        <v>8</v>
      </c>
      <c r="B195">
        <v>1995</v>
      </c>
      <c r="C195" s="1">
        <v>0.61356881812172093</v>
      </c>
      <c r="D195" s="1">
        <v>1.1515999999999802</v>
      </c>
      <c r="E195" s="1">
        <v>0.70554687038467601</v>
      </c>
    </row>
    <row r="196" spans="1:5" x14ac:dyDescent="0.3">
      <c r="A196" t="s">
        <v>8</v>
      </c>
      <c r="B196">
        <v>1994</v>
      </c>
      <c r="C196" s="1">
        <v>0.5790059539301724</v>
      </c>
      <c r="D196" s="1">
        <v>1.3675000000000099</v>
      </c>
      <c r="E196" s="1">
        <v>0.78970499944434391</v>
      </c>
    </row>
    <row r="197" spans="1:5" x14ac:dyDescent="0.3">
      <c r="A197" t="s">
        <v>8</v>
      </c>
      <c r="B197">
        <v>1993</v>
      </c>
      <c r="C197" s="1">
        <v>0.71038912335607451</v>
      </c>
      <c r="D197" s="1">
        <v>1.1516000000000202</v>
      </c>
      <c r="E197" s="1">
        <v>0.818108803189182</v>
      </c>
    </row>
    <row r="198" spans="1:5" x14ac:dyDescent="0.3">
      <c r="A198" t="s">
        <v>8</v>
      </c>
      <c r="B198">
        <v>1992</v>
      </c>
      <c r="C198" s="1">
        <v>0.69814242801965298</v>
      </c>
      <c r="D198" s="1">
        <v>0.93570000000001596</v>
      </c>
      <c r="E198" s="1">
        <v>0.65183253069202296</v>
      </c>
    </row>
    <row r="199" spans="1:5" x14ac:dyDescent="0.3">
      <c r="A199" t="s">
        <v>8</v>
      </c>
      <c r="B199">
        <v>1991</v>
      </c>
      <c r="C199" s="1">
        <v>0.68998108676548453</v>
      </c>
      <c r="D199" s="1">
        <v>1.1249000000000051</v>
      </c>
      <c r="E199" s="1">
        <v>0.76469655257122049</v>
      </c>
    </row>
    <row r="200" spans="1:5" x14ac:dyDescent="0.3">
      <c r="A200" t="s">
        <v>8</v>
      </c>
      <c r="B200">
        <v>1990</v>
      </c>
      <c r="C200" s="1">
        <v>0.65728694018439149</v>
      </c>
      <c r="D200" s="1">
        <v>1.0829999999999949</v>
      </c>
      <c r="E200" s="1">
        <v>0.66078142819388308</v>
      </c>
    </row>
    <row r="201" spans="1:5" x14ac:dyDescent="0.3">
      <c r="A201" t="s">
        <v>8</v>
      </c>
      <c r="B201">
        <v>1989</v>
      </c>
      <c r="C201" s="1">
        <v>0.62174227164332896</v>
      </c>
      <c r="D201" s="1">
        <v>0.71699999999999797</v>
      </c>
      <c r="E201" s="1">
        <v>0.440649021266239</v>
      </c>
    </row>
    <row r="202" spans="1:5" x14ac:dyDescent="0.3">
      <c r="A202" t="s">
        <v>8</v>
      </c>
      <c r="B202">
        <v>1988</v>
      </c>
      <c r="C202" s="1">
        <v>0.51049214055319347</v>
      </c>
      <c r="D202" s="1">
        <v>0.94499999999999851</v>
      </c>
      <c r="E202" s="1">
        <v>0.48306854538340999</v>
      </c>
    </row>
    <row r="203" spans="1:5" x14ac:dyDescent="0.3">
      <c r="A203" t="s">
        <v>8</v>
      </c>
      <c r="B203">
        <v>1987</v>
      </c>
      <c r="C203" s="1">
        <v>0.68545547086529557</v>
      </c>
      <c r="D203" s="1">
        <v>0.91200000000001202</v>
      </c>
      <c r="E203" s="1">
        <v>0.62045932616206545</v>
      </c>
    </row>
    <row r="204" spans="1:5" x14ac:dyDescent="0.3">
      <c r="A204" t="s">
        <v>8</v>
      </c>
      <c r="B204">
        <v>1986</v>
      </c>
      <c r="C204" s="1">
        <v>0.71832182122205257</v>
      </c>
      <c r="D204" s="1">
        <v>0.992999999999995</v>
      </c>
      <c r="E204" s="1">
        <v>0.71236734872195795</v>
      </c>
    </row>
    <row r="205" spans="1:5" x14ac:dyDescent="0.3">
      <c r="A205" t="s">
        <v>8</v>
      </c>
      <c r="B205">
        <v>1985</v>
      </c>
      <c r="C205" s="1">
        <v>0.73389859223759546</v>
      </c>
      <c r="D205" s="1">
        <v>1.0020000000000087</v>
      </c>
      <c r="E205" s="1">
        <v>0.73179807857042256</v>
      </c>
    </row>
    <row r="206" spans="1:5" x14ac:dyDescent="0.3">
      <c r="A206" t="s">
        <v>8</v>
      </c>
      <c r="B206">
        <v>1984</v>
      </c>
      <c r="C206" s="1">
        <v>0.58883310027187341</v>
      </c>
      <c r="D206" s="1">
        <v>0.85800000000000354</v>
      </c>
      <c r="E206" s="1">
        <v>0.50421557734782052</v>
      </c>
    </row>
    <row r="207" spans="1:5" x14ac:dyDescent="0.3">
      <c r="A207" t="s">
        <v>8</v>
      </c>
      <c r="B207">
        <v>1983</v>
      </c>
      <c r="C207" s="1">
        <v>0.53639697017454846</v>
      </c>
      <c r="D207" s="1">
        <v>0.90300000000000158</v>
      </c>
      <c r="E207" s="1">
        <v>0.47864794142283296</v>
      </c>
    </row>
    <row r="208" spans="1:5" x14ac:dyDescent="0.3">
      <c r="A208" t="s">
        <v>8</v>
      </c>
      <c r="B208">
        <v>1982</v>
      </c>
      <c r="C208" s="1">
        <v>0.60391413350450596</v>
      </c>
      <c r="D208" s="1">
        <v>0.86100000000000754</v>
      </c>
      <c r="E208" s="1">
        <v>0.52426908656041205</v>
      </c>
    </row>
    <row r="209" spans="1:5" x14ac:dyDescent="0.3">
      <c r="A209" t="s">
        <v>8</v>
      </c>
      <c r="B209">
        <v>1981</v>
      </c>
      <c r="C209" s="1">
        <v>0.69127592996796294</v>
      </c>
      <c r="D209" s="1">
        <v>0.92399999999999949</v>
      </c>
      <c r="E209" s="1">
        <v>0.63823957398257347</v>
      </c>
    </row>
    <row r="210" spans="1:5" x14ac:dyDescent="0.3">
      <c r="A210" t="s">
        <v>8</v>
      </c>
      <c r="B210">
        <v>1980</v>
      </c>
      <c r="C210" s="1">
        <v>0.88712617302587993</v>
      </c>
      <c r="D210" s="1">
        <v>0.8160000000000055</v>
      </c>
      <c r="E210" s="1">
        <v>0.72917182465289199</v>
      </c>
    </row>
    <row r="211" spans="1:5" x14ac:dyDescent="0.3">
      <c r="A211" t="s">
        <v>8</v>
      </c>
      <c r="B211">
        <v>1979</v>
      </c>
      <c r="C211" s="1">
        <v>0.92032473025161843</v>
      </c>
      <c r="D211" s="1">
        <v>0.7650000000000039</v>
      </c>
      <c r="E211" s="1">
        <v>0.70195654201039903</v>
      </c>
    </row>
    <row r="212" spans="1:5" x14ac:dyDescent="0.3">
      <c r="A212" t="s">
        <v>8</v>
      </c>
      <c r="B212">
        <v>1978</v>
      </c>
      <c r="C212" s="1">
        <v>0.80203589951298748</v>
      </c>
      <c r="D212" s="1">
        <v>0.88200000000000456</v>
      </c>
      <c r="E212" s="1">
        <v>0.70774664251243702</v>
      </c>
    </row>
    <row r="213" spans="1:5" x14ac:dyDescent="0.3">
      <c r="A213" t="s">
        <v>8</v>
      </c>
      <c r="B213">
        <v>1977</v>
      </c>
      <c r="C213" s="1">
        <v>0.89411392454039507</v>
      </c>
      <c r="D213" s="1">
        <v>0.92700000000000249</v>
      </c>
      <c r="E213" s="1">
        <v>0.82810226144933341</v>
      </c>
    </row>
    <row r="214" spans="1:5" x14ac:dyDescent="0.3">
      <c r="A214" t="s">
        <v>8</v>
      </c>
      <c r="B214">
        <v>1976</v>
      </c>
      <c r="C214" s="1">
        <v>0.86181043568200644</v>
      </c>
      <c r="D214" s="1">
        <v>0.74400000000000643</v>
      </c>
      <c r="E214" s="1">
        <v>0.64178347627944654</v>
      </c>
    </row>
    <row r="215" spans="1:5" x14ac:dyDescent="0.3">
      <c r="A215" t="s">
        <v>8</v>
      </c>
      <c r="B215">
        <v>1975</v>
      </c>
      <c r="C215" s="1">
        <v>0.77946613539924348</v>
      </c>
      <c r="D215" s="1">
        <v>0.90600000000000547</v>
      </c>
      <c r="E215" s="1">
        <v>0.70611802989101702</v>
      </c>
    </row>
    <row r="216" spans="1:5" x14ac:dyDescent="0.3">
      <c r="A216" t="s">
        <v>8</v>
      </c>
      <c r="B216">
        <v>1974</v>
      </c>
      <c r="C216" s="1">
        <v>0.79992887183075845</v>
      </c>
      <c r="D216" s="1">
        <v>0.72000000000000197</v>
      </c>
      <c r="E216" s="1">
        <v>0.57594878771814795</v>
      </c>
    </row>
    <row r="217" spans="1:5" x14ac:dyDescent="0.3">
      <c r="A217" t="s">
        <v>8</v>
      </c>
      <c r="B217">
        <v>1973</v>
      </c>
      <c r="C217" s="1">
        <v>0.83321727094913001</v>
      </c>
      <c r="D217" s="1">
        <v>0.81000000000000205</v>
      </c>
      <c r="E217" s="1">
        <v>0.68322541021578509</v>
      </c>
    </row>
    <row r="218" spans="1:5" x14ac:dyDescent="0.3">
      <c r="A218" t="s">
        <v>8</v>
      </c>
      <c r="B218">
        <v>1972</v>
      </c>
      <c r="C218" s="1">
        <v>0.55262155885577147</v>
      </c>
      <c r="D218" s="1">
        <v>0.97500000000000808</v>
      </c>
      <c r="E218" s="1">
        <v>0.53995620514141995</v>
      </c>
    </row>
    <row r="219" spans="1:5" x14ac:dyDescent="0.3">
      <c r="A219" t="s">
        <v>8</v>
      </c>
      <c r="B219">
        <v>1971</v>
      </c>
      <c r="C219" s="1">
        <v>0.57263923800997252</v>
      </c>
      <c r="D219" s="1">
        <v>1.019999999999998</v>
      </c>
      <c r="E219" s="1">
        <v>0.57719181077187454</v>
      </c>
    </row>
    <row r="220" spans="1:5" x14ac:dyDescent="0.3">
      <c r="A220" t="s">
        <v>8</v>
      </c>
      <c r="B220">
        <v>1970</v>
      </c>
      <c r="C220" s="1">
        <v>0.64771215539836802</v>
      </c>
      <c r="D220" s="1">
        <v>0.8130000000000055</v>
      </c>
      <c r="E220" s="1">
        <v>0.52695109761046754</v>
      </c>
    </row>
    <row r="221" spans="1:5" x14ac:dyDescent="0.3">
      <c r="A221" t="s">
        <v>8</v>
      </c>
      <c r="B221">
        <v>1969</v>
      </c>
      <c r="C221" s="1">
        <v>0.58033996003827704</v>
      </c>
      <c r="D221" s="1">
        <v>0.86700000000001054</v>
      </c>
      <c r="E221" s="1">
        <v>0.52147777214107649</v>
      </c>
    </row>
    <row r="222" spans="1:5" x14ac:dyDescent="0.3">
      <c r="A222" t="s">
        <v>8</v>
      </c>
      <c r="B222">
        <v>1968</v>
      </c>
      <c r="C222" s="1">
        <v>0.61396866278641848</v>
      </c>
      <c r="D222" s="1">
        <v>0.57900000000000396</v>
      </c>
      <c r="E222" s="1">
        <v>0.34874469256071999</v>
      </c>
    </row>
    <row r="223" spans="1:5" x14ac:dyDescent="0.3">
      <c r="A223" t="s">
        <v>8</v>
      </c>
      <c r="B223">
        <v>1967</v>
      </c>
      <c r="C223" s="1">
        <v>0.45912835446071854</v>
      </c>
      <c r="D223" s="1">
        <v>1.1670000000000116</v>
      </c>
      <c r="E223" s="1">
        <v>0.54771372600075752</v>
      </c>
    </row>
    <row r="224" spans="1:5" x14ac:dyDescent="0.3">
      <c r="A224" t="s">
        <v>8</v>
      </c>
      <c r="B224">
        <v>1966</v>
      </c>
      <c r="C224" s="1">
        <v>0.447856274426292</v>
      </c>
      <c r="D224" s="1">
        <v>1.3560000000000052</v>
      </c>
      <c r="E224" s="1">
        <v>0.6012389464210115</v>
      </c>
    </row>
    <row r="225" spans="1:5" x14ac:dyDescent="0.3">
      <c r="A225" t="s">
        <v>8</v>
      </c>
      <c r="B225">
        <v>1965</v>
      </c>
      <c r="C225" s="1">
        <v>0.28732971629627402</v>
      </c>
      <c r="D225" s="1">
        <v>1.154999999999998</v>
      </c>
      <c r="E225" s="1">
        <v>0.33617547867745901</v>
      </c>
    </row>
    <row r="226" spans="1:5" x14ac:dyDescent="0.3">
      <c r="A226" t="s">
        <v>8</v>
      </c>
      <c r="B226">
        <v>1964</v>
      </c>
      <c r="C226" s="1">
        <v>0.42462763952169003</v>
      </c>
      <c r="D226" s="1">
        <v>1.350000000000005</v>
      </c>
      <c r="E226" s="1">
        <v>0.57491635392773754</v>
      </c>
    </row>
    <row r="227" spans="1:5" x14ac:dyDescent="0.3">
      <c r="A227" t="s">
        <v>8</v>
      </c>
      <c r="B227">
        <v>1963</v>
      </c>
      <c r="C227" s="1">
        <v>0.58128447895073343</v>
      </c>
      <c r="D227" s="1">
        <v>0.85800000000000354</v>
      </c>
      <c r="E227" s="1">
        <v>0.49876810651999648</v>
      </c>
    </row>
    <row r="228" spans="1:5" x14ac:dyDescent="0.3">
      <c r="A228" t="s">
        <v>8</v>
      </c>
      <c r="B228">
        <v>1962</v>
      </c>
      <c r="C228" s="1">
        <v>0.58304660010541798</v>
      </c>
      <c r="D228" s="1">
        <v>1.2870000000000166</v>
      </c>
      <c r="E228" s="1">
        <v>0.74898262974618945</v>
      </c>
    </row>
    <row r="229" spans="1:5" x14ac:dyDescent="0.3">
      <c r="A229" t="s">
        <v>8</v>
      </c>
      <c r="B229">
        <v>1961</v>
      </c>
      <c r="C229" s="1">
        <v>0.49768497312457999</v>
      </c>
      <c r="D229" s="1">
        <v>0.6960000000000045</v>
      </c>
      <c r="E229" s="1">
        <v>0.34430409942124496</v>
      </c>
    </row>
    <row r="230" spans="1:5" x14ac:dyDescent="0.3">
      <c r="A230" t="s">
        <v>8</v>
      </c>
      <c r="B230">
        <v>1960</v>
      </c>
      <c r="C230" s="1">
        <v>0.64755183203730249</v>
      </c>
      <c r="D230" s="1">
        <v>1.0649999999999979</v>
      </c>
      <c r="E230" s="1">
        <v>0.68880326515861445</v>
      </c>
    </row>
    <row r="231" spans="1:5" x14ac:dyDescent="0.3">
      <c r="A231" t="s">
        <v>8</v>
      </c>
      <c r="B231">
        <v>1959</v>
      </c>
      <c r="C231" s="1">
        <v>0.74086828917319503</v>
      </c>
      <c r="D231" s="1">
        <v>1.044</v>
      </c>
      <c r="E231" s="1">
        <v>0.77534841708585955</v>
      </c>
    </row>
    <row r="232" spans="1:5" x14ac:dyDescent="0.3">
      <c r="A232" t="s">
        <v>8</v>
      </c>
      <c r="B232">
        <v>1958</v>
      </c>
      <c r="C232" s="1">
        <v>0.7627887519993124</v>
      </c>
      <c r="D232" s="1">
        <v>0.88200000000000456</v>
      </c>
      <c r="E232" s="1">
        <v>0.67441408439076556</v>
      </c>
    </row>
    <row r="233" spans="1:5" x14ac:dyDescent="0.3">
      <c r="A233" t="s">
        <v>8</v>
      </c>
      <c r="B233">
        <v>1957</v>
      </c>
      <c r="C233" s="1">
        <v>0.78660934620688594</v>
      </c>
      <c r="D233" s="1">
        <v>1.1190000000000064</v>
      </c>
      <c r="E233" s="1">
        <v>0.86939911452271001</v>
      </c>
    </row>
    <row r="234" spans="1:5" x14ac:dyDescent="0.3">
      <c r="A234" t="s">
        <v>8</v>
      </c>
      <c r="B234">
        <v>1956</v>
      </c>
      <c r="C234" s="1">
        <v>0.81762801364802951</v>
      </c>
      <c r="D234" s="1">
        <v>1.09500000000001</v>
      </c>
      <c r="E234" s="1">
        <v>0.88587040391522143</v>
      </c>
    </row>
    <row r="235" spans="1:5" x14ac:dyDescent="0.3">
      <c r="A235" t="s">
        <v>8</v>
      </c>
      <c r="B235">
        <v>1955</v>
      </c>
      <c r="C235" s="1">
        <v>0.796688047351926</v>
      </c>
      <c r="D235" s="1">
        <v>0.94799999999999507</v>
      </c>
      <c r="E235" s="1">
        <v>0.75483683583267402</v>
      </c>
    </row>
    <row r="236" spans="1:5" x14ac:dyDescent="0.3">
      <c r="A236" t="s">
        <v>8</v>
      </c>
      <c r="B236">
        <v>1954</v>
      </c>
      <c r="C236" s="1">
        <v>0.78163468941577552</v>
      </c>
      <c r="D236" s="1">
        <v>1.140000000000005</v>
      </c>
      <c r="E236" s="1">
        <v>0.88993323757769349</v>
      </c>
    </row>
    <row r="237" spans="1:5" x14ac:dyDescent="0.3">
      <c r="A237" t="s">
        <v>8</v>
      </c>
      <c r="B237">
        <v>1953</v>
      </c>
      <c r="C237" s="1">
        <v>0.68603933848691545</v>
      </c>
      <c r="D237" s="1">
        <v>0.85800000000000354</v>
      </c>
      <c r="E237" s="1">
        <v>0.59051256767155003</v>
      </c>
    </row>
    <row r="238" spans="1:5" x14ac:dyDescent="0.3">
      <c r="A238" t="s">
        <v>8</v>
      </c>
      <c r="B238">
        <v>1952</v>
      </c>
      <c r="C238" s="1">
        <v>0.7036577395725585</v>
      </c>
      <c r="D238" s="1">
        <v>1.3679999999999999</v>
      </c>
      <c r="E238" s="1">
        <v>0.96740195236179849</v>
      </c>
    </row>
    <row r="239" spans="1:5" x14ac:dyDescent="0.3">
      <c r="A239" t="s">
        <v>8</v>
      </c>
      <c r="B239">
        <v>1951</v>
      </c>
      <c r="C239" s="1">
        <v>0.50796733122408699</v>
      </c>
      <c r="D239" s="1">
        <v>1.2959999999999949</v>
      </c>
      <c r="E239" s="1">
        <v>0.6533703611653775</v>
      </c>
    </row>
    <row r="240" spans="1:5" x14ac:dyDescent="0.3">
      <c r="A240" t="s">
        <v>8</v>
      </c>
      <c r="B240">
        <v>1950</v>
      </c>
      <c r="C240" s="1">
        <v>0.27110053822968899</v>
      </c>
      <c r="D240" s="1">
        <v>0.94499999999997497</v>
      </c>
      <c r="E240" s="1">
        <v>0.51238001725409998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88D3B-0F43-4036-9633-F14E3B3F5CD1}">
  <dimension ref="A1:X75"/>
  <sheetViews>
    <sheetView workbookViewId="0">
      <selection activeCell="J13" sqref="J13"/>
    </sheetView>
  </sheetViews>
  <sheetFormatPr baseColWidth="10" defaultRowHeight="14.4" x14ac:dyDescent="0.3"/>
  <cols>
    <col min="21" max="21" width="6.6640625" customWidth="1"/>
  </cols>
  <sheetData>
    <row r="1" spans="1:24" x14ac:dyDescent="0.3">
      <c r="A1" t="s">
        <v>1</v>
      </c>
      <c r="B1" t="s">
        <v>2</v>
      </c>
      <c r="C1" t="s">
        <v>3</v>
      </c>
      <c r="D1" t="s">
        <v>0</v>
      </c>
      <c r="E1" t="s">
        <v>4</v>
      </c>
      <c r="F1" t="s">
        <v>1</v>
      </c>
      <c r="G1" t="s">
        <v>2</v>
      </c>
      <c r="H1" t="s">
        <v>3</v>
      </c>
      <c r="I1" t="s">
        <v>0</v>
      </c>
      <c r="J1" t="s">
        <v>4</v>
      </c>
      <c r="K1" t="s">
        <v>1</v>
      </c>
      <c r="L1" t="s">
        <v>2</v>
      </c>
      <c r="M1" t="s">
        <v>3</v>
      </c>
      <c r="N1" t="s">
        <v>0</v>
      </c>
      <c r="O1" t="s">
        <v>4</v>
      </c>
      <c r="P1" t="s">
        <v>1</v>
      </c>
      <c r="Q1" t="s">
        <v>2</v>
      </c>
      <c r="R1" t="s">
        <v>3</v>
      </c>
      <c r="S1" t="s">
        <v>0</v>
      </c>
      <c r="T1" t="s">
        <v>4</v>
      </c>
      <c r="U1" t="s">
        <v>2</v>
      </c>
      <c r="V1" t="s">
        <v>3</v>
      </c>
      <c r="W1" t="s">
        <v>0</v>
      </c>
      <c r="X1" t="s">
        <v>4</v>
      </c>
    </row>
    <row r="2" spans="1:24" x14ac:dyDescent="0.3">
      <c r="A2" t="s">
        <v>5</v>
      </c>
      <c r="B2">
        <v>2015</v>
      </c>
      <c r="C2" s="1">
        <v>0.66367558197985399</v>
      </c>
      <c r="D2" s="1">
        <v>1.5082</v>
      </c>
      <c r="E2" s="1">
        <v>1.00095551274201</v>
      </c>
      <c r="F2" t="s">
        <v>6</v>
      </c>
      <c r="G2">
        <v>2015</v>
      </c>
      <c r="H2" s="1">
        <v>0.62070002516273304</v>
      </c>
      <c r="I2" s="1">
        <v>0.86139999999999906</v>
      </c>
      <c r="J2" s="1">
        <v>0.534671001675178</v>
      </c>
      <c r="K2" t="s">
        <v>7</v>
      </c>
      <c r="L2">
        <v>2015</v>
      </c>
      <c r="M2" s="1">
        <v>1.022775822540976</v>
      </c>
      <c r="N2" s="1">
        <v>0.70758499999999991</v>
      </c>
      <c r="O2" s="1">
        <v>0.717568528944315</v>
      </c>
      <c r="P2" t="s">
        <v>8</v>
      </c>
      <c r="Q2">
        <v>2015</v>
      </c>
      <c r="R2" s="1">
        <v>0.55092273486715593</v>
      </c>
      <c r="S2" s="1">
        <v>1.007299999999995</v>
      </c>
      <c r="T2" s="1">
        <v>0.55578430815134294</v>
      </c>
      <c r="U2">
        <v>2015</v>
      </c>
      <c r="V2" s="1">
        <v>0.71451854113767976</v>
      </c>
      <c r="W2" s="1">
        <v>1.0211212499999984</v>
      </c>
      <c r="X2" s="1">
        <v>0.70224483787821157</v>
      </c>
    </row>
    <row r="3" spans="1:24" x14ac:dyDescent="0.3">
      <c r="A3" t="s">
        <v>5</v>
      </c>
      <c r="B3">
        <v>2014</v>
      </c>
      <c r="C3" s="1">
        <v>0.64346973635441895</v>
      </c>
      <c r="D3" s="1">
        <v>1.61479999999999</v>
      </c>
      <c r="E3" s="1">
        <v>1.0390749302651101</v>
      </c>
      <c r="F3" t="s">
        <v>6</v>
      </c>
      <c r="G3">
        <v>2014</v>
      </c>
      <c r="H3" s="1">
        <v>0.64222611521435602</v>
      </c>
      <c r="I3" s="1">
        <v>1.661349999999995</v>
      </c>
      <c r="J3" s="1">
        <v>1.07717245190401</v>
      </c>
      <c r="K3" t="s">
        <v>7</v>
      </c>
      <c r="L3">
        <v>2014</v>
      </c>
      <c r="M3" s="1">
        <v>0.72230319081108796</v>
      </c>
      <c r="N3" s="1">
        <v>1.0152800000000006</v>
      </c>
      <c r="O3" s="1">
        <v>0.77270752838577961</v>
      </c>
      <c r="P3" t="s">
        <v>8</v>
      </c>
      <c r="Q3">
        <v>2014</v>
      </c>
      <c r="R3" s="1">
        <v>0.67307180372249897</v>
      </c>
      <c r="S3" s="1">
        <v>1.0793499999999949</v>
      </c>
      <c r="T3" s="1">
        <v>0.72330960991332649</v>
      </c>
      <c r="U3">
        <v>2014</v>
      </c>
      <c r="V3" s="1">
        <v>0.6702677115255905</v>
      </c>
      <c r="W3" s="1">
        <v>1.3426949999999951</v>
      </c>
      <c r="X3" s="1">
        <v>0.9030661301170565</v>
      </c>
    </row>
    <row r="4" spans="1:24" x14ac:dyDescent="0.3">
      <c r="A4" t="s">
        <v>5</v>
      </c>
      <c r="B4">
        <v>2013</v>
      </c>
      <c r="C4" s="1">
        <v>0.613066530565894</v>
      </c>
      <c r="D4" s="1">
        <v>1.7519</v>
      </c>
      <c r="E4" s="1">
        <v>1.0740312548983899</v>
      </c>
      <c r="F4" t="s">
        <v>6</v>
      </c>
      <c r="G4">
        <v>2013</v>
      </c>
      <c r="H4" s="1">
        <v>0.57407598804878901</v>
      </c>
      <c r="I4" s="1">
        <v>1.2922</v>
      </c>
      <c r="J4" s="1">
        <v>0.73136273711781297</v>
      </c>
      <c r="K4" t="s">
        <v>7</v>
      </c>
      <c r="L4">
        <v>2013</v>
      </c>
      <c r="M4" s="1">
        <v>0.75686751358955995</v>
      </c>
      <c r="N4" s="1">
        <v>0.52299999999999791</v>
      </c>
      <c r="O4" s="1">
        <v>0.39708989262912597</v>
      </c>
      <c r="P4" t="s">
        <v>8</v>
      </c>
      <c r="Q4">
        <v>2013</v>
      </c>
      <c r="R4" s="1">
        <v>0.67628116457221099</v>
      </c>
      <c r="S4" s="1">
        <v>1.1512</v>
      </c>
      <c r="T4" s="1">
        <v>0.77853487665552956</v>
      </c>
      <c r="U4">
        <v>2013</v>
      </c>
      <c r="V4" s="1">
        <v>0.65507279919411343</v>
      </c>
      <c r="W4" s="1">
        <v>1.1795749999999996</v>
      </c>
      <c r="X4" s="1">
        <v>0.74525469032521463</v>
      </c>
    </row>
    <row r="5" spans="1:24" x14ac:dyDescent="0.3">
      <c r="A5" t="s">
        <v>5</v>
      </c>
      <c r="B5">
        <v>2012</v>
      </c>
      <c r="C5" s="1">
        <v>0.623243382194406</v>
      </c>
      <c r="D5" s="1">
        <v>1.8129</v>
      </c>
      <c r="E5" s="1">
        <v>1.12987792758023</v>
      </c>
      <c r="F5" t="s">
        <v>6</v>
      </c>
      <c r="G5">
        <v>2012</v>
      </c>
      <c r="H5" s="1">
        <v>0.52368544375187698</v>
      </c>
      <c r="I5" s="1">
        <v>1.0767999999999949</v>
      </c>
      <c r="J5" s="1">
        <v>0.58705830614692545</v>
      </c>
      <c r="K5" t="s">
        <v>7</v>
      </c>
      <c r="L5">
        <v>2012</v>
      </c>
      <c r="M5" s="1">
        <v>0.86020557051988344</v>
      </c>
      <c r="N5" s="1">
        <v>0.70759999999999845</v>
      </c>
      <c r="O5" s="1">
        <v>0.61553127595567347</v>
      </c>
      <c r="P5" t="s">
        <v>8</v>
      </c>
      <c r="Q5">
        <v>2012</v>
      </c>
      <c r="R5" s="1">
        <v>0.809107020650636</v>
      </c>
      <c r="S5" s="1">
        <v>0.86345000000000005</v>
      </c>
      <c r="T5" s="1">
        <v>0.69954575564734345</v>
      </c>
      <c r="U5">
        <v>2012</v>
      </c>
      <c r="V5" s="1">
        <v>0.70406035427920055</v>
      </c>
      <c r="W5" s="1">
        <v>1.1151874999999984</v>
      </c>
      <c r="X5" s="1">
        <v>0.75800331633254303</v>
      </c>
    </row>
    <row r="6" spans="1:24" x14ac:dyDescent="0.3">
      <c r="A6" t="s">
        <v>5</v>
      </c>
      <c r="B6">
        <v>2011</v>
      </c>
      <c r="C6" s="1">
        <v>0.49989232987623899</v>
      </c>
      <c r="D6" s="1">
        <v>1.4320999999999999</v>
      </c>
      <c r="E6" s="1">
        <v>0.71589580561576305</v>
      </c>
      <c r="F6" t="s">
        <v>6</v>
      </c>
      <c r="G6">
        <v>2011</v>
      </c>
      <c r="H6" s="1">
        <v>0.62126066559106952</v>
      </c>
      <c r="I6" s="1">
        <v>0.95369999999999489</v>
      </c>
      <c r="J6" s="1">
        <v>0.56870008160839347</v>
      </c>
      <c r="K6" t="s">
        <v>7</v>
      </c>
      <c r="L6">
        <v>2011</v>
      </c>
      <c r="M6" s="1">
        <v>1.1521029512584315</v>
      </c>
      <c r="N6" s="1">
        <v>0.73836999999999908</v>
      </c>
      <c r="O6" s="1">
        <v>0.88887820007034402</v>
      </c>
      <c r="P6" t="s">
        <v>8</v>
      </c>
      <c r="Q6">
        <v>2011</v>
      </c>
      <c r="R6" s="1">
        <v>0.87060684864552651</v>
      </c>
      <c r="S6" s="1">
        <v>1.0793499999999949</v>
      </c>
      <c r="T6" s="1">
        <v>0.94460146260668654</v>
      </c>
      <c r="U6">
        <v>2011</v>
      </c>
      <c r="V6" s="1">
        <v>0.78596569884281675</v>
      </c>
      <c r="W6" s="1">
        <v>1.0508799999999971</v>
      </c>
      <c r="X6" s="1">
        <v>0.77951888747529674</v>
      </c>
    </row>
    <row r="7" spans="1:24" x14ac:dyDescent="0.3">
      <c r="A7" t="s">
        <v>5</v>
      </c>
      <c r="B7">
        <v>2010</v>
      </c>
      <c r="C7" s="1">
        <v>0.63715168858283</v>
      </c>
      <c r="D7" s="1">
        <v>1.4472</v>
      </c>
      <c r="E7" s="1">
        <v>0.92208592371707199</v>
      </c>
      <c r="F7" t="s">
        <v>6</v>
      </c>
      <c r="G7">
        <v>2010</v>
      </c>
      <c r="H7" s="1">
        <v>0.74836514276889499</v>
      </c>
      <c r="I7" s="1">
        <v>0.89220000000000055</v>
      </c>
      <c r="J7" s="1">
        <v>0.6647259883355201</v>
      </c>
      <c r="K7" t="s">
        <v>7</v>
      </c>
      <c r="L7">
        <v>2010</v>
      </c>
      <c r="M7" s="1">
        <v>0.79720459782603004</v>
      </c>
      <c r="N7" s="1">
        <v>0.73837999999999804</v>
      </c>
      <c r="O7" s="1">
        <v>0.58863873855744597</v>
      </c>
      <c r="P7" t="s">
        <v>8</v>
      </c>
      <c r="Q7">
        <v>2010</v>
      </c>
      <c r="R7" s="1">
        <v>0.90540729758952043</v>
      </c>
      <c r="S7" s="1">
        <v>0.93534999999999946</v>
      </c>
      <c r="T7" s="1">
        <v>0.85636773091716489</v>
      </c>
      <c r="U7">
        <v>2010</v>
      </c>
      <c r="V7" s="1">
        <v>0.77203218169181886</v>
      </c>
      <c r="W7" s="1">
        <v>1.0032824999999994</v>
      </c>
      <c r="X7" s="1">
        <v>0.75795459538180077</v>
      </c>
    </row>
    <row r="8" spans="1:24" x14ac:dyDescent="0.3">
      <c r="A8" t="s">
        <v>5</v>
      </c>
      <c r="B8">
        <v>2009</v>
      </c>
      <c r="C8" s="1">
        <v>0.56353530237466898</v>
      </c>
      <c r="D8" s="1">
        <v>1.1425999999999901</v>
      </c>
      <c r="E8" s="1">
        <v>0.64389543649329695</v>
      </c>
      <c r="F8" t="s">
        <v>6</v>
      </c>
      <c r="G8">
        <v>2009</v>
      </c>
      <c r="H8" s="1">
        <v>0.64815066490703799</v>
      </c>
      <c r="I8" s="1">
        <v>0.92299999999999904</v>
      </c>
      <c r="J8" s="1">
        <v>0.59824306370919555</v>
      </c>
      <c r="K8" t="s">
        <v>7</v>
      </c>
      <c r="L8">
        <v>2009</v>
      </c>
      <c r="M8" s="1">
        <v>0.76829506262430247</v>
      </c>
      <c r="N8" s="1">
        <v>0.76911499999999799</v>
      </c>
      <c r="O8" s="1">
        <v>0.58661404995681243</v>
      </c>
      <c r="P8" t="s">
        <v>8</v>
      </c>
      <c r="Q8">
        <v>2009</v>
      </c>
      <c r="R8" s="1">
        <v>0.77464380319253401</v>
      </c>
      <c r="S8" s="1">
        <v>1.0553499999999949</v>
      </c>
      <c r="T8" s="1">
        <v>0.80538955811903201</v>
      </c>
      <c r="U8">
        <v>2009</v>
      </c>
      <c r="V8" s="1">
        <v>0.68865620827463581</v>
      </c>
      <c r="W8" s="1">
        <v>0.97251624999999553</v>
      </c>
      <c r="X8" s="1">
        <v>0.65853552706958429</v>
      </c>
    </row>
    <row r="9" spans="1:24" x14ac:dyDescent="0.3">
      <c r="A9" t="s">
        <v>5</v>
      </c>
      <c r="B9">
        <v>2008</v>
      </c>
      <c r="C9" s="1">
        <v>0.67246570620674295</v>
      </c>
      <c r="D9" s="1">
        <v>1.2492000000000001</v>
      </c>
      <c r="E9" s="1">
        <v>0.84004416019346295</v>
      </c>
      <c r="F9" t="s">
        <v>6</v>
      </c>
      <c r="G9">
        <v>2008</v>
      </c>
      <c r="H9" s="1">
        <v>0.67276675374501305</v>
      </c>
      <c r="I9" s="1">
        <v>1.292149999999995</v>
      </c>
      <c r="J9" s="1">
        <v>0.882858826773537</v>
      </c>
      <c r="K9" t="s">
        <v>7</v>
      </c>
      <c r="L9">
        <v>2008</v>
      </c>
      <c r="M9" s="1">
        <v>0.69581166849818155</v>
      </c>
      <c r="N9" s="1">
        <v>0.55380000000000251</v>
      </c>
      <c r="O9" s="1">
        <v>0.38657140352588404</v>
      </c>
      <c r="P9" t="s">
        <v>8</v>
      </c>
      <c r="Q9">
        <v>2008</v>
      </c>
      <c r="R9" s="1">
        <v>0.67075041793012158</v>
      </c>
      <c r="S9" s="1">
        <v>1.24715</v>
      </c>
      <c r="T9" s="1">
        <v>0.83652275649692498</v>
      </c>
      <c r="U9">
        <v>2008</v>
      </c>
      <c r="V9" s="1">
        <v>0.67794863659501481</v>
      </c>
      <c r="W9" s="1">
        <v>1.0855749999999995</v>
      </c>
      <c r="X9" s="1">
        <v>0.73649928674745224</v>
      </c>
    </row>
    <row r="10" spans="1:24" x14ac:dyDescent="0.3">
      <c r="A10" t="s">
        <v>5</v>
      </c>
      <c r="B10">
        <v>2007</v>
      </c>
      <c r="C10" s="1">
        <v>0.64241555046926702</v>
      </c>
      <c r="D10" s="1">
        <v>1.4168000000000001</v>
      </c>
      <c r="E10" s="1">
        <v>0.91017435190485896</v>
      </c>
      <c r="F10" t="s">
        <v>6</v>
      </c>
      <c r="G10">
        <v>2007</v>
      </c>
      <c r="H10" s="1">
        <v>0.66736371032113895</v>
      </c>
      <c r="I10" s="1">
        <v>1.1075499999999949</v>
      </c>
      <c r="J10" s="1">
        <v>0.73332086425039655</v>
      </c>
      <c r="K10" t="s">
        <v>7</v>
      </c>
      <c r="L10">
        <v>2007</v>
      </c>
      <c r="M10" s="1">
        <v>0.69136974223336245</v>
      </c>
      <c r="N10" s="1">
        <v>0.98450000000000193</v>
      </c>
      <c r="O10" s="1">
        <v>0.68330000981705208</v>
      </c>
      <c r="P10" t="s">
        <v>8</v>
      </c>
      <c r="Q10">
        <v>2007</v>
      </c>
      <c r="R10" s="1">
        <v>0.60497941569637703</v>
      </c>
      <c r="S10" s="1">
        <v>1.2234999999999951</v>
      </c>
      <c r="T10" s="1">
        <v>0.74041516758199855</v>
      </c>
      <c r="U10">
        <v>2007</v>
      </c>
      <c r="V10" s="1">
        <v>0.65153210468003642</v>
      </c>
      <c r="W10" s="1">
        <v>1.1830874999999978</v>
      </c>
      <c r="X10" s="1">
        <v>0.76680259838857656</v>
      </c>
    </row>
    <row r="11" spans="1:24" x14ac:dyDescent="0.3">
      <c r="A11" t="s">
        <v>5</v>
      </c>
      <c r="B11">
        <v>2006</v>
      </c>
      <c r="C11" s="1">
        <v>0.72705608333723104</v>
      </c>
      <c r="D11" s="1">
        <v>0.85309999999999897</v>
      </c>
      <c r="E11" s="1">
        <v>0.620251544694992</v>
      </c>
      <c r="F11" t="s">
        <v>6</v>
      </c>
      <c r="G11">
        <v>2006</v>
      </c>
      <c r="H11" s="1">
        <v>0.68793992344997501</v>
      </c>
      <c r="I11" s="1">
        <v>1.2305999999999901</v>
      </c>
      <c r="J11" s="1">
        <v>0.84911532888459496</v>
      </c>
      <c r="K11" t="s">
        <v>7</v>
      </c>
      <c r="L11">
        <v>2006</v>
      </c>
      <c r="M11" s="1">
        <v>0.81503482755450196</v>
      </c>
      <c r="N11" s="1">
        <v>0.73836500000000249</v>
      </c>
      <c r="O11" s="1">
        <v>0.61025313393900749</v>
      </c>
      <c r="P11" t="s">
        <v>8</v>
      </c>
      <c r="Q11">
        <v>2006</v>
      </c>
      <c r="R11" s="1">
        <v>0.48859725946259602</v>
      </c>
      <c r="S11" s="1">
        <v>0.98364999999999847</v>
      </c>
      <c r="T11" s="1">
        <v>0.48299471851737652</v>
      </c>
      <c r="U11">
        <v>2006</v>
      </c>
      <c r="V11" s="1">
        <v>0.67965702345107593</v>
      </c>
      <c r="W11" s="1">
        <v>0.9514287499999976</v>
      </c>
      <c r="X11" s="1">
        <v>0.64065368150899271</v>
      </c>
    </row>
    <row r="12" spans="1:24" x14ac:dyDescent="0.3">
      <c r="A12" t="s">
        <v>5</v>
      </c>
      <c r="B12">
        <v>2005</v>
      </c>
      <c r="C12" s="1">
        <v>0.63195382311662296</v>
      </c>
      <c r="D12" s="1">
        <v>1.9804999999999999</v>
      </c>
      <c r="E12" s="1">
        <v>1.25158454668247</v>
      </c>
      <c r="F12" t="s">
        <v>6</v>
      </c>
      <c r="G12">
        <v>2005</v>
      </c>
      <c r="H12" s="1">
        <v>0.71503627471346798</v>
      </c>
      <c r="I12" s="1">
        <v>1.1691</v>
      </c>
      <c r="J12" s="1">
        <v>0.82632546473103607</v>
      </c>
      <c r="K12" t="s">
        <v>7</v>
      </c>
      <c r="L12">
        <v>2005</v>
      </c>
      <c r="M12" s="1">
        <v>0.77560446204005196</v>
      </c>
      <c r="N12" s="1">
        <v>1.2305899999999981</v>
      </c>
      <c r="O12" s="1">
        <v>0.89914982023128842</v>
      </c>
      <c r="P12" t="s">
        <v>8</v>
      </c>
      <c r="Q12">
        <v>2005</v>
      </c>
      <c r="R12" s="1">
        <v>0.77498582377600245</v>
      </c>
      <c r="S12" s="1">
        <v>1.031649999999994</v>
      </c>
      <c r="T12" s="1">
        <v>0.80151611265931844</v>
      </c>
      <c r="U12">
        <v>2005</v>
      </c>
      <c r="V12" s="1">
        <v>0.72439509591153639</v>
      </c>
      <c r="W12" s="1">
        <v>1.3529599999999979</v>
      </c>
      <c r="X12" s="1">
        <v>0.94464398607602829</v>
      </c>
    </row>
    <row r="13" spans="1:24" x14ac:dyDescent="0.3">
      <c r="A13" t="s">
        <v>5</v>
      </c>
      <c r="B13">
        <v>2004</v>
      </c>
      <c r="C13" s="1">
        <v>0.62146618296580602</v>
      </c>
      <c r="D13" s="1">
        <v>1.23399999999999</v>
      </c>
      <c r="E13" s="1">
        <v>0.76688926977980398</v>
      </c>
      <c r="F13" t="s">
        <v>6</v>
      </c>
      <c r="G13">
        <v>2004</v>
      </c>
      <c r="H13" s="1">
        <v>0.61254729691842147</v>
      </c>
      <c r="I13" s="1">
        <v>0.98454999999999993</v>
      </c>
      <c r="J13" s="1">
        <v>0.58331741854971408</v>
      </c>
      <c r="K13" t="s">
        <v>7</v>
      </c>
      <c r="L13">
        <v>2004</v>
      </c>
      <c r="M13" s="1">
        <v>0.68155796247408795</v>
      </c>
      <c r="N13" s="1">
        <v>0.61530500000000155</v>
      </c>
      <c r="O13" s="1">
        <v>0.39625336784611598</v>
      </c>
      <c r="P13" t="s">
        <v>8</v>
      </c>
      <c r="Q13">
        <v>2004</v>
      </c>
      <c r="R13" s="1">
        <v>0.67179980604053147</v>
      </c>
      <c r="S13" s="1">
        <v>1.1995999999999851</v>
      </c>
      <c r="T13" s="1">
        <v>0.8081235680811315</v>
      </c>
      <c r="U13">
        <v>2004</v>
      </c>
      <c r="V13" s="1">
        <v>0.64684281209971173</v>
      </c>
      <c r="W13" s="1">
        <v>1.0083637499999942</v>
      </c>
      <c r="X13" s="1">
        <v>0.63864590606419136</v>
      </c>
    </row>
    <row r="14" spans="1:24" x14ac:dyDescent="0.3">
      <c r="A14" t="s">
        <v>5</v>
      </c>
      <c r="B14">
        <v>2003</v>
      </c>
      <c r="C14" s="1">
        <v>0.63409067448072998</v>
      </c>
      <c r="D14" s="1">
        <v>1.2948999999999999</v>
      </c>
      <c r="E14" s="1">
        <v>0.82108401438509904</v>
      </c>
      <c r="F14" t="s">
        <v>6</v>
      </c>
      <c r="G14">
        <v>2003</v>
      </c>
      <c r="H14" s="1">
        <v>0.54183011840359996</v>
      </c>
      <c r="I14" s="1">
        <v>1.2613499999999949</v>
      </c>
      <c r="J14" s="1">
        <v>0.69035809698315853</v>
      </c>
      <c r="K14" t="s">
        <v>7</v>
      </c>
      <c r="L14">
        <v>2003</v>
      </c>
      <c r="M14" s="1">
        <v>0.57770597092319509</v>
      </c>
      <c r="N14" s="1">
        <v>0.89221999999999946</v>
      </c>
      <c r="O14" s="1">
        <v>0.50505170469257155</v>
      </c>
      <c r="P14" t="s">
        <v>8</v>
      </c>
      <c r="Q14">
        <v>2003</v>
      </c>
      <c r="R14" s="1">
        <v>0.62408200629994148</v>
      </c>
      <c r="S14" s="1">
        <v>1.10364999999998</v>
      </c>
      <c r="T14" s="1">
        <v>0.68922630064325152</v>
      </c>
      <c r="U14">
        <v>2003</v>
      </c>
      <c r="V14" s="1">
        <v>0.5944271925268666</v>
      </c>
      <c r="W14" s="1">
        <v>1.1380299999999937</v>
      </c>
      <c r="X14" s="1">
        <v>0.67643002917602013</v>
      </c>
    </row>
    <row r="15" spans="1:24" x14ac:dyDescent="0.3">
      <c r="A15" t="s">
        <v>5</v>
      </c>
      <c r="B15">
        <v>2002</v>
      </c>
      <c r="C15" s="1">
        <v>0.684403730292511</v>
      </c>
      <c r="D15" s="1">
        <v>1.2491999999999901</v>
      </c>
      <c r="E15" s="1">
        <v>0.85495713988140398</v>
      </c>
      <c r="F15" t="s">
        <v>6</v>
      </c>
      <c r="G15">
        <v>2002</v>
      </c>
      <c r="H15" s="1">
        <v>0.48363788505927352</v>
      </c>
      <c r="I15" s="1">
        <v>1.415249999999995</v>
      </c>
      <c r="J15" s="1">
        <v>0.68025289219995444</v>
      </c>
      <c r="K15" t="s">
        <v>7</v>
      </c>
      <c r="L15">
        <v>2002</v>
      </c>
      <c r="M15" s="1">
        <v>0.644990754350384</v>
      </c>
      <c r="N15" s="1">
        <v>1.076750000000001</v>
      </c>
      <c r="O15" s="1">
        <v>0.67223223685809852</v>
      </c>
      <c r="P15" t="s">
        <v>8</v>
      </c>
      <c r="Q15">
        <v>2002</v>
      </c>
      <c r="R15" s="1">
        <v>0.62944864069531747</v>
      </c>
      <c r="S15" s="1">
        <v>1.2235499999999799</v>
      </c>
      <c r="T15" s="1">
        <v>0.76736130580185946</v>
      </c>
      <c r="U15">
        <v>2002</v>
      </c>
      <c r="V15" s="1">
        <v>0.61062025259937158</v>
      </c>
      <c r="W15" s="1">
        <v>1.2411874999999917</v>
      </c>
      <c r="X15" s="1">
        <v>0.7437008936853291</v>
      </c>
    </row>
    <row r="16" spans="1:24" x14ac:dyDescent="0.3">
      <c r="A16" t="s">
        <v>5</v>
      </c>
      <c r="B16">
        <v>2001</v>
      </c>
      <c r="C16" s="1">
        <v>0.68401499310435598</v>
      </c>
      <c r="D16" s="1">
        <v>1.91949999999999</v>
      </c>
      <c r="E16" s="1">
        <v>1.31296677926381</v>
      </c>
      <c r="F16" t="s">
        <v>6</v>
      </c>
      <c r="G16">
        <v>2001</v>
      </c>
      <c r="H16" s="1">
        <v>0.61860126799759796</v>
      </c>
      <c r="I16" s="1">
        <v>0.92294999999999949</v>
      </c>
      <c r="J16" s="1">
        <v>0.5680108047401945</v>
      </c>
      <c r="K16" t="s">
        <v>7</v>
      </c>
      <c r="L16">
        <v>2001</v>
      </c>
      <c r="M16" s="1">
        <v>0.55822079961708004</v>
      </c>
      <c r="N16" s="1">
        <v>0.86144500000000201</v>
      </c>
      <c r="O16" s="1">
        <v>0.482084183135148</v>
      </c>
      <c r="P16" t="s">
        <v>8</v>
      </c>
      <c r="Q16">
        <v>2001</v>
      </c>
      <c r="R16" s="1">
        <v>0.66208127411655149</v>
      </c>
      <c r="S16" s="1">
        <v>1.2475999999999801</v>
      </c>
      <c r="T16" s="1">
        <v>0.82604624462525256</v>
      </c>
      <c r="U16">
        <v>2001</v>
      </c>
      <c r="V16" s="1">
        <v>0.63072958370889631</v>
      </c>
      <c r="W16" s="1">
        <v>1.237873749999993</v>
      </c>
      <c r="X16" s="1">
        <v>0.79727700294110115</v>
      </c>
    </row>
    <row r="17" spans="1:24" x14ac:dyDescent="0.3">
      <c r="A17" t="s">
        <v>5</v>
      </c>
      <c r="B17">
        <v>2000</v>
      </c>
      <c r="C17" s="1">
        <v>0.63685605049111804</v>
      </c>
      <c r="D17" s="1">
        <v>1.5844</v>
      </c>
      <c r="E17" s="1">
        <v>1.0090347263981201</v>
      </c>
      <c r="F17" t="s">
        <v>6</v>
      </c>
      <c r="G17">
        <v>2000</v>
      </c>
      <c r="H17" s="1">
        <v>0.70132449094058202</v>
      </c>
      <c r="I17" s="1">
        <v>1.292149999999995</v>
      </c>
      <c r="J17" s="1">
        <v>0.9557004678445995</v>
      </c>
      <c r="K17" t="s">
        <v>7</v>
      </c>
      <c r="L17">
        <v>2000</v>
      </c>
      <c r="M17" s="1">
        <v>0.73972922671908292</v>
      </c>
      <c r="N17" s="1">
        <v>0.83066499999999555</v>
      </c>
      <c r="O17" s="1">
        <v>0.6034204031548045</v>
      </c>
      <c r="P17" t="s">
        <v>8</v>
      </c>
      <c r="Q17">
        <v>2000</v>
      </c>
      <c r="R17" s="1">
        <v>0.58191803470779202</v>
      </c>
      <c r="S17" s="1">
        <v>1.05564999999998</v>
      </c>
      <c r="T17" s="1">
        <v>0.61431930760023246</v>
      </c>
      <c r="U17">
        <v>2000</v>
      </c>
      <c r="V17" s="1">
        <v>0.66495695071464378</v>
      </c>
      <c r="W17" s="1">
        <v>1.1907162499999928</v>
      </c>
      <c r="X17" s="1">
        <v>0.79561872624943919</v>
      </c>
    </row>
    <row r="18" spans="1:24" x14ac:dyDescent="0.3">
      <c r="A18" t="s">
        <v>5</v>
      </c>
      <c r="B18">
        <v>1999</v>
      </c>
      <c r="C18" s="1">
        <v>0.70072623190870298</v>
      </c>
      <c r="D18" s="1">
        <v>1.7061999999999899</v>
      </c>
      <c r="E18" s="1">
        <v>1.1955790968826201</v>
      </c>
      <c r="F18" t="s">
        <v>6</v>
      </c>
      <c r="G18">
        <v>1999</v>
      </c>
      <c r="H18" s="1">
        <v>0.60089050901350749</v>
      </c>
      <c r="I18" s="1">
        <v>0.98450000000000093</v>
      </c>
      <c r="J18" s="1">
        <v>0.60050496401625097</v>
      </c>
      <c r="K18" t="s">
        <v>7</v>
      </c>
      <c r="L18">
        <v>1999</v>
      </c>
      <c r="M18" s="1">
        <v>0.7665612008062046</v>
      </c>
      <c r="N18" s="1">
        <v>1.0459999999999896</v>
      </c>
      <c r="O18" s="1">
        <v>0.79713638883203652</v>
      </c>
      <c r="P18" t="s">
        <v>8</v>
      </c>
      <c r="Q18">
        <v>1999</v>
      </c>
      <c r="R18" s="1">
        <v>0.59182001676967699</v>
      </c>
      <c r="S18" s="1">
        <v>1.2475999999999852</v>
      </c>
      <c r="T18" s="1">
        <v>0.73840022505584857</v>
      </c>
      <c r="U18">
        <v>1999</v>
      </c>
      <c r="V18" s="1">
        <v>0.66499948962452293</v>
      </c>
      <c r="W18" s="1">
        <v>1.2460749999999914</v>
      </c>
      <c r="X18" s="1">
        <v>0.83290516869668907</v>
      </c>
    </row>
    <row r="19" spans="1:24" x14ac:dyDescent="0.3">
      <c r="A19" t="s">
        <v>5</v>
      </c>
      <c r="B19">
        <v>1998</v>
      </c>
      <c r="C19" s="1">
        <v>0.66170288893569795</v>
      </c>
      <c r="D19" s="1">
        <v>1.4316799999999099</v>
      </c>
      <c r="E19" s="1">
        <v>0.94734679203140104</v>
      </c>
      <c r="F19" t="s">
        <v>6</v>
      </c>
      <c r="G19">
        <v>1998</v>
      </c>
      <c r="H19" s="1">
        <v>0.53054184591137998</v>
      </c>
      <c r="I19" s="1">
        <v>1.4152</v>
      </c>
      <c r="J19" s="1">
        <v>0.75135729029139497</v>
      </c>
      <c r="K19" t="s">
        <v>7</v>
      </c>
      <c r="L19">
        <v>1998</v>
      </c>
      <c r="M19" s="1">
        <v>0.88726311017932402</v>
      </c>
      <c r="N19" s="1">
        <v>0.67684999999999396</v>
      </c>
      <c r="O19" s="1">
        <v>0.61417241301362002</v>
      </c>
      <c r="P19" t="s">
        <v>8</v>
      </c>
      <c r="Q19">
        <v>1998</v>
      </c>
      <c r="R19" s="1">
        <v>0.62264124975905699</v>
      </c>
      <c r="S19" s="1">
        <v>1.5114499999999851</v>
      </c>
      <c r="T19" s="1">
        <v>0.93414783471007201</v>
      </c>
      <c r="U19">
        <v>1998</v>
      </c>
      <c r="V19" s="1">
        <v>0.67553727369636474</v>
      </c>
      <c r="W19" s="1">
        <v>1.2587949999999721</v>
      </c>
      <c r="X19" s="1">
        <v>0.81175608251162201</v>
      </c>
    </row>
    <row r="20" spans="1:24" x14ac:dyDescent="0.3">
      <c r="A20" t="s">
        <v>5</v>
      </c>
      <c r="B20">
        <v>1997</v>
      </c>
      <c r="C20" s="1">
        <v>0.65477524219141803</v>
      </c>
      <c r="D20" s="1">
        <v>1.00517999999993</v>
      </c>
      <c r="E20" s="1">
        <v>0.65816697794592505</v>
      </c>
      <c r="F20" t="s">
        <v>6</v>
      </c>
      <c r="G20">
        <v>1997</v>
      </c>
      <c r="H20" s="1">
        <v>0.5690516546927864</v>
      </c>
      <c r="I20" s="1">
        <v>1.0459999999999929</v>
      </c>
      <c r="J20" s="1">
        <v>0.59737227156019601</v>
      </c>
      <c r="K20" t="s">
        <v>7</v>
      </c>
      <c r="L20">
        <v>1997</v>
      </c>
      <c r="M20" s="1">
        <v>0.9222500015846995</v>
      </c>
      <c r="N20" s="1">
        <v>0.86143499999999107</v>
      </c>
      <c r="O20" s="1">
        <v>0.7378421398221735</v>
      </c>
      <c r="P20" t="s">
        <v>8</v>
      </c>
      <c r="Q20">
        <v>1997</v>
      </c>
      <c r="R20" s="1">
        <v>0.6297798169953126</v>
      </c>
      <c r="S20" s="1">
        <v>1.1516499999999801</v>
      </c>
      <c r="T20" s="1">
        <v>0.73018904651899952</v>
      </c>
      <c r="U20">
        <v>1997</v>
      </c>
      <c r="V20" s="1">
        <v>0.69396417886605422</v>
      </c>
      <c r="W20" s="1">
        <v>1.0160662499999735</v>
      </c>
      <c r="X20" s="1">
        <v>0.68089260896182346</v>
      </c>
    </row>
    <row r="21" spans="1:24" x14ac:dyDescent="0.3">
      <c r="A21" t="s">
        <v>5</v>
      </c>
      <c r="B21">
        <v>1996</v>
      </c>
      <c r="C21" s="1">
        <v>0.62050093494333902</v>
      </c>
      <c r="D21" s="1">
        <v>1.4316199999999</v>
      </c>
      <c r="E21" s="1">
        <v>0.88832154848352296</v>
      </c>
      <c r="F21" t="s">
        <v>6</v>
      </c>
      <c r="G21">
        <v>1996</v>
      </c>
      <c r="H21" s="1">
        <v>0.60451566030071502</v>
      </c>
      <c r="I21" s="1">
        <v>1.2921999999999998</v>
      </c>
      <c r="J21" s="1">
        <v>0.78635296643945507</v>
      </c>
      <c r="K21" t="s">
        <v>7</v>
      </c>
      <c r="L21">
        <v>1996</v>
      </c>
      <c r="M21" s="1">
        <v>0.93380544325300407</v>
      </c>
      <c r="N21" s="1">
        <v>0.7999149999999946</v>
      </c>
      <c r="O21" s="1">
        <v>0.75310277076310594</v>
      </c>
      <c r="P21" t="s">
        <v>8</v>
      </c>
      <c r="Q21">
        <v>1996</v>
      </c>
      <c r="R21" s="1">
        <v>0.68074515915435696</v>
      </c>
      <c r="S21" s="1">
        <v>1.27154999999998</v>
      </c>
      <c r="T21" s="1">
        <v>0.8656907814370175</v>
      </c>
      <c r="U21">
        <v>1996</v>
      </c>
      <c r="V21" s="1">
        <v>0.70989179941285374</v>
      </c>
      <c r="W21" s="1">
        <v>1.1988212499999684</v>
      </c>
      <c r="X21" s="1">
        <v>0.8233670167807754</v>
      </c>
    </row>
    <row r="22" spans="1:24" x14ac:dyDescent="0.3">
      <c r="A22" t="s">
        <v>5</v>
      </c>
      <c r="B22">
        <v>1995</v>
      </c>
      <c r="C22" s="1">
        <v>0.77970027363605598</v>
      </c>
      <c r="D22" s="1">
        <v>1.08132999999992</v>
      </c>
      <c r="E22" s="1">
        <v>0.84311329689082004</v>
      </c>
      <c r="F22" t="s">
        <v>6</v>
      </c>
      <c r="G22">
        <v>1995</v>
      </c>
      <c r="H22" s="1">
        <v>0.76830144733170047</v>
      </c>
      <c r="I22" s="1">
        <v>1.0460499999999988</v>
      </c>
      <c r="J22" s="1">
        <v>0.78208727654084598</v>
      </c>
      <c r="K22" t="s">
        <v>7</v>
      </c>
      <c r="L22">
        <v>1995</v>
      </c>
      <c r="M22" s="1">
        <v>0.90123665007574605</v>
      </c>
      <c r="N22" s="1">
        <v>0.92292999999999448</v>
      </c>
      <c r="O22" s="1">
        <v>0.84200678662247697</v>
      </c>
      <c r="P22" t="s">
        <v>8</v>
      </c>
      <c r="Q22">
        <v>1995</v>
      </c>
      <c r="R22" s="1">
        <v>0.61356881812172093</v>
      </c>
      <c r="S22" s="1">
        <v>1.1515999999999802</v>
      </c>
      <c r="T22" s="1">
        <v>0.70554687038467601</v>
      </c>
      <c r="U22">
        <v>1995</v>
      </c>
      <c r="V22" s="1">
        <v>0.76570179729130583</v>
      </c>
      <c r="W22" s="1">
        <v>1.0504774999999733</v>
      </c>
      <c r="X22" s="1">
        <v>0.79318855760970475</v>
      </c>
    </row>
    <row r="23" spans="1:24" x14ac:dyDescent="0.3">
      <c r="A23" t="s">
        <v>5</v>
      </c>
      <c r="B23">
        <v>1994</v>
      </c>
      <c r="C23" s="1">
        <v>0.75276503886555601</v>
      </c>
      <c r="D23" s="1">
        <v>1.3250100000001399</v>
      </c>
      <c r="E23" s="1">
        <v>0.99742120414735902</v>
      </c>
      <c r="F23" t="s">
        <v>6</v>
      </c>
      <c r="G23">
        <v>1994</v>
      </c>
      <c r="H23" s="1">
        <v>0.91720922590036502</v>
      </c>
      <c r="I23" s="1">
        <v>1.0460499999999988</v>
      </c>
      <c r="J23" s="1">
        <v>0.94467670825718097</v>
      </c>
      <c r="K23" t="s">
        <v>7</v>
      </c>
      <c r="L23">
        <v>1994</v>
      </c>
      <c r="M23" s="1">
        <v>0.83460916435604604</v>
      </c>
      <c r="N23" s="1">
        <v>0.76916499999999155</v>
      </c>
      <c r="O23" s="1">
        <v>0.63807991203541048</v>
      </c>
      <c r="P23" t="s">
        <v>8</v>
      </c>
      <c r="Q23">
        <v>1994</v>
      </c>
      <c r="R23" s="1">
        <v>0.5790059539301724</v>
      </c>
      <c r="S23" s="1">
        <v>1.3675000000000099</v>
      </c>
      <c r="T23" s="1">
        <v>0.78970499944434391</v>
      </c>
      <c r="U23">
        <v>1994</v>
      </c>
      <c r="V23" s="1">
        <v>0.77089734576303481</v>
      </c>
      <c r="W23" s="1">
        <v>1.126931250000035</v>
      </c>
      <c r="X23" s="1">
        <v>0.84247070597107365</v>
      </c>
    </row>
    <row r="24" spans="1:24" x14ac:dyDescent="0.3">
      <c r="A24" t="s">
        <v>5</v>
      </c>
      <c r="B24">
        <v>1993</v>
      </c>
      <c r="C24" s="1">
        <v>0.69559597955421104</v>
      </c>
      <c r="D24" s="1">
        <v>1.40116000000023</v>
      </c>
      <c r="E24" s="1">
        <v>0.97464126271233997</v>
      </c>
      <c r="F24" t="s">
        <v>6</v>
      </c>
      <c r="G24">
        <v>1993</v>
      </c>
      <c r="H24" s="1">
        <v>0.75080923205584249</v>
      </c>
      <c r="I24" s="1">
        <v>0.86140000000000305</v>
      </c>
      <c r="J24" s="1">
        <v>0.65090692166823594</v>
      </c>
      <c r="K24" t="s">
        <v>7</v>
      </c>
      <c r="L24">
        <v>1993</v>
      </c>
      <c r="M24" s="1">
        <v>0.79716146744864702</v>
      </c>
      <c r="N24" s="1">
        <v>0.89219499999999352</v>
      </c>
      <c r="O24" s="1">
        <v>0.69449227623089949</v>
      </c>
      <c r="P24" t="s">
        <v>8</v>
      </c>
      <c r="Q24">
        <v>1993</v>
      </c>
      <c r="R24" s="1">
        <v>0.71038912335607451</v>
      </c>
      <c r="S24" s="1">
        <v>1.1516000000000202</v>
      </c>
      <c r="T24" s="1">
        <v>0.818108803189182</v>
      </c>
      <c r="U24">
        <v>1993</v>
      </c>
      <c r="V24" s="1">
        <v>0.73848895060369368</v>
      </c>
      <c r="W24" s="1">
        <v>1.0765887500000617</v>
      </c>
      <c r="X24" s="1">
        <v>0.78453731595016429</v>
      </c>
    </row>
    <row r="25" spans="1:24" x14ac:dyDescent="0.3">
      <c r="A25" t="s">
        <v>5</v>
      </c>
      <c r="B25">
        <v>1992</v>
      </c>
      <c r="C25" s="1">
        <v>0.74370343784232895</v>
      </c>
      <c r="D25" s="1">
        <v>1.30978000000021</v>
      </c>
      <c r="E25" s="1">
        <v>0.97408788881728703</v>
      </c>
      <c r="F25" t="s">
        <v>6</v>
      </c>
      <c r="G25">
        <v>1992</v>
      </c>
      <c r="H25" s="1">
        <v>0.63800005078189248</v>
      </c>
      <c r="I25" s="1">
        <v>0.73834999999999651</v>
      </c>
      <c r="J25" s="1">
        <v>0.47106464323388147</v>
      </c>
      <c r="K25" t="s">
        <v>7</v>
      </c>
      <c r="L25">
        <v>1992</v>
      </c>
      <c r="M25" s="1">
        <v>0.73723975204831205</v>
      </c>
      <c r="N25" s="1">
        <v>1.32290499999999</v>
      </c>
      <c r="O25" s="1">
        <v>0.95415383112090901</v>
      </c>
      <c r="P25" t="s">
        <v>8</v>
      </c>
      <c r="Q25">
        <v>1992</v>
      </c>
      <c r="R25" s="1">
        <v>0.69814242801965298</v>
      </c>
      <c r="S25" s="1">
        <v>0.93570000000001596</v>
      </c>
      <c r="T25" s="1">
        <v>0.65183253069202296</v>
      </c>
      <c r="U25">
        <v>1992</v>
      </c>
      <c r="V25" s="1">
        <v>0.70427141717304653</v>
      </c>
      <c r="W25" s="1">
        <v>1.076683750000053</v>
      </c>
      <c r="X25" s="1">
        <v>0.76278472346602511</v>
      </c>
    </row>
    <row r="26" spans="1:24" x14ac:dyDescent="0.3">
      <c r="A26" t="s">
        <v>5</v>
      </c>
      <c r="B26">
        <v>1991</v>
      </c>
      <c r="C26" s="1">
        <v>0.780150961948188</v>
      </c>
      <c r="D26" s="1">
        <v>1.1879400000001901</v>
      </c>
      <c r="E26" s="1">
        <v>0.92677253373688295</v>
      </c>
      <c r="F26" t="s">
        <v>6</v>
      </c>
      <c r="G26">
        <v>1991</v>
      </c>
      <c r="H26" s="1">
        <v>0.60001997309881006</v>
      </c>
      <c r="I26" s="1">
        <v>0.73840000000000205</v>
      </c>
      <c r="J26" s="1">
        <v>0.456706524730221</v>
      </c>
      <c r="K26" t="s">
        <v>7</v>
      </c>
      <c r="L26">
        <v>1991</v>
      </c>
      <c r="M26" s="1">
        <v>0.68123537356153951</v>
      </c>
      <c r="N26" s="1">
        <v>0.64604499999999354</v>
      </c>
      <c r="O26" s="1">
        <v>0.41925485886097946</v>
      </c>
      <c r="P26" t="s">
        <v>8</v>
      </c>
      <c r="Q26">
        <v>1991</v>
      </c>
      <c r="R26" s="1">
        <v>0.68998108676548453</v>
      </c>
      <c r="S26" s="1">
        <v>1.1249000000000051</v>
      </c>
      <c r="T26" s="1">
        <v>0.76469655257122049</v>
      </c>
      <c r="U26">
        <v>1991</v>
      </c>
      <c r="V26" s="1">
        <v>0.68784684884350555</v>
      </c>
      <c r="W26" s="1">
        <v>0.92432125000004761</v>
      </c>
      <c r="X26" s="1">
        <v>0.64185761747482595</v>
      </c>
    </row>
    <row r="27" spans="1:24" x14ac:dyDescent="0.3">
      <c r="A27" t="s">
        <v>5</v>
      </c>
      <c r="B27">
        <v>1990</v>
      </c>
      <c r="C27" s="1">
        <v>0.75473397316317103</v>
      </c>
      <c r="D27" s="1">
        <v>1.1422500000001801</v>
      </c>
      <c r="E27" s="1">
        <v>0.86209488084577401</v>
      </c>
      <c r="F27" t="s">
        <v>6</v>
      </c>
      <c r="G27">
        <v>1990</v>
      </c>
      <c r="H27" s="1">
        <v>0.60572602153125055</v>
      </c>
      <c r="I27" s="1">
        <v>1.2306499999999998</v>
      </c>
      <c r="J27" s="1">
        <v>0.74544124739410744</v>
      </c>
      <c r="K27" t="s">
        <v>7</v>
      </c>
      <c r="L27">
        <v>1990</v>
      </c>
      <c r="M27" s="1">
        <v>0.71563166771191944</v>
      </c>
      <c r="N27" s="1">
        <v>0.7691249999999914</v>
      </c>
      <c r="O27" s="1">
        <v>0.54062116355507295</v>
      </c>
      <c r="P27" t="s">
        <v>8</v>
      </c>
      <c r="Q27">
        <v>1990</v>
      </c>
      <c r="R27" s="1">
        <v>0.65728694018439149</v>
      </c>
      <c r="S27" s="1">
        <v>1.0829999999999949</v>
      </c>
      <c r="T27" s="1">
        <v>0.66078142819388308</v>
      </c>
      <c r="U27">
        <v>1990</v>
      </c>
      <c r="V27" s="1">
        <v>0.68334465064768324</v>
      </c>
      <c r="W27" s="1">
        <v>1.0562562500000414</v>
      </c>
      <c r="X27" s="1">
        <v>0.70223467999720934</v>
      </c>
    </row>
    <row r="28" spans="1:24" x14ac:dyDescent="0.3">
      <c r="A28" t="s">
        <v>5</v>
      </c>
      <c r="B28">
        <v>1989</v>
      </c>
      <c r="C28" s="1">
        <v>0.58890618811588302</v>
      </c>
      <c r="D28" s="1">
        <v>0.95949000000015805</v>
      </c>
      <c r="E28" s="1">
        <v>0.56504959843540203</v>
      </c>
      <c r="F28" t="s">
        <v>6</v>
      </c>
      <c r="G28">
        <v>1989</v>
      </c>
      <c r="H28" s="1">
        <v>0.57686262654071951</v>
      </c>
      <c r="I28" s="1">
        <v>0.79984999999999795</v>
      </c>
      <c r="J28" s="1">
        <v>0.4287184395316645</v>
      </c>
      <c r="K28" t="s">
        <v>7</v>
      </c>
      <c r="L28">
        <v>1989</v>
      </c>
      <c r="M28" s="1">
        <v>0.73454484975747247</v>
      </c>
      <c r="N28" s="1">
        <v>1.07680499999999</v>
      </c>
      <c r="O28" s="1">
        <v>0.79117679339533853</v>
      </c>
      <c r="P28" t="s">
        <v>8</v>
      </c>
      <c r="Q28">
        <v>1989</v>
      </c>
      <c r="R28" s="1">
        <v>0.62174227164332896</v>
      </c>
      <c r="S28" s="1">
        <v>0.71699999999999797</v>
      </c>
      <c r="T28" s="1">
        <v>0.440649021266239</v>
      </c>
      <c r="U28">
        <v>1989</v>
      </c>
      <c r="V28" s="1">
        <v>0.63051398401435099</v>
      </c>
      <c r="W28" s="1">
        <v>0.88828625000003592</v>
      </c>
      <c r="X28" s="1">
        <v>0.55639846315716102</v>
      </c>
    </row>
    <row r="29" spans="1:24" x14ac:dyDescent="0.3">
      <c r="A29" t="s">
        <v>5</v>
      </c>
      <c r="B29">
        <v>1988</v>
      </c>
      <c r="C29" s="1">
        <v>0.78581135280307601</v>
      </c>
      <c r="D29" s="1">
        <v>1.5991500000002601</v>
      </c>
      <c r="E29" s="1">
        <v>1.2566302248352399</v>
      </c>
      <c r="F29" t="s">
        <v>6</v>
      </c>
      <c r="G29">
        <v>1988</v>
      </c>
      <c r="H29" s="1">
        <v>0.52471645638921149</v>
      </c>
      <c r="I29" s="1">
        <v>0.95374999999999444</v>
      </c>
      <c r="J29" s="1">
        <v>0.51756599300220096</v>
      </c>
      <c r="K29" t="s">
        <v>7</v>
      </c>
      <c r="L29">
        <v>1988</v>
      </c>
      <c r="M29" s="1">
        <v>0.76220616674726949</v>
      </c>
      <c r="N29" s="1">
        <v>1.01525499999999</v>
      </c>
      <c r="O29" s="1">
        <v>0.77408993042238405</v>
      </c>
      <c r="P29" t="s">
        <v>8</v>
      </c>
      <c r="Q29">
        <v>1988</v>
      </c>
      <c r="R29" s="1">
        <v>0.51049214055319347</v>
      </c>
      <c r="S29" s="1">
        <v>0.94499999999999851</v>
      </c>
      <c r="T29" s="1">
        <v>0.48306854538340999</v>
      </c>
      <c r="U29">
        <v>1988</v>
      </c>
      <c r="V29" s="1">
        <v>0.64580652912318759</v>
      </c>
      <c r="W29" s="1">
        <v>1.1282887500000607</v>
      </c>
      <c r="X29" s="1">
        <v>0.75783867341080868</v>
      </c>
    </row>
    <row r="30" spans="1:24" x14ac:dyDescent="0.3">
      <c r="A30" t="s">
        <v>5</v>
      </c>
      <c r="B30">
        <v>1987</v>
      </c>
      <c r="C30" s="1">
        <v>0.77176650452809703</v>
      </c>
      <c r="D30" s="1">
        <v>0.700580000000115</v>
      </c>
      <c r="E30" s="1">
        <v>0.54068417774238298</v>
      </c>
      <c r="F30" t="s">
        <v>6</v>
      </c>
      <c r="G30">
        <v>1987</v>
      </c>
      <c r="H30" s="1">
        <v>0.55891091686095207</v>
      </c>
      <c r="I30" s="1">
        <v>1.1994500000000099</v>
      </c>
      <c r="J30" s="1">
        <v>0.665219820949284</v>
      </c>
      <c r="K30" t="s">
        <v>7</v>
      </c>
      <c r="L30">
        <v>1987</v>
      </c>
      <c r="M30" s="1">
        <v>0.6602734833792121</v>
      </c>
      <c r="N30" s="1">
        <v>0.9845099999999869</v>
      </c>
      <c r="O30" s="1">
        <v>0.63399144354116799</v>
      </c>
      <c r="P30" t="s">
        <v>8</v>
      </c>
      <c r="Q30">
        <v>1987</v>
      </c>
      <c r="R30" s="1">
        <v>0.68545547086529557</v>
      </c>
      <c r="S30" s="1">
        <v>0.91200000000001202</v>
      </c>
      <c r="T30" s="1">
        <v>0.62045932616206545</v>
      </c>
      <c r="U30">
        <v>1987</v>
      </c>
      <c r="V30" s="1">
        <v>0.66910159390838919</v>
      </c>
      <c r="W30" s="1">
        <v>0.94913500000003093</v>
      </c>
      <c r="X30" s="1">
        <v>0.61508869209872508</v>
      </c>
    </row>
    <row r="31" spans="1:24" x14ac:dyDescent="0.3">
      <c r="A31" t="s">
        <v>5</v>
      </c>
      <c r="B31">
        <v>1986</v>
      </c>
      <c r="C31" s="1">
        <v>0.75372637336398496</v>
      </c>
      <c r="D31" s="1">
        <v>1.8580600000003</v>
      </c>
      <c r="E31" s="1">
        <v>1.4004688252929101</v>
      </c>
      <c r="F31" t="s">
        <v>6</v>
      </c>
      <c r="G31">
        <v>1986</v>
      </c>
      <c r="H31" s="1">
        <v>0.76250303999281555</v>
      </c>
      <c r="I31" s="1">
        <v>0.70745000000000802</v>
      </c>
      <c r="J31" s="1">
        <v>0.54897236578563902</v>
      </c>
      <c r="K31" t="s">
        <v>7</v>
      </c>
      <c r="L31">
        <v>1986</v>
      </c>
      <c r="M31" s="1">
        <v>0.78073330884970749</v>
      </c>
      <c r="N31" s="1">
        <v>1.3228849999999901</v>
      </c>
      <c r="O31" s="1">
        <v>1.0394095240607359</v>
      </c>
      <c r="P31" t="s">
        <v>8</v>
      </c>
      <c r="Q31">
        <v>1986</v>
      </c>
      <c r="R31" s="1">
        <v>0.71832182122205257</v>
      </c>
      <c r="S31" s="1">
        <v>0.992999999999995</v>
      </c>
      <c r="T31" s="1">
        <v>0.71236734872195795</v>
      </c>
      <c r="U31">
        <v>1986</v>
      </c>
      <c r="V31" s="1">
        <v>0.75382113585714006</v>
      </c>
      <c r="W31" s="1">
        <v>1.2203487500000731</v>
      </c>
      <c r="X31" s="1">
        <v>0.92530451596531071</v>
      </c>
    </row>
    <row r="32" spans="1:24" x14ac:dyDescent="0.3">
      <c r="A32" t="s">
        <v>5</v>
      </c>
      <c r="B32">
        <v>1985</v>
      </c>
      <c r="C32" s="1">
        <v>0.91341223506069702</v>
      </c>
      <c r="D32" s="1">
        <v>1.2793200000002101</v>
      </c>
      <c r="E32" s="1">
        <v>1.16854654055804</v>
      </c>
      <c r="F32" t="s">
        <v>6</v>
      </c>
      <c r="G32">
        <v>1985</v>
      </c>
      <c r="H32" s="1">
        <v>0.78017537159978245</v>
      </c>
      <c r="I32" s="1">
        <v>0.89204999999999957</v>
      </c>
      <c r="J32" s="1">
        <v>0.78608805091149103</v>
      </c>
      <c r="K32" t="s">
        <v>7</v>
      </c>
      <c r="L32">
        <v>1985</v>
      </c>
      <c r="M32" s="1">
        <v>0.80462677003431449</v>
      </c>
      <c r="N32" s="1">
        <v>0.86142999999999459</v>
      </c>
      <c r="O32" s="1">
        <v>0.70198663662906458</v>
      </c>
      <c r="P32" t="s">
        <v>8</v>
      </c>
      <c r="Q32">
        <v>1985</v>
      </c>
      <c r="R32" s="1">
        <v>0.73389859223759546</v>
      </c>
      <c r="S32" s="1">
        <v>1.0020000000000087</v>
      </c>
      <c r="T32" s="1">
        <v>0.73179807857042256</v>
      </c>
      <c r="U32">
        <v>1985</v>
      </c>
      <c r="V32" s="1">
        <v>0.80802824223309733</v>
      </c>
      <c r="W32" s="1">
        <v>1.0087000000000532</v>
      </c>
      <c r="X32" s="1">
        <v>0.84710482666725451</v>
      </c>
    </row>
    <row r="33" spans="1:24" x14ac:dyDescent="0.3">
      <c r="A33" t="s">
        <v>5</v>
      </c>
      <c r="B33">
        <v>1984</v>
      </c>
      <c r="C33" s="1">
        <v>0.80622452775797404</v>
      </c>
      <c r="D33" s="1">
        <v>1.0965600000001801</v>
      </c>
      <c r="E33" s="1">
        <v>0.88407356815842997</v>
      </c>
      <c r="F33" t="s">
        <v>6</v>
      </c>
      <c r="G33">
        <v>1984</v>
      </c>
      <c r="H33" s="1">
        <v>0.66729800417449492</v>
      </c>
      <c r="I33" s="1">
        <v>0.86125000000000851</v>
      </c>
      <c r="J33" s="1">
        <v>0.59682004830097501</v>
      </c>
      <c r="K33" t="s">
        <v>7</v>
      </c>
      <c r="L33">
        <v>1984</v>
      </c>
      <c r="M33" s="1">
        <v>0.77138439632588351</v>
      </c>
      <c r="N33" s="1">
        <v>1.0767849999999886</v>
      </c>
      <c r="O33" s="1">
        <v>0.8338198764122795</v>
      </c>
      <c r="P33" t="s">
        <v>8</v>
      </c>
      <c r="Q33">
        <v>1984</v>
      </c>
      <c r="R33" s="1">
        <v>0.58883310027187341</v>
      </c>
      <c r="S33" s="1">
        <v>0.85800000000000354</v>
      </c>
      <c r="T33" s="1">
        <v>0.50421557734782052</v>
      </c>
      <c r="U33">
        <v>1984</v>
      </c>
      <c r="V33" s="1">
        <v>0.70843500713255647</v>
      </c>
      <c r="W33" s="1">
        <v>0.97314875000004519</v>
      </c>
      <c r="X33" s="1">
        <v>0.70473226755487617</v>
      </c>
    </row>
    <row r="34" spans="1:24" x14ac:dyDescent="0.3">
      <c r="A34" t="s">
        <v>5</v>
      </c>
      <c r="B34">
        <v>1983</v>
      </c>
      <c r="C34" s="1">
        <v>0.79795754739123304</v>
      </c>
      <c r="D34" s="1">
        <v>0.91380000000015105</v>
      </c>
      <c r="E34" s="1">
        <v>0.729173606806229</v>
      </c>
      <c r="F34" t="s">
        <v>6</v>
      </c>
      <c r="G34">
        <v>1983</v>
      </c>
      <c r="H34" s="1">
        <v>0.77584861269710248</v>
      </c>
      <c r="I34" s="1">
        <v>0.9535500000000019</v>
      </c>
      <c r="J34" s="1">
        <v>0.8118509464882705</v>
      </c>
      <c r="K34" t="s">
        <v>7</v>
      </c>
      <c r="L34">
        <v>1983</v>
      </c>
      <c r="M34" s="1">
        <v>0.66724207289361548</v>
      </c>
      <c r="N34" s="1">
        <v>1.3228949999999848</v>
      </c>
      <c r="O34" s="1">
        <v>0.88531680578270344</v>
      </c>
      <c r="P34" t="s">
        <v>8</v>
      </c>
      <c r="Q34">
        <v>1983</v>
      </c>
      <c r="R34" s="1">
        <v>0.53639697017454846</v>
      </c>
      <c r="S34" s="1">
        <v>0.90300000000000158</v>
      </c>
      <c r="T34" s="1">
        <v>0.47864794142283296</v>
      </c>
      <c r="U34">
        <v>1983</v>
      </c>
      <c r="V34" s="1">
        <v>0.69436130078912495</v>
      </c>
      <c r="W34" s="1">
        <v>1.0233112500000348</v>
      </c>
      <c r="X34" s="1">
        <v>0.726247325125009</v>
      </c>
    </row>
    <row r="35" spans="1:24" x14ac:dyDescent="0.3">
      <c r="A35" t="s">
        <v>5</v>
      </c>
      <c r="B35">
        <v>1982</v>
      </c>
      <c r="C35" s="1">
        <v>0.81390882847608004</v>
      </c>
      <c r="D35" s="1">
        <v>0.83765000000013801</v>
      </c>
      <c r="E35" s="1">
        <v>0.68177073017310097</v>
      </c>
      <c r="F35" t="s">
        <v>6</v>
      </c>
      <c r="G35">
        <v>1982</v>
      </c>
      <c r="H35" s="1">
        <v>0.74893519381346052</v>
      </c>
      <c r="I35" s="1">
        <v>0.92275000000000751</v>
      </c>
      <c r="J35" s="1">
        <v>0.70335503967473545</v>
      </c>
      <c r="K35" t="s">
        <v>7</v>
      </c>
      <c r="L35">
        <v>1982</v>
      </c>
      <c r="M35" s="1">
        <v>0.66000948773983203</v>
      </c>
      <c r="N35" s="1">
        <v>0.89219499999999352</v>
      </c>
      <c r="O35" s="1">
        <v>0.58903882016077647</v>
      </c>
      <c r="P35" t="s">
        <v>8</v>
      </c>
      <c r="Q35">
        <v>1982</v>
      </c>
      <c r="R35" s="1">
        <v>0.60391413350450596</v>
      </c>
      <c r="S35" s="1">
        <v>0.86100000000000754</v>
      </c>
      <c r="T35" s="1">
        <v>0.52426908656041205</v>
      </c>
      <c r="U35">
        <v>1982</v>
      </c>
      <c r="V35" s="1">
        <v>0.70669191088346972</v>
      </c>
      <c r="W35" s="1">
        <v>0.87839875000003653</v>
      </c>
      <c r="X35" s="1">
        <v>0.62460841914225629</v>
      </c>
    </row>
    <row r="36" spans="1:24" x14ac:dyDescent="0.3">
      <c r="F36" t="s">
        <v>6</v>
      </c>
      <c r="G36">
        <v>1981</v>
      </c>
      <c r="H36" s="1">
        <v>0.90458881125750001</v>
      </c>
      <c r="I36" s="1">
        <v>1.4764500000000051</v>
      </c>
      <c r="J36" s="1">
        <v>1.420228423842544</v>
      </c>
      <c r="K36" t="s">
        <v>7</v>
      </c>
      <c r="L36">
        <v>1981</v>
      </c>
      <c r="M36" s="1">
        <v>0.68277064841762547</v>
      </c>
      <c r="N36" s="1">
        <v>1.1998449999999869</v>
      </c>
      <c r="O36" s="1">
        <v>0.79007760987037345</v>
      </c>
      <c r="P36" t="s">
        <v>8</v>
      </c>
      <c r="Q36">
        <v>1981</v>
      </c>
      <c r="R36" s="1">
        <v>0.69127592996796294</v>
      </c>
      <c r="S36" s="1">
        <v>0.92399999999999949</v>
      </c>
      <c r="T36" s="1">
        <v>0.63823957398257347</v>
      </c>
      <c r="U36">
        <v>1981</v>
      </c>
      <c r="V36" s="1">
        <v>0.75954512988102951</v>
      </c>
      <c r="W36" s="1">
        <v>1.2000983333333306</v>
      </c>
      <c r="X36" s="1">
        <v>0.94951520256516364</v>
      </c>
    </row>
    <row r="37" spans="1:24" x14ac:dyDescent="0.3">
      <c r="F37" t="s">
        <v>6</v>
      </c>
      <c r="G37">
        <v>1980</v>
      </c>
      <c r="H37" s="1">
        <v>0.85646492447751799</v>
      </c>
      <c r="I37" s="1">
        <v>1.1072500000000036</v>
      </c>
      <c r="J37" s="1">
        <v>0.91738162955164992</v>
      </c>
      <c r="K37" t="s">
        <v>7</v>
      </c>
      <c r="L37">
        <v>1980</v>
      </c>
      <c r="M37" s="1">
        <v>0.59149239165693002</v>
      </c>
      <c r="N37" s="1">
        <v>0.9537249999999895</v>
      </c>
      <c r="O37" s="1">
        <v>0.56448819263823857</v>
      </c>
      <c r="P37" t="s">
        <v>8</v>
      </c>
      <c r="Q37">
        <v>1980</v>
      </c>
      <c r="R37" s="1">
        <v>0.88712617302587993</v>
      </c>
      <c r="S37" s="1">
        <v>0.8160000000000055</v>
      </c>
      <c r="T37" s="1">
        <v>0.72917182465289199</v>
      </c>
      <c r="U37">
        <v>1980</v>
      </c>
      <c r="V37" s="1">
        <v>0.77836116305344272</v>
      </c>
      <c r="W37" s="1">
        <v>0.95899166666666613</v>
      </c>
      <c r="X37" s="1">
        <v>0.73701388228092679</v>
      </c>
    </row>
    <row r="38" spans="1:24" x14ac:dyDescent="0.3">
      <c r="F38" t="s">
        <v>6</v>
      </c>
      <c r="G38">
        <v>1979</v>
      </c>
      <c r="H38" s="1">
        <v>0.81861256664182558</v>
      </c>
      <c r="I38" s="1">
        <v>1.2302500000000121</v>
      </c>
      <c r="J38" s="1">
        <v>0.97998266883601293</v>
      </c>
      <c r="K38" t="s">
        <v>7</v>
      </c>
      <c r="L38">
        <v>1979</v>
      </c>
      <c r="M38" s="1">
        <v>0.96872326683599252</v>
      </c>
      <c r="N38" s="1">
        <v>0.79992999999999603</v>
      </c>
      <c r="O38" s="1">
        <v>0.76576324010018193</v>
      </c>
      <c r="P38" t="s">
        <v>8</v>
      </c>
      <c r="Q38">
        <v>1979</v>
      </c>
      <c r="R38" s="1">
        <v>0.92032473025161843</v>
      </c>
      <c r="S38" s="1">
        <v>0.7650000000000039</v>
      </c>
      <c r="T38" s="1">
        <v>0.70195654201039903</v>
      </c>
      <c r="U38">
        <v>1979</v>
      </c>
      <c r="V38" s="1">
        <v>0.90255352124314536</v>
      </c>
      <c r="W38" s="1">
        <v>0.93172666666667059</v>
      </c>
      <c r="X38" s="1">
        <v>0.81590081698219796</v>
      </c>
    </row>
    <row r="39" spans="1:24" x14ac:dyDescent="0.3">
      <c r="F39" t="s">
        <v>6</v>
      </c>
      <c r="G39">
        <v>1978</v>
      </c>
      <c r="H39" s="1">
        <v>0.98942803820514402</v>
      </c>
      <c r="I39" s="1">
        <v>1.1688000000000001</v>
      </c>
      <c r="J39" s="1">
        <v>1.1582065483894799</v>
      </c>
      <c r="K39" t="s">
        <v>7</v>
      </c>
      <c r="L39">
        <v>1978</v>
      </c>
      <c r="M39" s="1">
        <v>0.58598594929834802</v>
      </c>
      <c r="N39" s="1">
        <v>0.89198999999999606</v>
      </c>
      <c r="O39" s="1">
        <v>0.51937634873186544</v>
      </c>
      <c r="P39" t="s">
        <v>8</v>
      </c>
      <c r="Q39">
        <v>1978</v>
      </c>
      <c r="R39" s="1">
        <v>0.80203589951298748</v>
      </c>
      <c r="S39" s="1">
        <v>0.88200000000000456</v>
      </c>
      <c r="T39" s="1">
        <v>0.70774664251243702</v>
      </c>
      <c r="U39">
        <v>1978</v>
      </c>
      <c r="V39" s="1">
        <v>0.7924832956721598</v>
      </c>
      <c r="W39" s="1">
        <v>0.9809300000000003</v>
      </c>
      <c r="X39" s="1">
        <v>0.79510984654459416</v>
      </c>
    </row>
    <row r="40" spans="1:24" x14ac:dyDescent="0.3">
      <c r="F40" t="s">
        <v>6</v>
      </c>
      <c r="G40">
        <v>1977</v>
      </c>
      <c r="H40" s="1">
        <v>0.91001949153696793</v>
      </c>
      <c r="I40" s="1">
        <v>0.92255000000001153</v>
      </c>
      <c r="J40" s="1">
        <v>0.83598365233178251</v>
      </c>
      <c r="K40" t="s">
        <v>7</v>
      </c>
      <c r="L40">
        <v>1977</v>
      </c>
      <c r="M40" s="1">
        <v>0.701485969225212</v>
      </c>
      <c r="N40" s="1">
        <v>0.92271000000000192</v>
      </c>
      <c r="O40" s="1">
        <v>0.64344767331199648</v>
      </c>
      <c r="P40" t="s">
        <v>8</v>
      </c>
      <c r="Q40">
        <v>1977</v>
      </c>
      <c r="R40" s="1">
        <v>0.89411392454039507</v>
      </c>
      <c r="S40" s="1">
        <v>0.92700000000000249</v>
      </c>
      <c r="T40" s="1">
        <v>0.82810226144933341</v>
      </c>
      <c r="U40">
        <v>1977</v>
      </c>
      <c r="V40" s="1">
        <v>0.835206461767525</v>
      </c>
      <c r="W40" s="1">
        <v>0.92408666666667205</v>
      </c>
      <c r="X40" s="1">
        <v>0.76917786236437069</v>
      </c>
    </row>
    <row r="41" spans="1:24" x14ac:dyDescent="0.3">
      <c r="F41" t="s">
        <v>6</v>
      </c>
      <c r="G41">
        <v>1976</v>
      </c>
      <c r="H41" s="1">
        <v>0.85802752933322046</v>
      </c>
      <c r="I41" s="1">
        <v>1.13775000000001</v>
      </c>
      <c r="J41" s="1">
        <v>0.97273020189202997</v>
      </c>
      <c r="K41" t="s">
        <v>7</v>
      </c>
      <c r="L41">
        <v>1976</v>
      </c>
      <c r="M41" s="1">
        <v>0.59007431856339543</v>
      </c>
      <c r="N41" s="1">
        <v>0.76897499999999752</v>
      </c>
      <c r="O41" s="1">
        <v>0.45187628779291156</v>
      </c>
      <c r="P41" t="s">
        <v>8</v>
      </c>
      <c r="Q41">
        <v>1976</v>
      </c>
      <c r="R41" s="1">
        <v>0.86181043568200644</v>
      </c>
      <c r="S41" s="1">
        <v>0.74400000000000643</v>
      </c>
      <c r="T41" s="1">
        <v>0.64178347627944654</v>
      </c>
      <c r="U41">
        <v>1976</v>
      </c>
      <c r="V41" s="1">
        <v>0.76997076119287422</v>
      </c>
      <c r="W41" s="1">
        <v>0.88357500000000455</v>
      </c>
      <c r="X41" s="1">
        <v>0.68879665532146273</v>
      </c>
    </row>
    <row r="42" spans="1:24" x14ac:dyDescent="0.3">
      <c r="F42" t="s">
        <v>6</v>
      </c>
      <c r="G42">
        <v>1975</v>
      </c>
      <c r="H42" s="1">
        <v>0.89276325089522746</v>
      </c>
      <c r="I42" s="1">
        <v>1.076250000000013</v>
      </c>
      <c r="J42" s="1">
        <v>0.97339370746010556</v>
      </c>
      <c r="K42" t="s">
        <v>7</v>
      </c>
      <c r="L42">
        <v>1975</v>
      </c>
      <c r="M42" s="1">
        <v>0.66952194805100596</v>
      </c>
      <c r="N42" s="1">
        <v>1.014974999999998</v>
      </c>
      <c r="O42" s="1">
        <v>0.68469290074236799</v>
      </c>
      <c r="P42" t="s">
        <v>8</v>
      </c>
      <c r="Q42">
        <v>1975</v>
      </c>
      <c r="R42" s="1">
        <v>0.77946613539924348</v>
      </c>
      <c r="S42" s="1">
        <v>0.90600000000000547</v>
      </c>
      <c r="T42" s="1">
        <v>0.70611802989101702</v>
      </c>
      <c r="U42">
        <v>1975</v>
      </c>
      <c r="V42" s="1">
        <v>0.780583778115159</v>
      </c>
      <c r="W42" s="1">
        <v>0.9990750000000056</v>
      </c>
      <c r="X42" s="1">
        <v>0.78806821269783034</v>
      </c>
    </row>
    <row r="43" spans="1:24" x14ac:dyDescent="0.3">
      <c r="F43" t="s">
        <v>6</v>
      </c>
      <c r="G43">
        <v>1974</v>
      </c>
      <c r="H43" s="1">
        <v>1.0604316034732011</v>
      </c>
      <c r="I43" s="1">
        <v>1.076250000000013</v>
      </c>
      <c r="J43" s="1">
        <v>1.2393365205028395</v>
      </c>
      <c r="K43" t="s">
        <v>7</v>
      </c>
      <c r="L43">
        <v>1974</v>
      </c>
      <c r="M43" s="1">
        <v>0.62510806746743452</v>
      </c>
      <c r="N43" s="1">
        <v>0.7996800000000015</v>
      </c>
      <c r="O43" s="1">
        <v>0.49962461455622198</v>
      </c>
      <c r="P43" t="s">
        <v>8</v>
      </c>
      <c r="Q43">
        <v>1974</v>
      </c>
      <c r="R43" s="1">
        <v>0.79992887183075845</v>
      </c>
      <c r="S43" s="1">
        <v>0.72000000000000197</v>
      </c>
      <c r="T43" s="1">
        <v>0.57594878771814795</v>
      </c>
      <c r="U43">
        <v>1974</v>
      </c>
      <c r="V43" s="1">
        <v>0.82848951425713135</v>
      </c>
      <c r="W43" s="1">
        <v>0.86531000000000546</v>
      </c>
      <c r="X43" s="1">
        <v>0.77163664092573647</v>
      </c>
    </row>
    <row r="44" spans="1:24" x14ac:dyDescent="0.3">
      <c r="F44" t="s">
        <v>6</v>
      </c>
      <c r="G44">
        <v>1973</v>
      </c>
      <c r="H44" s="1">
        <v>1.1548418146885124</v>
      </c>
      <c r="I44" s="1">
        <v>1.0455000000000101</v>
      </c>
      <c r="J44" s="1">
        <v>1.2073871172568564</v>
      </c>
      <c r="K44" t="s">
        <v>7</v>
      </c>
      <c r="L44">
        <v>1973</v>
      </c>
      <c r="M44" s="1">
        <v>0.71499685681235203</v>
      </c>
      <c r="N44" s="1">
        <v>0.98422499999999802</v>
      </c>
      <c r="O44" s="1">
        <v>0.69975079481020097</v>
      </c>
      <c r="P44" t="s">
        <v>8</v>
      </c>
      <c r="Q44">
        <v>1973</v>
      </c>
      <c r="R44" s="1">
        <v>0.83321727094913001</v>
      </c>
      <c r="S44" s="1">
        <v>0.81000000000000205</v>
      </c>
      <c r="T44" s="1">
        <v>0.68322541021578509</v>
      </c>
      <c r="U44">
        <v>1973</v>
      </c>
      <c r="V44" s="1">
        <v>0.90101864748333149</v>
      </c>
      <c r="W44" s="1">
        <v>0.94657500000000339</v>
      </c>
      <c r="X44" s="1">
        <v>0.86345444076094757</v>
      </c>
    </row>
    <row r="45" spans="1:24" x14ac:dyDescent="0.3">
      <c r="F45" t="s">
        <v>6</v>
      </c>
      <c r="G45">
        <v>1972</v>
      </c>
      <c r="H45" s="1">
        <v>0.86175918541627405</v>
      </c>
      <c r="I45" s="1">
        <v>0.95325000000001447</v>
      </c>
      <c r="J45" s="1">
        <v>0.82320922488014192</v>
      </c>
      <c r="K45" t="s">
        <v>7</v>
      </c>
      <c r="L45">
        <v>1972</v>
      </c>
      <c r="M45" s="1">
        <v>0.75873308684687957</v>
      </c>
      <c r="N45" s="1">
        <v>0.86119500000000149</v>
      </c>
      <c r="O45" s="1">
        <v>0.65305260584706493</v>
      </c>
      <c r="P45" t="s">
        <v>8</v>
      </c>
      <c r="Q45">
        <v>1972</v>
      </c>
      <c r="R45" s="1">
        <v>0.55262155885577147</v>
      </c>
      <c r="S45" s="1">
        <v>0.97500000000000808</v>
      </c>
      <c r="T45" s="1">
        <v>0.53995620514141995</v>
      </c>
      <c r="U45">
        <v>1972</v>
      </c>
      <c r="V45" s="1">
        <v>0.72437127703964166</v>
      </c>
      <c r="W45" s="1">
        <v>0.92981500000000805</v>
      </c>
      <c r="X45" s="1">
        <v>0.67207267862287556</v>
      </c>
    </row>
    <row r="46" spans="1:24" x14ac:dyDescent="0.3">
      <c r="F46" t="s">
        <v>6</v>
      </c>
      <c r="G46">
        <v>1971</v>
      </c>
      <c r="H46" s="1">
        <v>0.86099293634469354</v>
      </c>
      <c r="I46" s="1">
        <v>1.076250000000013</v>
      </c>
      <c r="J46" s="1">
        <v>0.93532891771456605</v>
      </c>
      <c r="K46" t="s">
        <v>7</v>
      </c>
      <c r="L46">
        <v>1971</v>
      </c>
      <c r="M46" s="1">
        <v>0.74573172518308251</v>
      </c>
      <c r="N46" s="1">
        <v>0.8611800000000005</v>
      </c>
      <c r="O46" s="1">
        <v>0.65941354801952745</v>
      </c>
      <c r="P46" t="s">
        <v>8</v>
      </c>
      <c r="Q46">
        <v>1971</v>
      </c>
      <c r="R46" s="1">
        <v>0.57263923800997252</v>
      </c>
      <c r="S46" s="1">
        <v>1.019999999999998</v>
      </c>
      <c r="T46" s="1">
        <v>0.57719181077187454</v>
      </c>
      <c r="U46">
        <v>1971</v>
      </c>
      <c r="V46" s="1">
        <v>0.72645463317924952</v>
      </c>
      <c r="W46" s="1">
        <v>0.98581000000000385</v>
      </c>
      <c r="X46" s="1">
        <v>0.72397809216865605</v>
      </c>
    </row>
    <row r="47" spans="1:24" x14ac:dyDescent="0.3">
      <c r="F47" t="s">
        <v>6</v>
      </c>
      <c r="G47">
        <v>1970</v>
      </c>
      <c r="H47" s="1">
        <v>0.87313105483970854</v>
      </c>
      <c r="I47" s="1">
        <v>1.260750000000018</v>
      </c>
      <c r="J47" s="1">
        <v>1.0722680457944449</v>
      </c>
      <c r="K47" t="s">
        <v>7</v>
      </c>
      <c r="L47">
        <v>1970</v>
      </c>
      <c r="M47" s="1">
        <v>0.99502618774367146</v>
      </c>
      <c r="N47" s="1">
        <v>1.014945</v>
      </c>
      <c r="O47" s="1">
        <v>1.0227835452953455</v>
      </c>
      <c r="P47" t="s">
        <v>8</v>
      </c>
      <c r="Q47">
        <v>1970</v>
      </c>
      <c r="R47" s="1">
        <v>0.64771215539836802</v>
      </c>
      <c r="S47" s="1">
        <v>0.8130000000000055</v>
      </c>
      <c r="T47" s="1">
        <v>0.52695109761046754</v>
      </c>
      <c r="U47">
        <v>1970</v>
      </c>
      <c r="V47" s="1">
        <v>0.83862313266058275</v>
      </c>
      <c r="W47" s="1">
        <v>1.0295650000000078</v>
      </c>
      <c r="X47" s="1">
        <v>0.87400089623341926</v>
      </c>
    </row>
    <row r="48" spans="1:24" x14ac:dyDescent="0.3">
      <c r="F48" t="s">
        <v>6</v>
      </c>
      <c r="G48">
        <v>1969</v>
      </c>
      <c r="H48" s="1">
        <v>0.78729113639681247</v>
      </c>
      <c r="I48" s="1">
        <v>1.0147500000000131</v>
      </c>
      <c r="J48" s="1">
        <v>0.8047575626402319</v>
      </c>
      <c r="K48" t="s">
        <v>7</v>
      </c>
      <c r="L48">
        <v>1969</v>
      </c>
      <c r="M48" s="1">
        <v>0.92342054885841596</v>
      </c>
      <c r="N48" s="1">
        <v>0.73813500000000298</v>
      </c>
      <c r="O48" s="1">
        <v>0.66730943277356447</v>
      </c>
      <c r="P48" t="s">
        <v>8</v>
      </c>
      <c r="Q48">
        <v>1969</v>
      </c>
      <c r="R48" s="1">
        <v>0.58033996003827704</v>
      </c>
      <c r="S48" s="1">
        <v>0.86700000000001054</v>
      </c>
      <c r="T48" s="1">
        <v>0.52147777214107649</v>
      </c>
      <c r="U48">
        <v>1969</v>
      </c>
      <c r="V48" s="1">
        <v>0.76368388176450175</v>
      </c>
      <c r="W48" s="1">
        <v>0.87329500000000893</v>
      </c>
      <c r="X48" s="1">
        <v>0.66451492251829103</v>
      </c>
    </row>
    <row r="49" spans="6:24" x14ac:dyDescent="0.3">
      <c r="F49" t="s">
        <v>6</v>
      </c>
      <c r="G49">
        <v>1968</v>
      </c>
      <c r="H49" s="1">
        <v>0.80804523876066892</v>
      </c>
      <c r="I49" s="1">
        <v>0.98400000000000709</v>
      </c>
      <c r="J49" s="1">
        <v>0.76953957301880793</v>
      </c>
      <c r="K49" t="s">
        <v>7</v>
      </c>
      <c r="L49">
        <v>1968</v>
      </c>
      <c r="M49" s="1">
        <v>0.80216947350504053</v>
      </c>
      <c r="N49" s="1">
        <v>1.1379900000000016</v>
      </c>
      <c r="O49" s="1">
        <v>0.891698701378974</v>
      </c>
      <c r="P49" t="s">
        <v>8</v>
      </c>
      <c r="Q49">
        <v>1968</v>
      </c>
      <c r="R49" s="1">
        <v>0.61396866278641848</v>
      </c>
      <c r="S49" s="1">
        <v>0.57900000000000396</v>
      </c>
      <c r="T49" s="1">
        <v>0.34874469256071999</v>
      </c>
      <c r="U49">
        <v>1968</v>
      </c>
      <c r="V49" s="1">
        <v>0.74139445835070938</v>
      </c>
      <c r="W49" s="1">
        <v>0.90033000000000418</v>
      </c>
      <c r="X49" s="1">
        <v>0.66999432231950051</v>
      </c>
    </row>
    <row r="50" spans="6:24" x14ac:dyDescent="0.3">
      <c r="F50" t="s">
        <v>6</v>
      </c>
      <c r="G50">
        <v>1967</v>
      </c>
      <c r="H50" s="1">
        <v>0.77217658015169899</v>
      </c>
      <c r="I50" s="1">
        <v>1.076250000000013</v>
      </c>
      <c r="J50" s="1">
        <v>0.80828646500430645</v>
      </c>
      <c r="K50" t="s">
        <v>7</v>
      </c>
      <c r="L50">
        <v>1967</v>
      </c>
      <c r="M50" s="1">
        <v>0.82948030136999251</v>
      </c>
      <c r="N50" s="1">
        <v>0.89191499999999901</v>
      </c>
      <c r="O50" s="1">
        <v>0.72612569051408005</v>
      </c>
      <c r="P50" t="s">
        <v>8</v>
      </c>
      <c r="Q50">
        <v>1967</v>
      </c>
      <c r="R50" s="1">
        <v>0.45912835446071854</v>
      </c>
      <c r="S50" s="1">
        <v>1.1670000000000116</v>
      </c>
      <c r="T50" s="1">
        <v>0.54771372600075752</v>
      </c>
      <c r="U50">
        <v>1967</v>
      </c>
      <c r="V50" s="1">
        <v>0.68692841199413657</v>
      </c>
      <c r="W50" s="1">
        <v>1.0450550000000078</v>
      </c>
      <c r="X50" s="1">
        <v>0.69404196050638134</v>
      </c>
    </row>
    <row r="51" spans="6:24" x14ac:dyDescent="0.3">
      <c r="F51" t="s">
        <v>6</v>
      </c>
      <c r="G51">
        <v>1966</v>
      </c>
      <c r="H51" s="1">
        <v>0.73579657469764648</v>
      </c>
      <c r="I51" s="1">
        <v>1.137750000000018</v>
      </c>
      <c r="J51" s="1">
        <v>0.825443092089724</v>
      </c>
      <c r="K51" t="s">
        <v>7</v>
      </c>
      <c r="L51">
        <v>1966</v>
      </c>
      <c r="M51" s="1">
        <v>0.80622440507191051</v>
      </c>
      <c r="N51" s="1">
        <v>0.86120999999999948</v>
      </c>
      <c r="O51" s="1">
        <v>0.69434835419104901</v>
      </c>
      <c r="P51" t="s">
        <v>8</v>
      </c>
      <c r="Q51">
        <v>1966</v>
      </c>
      <c r="R51" s="1">
        <v>0.447856274426292</v>
      </c>
      <c r="S51" s="1">
        <v>1.3560000000000052</v>
      </c>
      <c r="T51" s="1">
        <v>0.6012389464210115</v>
      </c>
      <c r="U51">
        <v>1966</v>
      </c>
      <c r="V51" s="1">
        <v>0.66329241806528294</v>
      </c>
      <c r="W51" s="1">
        <v>1.1183200000000075</v>
      </c>
      <c r="X51" s="1">
        <v>0.70701013090059472</v>
      </c>
    </row>
    <row r="52" spans="6:24" x14ac:dyDescent="0.3">
      <c r="F52" t="s">
        <v>6</v>
      </c>
      <c r="G52">
        <v>1965</v>
      </c>
      <c r="H52" s="1">
        <v>0.64336117455747199</v>
      </c>
      <c r="I52" s="1">
        <v>1.0455000000000105</v>
      </c>
      <c r="J52" s="1">
        <v>0.65621360573563403</v>
      </c>
      <c r="K52" t="s">
        <v>7</v>
      </c>
      <c r="L52">
        <v>1965</v>
      </c>
      <c r="M52" s="1">
        <v>0.83749937090609694</v>
      </c>
      <c r="N52" s="1">
        <v>1.3839900000000065</v>
      </c>
      <c r="O52" s="1">
        <v>1.2196402003840721</v>
      </c>
      <c r="P52" t="s">
        <v>8</v>
      </c>
      <c r="Q52">
        <v>1965</v>
      </c>
      <c r="R52" s="1">
        <v>0.28732971629627402</v>
      </c>
      <c r="S52" s="1">
        <v>1.154999999999998</v>
      </c>
      <c r="T52" s="1">
        <v>0.33617547867745901</v>
      </c>
      <c r="U52">
        <v>1965</v>
      </c>
      <c r="V52" s="1">
        <v>0.58939675391994761</v>
      </c>
      <c r="W52" s="1">
        <v>1.1948300000000052</v>
      </c>
      <c r="X52" s="1">
        <v>0.73734309493238837</v>
      </c>
    </row>
    <row r="53" spans="6:24" x14ac:dyDescent="0.3">
      <c r="F53" t="s">
        <v>6</v>
      </c>
      <c r="G53">
        <v>1964</v>
      </c>
      <c r="H53" s="1">
        <v>0.671559725721387</v>
      </c>
      <c r="I53" s="1">
        <v>1.1070000000000131</v>
      </c>
      <c r="J53" s="1">
        <v>0.73053094572664956</v>
      </c>
      <c r="K53" t="s">
        <v>7</v>
      </c>
      <c r="L53">
        <v>1964</v>
      </c>
      <c r="M53" s="1">
        <v>0.76367736230886052</v>
      </c>
      <c r="N53" s="1">
        <v>1.1687100000000039</v>
      </c>
      <c r="O53" s="1">
        <v>0.92044424117270052</v>
      </c>
      <c r="P53" t="s">
        <v>8</v>
      </c>
      <c r="Q53">
        <v>1964</v>
      </c>
      <c r="R53" s="1">
        <v>0.42462763952169003</v>
      </c>
      <c r="S53" s="1">
        <v>1.350000000000005</v>
      </c>
      <c r="T53" s="1">
        <v>0.57491635392773754</v>
      </c>
      <c r="U53">
        <v>1964</v>
      </c>
      <c r="V53" s="1">
        <v>0.61995490918397911</v>
      </c>
      <c r="W53" s="1">
        <v>1.2085700000000072</v>
      </c>
      <c r="X53" s="1">
        <v>0.74196384694236261</v>
      </c>
    </row>
    <row r="54" spans="6:24" x14ac:dyDescent="0.3">
      <c r="F54" t="s">
        <v>6</v>
      </c>
      <c r="G54">
        <v>1963</v>
      </c>
      <c r="H54" s="1">
        <v>0.83416862580883944</v>
      </c>
      <c r="I54" s="1">
        <v>1.1377500000000165</v>
      </c>
      <c r="J54" s="1">
        <v>0.93223042515706045</v>
      </c>
      <c r="K54" t="s">
        <v>7</v>
      </c>
      <c r="L54">
        <v>1963</v>
      </c>
      <c r="M54" s="1">
        <v>0.8024480695192675</v>
      </c>
      <c r="N54" s="1">
        <v>0.92272499999999946</v>
      </c>
      <c r="O54" s="1">
        <v>0.74044509243832457</v>
      </c>
      <c r="P54" t="s">
        <v>8</v>
      </c>
      <c r="Q54">
        <v>1963</v>
      </c>
      <c r="R54" s="1">
        <v>0.58128447895073343</v>
      </c>
      <c r="S54" s="1">
        <v>0.85800000000000354</v>
      </c>
      <c r="T54" s="1">
        <v>0.49876810651999648</v>
      </c>
      <c r="U54">
        <v>1963</v>
      </c>
      <c r="V54" s="1">
        <v>0.73930039142628023</v>
      </c>
      <c r="W54" s="1">
        <v>0.97282500000000649</v>
      </c>
      <c r="X54" s="1">
        <v>0.72381454137179391</v>
      </c>
    </row>
    <row r="55" spans="6:24" x14ac:dyDescent="0.3">
      <c r="F55" t="s">
        <v>6</v>
      </c>
      <c r="G55">
        <v>1962</v>
      </c>
      <c r="H55" s="1">
        <v>0.96794166318555153</v>
      </c>
      <c r="I55" s="1">
        <v>1.168500000000013</v>
      </c>
      <c r="J55" s="1">
        <v>1.1088546897393452</v>
      </c>
      <c r="K55" t="s">
        <v>7</v>
      </c>
      <c r="L55">
        <v>1962</v>
      </c>
      <c r="M55" s="1">
        <v>0.87639483120509354</v>
      </c>
      <c r="N55" s="1">
        <v>1.2609900000000016</v>
      </c>
      <c r="O55" s="1">
        <v>1.0829877037716635</v>
      </c>
      <c r="P55" t="s">
        <v>8</v>
      </c>
      <c r="Q55">
        <v>1962</v>
      </c>
      <c r="R55" s="1">
        <v>0.58304660010541798</v>
      </c>
      <c r="S55" s="1">
        <v>1.2870000000000166</v>
      </c>
      <c r="T55" s="1">
        <v>0.74898262974618945</v>
      </c>
      <c r="U55">
        <v>1962</v>
      </c>
      <c r="V55" s="1">
        <v>0.80912769816535446</v>
      </c>
      <c r="W55" s="1">
        <v>1.2388300000000105</v>
      </c>
      <c r="X55" s="1">
        <v>0.9802750077523994</v>
      </c>
    </row>
    <row r="56" spans="6:24" x14ac:dyDescent="0.3">
      <c r="F56" t="s">
        <v>6</v>
      </c>
      <c r="G56">
        <v>1961</v>
      </c>
      <c r="H56" s="1">
        <v>0.93600405529596853</v>
      </c>
      <c r="I56" s="1">
        <v>1.4145000000000199</v>
      </c>
      <c r="J56" s="1">
        <v>1.3331647964355551</v>
      </c>
      <c r="K56" t="s">
        <v>7</v>
      </c>
      <c r="L56">
        <v>1961</v>
      </c>
      <c r="M56" s="1">
        <v>0.85696480679906406</v>
      </c>
      <c r="N56" s="1">
        <v>1.0148850000000065</v>
      </c>
      <c r="O56" s="1">
        <v>0.82722903320337893</v>
      </c>
      <c r="P56" t="s">
        <v>8</v>
      </c>
      <c r="Q56">
        <v>1961</v>
      </c>
      <c r="R56" s="1">
        <v>0.49768497312457999</v>
      </c>
      <c r="S56" s="1">
        <v>0.6960000000000045</v>
      </c>
      <c r="T56" s="1">
        <v>0.34430409942124496</v>
      </c>
      <c r="U56">
        <v>1961</v>
      </c>
      <c r="V56" s="1">
        <v>0.76355127840653747</v>
      </c>
      <c r="W56" s="1">
        <v>1.0417950000000105</v>
      </c>
      <c r="X56" s="1">
        <v>0.83489930968672643</v>
      </c>
    </row>
    <row r="57" spans="6:24" x14ac:dyDescent="0.3">
      <c r="F57" t="s">
        <v>6</v>
      </c>
      <c r="G57">
        <v>1960</v>
      </c>
      <c r="H57" s="1">
        <v>0.763432809468369</v>
      </c>
      <c r="I57" s="1">
        <v>1.2915000000000101</v>
      </c>
      <c r="J57" s="1">
        <v>0.97125771413960704</v>
      </c>
      <c r="K57" t="s">
        <v>7</v>
      </c>
      <c r="L57">
        <v>1960</v>
      </c>
      <c r="M57" s="1">
        <v>0.87818432729039797</v>
      </c>
      <c r="N57" s="1">
        <v>1.076534999999998</v>
      </c>
      <c r="O57" s="1">
        <v>0.95334160835686299</v>
      </c>
      <c r="P57" t="s">
        <v>8</v>
      </c>
      <c r="Q57">
        <v>1960</v>
      </c>
      <c r="R57" s="1">
        <v>0.64755183203730249</v>
      </c>
      <c r="S57" s="1">
        <v>1.0649999999999979</v>
      </c>
      <c r="T57" s="1">
        <v>0.68880326515861445</v>
      </c>
      <c r="U57">
        <v>1960</v>
      </c>
      <c r="V57" s="1">
        <v>0.76305632293202319</v>
      </c>
      <c r="W57" s="1">
        <v>1.1443450000000019</v>
      </c>
      <c r="X57" s="1">
        <v>0.87113419588502816</v>
      </c>
    </row>
    <row r="58" spans="6:24" x14ac:dyDescent="0.3">
      <c r="F58" t="s">
        <v>6</v>
      </c>
      <c r="G58">
        <v>1959</v>
      </c>
      <c r="H58" s="1">
        <v>0.87513870131825144</v>
      </c>
      <c r="I58" s="1">
        <v>1.2915000000000152</v>
      </c>
      <c r="J58" s="1">
        <v>1.1325104649018505</v>
      </c>
      <c r="K58" t="s">
        <v>7</v>
      </c>
      <c r="L58">
        <v>1959</v>
      </c>
      <c r="M58" s="1">
        <v>0.83051447578698556</v>
      </c>
      <c r="N58" s="1">
        <v>1.0765049999999949</v>
      </c>
      <c r="O58" s="1">
        <v>0.89594717190260709</v>
      </c>
      <c r="P58" t="s">
        <v>8</v>
      </c>
      <c r="Q58">
        <v>1959</v>
      </c>
      <c r="R58" s="1">
        <v>0.74086828917319503</v>
      </c>
      <c r="S58" s="1">
        <v>1.044</v>
      </c>
      <c r="T58" s="1">
        <v>0.77534841708585955</v>
      </c>
      <c r="U58">
        <v>1959</v>
      </c>
      <c r="V58" s="1">
        <v>0.81550715542614405</v>
      </c>
      <c r="W58" s="1">
        <v>1.1373350000000033</v>
      </c>
      <c r="X58" s="1">
        <v>0.934602017963439</v>
      </c>
    </row>
    <row r="59" spans="6:24" x14ac:dyDescent="0.3">
      <c r="F59" t="s">
        <v>6</v>
      </c>
      <c r="G59">
        <v>1958</v>
      </c>
      <c r="H59" s="1">
        <v>0.68724868864449251</v>
      </c>
      <c r="I59" s="1">
        <v>1.10700000000001</v>
      </c>
      <c r="J59" s="1">
        <v>0.76078429832946248</v>
      </c>
      <c r="K59" t="s">
        <v>7</v>
      </c>
      <c r="L59">
        <v>1958</v>
      </c>
      <c r="M59" s="1">
        <v>0.82713494560797596</v>
      </c>
      <c r="N59" s="1">
        <v>1.1995050000000251</v>
      </c>
      <c r="O59" s="1">
        <v>1.0030632955463417</v>
      </c>
      <c r="P59" t="s">
        <v>8</v>
      </c>
      <c r="Q59">
        <v>1958</v>
      </c>
      <c r="R59" s="1">
        <v>0.7627887519993124</v>
      </c>
      <c r="S59" s="1">
        <v>0.88200000000000456</v>
      </c>
      <c r="T59" s="1">
        <v>0.67441408439076556</v>
      </c>
      <c r="U59">
        <v>1958</v>
      </c>
      <c r="V59" s="1">
        <v>0.75905746208392699</v>
      </c>
      <c r="W59" s="1">
        <v>1.0628350000000133</v>
      </c>
      <c r="X59" s="1">
        <v>0.81275389275552323</v>
      </c>
    </row>
    <row r="60" spans="6:24" x14ac:dyDescent="0.3">
      <c r="F60" t="s">
        <v>6</v>
      </c>
      <c r="G60">
        <v>1957</v>
      </c>
      <c r="H60" s="1">
        <v>0.75950478863948201</v>
      </c>
      <c r="I60" s="1">
        <v>0.92250000000001298</v>
      </c>
      <c r="J60" s="1">
        <v>0.70064316751993294</v>
      </c>
      <c r="K60" t="s">
        <v>7</v>
      </c>
      <c r="L60">
        <v>1957</v>
      </c>
      <c r="M60" s="1">
        <v>0.93055799392945304</v>
      </c>
      <c r="N60" s="1">
        <v>1.0149450000000355</v>
      </c>
      <c r="O60" s="1">
        <v>0.94335693641429252</v>
      </c>
      <c r="P60" t="s">
        <v>8</v>
      </c>
      <c r="Q60">
        <v>1957</v>
      </c>
      <c r="R60" s="1">
        <v>0.78660934620688594</v>
      </c>
      <c r="S60" s="1">
        <v>1.1190000000000064</v>
      </c>
      <c r="T60" s="1">
        <v>0.86939911452271001</v>
      </c>
      <c r="U60">
        <v>1957</v>
      </c>
      <c r="V60" s="1">
        <v>0.82555737625860692</v>
      </c>
      <c r="W60" s="1">
        <v>1.0188150000000185</v>
      </c>
      <c r="X60" s="1">
        <v>0.83779973948564512</v>
      </c>
    </row>
    <row r="61" spans="6:24" x14ac:dyDescent="0.3">
      <c r="F61" t="s">
        <v>6</v>
      </c>
      <c r="G61">
        <v>1956</v>
      </c>
      <c r="H61" s="1">
        <v>0.71104780875537199</v>
      </c>
      <c r="I61" s="1">
        <v>1.199250000000015</v>
      </c>
      <c r="J61" s="1">
        <v>0.86642548027407196</v>
      </c>
      <c r="K61" t="s">
        <v>7</v>
      </c>
      <c r="L61">
        <v>1956</v>
      </c>
      <c r="M61" s="1">
        <v>0.94231787195316952</v>
      </c>
      <c r="N61" s="1">
        <v>1.0456950000000407</v>
      </c>
      <c r="O61" s="1">
        <v>0.94956674757300008</v>
      </c>
      <c r="P61" t="s">
        <v>8</v>
      </c>
      <c r="Q61">
        <v>1956</v>
      </c>
      <c r="R61" s="1">
        <v>0.81762801364802951</v>
      </c>
      <c r="S61" s="1">
        <v>1.09500000000001</v>
      </c>
      <c r="T61" s="1">
        <v>0.88587040391522143</v>
      </c>
      <c r="U61">
        <v>1956</v>
      </c>
      <c r="V61" s="1">
        <v>0.82366456478552363</v>
      </c>
      <c r="W61" s="1">
        <v>1.1133150000000218</v>
      </c>
      <c r="X61" s="1">
        <v>0.90062087725409778</v>
      </c>
    </row>
    <row r="62" spans="6:24" x14ac:dyDescent="0.3">
      <c r="F62" t="s">
        <v>6</v>
      </c>
      <c r="G62">
        <v>1955</v>
      </c>
      <c r="H62" s="1">
        <v>0.74236759788555995</v>
      </c>
      <c r="I62" s="1">
        <v>1.199250000000015</v>
      </c>
      <c r="J62" s="1">
        <v>0.8864320153809</v>
      </c>
      <c r="K62" t="s">
        <v>7</v>
      </c>
      <c r="L62">
        <v>1955</v>
      </c>
      <c r="M62" s="1">
        <v>0.81887658359144044</v>
      </c>
      <c r="N62" s="1">
        <v>1.076490000000043</v>
      </c>
      <c r="O62" s="1">
        <v>0.87905523531148355</v>
      </c>
      <c r="P62" t="s">
        <v>8</v>
      </c>
      <c r="Q62">
        <v>1955</v>
      </c>
      <c r="R62" s="1">
        <v>0.796688047351926</v>
      </c>
      <c r="S62" s="1">
        <v>0.94799999999999507</v>
      </c>
      <c r="T62" s="1">
        <v>0.75483683583267402</v>
      </c>
      <c r="U62">
        <v>1955</v>
      </c>
      <c r="V62" s="1">
        <v>0.78597740960964213</v>
      </c>
      <c r="W62" s="1">
        <v>1.0745800000000176</v>
      </c>
      <c r="X62" s="1">
        <v>0.84010802884168589</v>
      </c>
    </row>
    <row r="63" spans="6:24" x14ac:dyDescent="0.3">
      <c r="F63" t="s">
        <v>6</v>
      </c>
      <c r="G63">
        <v>1954</v>
      </c>
      <c r="H63" s="1">
        <v>0.73597373863440607</v>
      </c>
      <c r="I63" s="1">
        <v>1.414500000000015</v>
      </c>
      <c r="J63" s="1">
        <v>1.0403397216028449</v>
      </c>
      <c r="K63" t="s">
        <v>7</v>
      </c>
      <c r="L63">
        <v>1954</v>
      </c>
      <c r="M63" s="1">
        <v>0.95041860358075902</v>
      </c>
      <c r="N63" s="1">
        <v>0.95344500000004051</v>
      </c>
      <c r="O63" s="1">
        <v>0.89178757967435751</v>
      </c>
      <c r="P63" t="s">
        <v>8</v>
      </c>
      <c r="Q63">
        <v>1954</v>
      </c>
      <c r="R63" s="1">
        <v>0.78163468941577552</v>
      </c>
      <c r="S63" s="1">
        <v>1.140000000000005</v>
      </c>
      <c r="T63" s="1">
        <v>0.88993323757769349</v>
      </c>
      <c r="U63">
        <v>1954</v>
      </c>
      <c r="V63" s="1">
        <v>0.82267567721031354</v>
      </c>
      <c r="W63" s="1">
        <v>1.1693150000000203</v>
      </c>
      <c r="X63" s="1">
        <v>0.94068684628496524</v>
      </c>
    </row>
    <row r="64" spans="6:24" x14ac:dyDescent="0.3">
      <c r="F64" t="s">
        <v>6</v>
      </c>
      <c r="G64">
        <v>1953</v>
      </c>
      <c r="H64" s="1">
        <v>0.73666217201845896</v>
      </c>
      <c r="I64" s="1">
        <v>0.95325000000000948</v>
      </c>
      <c r="J64" s="1">
        <v>0.67802484164753851</v>
      </c>
      <c r="K64" t="s">
        <v>7</v>
      </c>
      <c r="L64">
        <v>1953</v>
      </c>
      <c r="M64" s="1">
        <v>0.92646798279494247</v>
      </c>
      <c r="N64" s="1">
        <v>1.0457100000000379</v>
      </c>
      <c r="O64" s="1">
        <v>0.96509394426612694</v>
      </c>
      <c r="P64" t="s">
        <v>8</v>
      </c>
      <c r="Q64">
        <v>1953</v>
      </c>
      <c r="R64" s="1">
        <v>0.68603933848691545</v>
      </c>
      <c r="S64" s="1">
        <v>0.85800000000000354</v>
      </c>
      <c r="T64" s="1">
        <v>0.59051256767155003</v>
      </c>
      <c r="U64">
        <v>1953</v>
      </c>
      <c r="V64" s="1">
        <v>0.78305649776677233</v>
      </c>
      <c r="W64" s="1">
        <v>0.95232000000001704</v>
      </c>
      <c r="X64" s="1">
        <v>0.74454378452840519</v>
      </c>
    </row>
    <row r="65" spans="6:24" x14ac:dyDescent="0.3">
      <c r="F65" t="s">
        <v>6</v>
      </c>
      <c r="G65">
        <v>1952</v>
      </c>
      <c r="H65" s="1">
        <v>0.39478142765105501</v>
      </c>
      <c r="I65" s="1">
        <v>0.61500000000000499</v>
      </c>
      <c r="J65" s="1">
        <v>0.48558115601080448</v>
      </c>
      <c r="K65" t="s">
        <v>7</v>
      </c>
      <c r="L65">
        <v>1952</v>
      </c>
      <c r="M65" s="1">
        <v>1.0023448821946594</v>
      </c>
      <c r="N65" s="1">
        <v>1.1072100000000331</v>
      </c>
      <c r="O65" s="1">
        <v>1.1080557582746315</v>
      </c>
      <c r="P65" t="s">
        <v>8</v>
      </c>
      <c r="Q65">
        <v>1952</v>
      </c>
      <c r="R65" s="1">
        <v>0.7036577395725585</v>
      </c>
      <c r="S65" s="1">
        <v>1.3679999999999999</v>
      </c>
      <c r="T65" s="1">
        <v>0.96740195236179849</v>
      </c>
      <c r="U65">
        <v>1952</v>
      </c>
      <c r="V65" s="1">
        <v>0.700261349806091</v>
      </c>
      <c r="W65" s="1">
        <v>1.0300700000000127</v>
      </c>
      <c r="X65" s="1">
        <v>0.85367962221574489</v>
      </c>
    </row>
    <row r="66" spans="6:24" x14ac:dyDescent="0.3">
      <c r="F66" t="s">
        <v>6</v>
      </c>
      <c r="G66">
        <v>1951</v>
      </c>
      <c r="H66" s="1">
        <v>0.4410553829547445</v>
      </c>
      <c r="I66" s="1">
        <v>0.46125000000000649</v>
      </c>
      <c r="J66" s="1">
        <v>0.40687359077575802</v>
      </c>
      <c r="K66" t="s">
        <v>7</v>
      </c>
      <c r="L66">
        <v>1951</v>
      </c>
      <c r="M66" s="1">
        <v>0.82204353135087693</v>
      </c>
      <c r="N66" s="1">
        <v>1.322595000000055</v>
      </c>
      <c r="O66" s="1">
        <v>1.0884742738162716</v>
      </c>
      <c r="P66" t="s">
        <v>8</v>
      </c>
      <c r="Q66">
        <v>1951</v>
      </c>
      <c r="R66" s="1">
        <v>0.50796733122408699</v>
      </c>
      <c r="S66" s="1">
        <v>1.2959999999999949</v>
      </c>
      <c r="T66" s="1">
        <v>0.6533703611653775</v>
      </c>
      <c r="U66">
        <v>1951</v>
      </c>
      <c r="V66" s="1">
        <v>0.59035541517656942</v>
      </c>
      <c r="W66" s="1">
        <v>1.0266150000000189</v>
      </c>
      <c r="X66" s="1">
        <v>0.71623940858580237</v>
      </c>
    </row>
    <row r="67" spans="6:24" x14ac:dyDescent="0.3">
      <c r="K67" t="s">
        <v>7</v>
      </c>
      <c r="L67">
        <v>1950</v>
      </c>
      <c r="M67" s="1">
        <v>0.91056618775198794</v>
      </c>
      <c r="N67" s="1">
        <v>0.98421000000004299</v>
      </c>
      <c r="O67" s="1">
        <v>0.88868529272005303</v>
      </c>
      <c r="P67" t="s">
        <v>8</v>
      </c>
      <c r="Q67">
        <v>1950</v>
      </c>
      <c r="R67" s="1">
        <v>0.27110053822968899</v>
      </c>
      <c r="S67" s="1">
        <v>0.94499999999997497</v>
      </c>
      <c r="T67" s="1">
        <v>0.51238001725409998</v>
      </c>
      <c r="V67" s="1">
        <v>0.59083336299083844</v>
      </c>
      <c r="W67" s="1">
        <v>0.96460500000000904</v>
      </c>
      <c r="X67" s="1">
        <v>0.70053265498707651</v>
      </c>
    </row>
    <row r="68" spans="6:24" x14ac:dyDescent="0.3">
      <c r="K68" t="s">
        <v>7</v>
      </c>
      <c r="L68">
        <v>1949</v>
      </c>
      <c r="M68" s="1">
        <v>1.02005658930383</v>
      </c>
      <c r="N68" s="1">
        <v>1.138065000000049</v>
      </c>
      <c r="O68" s="1">
        <v>1.13712962908911</v>
      </c>
      <c r="V68" s="1">
        <v>1.02005658930383</v>
      </c>
      <c r="W68" s="1">
        <v>1.138065000000049</v>
      </c>
      <c r="X68" s="1">
        <v>1.13712962908911</v>
      </c>
    </row>
    <row r="69" spans="6:24" x14ac:dyDescent="0.3">
      <c r="K69" t="s">
        <v>7</v>
      </c>
      <c r="L69">
        <v>1948</v>
      </c>
      <c r="M69" s="1">
        <v>0.87307897545355351</v>
      </c>
      <c r="N69" s="1">
        <v>1.1996250000000641</v>
      </c>
      <c r="O69" s="1">
        <v>0.94858992613804649</v>
      </c>
      <c r="V69" s="1">
        <v>0.87307897545355351</v>
      </c>
      <c r="W69" s="1">
        <v>1.1996250000000641</v>
      </c>
      <c r="X69" s="1">
        <v>0.94858992613804649</v>
      </c>
    </row>
    <row r="70" spans="6:24" x14ac:dyDescent="0.3">
      <c r="K70" t="s">
        <v>7</v>
      </c>
      <c r="L70">
        <v>1947</v>
      </c>
      <c r="M70" s="1">
        <v>0.92764805764993097</v>
      </c>
      <c r="N70" s="1">
        <v>1.5070950000000551</v>
      </c>
      <c r="O70" s="1">
        <v>1.4112743672758299</v>
      </c>
      <c r="V70" s="1">
        <v>0.92764805764993097</v>
      </c>
      <c r="W70" s="1">
        <v>1.5070950000000551</v>
      </c>
      <c r="X70" s="1">
        <v>1.4112743672758299</v>
      </c>
    </row>
    <row r="71" spans="6:24" x14ac:dyDescent="0.3">
      <c r="K71" t="s">
        <v>7</v>
      </c>
      <c r="L71">
        <v>1946</v>
      </c>
      <c r="M71" s="1">
        <v>0.88869477977974698</v>
      </c>
      <c r="N71" s="1">
        <v>1.1380350000000501</v>
      </c>
      <c r="O71" s="1">
        <v>1.0057531913583599</v>
      </c>
      <c r="V71" s="1">
        <v>0.88869477977974698</v>
      </c>
      <c r="W71" s="1">
        <v>1.1380350000000501</v>
      </c>
      <c r="X71" s="1">
        <v>1.0057531913583599</v>
      </c>
    </row>
    <row r="72" spans="6:24" x14ac:dyDescent="0.3">
      <c r="K72" t="s">
        <v>7</v>
      </c>
      <c r="L72">
        <v>1945</v>
      </c>
      <c r="M72" s="1">
        <v>1.1279307305988699</v>
      </c>
      <c r="N72" s="1">
        <v>1.0764750000000405</v>
      </c>
      <c r="O72" s="1">
        <v>1.2632019718098511</v>
      </c>
      <c r="V72" s="1">
        <v>1.1279307305988699</v>
      </c>
      <c r="W72" s="1">
        <v>1.0764750000000405</v>
      </c>
      <c r="X72" s="1">
        <v>1.2632019718098511</v>
      </c>
    </row>
    <row r="73" spans="6:24" x14ac:dyDescent="0.3">
      <c r="K73" t="s">
        <v>7</v>
      </c>
      <c r="L73">
        <v>1944</v>
      </c>
      <c r="M73" s="1">
        <v>0.43646169388040151</v>
      </c>
      <c r="N73" s="1">
        <v>0.73836000000005497</v>
      </c>
      <c r="O73" s="1">
        <v>0.64453171258711495</v>
      </c>
      <c r="V73" s="1">
        <v>0.43646169388040151</v>
      </c>
      <c r="W73" s="1">
        <v>0.73836000000005497</v>
      </c>
      <c r="X73" s="1">
        <v>0.64453171258711495</v>
      </c>
    </row>
    <row r="74" spans="6:24" x14ac:dyDescent="0.3">
      <c r="K74" t="s">
        <v>7</v>
      </c>
      <c r="L74">
        <v>1943</v>
      </c>
      <c r="M74" s="1">
        <v>0.38321721150490451</v>
      </c>
      <c r="N74" s="1">
        <v>0.55377000000003995</v>
      </c>
      <c r="O74" s="1">
        <v>0.4244283904301745</v>
      </c>
      <c r="V74" s="1">
        <v>0.38321721150490451</v>
      </c>
      <c r="W74" s="1">
        <v>0.55377000000003995</v>
      </c>
      <c r="X74" s="1">
        <v>0.4244283904301745</v>
      </c>
    </row>
    <row r="75" spans="6:24" x14ac:dyDescent="0.3">
      <c r="K75" t="s">
        <v>7</v>
      </c>
      <c r="L75">
        <v>1942</v>
      </c>
      <c r="M75" s="1">
        <v>0.47993298649607952</v>
      </c>
      <c r="N75" s="1">
        <v>0.4614750000000355</v>
      </c>
      <c r="O75" s="1">
        <v>0.44295414988659049</v>
      </c>
      <c r="V75" s="1">
        <v>0.47993298649607952</v>
      </c>
      <c r="W75" s="1">
        <v>0.4614750000000355</v>
      </c>
      <c r="X75" s="1">
        <v>0.44295414988659049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indexed</vt:lpstr>
      <vt:lpstr>columns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Lizcano</dc:creator>
  <cp:lastModifiedBy>Luis Lizcano</cp:lastModifiedBy>
  <dcterms:created xsi:type="dcterms:W3CDTF">2021-02-27T23:25:40Z</dcterms:created>
  <dcterms:modified xsi:type="dcterms:W3CDTF">2026-07-10T22:46:09Z</dcterms:modified>
</cp:coreProperties>
</file>