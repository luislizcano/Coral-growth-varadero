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8_{E2C3BDFC-6552-4D36-A8EE-DE7311A408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Climatology" sheetId="3" r:id="rId2"/>
  </sheets>
  <definedNames>
    <definedName name="_xlnm._FilterDatabase" localSheetId="1" hidden="1">Climatology!$A$1:$O$1</definedName>
    <definedName name="_xlnm._FilterDatabase" localSheetId="0" hidden="1">Hoja1!$A$1:$O$1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" l="1" a="1"/>
  <c r="M12" i="3" s="1"/>
  <c r="M11" i="3" a="1"/>
  <c r="M11" i="3" s="1"/>
  <c r="M10" i="3" a="1"/>
  <c r="M10" i="3" s="1"/>
  <c r="M9" i="3" a="1"/>
  <c r="M9" i="3" s="1"/>
  <c r="M8" i="3" a="1"/>
  <c r="M8" i="3" s="1"/>
  <c r="M7" i="3" a="1"/>
  <c r="M7" i="3" s="1"/>
  <c r="M6" i="3" a="1"/>
  <c r="M6" i="3" s="1"/>
  <c r="M5" i="3" a="1"/>
  <c r="M5" i="3" s="1"/>
  <c r="M4" i="3" a="1"/>
  <c r="M4" i="3" s="1"/>
  <c r="M3" i="3" a="1"/>
  <c r="M3" i="3" s="1"/>
  <c r="M2" i="3" a="1"/>
  <c r="M2" i="3" s="1"/>
  <c r="M13" i="3" a="1"/>
  <c r="M13" i="3" s="1"/>
  <c r="L12" i="3"/>
  <c r="L11" i="3"/>
  <c r="L10" i="3"/>
  <c r="L9" i="3"/>
  <c r="L8" i="3"/>
  <c r="L7" i="3"/>
  <c r="L6" i="3"/>
  <c r="L5" i="3"/>
  <c r="L4" i="3"/>
  <c r="L3" i="3"/>
  <c r="L2" i="3"/>
  <c r="L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F1" authorId="0" shapeId="0" xr:uid="{180F1F7C-9A60-4A5B-ADE0-34EE52D48DE7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colored cells= interpolated values using eq: y = 0.7171x + 7.6587 (r2=0.82). Derived from the temp in airport vs CIOH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D1" authorId="0" shapeId="0" xr:uid="{A5D98264-FACD-4ADB-A8CC-E35EF4679CB7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colored cells= interpolated values using eq: y = 0.7171x + 7.6587 (r2=0.82). Derived from the temp in airport vs CIOH</t>
        </r>
      </text>
    </comment>
  </commentList>
</comments>
</file>

<file path=xl/sharedStrings.xml><?xml version="1.0" encoding="utf-8"?>
<sst xmlns="http://schemas.openxmlformats.org/spreadsheetml/2006/main" count="26" uniqueCount="17">
  <si>
    <t>Year</t>
  </si>
  <si>
    <t>Month</t>
  </si>
  <si>
    <t>Y.M</t>
  </si>
  <si>
    <t>SOI</t>
  </si>
  <si>
    <t>AMO</t>
  </si>
  <si>
    <t>Air_Temperature</t>
  </si>
  <si>
    <t>WF_Helena</t>
  </si>
  <si>
    <t>WF_Calamar</t>
  </si>
  <si>
    <t>SST_CCI</t>
  </si>
  <si>
    <t>HadISST</t>
  </si>
  <si>
    <t>sd</t>
  </si>
  <si>
    <t xml:space="preserve"> 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</si>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</sst>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" fontId="0" fillId="2" borderId="0" xfId="0" applyNumberFormat="1" applyFill="1" applyAlignment="1">
      <alignment horizontal="right"/>
    </xf>
    <xf numFmtId="2" fontId="0" fillId="0" borderId="0" xfId="0" applyNumberFormat="1"/>
    <xf numFmtId="0" fontId="3" fillId="0" borderId="0" xfId="0" applyFont="1"/>
    <xf numFmtId="16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right"/>
    </xf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05"/>
  <sheetViews>
    <sheetView tabSelected="1" workbookViewId="0">
      <selection activeCell="E710" sqref="E710:E711"/>
    </sheetView>
  </sheetViews>
  <sheetFormatPr baseColWidth="10" defaultRowHeight="14.4" x14ac:dyDescent="0.3"/>
  <cols>
    <col min="1" max="1" width="8.6640625" customWidth="1"/>
    <col min="2" max="2" width="8.109375" customWidth="1"/>
    <col min="3" max="3" width="10.33203125" customWidth="1"/>
    <col min="4" max="4" width="12.77734375" customWidth="1"/>
    <col min="5" max="5" width="13.88671875" customWidth="1"/>
    <col min="6" max="6" width="17.44140625" customWidth="1"/>
    <col min="7" max="7" width="9.88671875" customWidth="1"/>
    <col min="8" max="8" width="10.5546875" customWidth="1"/>
    <col min="9" max="9" width="7.21875" customWidth="1"/>
    <col min="10" max="10" width="7.6640625" customWidth="1"/>
    <col min="11" max="11" width="6.88671875" customWidth="1"/>
    <col min="12" max="12" width="7.77734375" customWidth="1"/>
    <col min="13" max="13" width="7.5546875" customWidth="1"/>
    <col min="14" max="14" width="5.77734375" customWidth="1"/>
    <col min="15" max="15" width="7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8</v>
      </c>
      <c r="H1" t="s">
        <v>9</v>
      </c>
      <c r="I1" t="s">
        <v>3</v>
      </c>
      <c r="J1" t="s">
        <v>4</v>
      </c>
    </row>
    <row r="2" spans="1:16" x14ac:dyDescent="0.3">
      <c r="A2">
        <v>2015</v>
      </c>
      <c r="B2">
        <v>12</v>
      </c>
      <c r="C2" s="1">
        <v>2015.9166666666665</v>
      </c>
      <c r="D2" s="2">
        <v>-220.55428571428575</v>
      </c>
      <c r="E2" s="2">
        <v>-5474.8494623655934</v>
      </c>
      <c r="F2" s="2">
        <v>1.0121148426985833</v>
      </c>
      <c r="G2" s="2">
        <v>1.1872941176470562</v>
      </c>
      <c r="H2" s="2">
        <v>0.97595040322580573</v>
      </c>
      <c r="I2">
        <v>-0.6</v>
      </c>
      <c r="J2">
        <v>0.23400000000000001</v>
      </c>
      <c r="K2" s="2"/>
      <c r="M2" s="3"/>
      <c r="N2" s="7"/>
      <c r="O2" s="5"/>
      <c r="P2" s="5"/>
    </row>
    <row r="3" spans="1:16" x14ac:dyDescent="0.3">
      <c r="A3">
        <v>2015</v>
      </c>
      <c r="B3">
        <v>11</v>
      </c>
      <c r="C3" s="1">
        <v>2015.8333333333333</v>
      </c>
      <c r="D3" s="2">
        <v>-152.59999999999991</v>
      </c>
      <c r="E3" s="2">
        <v>-4179.3279569892456</v>
      </c>
      <c r="F3" s="2">
        <v>0.45202205376342519</v>
      </c>
      <c r="G3" s="2">
        <v>0.47347058823528698</v>
      </c>
      <c r="H3" s="2">
        <v>0.47994874193548753</v>
      </c>
      <c r="I3">
        <v>-0.5</v>
      </c>
      <c r="J3">
        <v>0.192</v>
      </c>
      <c r="K3" s="2"/>
      <c r="M3" s="3"/>
      <c r="N3" s="7"/>
      <c r="O3" s="5"/>
      <c r="P3" s="5"/>
    </row>
    <row r="4" spans="1:16" x14ac:dyDescent="0.3">
      <c r="A4">
        <v>2015</v>
      </c>
      <c r="B4">
        <v>10</v>
      </c>
      <c r="C4" s="1">
        <v>2015.7499999999998</v>
      </c>
      <c r="D4" s="2">
        <v>-193.03428571428574</v>
      </c>
      <c r="E4" s="2">
        <v>-4301.6935483870966</v>
      </c>
      <c r="F4" s="2">
        <v>1.15655621089142</v>
      </c>
      <c r="G4" s="2">
        <v>0.38094117647058923</v>
      </c>
      <c r="H4" s="2">
        <v>0.92958522580645209</v>
      </c>
      <c r="I4">
        <v>-1.7</v>
      </c>
      <c r="J4">
        <v>0.33</v>
      </c>
      <c r="K4" s="2"/>
      <c r="M4" s="3"/>
      <c r="N4" s="7"/>
      <c r="O4" s="5"/>
      <c r="P4" s="5"/>
    </row>
    <row r="5" spans="1:16" x14ac:dyDescent="0.3">
      <c r="A5">
        <v>2015</v>
      </c>
      <c r="B5">
        <v>9</v>
      </c>
      <c r="C5" s="1">
        <v>2015.6666666666665</v>
      </c>
      <c r="D5" s="2">
        <v>-146.01714285714289</v>
      </c>
      <c r="E5" s="2">
        <v>-3253.6612903225805</v>
      </c>
      <c r="F5" s="2">
        <v>0.98205009677420207</v>
      </c>
      <c r="G5" s="2">
        <v>0.40744117647059497</v>
      </c>
      <c r="H5" s="2">
        <v>0.64678846774193488</v>
      </c>
      <c r="I5">
        <v>-1.6</v>
      </c>
      <c r="J5">
        <v>0.30499999999999999</v>
      </c>
      <c r="K5" s="2"/>
      <c r="M5" s="3"/>
      <c r="N5" s="7"/>
      <c r="O5" s="5"/>
      <c r="P5" s="5"/>
    </row>
    <row r="6" spans="1:16" x14ac:dyDescent="0.3">
      <c r="A6">
        <v>2015</v>
      </c>
      <c r="B6">
        <v>8</v>
      </c>
      <c r="C6" s="1">
        <v>2015.5833333333333</v>
      </c>
      <c r="D6" s="2">
        <v>-146.53714285714278</v>
      </c>
      <c r="E6" s="2">
        <v>-3319.5967741935483</v>
      </c>
      <c r="F6" s="2">
        <v>0.79146686264307675</v>
      </c>
      <c r="G6" s="2">
        <v>1.0529411764704122E-2</v>
      </c>
      <c r="H6" s="2">
        <v>0.22047696774192715</v>
      </c>
      <c r="I6">
        <v>-1.4</v>
      </c>
      <c r="J6">
        <v>0.183</v>
      </c>
      <c r="K6" s="2"/>
      <c r="M6" s="3"/>
      <c r="N6" s="7"/>
      <c r="O6" s="5"/>
      <c r="P6" s="5"/>
    </row>
    <row r="7" spans="1:16" x14ac:dyDescent="0.3">
      <c r="A7">
        <v>2015</v>
      </c>
      <c r="B7">
        <v>7</v>
      </c>
      <c r="C7" s="1">
        <v>2015.4999999999998</v>
      </c>
      <c r="D7" s="2">
        <v>-156.63428571428568</v>
      </c>
      <c r="E7" s="2">
        <v>-3700.5322580645161</v>
      </c>
      <c r="F7" s="2">
        <v>0.44511529136314465</v>
      </c>
      <c r="G7" s="2">
        <v>-0.14191176470587763</v>
      </c>
      <c r="H7" s="2">
        <v>3.9573225806535106E-3</v>
      </c>
      <c r="I7">
        <v>-1.1000000000000001</v>
      </c>
      <c r="J7">
        <v>0.13700000000000001</v>
      </c>
      <c r="K7" s="2"/>
      <c r="M7" s="3"/>
      <c r="N7" s="7"/>
      <c r="O7" s="5"/>
      <c r="P7" s="5"/>
    </row>
    <row r="8" spans="1:16" x14ac:dyDescent="0.3">
      <c r="A8">
        <v>2015</v>
      </c>
      <c r="B8">
        <v>6</v>
      </c>
      <c r="C8" s="1">
        <v>2015.4166666666665</v>
      </c>
      <c r="D8" s="2">
        <v>-65.580000000000041</v>
      </c>
      <c r="E8" s="2">
        <v>-2347.5483870967746</v>
      </c>
      <c r="F8" s="2">
        <v>0.65753874545790936</v>
      </c>
      <c r="G8" s="2">
        <v>-0.23705882352941288</v>
      </c>
      <c r="H8" s="2">
        <v>6.1128548387117121E-3</v>
      </c>
      <c r="I8">
        <v>-0.6</v>
      </c>
      <c r="J8">
        <v>3.4000000000000002E-2</v>
      </c>
      <c r="K8" s="2"/>
      <c r="M8" s="3"/>
      <c r="N8" s="7"/>
      <c r="O8" s="5"/>
      <c r="P8" s="5"/>
    </row>
    <row r="9" spans="1:16" x14ac:dyDescent="0.3">
      <c r="A9">
        <v>2015</v>
      </c>
      <c r="B9">
        <v>5</v>
      </c>
      <c r="C9" s="1">
        <v>2015.3333333333333</v>
      </c>
      <c r="D9" s="2">
        <v>-44.4819999999998</v>
      </c>
      <c r="E9" s="2">
        <v>-1834.8387096774195</v>
      </c>
      <c r="F9" s="2">
        <v>0.35299394033992826</v>
      </c>
      <c r="G9" s="2">
        <v>7.6352941176470068E-2</v>
      </c>
      <c r="H9" s="2">
        <v>4.237717741936109E-2</v>
      </c>
      <c r="I9">
        <v>-0.7</v>
      </c>
      <c r="J9">
        <v>0.05</v>
      </c>
      <c r="K9" s="2"/>
      <c r="M9" s="3"/>
      <c r="N9" s="7"/>
      <c r="O9" s="5"/>
      <c r="P9" s="5"/>
    </row>
    <row r="10" spans="1:16" x14ac:dyDescent="0.3">
      <c r="A10">
        <v>2015</v>
      </c>
      <c r="B10">
        <v>4</v>
      </c>
      <c r="C10" s="1">
        <v>2015.2499999999998</v>
      </c>
      <c r="D10" s="2">
        <v>19.737999999999971</v>
      </c>
      <c r="E10" s="2">
        <v>-129.177419354839</v>
      </c>
      <c r="F10" s="2">
        <v>0.44671504838710518</v>
      </c>
      <c r="G10" s="2">
        <v>0.45102941176470068</v>
      </c>
      <c r="H10" s="2">
        <v>-2.6491854838699425E-2</v>
      </c>
      <c r="I10">
        <v>0</v>
      </c>
      <c r="J10">
        <v>-6.6000000000000003E-2</v>
      </c>
      <c r="K10" s="2"/>
      <c r="M10" s="3"/>
      <c r="N10" s="7"/>
      <c r="O10" s="5"/>
      <c r="P10" s="5"/>
    </row>
    <row r="11" spans="1:16" x14ac:dyDescent="0.3">
      <c r="A11">
        <v>2015</v>
      </c>
      <c r="B11">
        <v>3</v>
      </c>
      <c r="C11" s="1">
        <v>2015.1666666666665</v>
      </c>
      <c r="D11" s="2">
        <v>-16.042857142857116</v>
      </c>
      <c r="E11" s="2">
        <v>-749.3709677419356</v>
      </c>
      <c r="F11" s="2">
        <v>7.6579614984389366E-2</v>
      </c>
      <c r="G11" s="2">
        <v>0.27714705882353385</v>
      </c>
      <c r="H11" s="2">
        <v>0.10555133870966671</v>
      </c>
      <c r="I11">
        <v>-0.7</v>
      </c>
      <c r="J11">
        <v>-0.124</v>
      </c>
      <c r="K11" s="2"/>
      <c r="M11" s="3"/>
      <c r="N11" s="7"/>
      <c r="O11" s="5"/>
      <c r="P11" s="5"/>
    </row>
    <row r="12" spans="1:16" x14ac:dyDescent="0.3">
      <c r="A12">
        <v>2015</v>
      </c>
      <c r="B12">
        <v>2</v>
      </c>
      <c r="C12" s="1">
        <v>2015.083333333333</v>
      </c>
      <c r="D12" s="2">
        <v>-25.974000000000018</v>
      </c>
      <c r="E12" s="2">
        <v>-503.7419354838712</v>
      </c>
      <c r="F12" s="2">
        <v>0.7546340841013901</v>
      </c>
      <c r="G12" s="2">
        <v>0.23061764705882837</v>
      </c>
      <c r="H12" s="2">
        <v>0.55876875806451309</v>
      </c>
      <c r="I12">
        <v>0.2</v>
      </c>
      <c r="J12">
        <v>2E-3</v>
      </c>
      <c r="K12" s="2"/>
      <c r="M12" s="3"/>
      <c r="N12" s="7"/>
      <c r="O12" s="5"/>
      <c r="P12" s="5"/>
    </row>
    <row r="13" spans="1:16" x14ac:dyDescent="0.3">
      <c r="A13">
        <v>2015</v>
      </c>
      <c r="B13">
        <v>1</v>
      </c>
      <c r="C13" s="1">
        <v>2014.9999999999998</v>
      </c>
      <c r="D13" s="2">
        <v>-80.251999999999953</v>
      </c>
      <c r="E13" s="2">
        <v>-2421.7258064516127</v>
      </c>
      <c r="F13" s="2">
        <v>0.26982516129032064</v>
      </c>
      <c r="G13" s="2">
        <v>-0.17170588235293849</v>
      </c>
      <c r="H13" s="2">
        <v>0.53827117741935027</v>
      </c>
      <c r="I13">
        <v>-0.8</v>
      </c>
      <c r="J13">
        <v>-3.0000000000000001E-3</v>
      </c>
      <c r="K13" s="2"/>
      <c r="M13" s="3"/>
      <c r="N13" s="7"/>
      <c r="O13" s="5"/>
      <c r="P13" s="5"/>
    </row>
    <row r="14" spans="1:16" x14ac:dyDescent="0.3">
      <c r="A14">
        <v>2014</v>
      </c>
      <c r="B14">
        <v>12</v>
      </c>
      <c r="C14" s="1">
        <v>2014.9166666666665</v>
      </c>
      <c r="D14" s="2">
        <v>36.445714285714189</v>
      </c>
      <c r="E14" s="2">
        <v>-1441.8494623655934</v>
      </c>
      <c r="F14" s="2">
        <v>0.65125161689213584</v>
      </c>
      <c r="G14" s="2">
        <v>0.22129411764705509</v>
      </c>
      <c r="H14" s="2">
        <v>0.43775540322580753</v>
      </c>
      <c r="I14">
        <v>-0.6</v>
      </c>
      <c r="J14">
        <v>6.4000000000000001E-2</v>
      </c>
      <c r="K14" s="2"/>
      <c r="M14" s="3"/>
      <c r="N14" s="7"/>
      <c r="O14" s="5"/>
      <c r="P14" s="5"/>
    </row>
    <row r="15" spans="1:16" x14ac:dyDescent="0.3">
      <c r="A15">
        <v>2014</v>
      </c>
      <c r="B15">
        <v>11</v>
      </c>
      <c r="C15" s="1">
        <v>2014.8333333333333</v>
      </c>
      <c r="D15" s="2">
        <v>16.700000000000102</v>
      </c>
      <c r="E15" s="2">
        <v>-1661.3279569892456</v>
      </c>
      <c r="F15" s="2">
        <v>0.55958705376341555</v>
      </c>
      <c r="G15" s="2">
        <v>0.47847058823528599</v>
      </c>
      <c r="H15" s="2">
        <v>0.33288374193548975</v>
      </c>
      <c r="I15">
        <v>-0.9</v>
      </c>
      <c r="J15">
        <v>7.0000000000000007E-2</v>
      </c>
      <c r="K15" s="2"/>
      <c r="M15" s="3"/>
      <c r="N15" s="7"/>
      <c r="O15" s="5"/>
      <c r="P15" s="5"/>
    </row>
    <row r="16" spans="1:16" x14ac:dyDescent="0.3">
      <c r="A16">
        <v>2014</v>
      </c>
      <c r="B16">
        <v>10</v>
      </c>
      <c r="C16" s="1">
        <v>2014.75</v>
      </c>
      <c r="D16" s="2">
        <v>-17.834285714285727</v>
      </c>
      <c r="E16" s="2">
        <v>-1605.6935483870966</v>
      </c>
      <c r="F16" s="2">
        <v>0.32379492056884018</v>
      </c>
      <c r="G16" s="2">
        <v>0.2029411764705884</v>
      </c>
      <c r="H16" s="2">
        <v>0.52875622580645043</v>
      </c>
      <c r="I16">
        <v>-0.6</v>
      </c>
      <c r="J16">
        <v>0.29699999999999999</v>
      </c>
      <c r="K16" s="2"/>
      <c r="M16" s="3"/>
      <c r="N16" s="7"/>
      <c r="O16" s="5"/>
      <c r="P16" s="5"/>
    </row>
    <row r="17" spans="1:16" x14ac:dyDescent="0.3">
      <c r="A17">
        <v>2014</v>
      </c>
      <c r="B17">
        <v>9</v>
      </c>
      <c r="C17" s="1">
        <v>2014.6666666666665</v>
      </c>
      <c r="D17" s="2">
        <v>-75.217142857142903</v>
      </c>
      <c r="E17" s="2">
        <v>-2152.6612903225805</v>
      </c>
      <c r="F17" s="2">
        <v>0.36534409677420143</v>
      </c>
      <c r="G17" s="2">
        <v>0.48244117647059426</v>
      </c>
      <c r="H17" s="2">
        <v>0.34613246774193485</v>
      </c>
      <c r="I17">
        <v>-0.7</v>
      </c>
      <c r="J17">
        <v>0.315</v>
      </c>
      <c r="K17" s="2"/>
      <c r="M17" s="3"/>
      <c r="N17" s="7"/>
      <c r="O17" s="5"/>
      <c r="P17" s="5"/>
    </row>
    <row r="18" spans="1:16" x14ac:dyDescent="0.3">
      <c r="A18">
        <v>2014</v>
      </c>
      <c r="B18">
        <v>8</v>
      </c>
      <c r="C18" s="1">
        <v>2014.5833333333333</v>
      </c>
      <c r="D18" s="2">
        <v>-149.63714285714278</v>
      </c>
      <c r="E18" s="2">
        <v>-3249.5967741935483</v>
      </c>
      <c r="F18" s="2">
        <v>0.41903750780436511</v>
      </c>
      <c r="G18" s="2">
        <v>7.652941176470307E-2</v>
      </c>
      <c r="H18" s="2">
        <v>0.21823096774192763</v>
      </c>
      <c r="I18">
        <v>-0.7</v>
      </c>
      <c r="J18">
        <v>0.34</v>
      </c>
      <c r="K18" s="2"/>
      <c r="M18" s="3"/>
      <c r="N18" s="7"/>
      <c r="O18" s="5"/>
      <c r="P18" s="5"/>
    </row>
    <row r="19" spans="1:16" x14ac:dyDescent="0.3">
      <c r="A19">
        <v>2014</v>
      </c>
      <c r="B19">
        <v>7</v>
      </c>
      <c r="C19" s="1">
        <v>2014.5</v>
      </c>
      <c r="D19" s="2">
        <v>-116.63428571428568</v>
      </c>
      <c r="E19" s="2">
        <v>-3297.5322580645161</v>
      </c>
      <c r="F19" s="2">
        <v>0.60935432362121489</v>
      </c>
      <c r="G19" s="2">
        <v>0.24508823529412282</v>
      </c>
      <c r="H19" s="2">
        <v>4.1884322580653333E-2</v>
      </c>
      <c r="I19">
        <v>-0.2</v>
      </c>
      <c r="J19">
        <v>0.22700000000000001</v>
      </c>
      <c r="K19" s="2"/>
      <c r="M19" s="3"/>
      <c r="N19" s="7"/>
      <c r="O19" s="5"/>
      <c r="P19" s="5"/>
    </row>
    <row r="20" spans="1:16" x14ac:dyDescent="0.3">
      <c r="A20">
        <v>2014</v>
      </c>
      <c r="B20">
        <v>6</v>
      </c>
      <c r="C20" s="1">
        <v>2014.4166666666665</v>
      </c>
      <c r="D20" s="2">
        <v>-25.080000000000041</v>
      </c>
      <c r="E20" s="2">
        <v>-1604.5483870967746</v>
      </c>
      <c r="F20" s="2">
        <v>0.68366756154986419</v>
      </c>
      <c r="G20" s="2">
        <v>0.42394117647058849</v>
      </c>
      <c r="H20" s="2">
        <v>-4.7868145161288567E-2</v>
      </c>
      <c r="I20">
        <v>0.2</v>
      </c>
      <c r="J20">
        <v>6.7000000000000004E-2</v>
      </c>
      <c r="K20" s="2"/>
      <c r="M20" s="3"/>
      <c r="N20" s="7"/>
      <c r="O20" s="5"/>
      <c r="P20" s="5"/>
    </row>
    <row r="21" spans="1:16" x14ac:dyDescent="0.3">
      <c r="A21">
        <v>2014</v>
      </c>
      <c r="B21">
        <v>5</v>
      </c>
      <c r="C21" s="1">
        <v>2014.3333333333333</v>
      </c>
      <c r="D21" s="2">
        <v>11.118000000000166</v>
      </c>
      <c r="E21" s="2">
        <v>-456.8387096774195</v>
      </c>
      <c r="F21" s="2">
        <v>0.59511157474852894</v>
      </c>
      <c r="G21" s="2">
        <v>0.42035294117646771</v>
      </c>
      <c r="H21" s="2">
        <v>0.14432517741936124</v>
      </c>
      <c r="I21">
        <v>0.5</v>
      </c>
      <c r="J21">
        <v>4.0000000000000001E-3</v>
      </c>
      <c r="K21" s="2"/>
      <c r="M21" s="3"/>
      <c r="N21" s="7"/>
      <c r="O21" s="5"/>
      <c r="P21" s="5"/>
    </row>
    <row r="22" spans="1:16" x14ac:dyDescent="0.3">
      <c r="A22">
        <v>2014</v>
      </c>
      <c r="B22">
        <v>4</v>
      </c>
      <c r="C22" s="1">
        <v>2014.25</v>
      </c>
      <c r="D22" s="2">
        <v>-38.862000000000052</v>
      </c>
      <c r="E22" s="2">
        <v>-931.177419354839</v>
      </c>
      <c r="F22" s="2">
        <v>0.56862204838710184</v>
      </c>
      <c r="G22" s="2">
        <v>0.3550294117647006</v>
      </c>
      <c r="H22" s="2">
        <v>0.36786114516129942</v>
      </c>
      <c r="I22">
        <v>0.8</v>
      </c>
      <c r="J22">
        <v>-8.8999999999999996E-2</v>
      </c>
      <c r="K22" s="2"/>
      <c r="M22" s="3"/>
      <c r="N22" s="7"/>
      <c r="O22" s="5"/>
      <c r="P22" s="5"/>
    </row>
    <row r="23" spans="1:16" x14ac:dyDescent="0.3">
      <c r="A23">
        <v>2014</v>
      </c>
      <c r="B23">
        <v>3</v>
      </c>
      <c r="C23" s="1">
        <v>2014.1666666666665</v>
      </c>
      <c r="D23" s="2">
        <v>14.85714285714289</v>
      </c>
      <c r="E23" s="2">
        <v>402.6290322580644</v>
      </c>
      <c r="F23" s="2">
        <v>0.39580477627471211</v>
      </c>
      <c r="G23" s="2">
        <v>0.17614705882353121</v>
      </c>
      <c r="H23" s="2">
        <v>0.37856133870966602</v>
      </c>
      <c r="I23">
        <v>-0.9</v>
      </c>
      <c r="J23">
        <v>-7.5999999999999998E-2</v>
      </c>
      <c r="K23" s="2"/>
      <c r="M23" s="3"/>
      <c r="N23" s="7"/>
      <c r="O23" s="5"/>
      <c r="P23" s="5"/>
    </row>
    <row r="24" spans="1:16" x14ac:dyDescent="0.3">
      <c r="A24">
        <v>2014</v>
      </c>
      <c r="B24">
        <v>2</v>
      </c>
      <c r="C24" s="1">
        <v>2014.0833333333333</v>
      </c>
      <c r="D24" s="2">
        <v>-48.174000000000007</v>
      </c>
      <c r="E24" s="2">
        <v>-722.7419354838712</v>
      </c>
      <c r="F24" s="2">
        <v>0.27571372695853213</v>
      </c>
      <c r="G24" s="2">
        <v>0.41561764705882709</v>
      </c>
      <c r="H24" s="2">
        <v>0.28243575806451204</v>
      </c>
      <c r="I24">
        <v>0.1</v>
      </c>
      <c r="J24">
        <v>-3.6999999999999998E-2</v>
      </c>
      <c r="K24" s="2"/>
      <c r="M24" s="3"/>
      <c r="N24" s="7"/>
      <c r="O24" s="5"/>
      <c r="P24" s="5"/>
    </row>
    <row r="25" spans="1:16" x14ac:dyDescent="0.3">
      <c r="A25">
        <v>2014</v>
      </c>
      <c r="B25">
        <v>1</v>
      </c>
      <c r="C25" s="1">
        <v>2014</v>
      </c>
      <c r="D25" s="2">
        <v>-36.851999999999975</v>
      </c>
      <c r="E25" s="2">
        <v>-1206.7258064516127</v>
      </c>
      <c r="F25" s="2">
        <v>0.23281354838709589</v>
      </c>
      <c r="G25" s="2">
        <v>0.62929411764705989</v>
      </c>
      <c r="H25" s="2">
        <v>0.3668151774193511</v>
      </c>
      <c r="I25">
        <v>1.4</v>
      </c>
      <c r="J25">
        <v>-5.7000000000000002E-2</v>
      </c>
      <c r="K25" s="2"/>
      <c r="M25" s="3"/>
      <c r="N25" s="7"/>
      <c r="O25" s="5"/>
      <c r="P25" s="5"/>
    </row>
    <row r="26" spans="1:16" x14ac:dyDescent="0.3">
      <c r="A26">
        <v>2013</v>
      </c>
      <c r="B26">
        <v>12</v>
      </c>
      <c r="C26" s="1">
        <v>2013.91666666678</v>
      </c>
      <c r="D26" s="2">
        <v>-75.754285714285743</v>
      </c>
      <c r="E26" s="2">
        <v>-1511.8494623655934</v>
      </c>
      <c r="F26" s="2">
        <v>1.3644545201179383</v>
      </c>
      <c r="G26" s="2">
        <v>0.62329411764705611</v>
      </c>
      <c r="H26" s="2">
        <v>0.40365040322580725</v>
      </c>
      <c r="I26">
        <v>0.1</v>
      </c>
      <c r="J26">
        <v>4.2000000000000003E-2</v>
      </c>
      <c r="K26" s="2"/>
      <c r="M26" s="3"/>
      <c r="O26" s="5"/>
      <c r="P26" s="5"/>
    </row>
    <row r="27" spans="1:16" x14ac:dyDescent="0.3">
      <c r="A27">
        <v>2013</v>
      </c>
      <c r="B27">
        <v>11</v>
      </c>
      <c r="C27" s="1">
        <v>2013.8333333334499</v>
      </c>
      <c r="D27" s="2">
        <v>-52.799999999999898</v>
      </c>
      <c r="E27" s="2">
        <v>-1447.3279569892456</v>
      </c>
      <c r="F27" s="2">
        <v>0.94084205376342567</v>
      </c>
      <c r="G27" s="2">
        <v>0.5334705882352857</v>
      </c>
      <c r="H27" s="2">
        <v>0.66920674193548635</v>
      </c>
      <c r="I27">
        <v>0.7</v>
      </c>
      <c r="J27">
        <v>0.13400000000000001</v>
      </c>
      <c r="K27" s="2"/>
      <c r="M27" s="3"/>
      <c r="O27" s="5"/>
      <c r="P27" s="5"/>
    </row>
    <row r="28" spans="1:16" x14ac:dyDescent="0.3">
      <c r="A28">
        <v>2013</v>
      </c>
      <c r="B28">
        <v>10</v>
      </c>
      <c r="C28" s="1">
        <v>2013.7500000001201</v>
      </c>
      <c r="D28" s="2">
        <v>-25.134285714285738</v>
      </c>
      <c r="E28" s="2">
        <v>-794.6935483870966</v>
      </c>
      <c r="F28" s="2">
        <v>0.45887943669787745</v>
      </c>
      <c r="G28" s="2">
        <v>0.30694117647058761</v>
      </c>
      <c r="H28" s="2">
        <v>0.23392222580645239</v>
      </c>
      <c r="I28">
        <v>-0.1</v>
      </c>
      <c r="J28">
        <v>0.35199999999999998</v>
      </c>
      <c r="K28" s="2"/>
      <c r="M28" s="3"/>
      <c r="O28" s="5"/>
      <c r="P28" s="5"/>
    </row>
    <row r="29" spans="1:16" x14ac:dyDescent="0.3">
      <c r="A29">
        <v>2013</v>
      </c>
      <c r="B29">
        <v>9</v>
      </c>
      <c r="C29" s="1">
        <v>2013.66666666679</v>
      </c>
      <c r="D29" s="2">
        <v>-30.417142857142892</v>
      </c>
      <c r="E29" s="2">
        <v>-278.6612903225805</v>
      </c>
      <c r="F29" s="2">
        <v>6.2543430107535158E-2</v>
      </c>
      <c r="G29" s="2">
        <v>0.27644117647059474</v>
      </c>
      <c r="H29" s="2">
        <v>0.48140346774193432</v>
      </c>
      <c r="I29">
        <v>0.3</v>
      </c>
      <c r="J29">
        <v>0.26</v>
      </c>
      <c r="K29" s="2"/>
      <c r="M29" s="3"/>
      <c r="O29" s="5"/>
      <c r="P29" s="5"/>
    </row>
    <row r="30" spans="1:16" x14ac:dyDescent="0.3">
      <c r="A30">
        <v>2013</v>
      </c>
      <c r="B30">
        <v>8</v>
      </c>
      <c r="C30" s="1">
        <v>2013.5833333334599</v>
      </c>
      <c r="D30" s="2">
        <v>-107.53714285714278</v>
      </c>
      <c r="E30" s="2">
        <v>-1882.5967741935483</v>
      </c>
      <c r="F30" s="2">
        <v>4.824927159205572E-3</v>
      </c>
      <c r="G30" s="2">
        <v>0.49252941176470344</v>
      </c>
      <c r="H30" s="2">
        <v>0.40098496774192682</v>
      </c>
      <c r="I30">
        <v>0.2</v>
      </c>
      <c r="J30">
        <v>0.2</v>
      </c>
      <c r="K30" s="2"/>
      <c r="M30" s="3"/>
      <c r="O30" s="5"/>
      <c r="P30" s="5"/>
    </row>
    <row r="31" spans="1:16" x14ac:dyDescent="0.3">
      <c r="A31">
        <v>2013</v>
      </c>
      <c r="B31">
        <v>7</v>
      </c>
      <c r="C31" s="1">
        <v>2013.5000000001301</v>
      </c>
      <c r="D31" s="2">
        <v>-79.734285714285704</v>
      </c>
      <c r="E31" s="2">
        <v>-1392.5322580645161</v>
      </c>
      <c r="F31" s="2">
        <v>7.0758839750251212E-2</v>
      </c>
      <c r="G31" s="2">
        <v>0.41708823529412342</v>
      </c>
      <c r="H31" s="2">
        <v>0.24646432258065332</v>
      </c>
      <c r="I31">
        <v>0.8</v>
      </c>
      <c r="J31">
        <v>0.19600000000000001</v>
      </c>
      <c r="K31" s="2"/>
      <c r="M31" s="3"/>
      <c r="O31" s="5"/>
      <c r="P31" s="5"/>
    </row>
    <row r="32" spans="1:16" x14ac:dyDescent="0.3">
      <c r="A32">
        <v>2013</v>
      </c>
      <c r="B32">
        <v>6</v>
      </c>
      <c r="C32" s="1">
        <v>2013.4166666668</v>
      </c>
      <c r="D32" s="2">
        <v>-42.880000000000052</v>
      </c>
      <c r="E32" s="2">
        <v>-22.548387096774604</v>
      </c>
      <c r="F32" s="2">
        <v>0.42431322821653694</v>
      </c>
      <c r="G32" s="2">
        <v>0.46694117647058775</v>
      </c>
      <c r="H32" s="2">
        <v>0.12064385483871121</v>
      </c>
      <c r="I32">
        <v>1.2</v>
      </c>
      <c r="J32">
        <v>5.1999999999999998E-2</v>
      </c>
      <c r="K32" s="2"/>
      <c r="M32" s="3"/>
      <c r="O32" s="5"/>
      <c r="P32" s="5"/>
    </row>
    <row r="33" spans="1:16" x14ac:dyDescent="0.3">
      <c r="A33">
        <v>2013</v>
      </c>
      <c r="B33">
        <v>5</v>
      </c>
      <c r="C33" s="1">
        <v>2013.3333333334699</v>
      </c>
      <c r="D33" s="2">
        <v>-54.281999999999812</v>
      </c>
      <c r="E33" s="2">
        <v>-672.8387096774195</v>
      </c>
      <c r="F33" s="2">
        <v>-9.4135091918133185E-2</v>
      </c>
      <c r="G33" s="2">
        <v>0.23135294117646765</v>
      </c>
      <c r="H33" s="2">
        <v>-6.3507822580639584E-2</v>
      </c>
      <c r="I33">
        <v>0.8</v>
      </c>
      <c r="J33">
        <v>0.106</v>
      </c>
      <c r="K33" s="2"/>
      <c r="M33" s="3"/>
      <c r="O33" s="5"/>
      <c r="P33" s="5"/>
    </row>
    <row r="34" spans="1:16" x14ac:dyDescent="0.3">
      <c r="A34">
        <v>2013</v>
      </c>
      <c r="B34">
        <v>4</v>
      </c>
      <c r="C34" s="1">
        <v>2013.2500000001401</v>
      </c>
      <c r="D34" s="2">
        <v>-54.06200000000004</v>
      </c>
      <c r="E34" s="2">
        <v>-777.177419354839</v>
      </c>
      <c r="F34" s="2">
        <v>0.59807771505377261</v>
      </c>
      <c r="G34" s="2">
        <v>0.65302941176469886</v>
      </c>
      <c r="H34" s="2">
        <v>0.42273614516129854</v>
      </c>
      <c r="I34">
        <v>0.2</v>
      </c>
      <c r="J34">
        <v>0.14199999999999999</v>
      </c>
      <c r="K34" s="2"/>
      <c r="M34" s="3"/>
      <c r="O34" s="5"/>
      <c r="P34" s="5"/>
    </row>
    <row r="35" spans="1:16" x14ac:dyDescent="0.3">
      <c r="A35">
        <v>2013</v>
      </c>
      <c r="B35">
        <v>3</v>
      </c>
      <c r="C35" s="1">
        <v>2013.16666666681</v>
      </c>
      <c r="D35" s="2">
        <v>-23.742857142857105</v>
      </c>
      <c r="E35" s="2">
        <v>-356.3709677419356</v>
      </c>
      <c r="F35" s="2">
        <v>0.85546026014568</v>
      </c>
      <c r="G35" s="2">
        <v>-1.8852941176469074E-2</v>
      </c>
      <c r="H35" s="2">
        <v>0.24981933870966699</v>
      </c>
      <c r="I35">
        <v>1.5</v>
      </c>
      <c r="J35">
        <v>0.16400000000000001</v>
      </c>
      <c r="K35" s="2"/>
      <c r="M35" s="3"/>
      <c r="O35" s="5"/>
      <c r="P35" s="5"/>
    </row>
    <row r="36" spans="1:16" x14ac:dyDescent="0.3">
      <c r="A36">
        <v>2013</v>
      </c>
      <c r="B36">
        <v>2</v>
      </c>
      <c r="C36" s="1">
        <v>2013.0833333334799</v>
      </c>
      <c r="D36" s="2">
        <v>-83.274000000000001</v>
      </c>
      <c r="E36" s="2">
        <v>-1288.7419354838712</v>
      </c>
      <c r="F36" s="2">
        <v>0.28116086981567534</v>
      </c>
      <c r="G36" s="2">
        <v>5.0617647058828652E-2</v>
      </c>
      <c r="H36" s="2">
        <v>0.39294375806451498</v>
      </c>
      <c r="I36">
        <v>-0.2</v>
      </c>
      <c r="J36">
        <v>0.121</v>
      </c>
      <c r="K36" s="2"/>
      <c r="M36" s="3"/>
      <c r="O36" s="5"/>
      <c r="P36" s="5"/>
    </row>
    <row r="37" spans="1:16" x14ac:dyDescent="0.3">
      <c r="A37">
        <v>2013</v>
      </c>
      <c r="B37">
        <v>1</v>
      </c>
      <c r="C37" s="1">
        <v>2013.0000000001501</v>
      </c>
      <c r="D37" s="2">
        <v>-186.65199999999996</v>
      </c>
      <c r="E37" s="2">
        <v>-3334.7258064516127</v>
      </c>
      <c r="F37" s="2">
        <v>1.5789354838709357E-2</v>
      </c>
      <c r="G37" s="2">
        <v>4.4294117647059039E-2</v>
      </c>
      <c r="H37" s="2">
        <v>0.12733117741935018</v>
      </c>
      <c r="I37">
        <v>-0.1</v>
      </c>
      <c r="J37">
        <v>0.13300000000000001</v>
      </c>
      <c r="K37" s="2"/>
      <c r="M37" s="3"/>
      <c r="O37" s="5"/>
      <c r="P37" s="5"/>
    </row>
    <row r="38" spans="1:16" x14ac:dyDescent="0.3">
      <c r="A38">
        <v>2012</v>
      </c>
      <c r="B38">
        <v>12</v>
      </c>
      <c r="C38" s="1">
        <v>2012.91666666682</v>
      </c>
      <c r="D38" s="2">
        <v>-145.05428571428575</v>
      </c>
      <c r="E38" s="2">
        <v>-3063.8494623655934</v>
      </c>
      <c r="F38" s="2">
        <v>0.53381685345126684</v>
      </c>
      <c r="G38" s="2">
        <v>0.2782941176470537</v>
      </c>
      <c r="H38" s="2">
        <v>0.38523140322580574</v>
      </c>
      <c r="I38">
        <v>-0.6</v>
      </c>
      <c r="J38">
        <v>0.14599999999999999</v>
      </c>
      <c r="K38" s="2"/>
      <c r="M38" s="3"/>
      <c r="N38" s="7"/>
      <c r="O38" s="5"/>
      <c r="P38" s="5"/>
    </row>
    <row r="39" spans="1:16" x14ac:dyDescent="0.3">
      <c r="A39">
        <v>2012</v>
      </c>
      <c r="B39">
        <v>11</v>
      </c>
      <c r="C39" s="1">
        <v>2012.8333333334899</v>
      </c>
      <c r="D39" s="2">
        <v>-102.2999999999999</v>
      </c>
      <c r="E39" s="2">
        <v>-2124.3279569892456</v>
      </c>
      <c r="F39" s="2">
        <v>0.57870972043009061</v>
      </c>
      <c r="G39" s="2">
        <v>6.4470588235284509E-2</v>
      </c>
      <c r="H39" s="2">
        <v>0.51142874193548948</v>
      </c>
      <c r="I39">
        <v>0.3</v>
      </c>
      <c r="J39">
        <v>0.17</v>
      </c>
      <c r="K39" s="2"/>
      <c r="M39" s="3"/>
      <c r="N39" s="7"/>
      <c r="O39" s="5"/>
      <c r="P39" s="5"/>
    </row>
    <row r="40" spans="1:16" x14ac:dyDescent="0.3">
      <c r="A40">
        <v>2012</v>
      </c>
      <c r="B40">
        <v>10</v>
      </c>
      <c r="C40" s="1">
        <v>2012.7500000001601</v>
      </c>
      <c r="D40" s="2">
        <v>-111.43428571428575</v>
      </c>
      <c r="E40" s="2">
        <v>-2230.6935483870966</v>
      </c>
      <c r="F40" s="2">
        <v>0.24576210336454452</v>
      </c>
      <c r="G40" s="2">
        <v>8.8941176470587635E-2</v>
      </c>
      <c r="H40" s="2">
        <v>0.23394322580645266</v>
      </c>
      <c r="I40">
        <v>0.3</v>
      </c>
      <c r="J40">
        <v>0.33500000000000002</v>
      </c>
      <c r="K40" s="2"/>
      <c r="M40" s="3"/>
      <c r="N40" s="7"/>
      <c r="O40" s="5"/>
      <c r="P40" s="5"/>
    </row>
    <row r="41" spans="1:16" x14ac:dyDescent="0.3">
      <c r="A41">
        <v>2012</v>
      </c>
      <c r="B41">
        <v>9</v>
      </c>
      <c r="C41" s="1">
        <v>2012.66666666683</v>
      </c>
      <c r="D41" s="2">
        <v>-73.917142857142892</v>
      </c>
      <c r="E41" s="2">
        <v>-1145.6612903225805</v>
      </c>
      <c r="F41" s="2">
        <v>0.66254343010753303</v>
      </c>
      <c r="G41" s="2">
        <v>0.18644117647059488</v>
      </c>
      <c r="H41" s="2">
        <v>0.45055946774193245</v>
      </c>
      <c r="I41">
        <v>0.2</v>
      </c>
      <c r="J41">
        <v>0.45400000000000001</v>
      </c>
      <c r="K41" s="2"/>
      <c r="M41" s="3"/>
      <c r="O41" s="5"/>
      <c r="P41" s="5"/>
    </row>
    <row r="42" spans="1:16" x14ac:dyDescent="0.3">
      <c r="A42">
        <v>2012</v>
      </c>
      <c r="B42">
        <v>8</v>
      </c>
      <c r="C42" s="1">
        <v>2012.5833333334999</v>
      </c>
      <c r="D42" s="2">
        <v>-87.137142857142805</v>
      </c>
      <c r="E42" s="2">
        <v>-1253.5967741935483</v>
      </c>
      <c r="F42" s="2">
        <v>0.20482492715920486</v>
      </c>
      <c r="G42" s="2">
        <v>0.30852941176470239</v>
      </c>
      <c r="H42" s="2">
        <v>0.32538996774192697</v>
      </c>
      <c r="I42">
        <v>-0.2</v>
      </c>
      <c r="J42">
        <v>0.436</v>
      </c>
      <c r="K42" s="2"/>
      <c r="M42" s="3"/>
      <c r="O42" s="5"/>
      <c r="P42" s="5"/>
    </row>
    <row r="43" spans="1:16" x14ac:dyDescent="0.3">
      <c r="A43">
        <v>2012</v>
      </c>
      <c r="B43">
        <v>7</v>
      </c>
      <c r="C43" s="1">
        <v>2012.5000000001701</v>
      </c>
      <c r="D43" s="2">
        <v>-83.534285714285659</v>
      </c>
      <c r="E43" s="2">
        <v>-1623.5322580645161</v>
      </c>
      <c r="F43" s="2">
        <v>0.67075883975024908</v>
      </c>
      <c r="G43" s="2">
        <v>0.41408823529412331</v>
      </c>
      <c r="H43" s="2">
        <v>0.2262013225806534</v>
      </c>
      <c r="I43">
        <v>0</v>
      </c>
      <c r="J43">
        <v>0.38</v>
      </c>
      <c r="K43" s="2"/>
      <c r="M43" s="3"/>
      <c r="O43" s="5"/>
      <c r="P43" s="5"/>
    </row>
    <row r="44" spans="1:16" x14ac:dyDescent="0.3">
      <c r="A44">
        <v>2012</v>
      </c>
      <c r="B44">
        <v>6</v>
      </c>
      <c r="C44" s="1">
        <v>2012.41666666684</v>
      </c>
      <c r="D44" s="2">
        <v>33.019999999999925</v>
      </c>
      <c r="E44" s="2">
        <v>749.4516129032254</v>
      </c>
      <c r="F44" s="2">
        <v>0.62431322821653623</v>
      </c>
      <c r="G44" s="2">
        <v>0.54794117647058727</v>
      </c>
      <c r="H44" s="2">
        <v>0.11778285483871187</v>
      </c>
      <c r="I44">
        <v>-0.4</v>
      </c>
      <c r="J44">
        <v>0.30499999999999999</v>
      </c>
      <c r="K44" s="2"/>
      <c r="M44" s="3"/>
      <c r="O44" s="5"/>
      <c r="P44" s="5"/>
    </row>
    <row r="45" spans="1:16" x14ac:dyDescent="0.3">
      <c r="A45">
        <v>2012</v>
      </c>
      <c r="B45">
        <v>5</v>
      </c>
      <c r="C45" s="1">
        <v>2012.3333333335099</v>
      </c>
      <c r="D45" s="2">
        <v>99.218000000000188</v>
      </c>
      <c r="E45" s="2">
        <v>2736.1612903225805</v>
      </c>
      <c r="F45" s="2">
        <v>0.70586490808186397</v>
      </c>
      <c r="G45" s="2">
        <v>0.86135294117647021</v>
      </c>
      <c r="H45" s="2">
        <v>0.21391617741936031</v>
      </c>
      <c r="I45">
        <v>0</v>
      </c>
      <c r="J45">
        <v>0.17</v>
      </c>
      <c r="K45" s="2"/>
      <c r="M45" s="3"/>
      <c r="O45" s="5"/>
      <c r="P45" s="5"/>
    </row>
    <row r="46" spans="1:16" x14ac:dyDescent="0.3">
      <c r="A46">
        <v>2012</v>
      </c>
      <c r="B46">
        <v>4</v>
      </c>
      <c r="C46" s="1">
        <v>2012.2500000001801</v>
      </c>
      <c r="D46" s="2">
        <v>39.037999999999982</v>
      </c>
      <c r="E46" s="2">
        <v>1578.822580645161</v>
      </c>
      <c r="F46" s="2">
        <v>0.2980777150537719</v>
      </c>
      <c r="G46" s="2">
        <v>0.54302941176469943</v>
      </c>
      <c r="H46" s="2">
        <v>0.13733714516130036</v>
      </c>
      <c r="I46">
        <v>-0.3</v>
      </c>
      <c r="J46">
        <v>8.5000000000000006E-2</v>
      </c>
      <c r="K46" s="2"/>
      <c r="M46" s="3"/>
      <c r="O46" s="5"/>
      <c r="P46" s="5"/>
    </row>
    <row r="47" spans="1:16" x14ac:dyDescent="0.3">
      <c r="A47">
        <v>2012</v>
      </c>
      <c r="B47">
        <v>3</v>
      </c>
      <c r="C47" s="1">
        <v>2012.16666666685</v>
      </c>
      <c r="D47" s="2">
        <v>15.157142857142901</v>
      </c>
      <c r="E47" s="2">
        <v>391.6290322580644</v>
      </c>
      <c r="F47" s="2">
        <v>0.15546026014567715</v>
      </c>
      <c r="G47" s="2">
        <v>-0.22385294117646737</v>
      </c>
      <c r="H47" s="2">
        <v>-0.16762866129033327</v>
      </c>
      <c r="I47">
        <v>0.7</v>
      </c>
      <c r="J47">
        <v>3.1E-2</v>
      </c>
      <c r="K47" s="2"/>
      <c r="M47" s="3"/>
      <c r="O47" s="5"/>
      <c r="P47" s="5"/>
    </row>
    <row r="48" spans="1:16" x14ac:dyDescent="0.3">
      <c r="A48">
        <v>2012</v>
      </c>
      <c r="B48">
        <v>2</v>
      </c>
      <c r="C48" s="1">
        <v>2012.0833333335199</v>
      </c>
      <c r="D48" s="2">
        <v>149.126</v>
      </c>
      <c r="E48" s="2">
        <v>2474.2580645161288</v>
      </c>
      <c r="F48" s="2">
        <v>-0.21883913018432466</v>
      </c>
      <c r="G48" s="2">
        <v>-4.138235294117365E-2</v>
      </c>
      <c r="H48" s="2">
        <v>0.13586375806451301</v>
      </c>
      <c r="I48">
        <v>0.5</v>
      </c>
      <c r="J48">
        <v>0.01</v>
      </c>
      <c r="K48" s="2"/>
      <c r="M48" s="3"/>
      <c r="O48" s="5"/>
      <c r="P48" s="5"/>
    </row>
    <row r="49" spans="1:16" x14ac:dyDescent="0.3">
      <c r="A49">
        <v>2012</v>
      </c>
      <c r="B49">
        <v>1</v>
      </c>
      <c r="C49" s="1">
        <v>2012.0000000001901</v>
      </c>
      <c r="D49" s="2">
        <v>200.64800000000008</v>
      </c>
      <c r="E49" s="2">
        <v>4332.2741935483873</v>
      </c>
      <c r="F49" s="2">
        <v>-8.4210645161292064E-2</v>
      </c>
      <c r="G49" s="2">
        <v>0.13729411764705901</v>
      </c>
      <c r="H49" s="2">
        <v>8.4473177419351231E-2</v>
      </c>
      <c r="I49">
        <v>1.1000000000000001</v>
      </c>
      <c r="J49">
        <v>-0.06</v>
      </c>
      <c r="K49" s="2"/>
      <c r="M49" s="3"/>
      <c r="O49" s="5"/>
      <c r="P49" s="5"/>
    </row>
    <row r="50" spans="1:16" x14ac:dyDescent="0.3">
      <c r="A50">
        <v>2011</v>
      </c>
      <c r="B50">
        <v>12</v>
      </c>
      <c r="C50" s="1">
        <v>2011.91666666686</v>
      </c>
      <c r="D50" s="2">
        <v>123.94571428571419</v>
      </c>
      <c r="E50" s="2">
        <v>3476.1505376344066</v>
      </c>
      <c r="F50" s="2">
        <v>-0.33554547988206096</v>
      </c>
      <c r="G50" s="2">
        <v>8.5294117647055856E-2</v>
      </c>
      <c r="H50" s="2">
        <v>0.19581940322580849</v>
      </c>
      <c r="I50">
        <v>2.5</v>
      </c>
      <c r="J50">
        <v>-3.9E-2</v>
      </c>
      <c r="K50" s="2"/>
      <c r="M50" s="3"/>
      <c r="O50" s="5"/>
      <c r="P50" s="5"/>
    </row>
    <row r="51" spans="1:16" x14ac:dyDescent="0.3">
      <c r="A51">
        <v>2011</v>
      </c>
      <c r="B51">
        <v>11</v>
      </c>
      <c r="C51" s="1">
        <v>2011.8333333335299</v>
      </c>
      <c r="D51" s="2">
        <v>51.700000000000045</v>
      </c>
      <c r="E51" s="2">
        <v>1419.6720430107544</v>
      </c>
      <c r="F51" s="2">
        <v>-0.55915794623657433</v>
      </c>
      <c r="G51" s="2">
        <v>5.0470588235285163E-2</v>
      </c>
      <c r="H51" s="2">
        <v>0.55592374193548721</v>
      </c>
      <c r="I51">
        <v>1.1000000000000001</v>
      </c>
      <c r="J51">
        <v>-6.5000000000000002E-2</v>
      </c>
      <c r="K51" s="2"/>
      <c r="M51" s="3"/>
      <c r="O51" s="5"/>
      <c r="P51" s="5"/>
    </row>
    <row r="52" spans="1:16" x14ac:dyDescent="0.3">
      <c r="A52">
        <v>2011</v>
      </c>
      <c r="B52">
        <v>10</v>
      </c>
      <c r="C52" s="1">
        <v>2011.7500000002001</v>
      </c>
      <c r="D52" s="2">
        <v>36.865714285714262</v>
      </c>
      <c r="E52" s="2">
        <v>920.3064516129034</v>
      </c>
      <c r="F52" s="2">
        <v>-0.64112056330212042</v>
      </c>
      <c r="G52" s="2">
        <v>-0.32505882352941029</v>
      </c>
      <c r="H52" s="2">
        <v>0.34162822580645269</v>
      </c>
      <c r="I52">
        <v>0.8</v>
      </c>
      <c r="J52">
        <v>6.8000000000000005E-2</v>
      </c>
      <c r="K52" s="2"/>
      <c r="M52" s="3"/>
      <c r="O52" s="5"/>
      <c r="P52" s="5"/>
    </row>
    <row r="53" spans="1:16" x14ac:dyDescent="0.3">
      <c r="A53">
        <v>2011</v>
      </c>
      <c r="B53">
        <v>9</v>
      </c>
      <c r="C53" s="1">
        <v>2011.66666666687</v>
      </c>
      <c r="D53" s="2">
        <v>46.782857142857097</v>
      </c>
      <c r="E53" s="2">
        <v>1482.3387096774195</v>
      </c>
      <c r="F53" s="2">
        <v>-3.7456569892466263E-2</v>
      </c>
      <c r="G53" s="2">
        <v>0.59444117647059613</v>
      </c>
      <c r="H53" s="2">
        <v>0.3293574677419322</v>
      </c>
      <c r="I53">
        <v>1</v>
      </c>
      <c r="J53">
        <v>0.15</v>
      </c>
      <c r="K53" s="2"/>
      <c r="M53" s="3"/>
      <c r="O53" s="5"/>
      <c r="P53" s="5"/>
    </row>
    <row r="54" spans="1:16" x14ac:dyDescent="0.3">
      <c r="A54">
        <v>2011</v>
      </c>
      <c r="B54">
        <v>8</v>
      </c>
      <c r="C54" s="1">
        <v>2011.5833333335399</v>
      </c>
      <c r="D54" s="2">
        <v>108.46285714285722</v>
      </c>
      <c r="E54" s="2">
        <v>2679.4032258064517</v>
      </c>
      <c r="F54" s="2">
        <v>-9.5175072840792296E-2</v>
      </c>
      <c r="G54" s="2">
        <v>0.47352941176470154</v>
      </c>
      <c r="H54" s="2">
        <v>0.36698296774192585</v>
      </c>
      <c r="I54">
        <v>0.4</v>
      </c>
      <c r="J54">
        <v>0.152</v>
      </c>
      <c r="K54" s="2"/>
      <c r="M54" s="3"/>
      <c r="O54" s="5"/>
      <c r="P54" s="5"/>
    </row>
    <row r="55" spans="1:16" x14ac:dyDescent="0.3">
      <c r="A55">
        <v>2011</v>
      </c>
      <c r="B55">
        <v>7</v>
      </c>
      <c r="C55" s="1">
        <v>2011.5000000002101</v>
      </c>
      <c r="D55" s="2">
        <v>150.16571428571427</v>
      </c>
      <c r="E55" s="2">
        <v>3184.4677419354839</v>
      </c>
      <c r="F55" s="2">
        <v>-0.12924116024974808</v>
      </c>
      <c r="G55" s="2">
        <v>0.43808823529412422</v>
      </c>
      <c r="H55" s="2">
        <v>0.28624432258065369</v>
      </c>
      <c r="I55">
        <v>1</v>
      </c>
      <c r="J55">
        <v>9.7000000000000003E-2</v>
      </c>
      <c r="K55" s="2"/>
      <c r="M55" s="3"/>
      <c r="O55" s="5"/>
      <c r="P55" s="5"/>
    </row>
    <row r="56" spans="1:16" x14ac:dyDescent="0.3">
      <c r="A56">
        <v>2011</v>
      </c>
      <c r="B56">
        <v>6</v>
      </c>
      <c r="C56" s="1">
        <v>2011.41666666688</v>
      </c>
      <c r="D56" s="2">
        <v>232.71999999999997</v>
      </c>
      <c r="E56" s="2">
        <v>4575.4516129032254</v>
      </c>
      <c r="F56" s="2">
        <v>0.22431322821653765</v>
      </c>
      <c r="G56" s="2">
        <v>0.31394117647058906</v>
      </c>
      <c r="H56" s="2">
        <v>0.37744885483871116</v>
      </c>
      <c r="I56">
        <v>0.2</v>
      </c>
      <c r="J56">
        <v>0.184</v>
      </c>
      <c r="K56" s="2"/>
      <c r="M56" s="3"/>
      <c r="O56" s="5"/>
      <c r="P56" s="5"/>
    </row>
    <row r="57" spans="1:16" x14ac:dyDescent="0.3">
      <c r="A57">
        <v>2011</v>
      </c>
      <c r="B57">
        <v>5</v>
      </c>
      <c r="C57" s="1">
        <v>2011.3333333335499</v>
      </c>
      <c r="D57" s="2">
        <v>266.71800000000019</v>
      </c>
      <c r="E57" s="2">
        <v>5064.1612903225805</v>
      </c>
      <c r="F57" s="2">
        <v>0.1058649080818661</v>
      </c>
      <c r="G57" s="2">
        <v>0.12335294117646711</v>
      </c>
      <c r="H57" s="2">
        <v>0.25055917741935829</v>
      </c>
      <c r="I57">
        <v>0.4</v>
      </c>
      <c r="J57">
        <v>0.157</v>
      </c>
      <c r="K57" s="2"/>
      <c r="M57" s="3"/>
      <c r="O57" s="5"/>
      <c r="P57" s="5"/>
    </row>
    <row r="58" spans="1:16" x14ac:dyDescent="0.3">
      <c r="A58">
        <v>2011</v>
      </c>
      <c r="B58">
        <v>4</v>
      </c>
      <c r="C58" s="1">
        <v>2011.2500000002201</v>
      </c>
      <c r="D58" s="2">
        <v>159.43799999999996</v>
      </c>
      <c r="E58" s="2">
        <v>3267.822580645161</v>
      </c>
      <c r="F58" s="2">
        <v>0.2980777150537719</v>
      </c>
      <c r="G58" s="2">
        <v>0.3080294117647</v>
      </c>
      <c r="H58" s="2">
        <v>0.30002314516130113</v>
      </c>
      <c r="I58">
        <v>1.9</v>
      </c>
      <c r="J58">
        <v>9.7000000000000003E-2</v>
      </c>
      <c r="K58" s="2"/>
      <c r="M58" s="3"/>
      <c r="O58" s="5"/>
      <c r="P58" s="5"/>
    </row>
    <row r="59" spans="1:16" x14ac:dyDescent="0.3">
      <c r="A59">
        <v>2011</v>
      </c>
      <c r="B59">
        <v>3</v>
      </c>
      <c r="C59" s="1">
        <v>2011.16666666689</v>
      </c>
      <c r="D59" s="2">
        <v>134.85714285714292</v>
      </c>
      <c r="E59" s="2">
        <v>2446.6290322580644</v>
      </c>
      <c r="F59" s="2">
        <v>5.5460260145679285E-2</v>
      </c>
      <c r="G59" s="2">
        <v>0.1471470588235313</v>
      </c>
      <c r="H59" s="2">
        <v>0.43217533870966562</v>
      </c>
      <c r="I59">
        <v>2.5</v>
      </c>
      <c r="J59">
        <v>6.0999999999999999E-2</v>
      </c>
      <c r="K59" s="2"/>
      <c r="M59" s="3"/>
      <c r="O59" s="5"/>
      <c r="P59" s="5"/>
    </row>
    <row r="60" spans="1:16" x14ac:dyDescent="0.3">
      <c r="A60">
        <v>2011</v>
      </c>
      <c r="B60">
        <v>2</v>
      </c>
      <c r="C60" s="1">
        <v>2011.0833333335499</v>
      </c>
      <c r="D60" s="2">
        <v>188.82599999999999</v>
      </c>
      <c r="E60" s="2">
        <v>2227.2580645161288</v>
      </c>
      <c r="F60" s="2">
        <v>0.18116086981567747</v>
      </c>
      <c r="G60" s="2">
        <v>0.46761764705882669</v>
      </c>
      <c r="H60" s="2">
        <v>0.67599875806451237</v>
      </c>
      <c r="I60">
        <v>2.7</v>
      </c>
      <c r="J60">
        <v>0.113</v>
      </c>
      <c r="K60" s="2"/>
      <c r="M60" s="3"/>
      <c r="O60" s="5"/>
      <c r="P60" s="5"/>
    </row>
    <row r="61" spans="1:16" x14ac:dyDescent="0.3">
      <c r="A61">
        <v>2011</v>
      </c>
      <c r="B61">
        <v>1</v>
      </c>
      <c r="C61" s="1">
        <v>2011.0000000002201</v>
      </c>
      <c r="D61" s="2">
        <v>345.34800000000001</v>
      </c>
      <c r="E61" s="2">
        <v>4426.2741935483873</v>
      </c>
      <c r="F61" s="2">
        <v>0.16578935483870794</v>
      </c>
      <c r="G61" s="2">
        <v>0.27729411764705958</v>
      </c>
      <c r="H61" s="2">
        <v>0.48382617741934908</v>
      </c>
      <c r="I61">
        <v>2.2999999999999998</v>
      </c>
      <c r="J61">
        <v>0.14899999999999999</v>
      </c>
      <c r="K61" s="2"/>
      <c r="M61" s="3"/>
      <c r="N61" s="8"/>
      <c r="O61" s="5"/>
      <c r="P61" s="5"/>
    </row>
    <row r="62" spans="1:16" x14ac:dyDescent="0.3">
      <c r="A62">
        <v>2010</v>
      </c>
      <c r="B62">
        <v>12</v>
      </c>
      <c r="C62" s="1">
        <v>2010.91666666689</v>
      </c>
      <c r="D62" s="2">
        <v>348.24571428571426</v>
      </c>
      <c r="E62" s="2">
        <v>4023.1505376344066</v>
      </c>
      <c r="F62" s="2">
        <v>-0.23554547988206309</v>
      </c>
      <c r="G62" s="2">
        <v>-0.25770588235294412</v>
      </c>
      <c r="H62" s="2">
        <v>6.7548403225806908E-2</v>
      </c>
      <c r="I62">
        <v>2.9</v>
      </c>
      <c r="J62">
        <v>0.21299999999999999</v>
      </c>
      <c r="K62" s="2"/>
      <c r="M62" s="3"/>
      <c r="O62" s="5"/>
      <c r="P62" s="5"/>
    </row>
    <row r="63" spans="1:16" x14ac:dyDescent="0.3">
      <c r="A63">
        <v>2010</v>
      </c>
      <c r="B63">
        <v>11</v>
      </c>
      <c r="C63" s="1">
        <v>2010.8333333335599</v>
      </c>
      <c r="D63" s="2">
        <v>219.20000000000005</v>
      </c>
      <c r="E63" s="2">
        <v>3734.6720430107544</v>
      </c>
      <c r="F63" s="2">
        <v>-0.75915794623657362</v>
      </c>
      <c r="G63" s="2">
        <v>-0.35152941176471586</v>
      </c>
      <c r="H63" s="2">
        <v>0.3211597419354888</v>
      </c>
      <c r="I63">
        <v>1.3</v>
      </c>
      <c r="J63">
        <v>0.24099999999999999</v>
      </c>
      <c r="K63" s="2"/>
      <c r="M63" s="3"/>
      <c r="O63" s="5"/>
      <c r="P63" s="5"/>
    </row>
    <row r="64" spans="1:16" x14ac:dyDescent="0.3">
      <c r="A64">
        <v>2010</v>
      </c>
      <c r="B64">
        <v>10</v>
      </c>
      <c r="C64" s="1">
        <v>2010.7500000002301</v>
      </c>
      <c r="D64" s="2">
        <v>238.76571428571424</v>
      </c>
      <c r="E64" s="2">
        <v>5040.3064516129034</v>
      </c>
      <c r="F64" s="2">
        <v>-4.1120563302122548E-2</v>
      </c>
      <c r="G64" s="2">
        <v>0.25794117647058812</v>
      </c>
      <c r="H64" s="2">
        <v>0.55475022580645117</v>
      </c>
      <c r="I64">
        <v>1.7</v>
      </c>
      <c r="J64">
        <v>0.32900000000000001</v>
      </c>
      <c r="K64" s="2"/>
      <c r="M64" s="3"/>
      <c r="O64" s="5"/>
      <c r="P64" s="5"/>
    </row>
    <row r="65" spans="1:16" x14ac:dyDescent="0.3">
      <c r="A65">
        <v>2010</v>
      </c>
      <c r="B65">
        <v>9</v>
      </c>
      <c r="C65" s="1">
        <v>2010.6666666669</v>
      </c>
      <c r="D65" s="2">
        <v>245.08285714285711</v>
      </c>
      <c r="E65" s="2">
        <v>5191.3387096774195</v>
      </c>
      <c r="F65" s="2">
        <v>-3.7456569892466263E-2</v>
      </c>
      <c r="G65" s="2">
        <v>0.39644117647059574</v>
      </c>
      <c r="H65" s="2">
        <v>0.546911467741932</v>
      </c>
      <c r="I65">
        <v>2.2000000000000002</v>
      </c>
      <c r="J65">
        <v>0.45500000000000002</v>
      </c>
      <c r="K65" s="2"/>
      <c r="M65" s="3"/>
      <c r="O65" s="5"/>
      <c r="P65" s="5"/>
    </row>
    <row r="66" spans="1:16" x14ac:dyDescent="0.3">
      <c r="A66">
        <v>2010</v>
      </c>
      <c r="B66">
        <v>8</v>
      </c>
      <c r="C66" s="1">
        <v>2010.58333333357</v>
      </c>
      <c r="D66" s="2">
        <v>261.16285714285726</v>
      </c>
      <c r="E66" s="2">
        <v>5294.4032258064517</v>
      </c>
      <c r="F66" s="2">
        <v>-9.5175072840792296E-2</v>
      </c>
      <c r="G66" s="2">
        <v>0.36152941176470321</v>
      </c>
      <c r="H66" s="2">
        <v>0.84079696774192669</v>
      </c>
      <c r="I66">
        <v>1.8</v>
      </c>
      <c r="J66">
        <v>0.53100000000000003</v>
      </c>
      <c r="K66" s="2"/>
      <c r="M66" s="3"/>
      <c r="O66" s="5"/>
      <c r="P66" s="5"/>
    </row>
    <row r="67" spans="1:16" x14ac:dyDescent="0.3">
      <c r="A67">
        <v>2010</v>
      </c>
      <c r="B67">
        <v>7</v>
      </c>
      <c r="C67" s="1">
        <v>2010.5000000002401</v>
      </c>
      <c r="D67" s="2">
        <v>190.56571428571436</v>
      </c>
      <c r="E67" s="2">
        <v>2930.4677419354839</v>
      </c>
      <c r="F67" s="2">
        <v>-0.12924116024974808</v>
      </c>
      <c r="G67" s="2">
        <v>0.55108823529412376</v>
      </c>
      <c r="H67" s="2">
        <v>0.91190232258065151</v>
      </c>
      <c r="I67">
        <v>1.8</v>
      </c>
      <c r="J67">
        <v>0.45500000000000002</v>
      </c>
      <c r="K67" s="2"/>
      <c r="M67" s="3"/>
      <c r="O67" s="5"/>
      <c r="P67" s="5"/>
    </row>
    <row r="68" spans="1:16" x14ac:dyDescent="0.3">
      <c r="A68">
        <v>2010</v>
      </c>
      <c r="B68">
        <v>6</v>
      </c>
      <c r="C68" s="1">
        <v>2010.41666666691</v>
      </c>
      <c r="D68" s="2">
        <v>76.019999999999925</v>
      </c>
      <c r="E68" s="2">
        <v>1023.4516129032254</v>
      </c>
      <c r="F68" s="2">
        <v>0.32431322821653552</v>
      </c>
      <c r="G68" s="2">
        <v>0.46994117647058786</v>
      </c>
      <c r="H68" s="2">
        <v>0.55323385483871235</v>
      </c>
      <c r="I68">
        <v>0.4</v>
      </c>
      <c r="J68">
        <v>0.45300000000000001</v>
      </c>
      <c r="K68" s="2"/>
      <c r="M68" s="3"/>
      <c r="O68" s="5"/>
      <c r="P68" s="5"/>
    </row>
    <row r="69" spans="1:16" x14ac:dyDescent="0.3">
      <c r="A69">
        <v>2010</v>
      </c>
      <c r="B69">
        <v>5</v>
      </c>
      <c r="C69" s="1">
        <v>2010.33333333358</v>
      </c>
      <c r="D69" s="2">
        <v>13.618000000000166</v>
      </c>
      <c r="E69" s="2">
        <v>250.1612903225805</v>
      </c>
      <c r="F69" s="2">
        <v>0.80586490808186539</v>
      </c>
      <c r="G69" s="2">
        <v>0.54335294117646882</v>
      </c>
      <c r="H69" s="2">
        <v>1.05484917741936</v>
      </c>
      <c r="I69">
        <v>0.9</v>
      </c>
      <c r="J69">
        <v>0.46500000000000002</v>
      </c>
      <c r="K69" s="2"/>
      <c r="M69" s="3"/>
      <c r="O69" s="5"/>
      <c r="P69" s="5"/>
    </row>
    <row r="70" spans="1:16" x14ac:dyDescent="0.3">
      <c r="A70">
        <v>2010</v>
      </c>
      <c r="B70">
        <v>4</v>
      </c>
      <c r="C70" s="1">
        <v>2010.2500000002501</v>
      </c>
      <c r="D70" s="2">
        <v>-24.56200000000004</v>
      </c>
      <c r="E70" s="2">
        <v>-461.177419354839</v>
      </c>
      <c r="F70" s="2">
        <v>1.0980777150537726</v>
      </c>
      <c r="G70" s="2">
        <v>0.86702941176470105</v>
      </c>
      <c r="H70" s="2">
        <v>0.80487514516130076</v>
      </c>
      <c r="I70">
        <v>1.2</v>
      </c>
      <c r="J70">
        <v>0.43099999999999999</v>
      </c>
      <c r="K70" s="2"/>
      <c r="M70" s="3"/>
      <c r="O70" s="5"/>
      <c r="P70" s="5"/>
    </row>
    <row r="71" spans="1:16" x14ac:dyDescent="0.3">
      <c r="A71">
        <v>2010</v>
      </c>
      <c r="B71">
        <v>3</v>
      </c>
      <c r="C71" s="1">
        <v>2010.16666666692</v>
      </c>
      <c r="D71" s="2">
        <v>-37.842857142857099</v>
      </c>
      <c r="E71" s="2">
        <v>-926.3709677419356</v>
      </c>
      <c r="F71" s="2">
        <v>1.35546026014568</v>
      </c>
      <c r="G71" s="2">
        <v>0.81614705882353178</v>
      </c>
      <c r="H71" s="2">
        <v>1.4032083387096677</v>
      </c>
      <c r="I71">
        <v>-0.7</v>
      </c>
      <c r="J71">
        <v>0.29299999999999998</v>
      </c>
      <c r="K71" s="2"/>
      <c r="M71" s="3"/>
      <c r="O71" s="5"/>
      <c r="P71" s="5"/>
    </row>
    <row r="72" spans="1:16" x14ac:dyDescent="0.3">
      <c r="A72">
        <v>2010</v>
      </c>
      <c r="B72">
        <v>2</v>
      </c>
      <c r="C72" s="1">
        <v>2010.08333333359</v>
      </c>
      <c r="D72" s="2">
        <v>-101.97400000000002</v>
      </c>
      <c r="E72" s="2">
        <v>-1914.7419354838712</v>
      </c>
      <c r="F72" s="2">
        <v>1.0811608698156761</v>
      </c>
      <c r="G72" s="2">
        <v>0.27961764705882786</v>
      </c>
      <c r="H72" s="2">
        <v>1.1149687580645136</v>
      </c>
      <c r="I72">
        <v>-1.5</v>
      </c>
      <c r="J72">
        <v>0.183</v>
      </c>
      <c r="K72" s="2"/>
      <c r="M72" s="3"/>
      <c r="O72" s="5"/>
      <c r="P72" s="5"/>
    </row>
    <row r="73" spans="1:16" x14ac:dyDescent="0.3">
      <c r="A73">
        <v>2010</v>
      </c>
      <c r="B73">
        <v>1</v>
      </c>
      <c r="C73" s="1">
        <v>2010.0000000002599</v>
      </c>
      <c r="D73" s="2">
        <v>-189.05199999999996</v>
      </c>
      <c r="E73" s="2">
        <v>-3556.7258064516127</v>
      </c>
      <c r="F73" s="2">
        <v>0.91578935483870794</v>
      </c>
      <c r="G73" s="2">
        <v>0.35029411764705998</v>
      </c>
      <c r="H73" s="2">
        <v>0.47895817741935076</v>
      </c>
      <c r="I73">
        <v>-1.1000000000000001</v>
      </c>
      <c r="J73">
        <v>4.4999999999999998E-2</v>
      </c>
      <c r="K73" s="2"/>
      <c r="M73" s="3"/>
      <c r="O73" s="5"/>
      <c r="P73" s="5"/>
    </row>
    <row r="74" spans="1:16" x14ac:dyDescent="0.3">
      <c r="A74">
        <v>2009</v>
      </c>
      <c r="B74">
        <v>12</v>
      </c>
      <c r="C74" s="1">
        <v>2009.91666666693</v>
      </c>
      <c r="D74" s="2">
        <v>-151.65428571428578</v>
      </c>
      <c r="E74" s="2">
        <v>-3755.8494623655934</v>
      </c>
      <c r="F74" s="2">
        <v>0.9644545201179362</v>
      </c>
      <c r="G74" s="2">
        <v>0.75929411764705534</v>
      </c>
      <c r="H74" s="2">
        <v>0.54104640322580622</v>
      </c>
      <c r="I74">
        <v>-0.7</v>
      </c>
      <c r="J74">
        <v>8.7999999999999995E-2</v>
      </c>
      <c r="K74" s="2"/>
      <c r="M74" s="3"/>
      <c r="O74" s="5"/>
      <c r="P74" s="5"/>
    </row>
    <row r="75" spans="1:16" x14ac:dyDescent="0.3">
      <c r="A75">
        <v>2009</v>
      </c>
      <c r="B75">
        <v>11</v>
      </c>
      <c r="C75" s="1">
        <v>2009.8333333336</v>
      </c>
      <c r="D75" s="2">
        <v>-61.999999999999886</v>
      </c>
      <c r="E75" s="2">
        <v>-2859.3279569892456</v>
      </c>
      <c r="F75" s="2">
        <v>0.64084205376342496</v>
      </c>
      <c r="G75" s="2">
        <v>0.59047058823528431</v>
      </c>
      <c r="H75" s="2">
        <v>0.42950474193548871</v>
      </c>
      <c r="I75">
        <v>-0.6</v>
      </c>
      <c r="J75">
        <v>7.4999999999999997E-2</v>
      </c>
      <c r="K75" s="2"/>
      <c r="M75" s="3"/>
      <c r="O75" s="5"/>
      <c r="P75" s="5"/>
    </row>
    <row r="76" spans="1:16" x14ac:dyDescent="0.3">
      <c r="A76">
        <v>2009</v>
      </c>
      <c r="B76">
        <v>10</v>
      </c>
      <c r="C76" s="1">
        <v>2009.7500000002699</v>
      </c>
      <c r="D76" s="2">
        <v>-105.93428571428575</v>
      </c>
      <c r="E76" s="2">
        <v>-3355.6935483870966</v>
      </c>
      <c r="F76" s="2">
        <v>0.35887943669787958</v>
      </c>
      <c r="G76" s="2">
        <v>0.374941176470589</v>
      </c>
      <c r="H76" s="2">
        <v>0.23119822580645177</v>
      </c>
      <c r="I76">
        <v>-1.2</v>
      </c>
      <c r="J76">
        <v>0.17</v>
      </c>
      <c r="K76" s="2"/>
      <c r="M76" s="3"/>
      <c r="O76" s="5"/>
      <c r="P76" s="5"/>
    </row>
    <row r="77" spans="1:16" x14ac:dyDescent="0.3">
      <c r="A77">
        <v>2009</v>
      </c>
      <c r="B77">
        <v>9</v>
      </c>
      <c r="C77" s="1">
        <v>2009.66666666694</v>
      </c>
      <c r="D77" s="2">
        <v>-19.217142857142903</v>
      </c>
      <c r="E77" s="2">
        <v>-1565.6612903225805</v>
      </c>
      <c r="F77" s="2">
        <v>0.76254343010753445</v>
      </c>
      <c r="G77" s="2">
        <v>0.31044117647059366</v>
      </c>
      <c r="H77" s="2">
        <v>0.23504146774193302</v>
      </c>
      <c r="I77">
        <v>0.3</v>
      </c>
      <c r="J77">
        <v>6.3E-2</v>
      </c>
      <c r="K77" s="2"/>
      <c r="M77" s="3"/>
      <c r="O77" s="5"/>
      <c r="P77" s="5"/>
    </row>
    <row r="78" spans="1:16" x14ac:dyDescent="0.3">
      <c r="A78">
        <v>2009</v>
      </c>
      <c r="B78">
        <v>8</v>
      </c>
      <c r="C78" s="1">
        <v>2009.58333333361</v>
      </c>
      <c r="D78" s="2">
        <v>-10.737142857142771</v>
      </c>
      <c r="E78" s="2">
        <v>-1411.5967741935483</v>
      </c>
      <c r="F78" s="2">
        <v>0.4048249271592077</v>
      </c>
      <c r="G78" s="2">
        <v>0.3845294117647029</v>
      </c>
      <c r="H78" s="2">
        <v>0.20885696774192652</v>
      </c>
      <c r="I78">
        <v>-0.2</v>
      </c>
      <c r="J78">
        <v>0.158</v>
      </c>
      <c r="K78" s="2"/>
      <c r="M78" s="3"/>
      <c r="O78" s="5"/>
      <c r="P78" s="5"/>
    </row>
    <row r="79" spans="1:16" x14ac:dyDescent="0.3">
      <c r="A79">
        <v>2009</v>
      </c>
      <c r="B79">
        <v>7</v>
      </c>
      <c r="C79" s="1">
        <v>2009.5000000002799</v>
      </c>
      <c r="D79" s="2">
        <v>63.66571428571433</v>
      </c>
      <c r="E79" s="2">
        <v>-640.5322580645161</v>
      </c>
      <c r="F79" s="2">
        <v>0.57075883975025121</v>
      </c>
      <c r="G79" s="2">
        <v>0.35308823529412336</v>
      </c>
      <c r="H79" s="2">
        <v>0.33554932258065406</v>
      </c>
      <c r="I79">
        <v>0.2</v>
      </c>
      <c r="J79">
        <v>0.23300000000000001</v>
      </c>
      <c r="K79" s="2"/>
      <c r="M79" s="3"/>
      <c r="O79" s="5"/>
      <c r="P79" s="5"/>
    </row>
    <row r="80" spans="1:16" x14ac:dyDescent="0.3">
      <c r="A80">
        <v>2009</v>
      </c>
      <c r="B80">
        <v>6</v>
      </c>
      <c r="C80" s="1">
        <v>2009.4166666669501</v>
      </c>
      <c r="D80" s="2">
        <v>82.519999999999925</v>
      </c>
      <c r="E80" s="2">
        <v>-464.5483870967746</v>
      </c>
      <c r="F80" s="2">
        <v>0.22431322821653765</v>
      </c>
      <c r="G80" s="2">
        <v>9.4117647058666876E-4</v>
      </c>
      <c r="H80" s="2">
        <v>0.39763085483871308</v>
      </c>
      <c r="I80">
        <v>0.1</v>
      </c>
      <c r="J80">
        <v>0.127</v>
      </c>
      <c r="K80" s="2"/>
      <c r="M80" s="3"/>
      <c r="O80" s="5"/>
      <c r="P80" s="5"/>
    </row>
    <row r="81" spans="1:16" x14ac:dyDescent="0.3">
      <c r="A81">
        <v>2009</v>
      </c>
      <c r="B81">
        <v>5</v>
      </c>
      <c r="C81" s="1">
        <v>2009.33333333362</v>
      </c>
      <c r="D81" s="2">
        <v>126.31800000000021</v>
      </c>
      <c r="E81" s="2">
        <v>918.1612903225805</v>
      </c>
      <c r="F81" s="2">
        <v>0.50586490808186468</v>
      </c>
      <c r="G81" s="2">
        <v>0.10135294117646865</v>
      </c>
      <c r="H81" s="2">
        <v>-0.29221382258063855</v>
      </c>
      <c r="I81">
        <v>-0.1</v>
      </c>
      <c r="J81">
        <v>-5.6000000000000001E-2</v>
      </c>
      <c r="K81" s="2"/>
      <c r="M81" s="3"/>
      <c r="O81" s="5"/>
      <c r="P81" s="5"/>
    </row>
    <row r="82" spans="1:16" x14ac:dyDescent="0.3">
      <c r="A82">
        <v>2009</v>
      </c>
      <c r="B82">
        <v>4</v>
      </c>
      <c r="C82" s="1">
        <v>2009.2500000002899</v>
      </c>
      <c r="D82" s="2">
        <v>158.43799999999996</v>
      </c>
      <c r="E82" s="2">
        <v>1941.822580645161</v>
      </c>
      <c r="F82" s="2">
        <v>0.2980777150537719</v>
      </c>
      <c r="G82" s="2">
        <v>0.19002941176470145</v>
      </c>
      <c r="H82" s="2">
        <v>-0.31159185483869933</v>
      </c>
      <c r="I82">
        <v>0.8</v>
      </c>
      <c r="J82">
        <v>-0.125</v>
      </c>
      <c r="K82" s="2"/>
      <c r="M82" s="3"/>
      <c r="O82" s="5"/>
      <c r="P82" s="5"/>
    </row>
    <row r="83" spans="1:16" x14ac:dyDescent="0.3">
      <c r="A83">
        <v>2009</v>
      </c>
      <c r="B83">
        <v>3</v>
      </c>
      <c r="C83" s="1">
        <v>2009.1666666669601</v>
      </c>
      <c r="D83" s="2">
        <v>157.85714285714292</v>
      </c>
      <c r="E83" s="2">
        <v>1494.6290322580644</v>
      </c>
      <c r="F83" s="2">
        <v>0.15546026014567715</v>
      </c>
      <c r="G83" s="2">
        <v>-0.35385294117646637</v>
      </c>
      <c r="H83" s="2">
        <v>-0.52243766129033276</v>
      </c>
      <c r="I83">
        <v>0.4</v>
      </c>
      <c r="J83">
        <v>-0.155</v>
      </c>
      <c r="K83" s="2"/>
      <c r="M83" s="3"/>
      <c r="O83" s="5"/>
      <c r="P83" s="5"/>
    </row>
    <row r="84" spans="1:16" x14ac:dyDescent="0.3">
      <c r="A84">
        <v>2009</v>
      </c>
      <c r="B84">
        <v>2</v>
      </c>
      <c r="C84" s="1">
        <v>2009.08333333363</v>
      </c>
      <c r="D84" s="2">
        <v>232.92600000000002</v>
      </c>
      <c r="E84" s="2">
        <v>2283.2580645161288</v>
      </c>
      <c r="F84" s="2">
        <v>8.1160869815676051E-2</v>
      </c>
      <c r="G84" s="2">
        <v>-2.0382352941172854E-2</v>
      </c>
      <c r="H84" s="2">
        <v>-0.23088924193548621</v>
      </c>
      <c r="I84">
        <v>1.9</v>
      </c>
      <c r="J84">
        <v>-0.159</v>
      </c>
      <c r="K84" s="2"/>
      <c r="M84" s="3"/>
      <c r="O84" s="5"/>
      <c r="P84" s="5"/>
    </row>
    <row r="85" spans="1:16" x14ac:dyDescent="0.3">
      <c r="A85">
        <v>2009</v>
      </c>
      <c r="B85">
        <v>1</v>
      </c>
      <c r="C85" s="1">
        <v>2009.0000000002999</v>
      </c>
      <c r="D85" s="2">
        <v>214.04800000000006</v>
      </c>
      <c r="E85" s="2">
        <v>3253.2741935483873</v>
      </c>
      <c r="F85" s="2">
        <v>-0.28421064516129135</v>
      </c>
      <c r="G85" s="2">
        <v>-0.15470588235293903</v>
      </c>
      <c r="H85" s="2">
        <v>6.0842177419349497E-2</v>
      </c>
      <c r="I85">
        <v>1.1000000000000001</v>
      </c>
      <c r="J85">
        <v>-5.3999999999999999E-2</v>
      </c>
      <c r="K85" s="2"/>
      <c r="M85" s="3"/>
      <c r="O85" s="5"/>
      <c r="P85" s="5"/>
    </row>
    <row r="86" spans="1:16" x14ac:dyDescent="0.3">
      <c r="A86">
        <v>2008</v>
      </c>
      <c r="B86">
        <v>12</v>
      </c>
      <c r="C86" s="1">
        <v>2008.9166666669701</v>
      </c>
      <c r="D86" s="2">
        <v>181.24571428571426</v>
      </c>
      <c r="E86" s="2">
        <v>4519.1505376344066</v>
      </c>
      <c r="F86" s="2">
        <v>-0.33554547988206096</v>
      </c>
      <c r="G86" s="2">
        <v>-0.26570588235294323</v>
      </c>
      <c r="H86" s="2">
        <v>-5.7720596774192501E-2</v>
      </c>
      <c r="I86">
        <v>1.4</v>
      </c>
      <c r="J86">
        <v>2.4E-2</v>
      </c>
      <c r="K86" s="2"/>
      <c r="M86" s="3"/>
      <c r="O86" s="5"/>
      <c r="P86" s="5"/>
    </row>
    <row r="87" spans="1:16" x14ac:dyDescent="0.3">
      <c r="A87">
        <v>2008</v>
      </c>
      <c r="B87">
        <v>11</v>
      </c>
      <c r="C87" s="1">
        <v>2008.83333333364</v>
      </c>
      <c r="D87" s="2">
        <v>199.80000000000007</v>
      </c>
      <c r="E87" s="2">
        <v>3340.6720430107544</v>
      </c>
      <c r="F87" s="2">
        <v>-0.15915794623657575</v>
      </c>
      <c r="G87" s="2">
        <v>3.3470588235285703E-2</v>
      </c>
      <c r="H87" s="2">
        <v>0.22741974193548842</v>
      </c>
      <c r="I87">
        <v>1.3</v>
      </c>
      <c r="J87">
        <v>6.0000000000000001E-3</v>
      </c>
      <c r="K87" s="2"/>
      <c r="M87" s="3"/>
      <c r="O87" s="5"/>
      <c r="P87" s="5"/>
    </row>
    <row r="88" spans="1:16" x14ac:dyDescent="0.3">
      <c r="A88">
        <v>2008</v>
      </c>
      <c r="B88">
        <v>10</v>
      </c>
      <c r="C88" s="1">
        <v>2008.7500000003099</v>
      </c>
      <c r="D88" s="2">
        <v>223.76571428571424</v>
      </c>
      <c r="E88" s="2">
        <v>3393.3064516129034</v>
      </c>
      <c r="F88" s="2">
        <v>5.8879436697878873E-2</v>
      </c>
      <c r="G88" s="2">
        <v>0.18194117647058761</v>
      </c>
      <c r="H88" s="2">
        <v>0.38236922580645327</v>
      </c>
      <c r="I88">
        <v>1.3</v>
      </c>
      <c r="J88">
        <v>0.108</v>
      </c>
      <c r="K88" s="2"/>
      <c r="M88" s="3"/>
      <c r="O88" s="5"/>
      <c r="P88" s="5"/>
    </row>
    <row r="89" spans="1:16" x14ac:dyDescent="0.3">
      <c r="A89">
        <v>2008</v>
      </c>
      <c r="B89">
        <v>9</v>
      </c>
      <c r="C89" s="1">
        <v>2008.6666666669801</v>
      </c>
      <c r="D89" s="2">
        <v>261.38285714285706</v>
      </c>
      <c r="E89" s="2">
        <v>4477.3387096774195</v>
      </c>
      <c r="F89" s="2">
        <v>-3.7456569892466263E-2</v>
      </c>
      <c r="G89" s="2">
        <v>0.4114411764705963</v>
      </c>
      <c r="H89" s="2">
        <v>0.41586746774193273</v>
      </c>
      <c r="I89">
        <v>1.2</v>
      </c>
      <c r="J89">
        <v>0.20399999999999999</v>
      </c>
      <c r="K89" s="2"/>
      <c r="M89" s="3"/>
      <c r="O89" s="5"/>
      <c r="P89" s="5"/>
    </row>
    <row r="90" spans="1:16" x14ac:dyDescent="0.3">
      <c r="A90">
        <v>2008</v>
      </c>
      <c r="B90">
        <v>8</v>
      </c>
      <c r="C90" s="1">
        <v>2008.58333333365</v>
      </c>
      <c r="D90" s="2">
        <v>260.96285714285722</v>
      </c>
      <c r="E90" s="2">
        <v>4489.4032258064517</v>
      </c>
      <c r="F90" s="2">
        <v>-0.39517507284079301</v>
      </c>
      <c r="G90" s="2">
        <v>7.2529411764701734E-2</v>
      </c>
      <c r="H90" s="2">
        <v>0.36042196774192803</v>
      </c>
      <c r="I90">
        <v>1</v>
      </c>
      <c r="J90">
        <v>0.18</v>
      </c>
      <c r="K90" s="2"/>
      <c r="M90" s="3"/>
      <c r="O90" s="5"/>
      <c r="P90" s="5"/>
    </row>
    <row r="91" spans="1:16" x14ac:dyDescent="0.3">
      <c r="A91">
        <v>2008</v>
      </c>
      <c r="B91">
        <v>7</v>
      </c>
      <c r="C91" s="1">
        <v>2008.5000000003199</v>
      </c>
      <c r="D91" s="2">
        <v>236.56571428571436</v>
      </c>
      <c r="E91" s="2">
        <v>3483.4677419354839</v>
      </c>
      <c r="F91" s="2">
        <v>-0.2292411602497495</v>
      </c>
      <c r="G91" s="2">
        <v>-9.8911764705874816E-2</v>
      </c>
      <c r="H91" s="2">
        <v>0.21277732258065285</v>
      </c>
      <c r="I91">
        <v>0.3</v>
      </c>
      <c r="J91">
        <v>0.21099999999999999</v>
      </c>
      <c r="K91" s="2"/>
      <c r="M91" s="3"/>
      <c r="O91" s="5"/>
      <c r="P91" s="5"/>
    </row>
    <row r="92" spans="1:16" x14ac:dyDescent="0.3">
      <c r="A92">
        <v>2008</v>
      </c>
      <c r="B92">
        <v>6</v>
      </c>
      <c r="C92" s="1">
        <v>2008.4166666669901</v>
      </c>
      <c r="D92" s="2">
        <v>184.32</v>
      </c>
      <c r="E92" s="2">
        <v>1722.4516129032254</v>
      </c>
      <c r="F92" s="2">
        <v>-0.17568677178346448</v>
      </c>
      <c r="G92" s="2">
        <v>-0.13405882352941134</v>
      </c>
      <c r="H92" s="2">
        <v>4.7137854838712911E-2</v>
      </c>
      <c r="I92">
        <v>0.6</v>
      </c>
      <c r="J92">
        <v>0.26100000000000001</v>
      </c>
      <c r="K92" s="2"/>
      <c r="M92" s="3"/>
      <c r="O92" s="5"/>
      <c r="P92" s="5"/>
    </row>
    <row r="93" spans="1:16" x14ac:dyDescent="0.3">
      <c r="A93">
        <v>2008</v>
      </c>
      <c r="B93">
        <v>5</v>
      </c>
      <c r="C93" s="1">
        <v>2008.33333333366</v>
      </c>
      <c r="D93" s="2">
        <v>147.11800000000017</v>
      </c>
      <c r="E93" s="2">
        <v>779.1612903225805</v>
      </c>
      <c r="F93" s="2">
        <v>-0.19413509191813461</v>
      </c>
      <c r="G93" s="2">
        <v>-0.26764705882353113</v>
      </c>
      <c r="H93" s="2">
        <v>-0.21844582258064094</v>
      </c>
      <c r="I93">
        <v>-0.1</v>
      </c>
      <c r="J93">
        <v>0.17699999999999999</v>
      </c>
      <c r="K93" s="2"/>
      <c r="M93" s="3"/>
      <c r="O93" s="5"/>
      <c r="P93" s="5"/>
    </row>
    <row r="94" spans="1:16" x14ac:dyDescent="0.3">
      <c r="A94">
        <v>2008</v>
      </c>
      <c r="B94">
        <v>4</v>
      </c>
      <c r="C94" s="1">
        <v>2008.2500000003299</v>
      </c>
      <c r="D94" s="2">
        <v>138.43799999999996</v>
      </c>
      <c r="E94" s="2">
        <v>666.822580645161</v>
      </c>
      <c r="F94" s="2">
        <v>-1.9222849462288139E-3</v>
      </c>
      <c r="G94" s="2">
        <v>1.9029411764698523E-2</v>
      </c>
      <c r="H94" s="2">
        <v>0.14966314516129842</v>
      </c>
      <c r="I94">
        <v>0.7</v>
      </c>
      <c r="J94">
        <v>4.8000000000000001E-2</v>
      </c>
      <c r="K94" s="2"/>
      <c r="M94" s="3"/>
      <c r="O94" s="5"/>
      <c r="P94" s="5"/>
    </row>
    <row r="95" spans="1:16" x14ac:dyDescent="0.3">
      <c r="A95">
        <v>2008</v>
      </c>
      <c r="B95">
        <v>3</v>
      </c>
      <c r="C95" s="1">
        <v>2008.1666666670001</v>
      </c>
      <c r="D95" s="2">
        <v>178.85714285714292</v>
      </c>
      <c r="E95" s="2">
        <v>1271.6290322580644</v>
      </c>
      <c r="F95" s="2">
        <v>-0.24453973985432143</v>
      </c>
      <c r="G95" s="2">
        <v>0.47414705882353303</v>
      </c>
      <c r="H95" s="2">
        <v>-4.9603661290333889E-2</v>
      </c>
      <c r="I95">
        <v>1.4</v>
      </c>
      <c r="J95">
        <v>0.16400000000000001</v>
      </c>
      <c r="K95" s="2"/>
      <c r="M95" s="3"/>
      <c r="O95" s="5"/>
      <c r="P95" s="5"/>
    </row>
    <row r="96" spans="1:16" x14ac:dyDescent="0.3">
      <c r="A96">
        <v>2008</v>
      </c>
      <c r="B96">
        <v>2</v>
      </c>
      <c r="C96" s="1">
        <v>2008.08333333367</v>
      </c>
      <c r="D96" s="2">
        <v>187.626</v>
      </c>
      <c r="E96" s="2">
        <v>948.2580645161288</v>
      </c>
      <c r="F96" s="2">
        <v>-1.883913018432537E-2</v>
      </c>
      <c r="G96" s="2">
        <v>0.33061764705882624</v>
      </c>
      <c r="H96" s="2">
        <v>9.6627580645147759E-3</v>
      </c>
      <c r="I96">
        <v>2.6</v>
      </c>
      <c r="J96">
        <v>0.13300000000000001</v>
      </c>
      <c r="K96" s="2"/>
      <c r="M96" s="3"/>
      <c r="O96" s="5"/>
      <c r="P96" s="5"/>
    </row>
    <row r="97" spans="1:16" x14ac:dyDescent="0.3">
      <c r="A97">
        <v>2008</v>
      </c>
      <c r="B97">
        <v>1</v>
      </c>
      <c r="C97" s="1">
        <v>2008.0000000003399</v>
      </c>
      <c r="D97" s="2">
        <v>181.04800000000006</v>
      </c>
      <c r="E97" s="2">
        <v>1932.2741935483873</v>
      </c>
      <c r="F97" s="2">
        <v>1.5789354838709357E-2</v>
      </c>
      <c r="G97" s="2">
        <v>-7.5705882352938403E-2</v>
      </c>
      <c r="H97" s="2">
        <v>9.2717741934933429E-4</v>
      </c>
      <c r="I97">
        <v>1.8</v>
      </c>
      <c r="J97">
        <v>3.5000000000000003E-2</v>
      </c>
      <c r="K97" s="2"/>
      <c r="M97" s="3"/>
      <c r="O97" s="5"/>
      <c r="P97" s="5"/>
    </row>
    <row r="98" spans="1:16" x14ac:dyDescent="0.3">
      <c r="A98">
        <v>2007</v>
      </c>
      <c r="B98">
        <v>12</v>
      </c>
      <c r="C98" s="1">
        <v>2007.9166666670101</v>
      </c>
      <c r="D98" s="2">
        <v>151.04571428571421</v>
      </c>
      <c r="E98" s="2">
        <v>2592.1505376344066</v>
      </c>
      <c r="F98" s="2">
        <v>0.16445452011793904</v>
      </c>
      <c r="G98" s="2">
        <v>0.25329411764705512</v>
      </c>
      <c r="H98" s="2">
        <v>9.1571403225806591E-2</v>
      </c>
      <c r="I98">
        <v>1.7</v>
      </c>
      <c r="J98">
        <v>0.11600000000000001</v>
      </c>
      <c r="K98" s="2"/>
      <c r="M98" s="3"/>
      <c r="O98" s="5"/>
      <c r="P98" s="5"/>
    </row>
    <row r="99" spans="1:16" x14ac:dyDescent="0.3">
      <c r="A99">
        <v>2007</v>
      </c>
      <c r="B99">
        <v>11</v>
      </c>
      <c r="C99" s="1">
        <v>2007.83333333368</v>
      </c>
      <c r="D99" s="2">
        <v>155.70000000000005</v>
      </c>
      <c r="E99" s="2">
        <v>3148.6720430107544</v>
      </c>
      <c r="F99" s="2">
        <v>0.34084205376342425</v>
      </c>
      <c r="G99" s="2">
        <v>-1.052941176471478E-2</v>
      </c>
      <c r="H99" s="2">
        <v>0.1277087419354892</v>
      </c>
      <c r="I99">
        <v>0.9</v>
      </c>
      <c r="J99">
        <v>0.18099999999999999</v>
      </c>
      <c r="K99" s="2"/>
      <c r="M99" s="3"/>
      <c r="O99" s="5"/>
      <c r="P99" s="5"/>
    </row>
    <row r="100" spans="1:16" x14ac:dyDescent="0.3">
      <c r="A100">
        <v>2007</v>
      </c>
      <c r="B100">
        <v>10</v>
      </c>
      <c r="C100" s="1">
        <v>2007.7500000003499</v>
      </c>
      <c r="D100" s="2">
        <v>174.76571428571424</v>
      </c>
      <c r="E100" s="2">
        <v>1799.3064516129034</v>
      </c>
      <c r="F100" s="2">
        <v>-0.44112056330212113</v>
      </c>
      <c r="G100" s="2">
        <v>5.7941176470588829E-2</v>
      </c>
      <c r="H100" s="2">
        <v>0.2181672258064502</v>
      </c>
      <c r="I100">
        <v>0.7</v>
      </c>
      <c r="J100">
        <v>0.16300000000000001</v>
      </c>
      <c r="K100" s="2"/>
      <c r="M100" s="3"/>
      <c r="O100" s="5"/>
      <c r="P100" s="5"/>
    </row>
    <row r="101" spans="1:16" x14ac:dyDescent="0.3">
      <c r="A101">
        <v>2007</v>
      </c>
      <c r="B101">
        <v>9</v>
      </c>
      <c r="C101" s="1">
        <v>2007.6666666670201</v>
      </c>
      <c r="D101" s="2">
        <v>207.18285714285713</v>
      </c>
      <c r="E101" s="2">
        <v>2771.3387096774195</v>
      </c>
      <c r="F101" s="2">
        <v>-0.23745656989246555</v>
      </c>
      <c r="G101" s="2">
        <v>-7.8558823529405686E-2</v>
      </c>
      <c r="H101" s="2">
        <v>0.20445446774193243</v>
      </c>
      <c r="I101">
        <v>0.2</v>
      </c>
      <c r="J101">
        <v>0.10299999999999999</v>
      </c>
      <c r="K101" s="2"/>
      <c r="M101" s="3"/>
      <c r="O101" s="5"/>
      <c r="P101" s="5"/>
    </row>
    <row r="102" spans="1:16" x14ac:dyDescent="0.3">
      <c r="A102">
        <v>2007</v>
      </c>
      <c r="B102">
        <v>8</v>
      </c>
      <c r="C102" s="1">
        <v>2007.58333333369</v>
      </c>
      <c r="D102" s="2">
        <v>189.86285714285719</v>
      </c>
      <c r="E102" s="2">
        <v>1857.4032258064517</v>
      </c>
      <c r="F102" s="2">
        <v>-0.39517507284079301</v>
      </c>
      <c r="G102" s="2">
        <v>0.13052941176470156</v>
      </c>
      <c r="H102" s="2">
        <v>0.14176196774192817</v>
      </c>
      <c r="I102">
        <v>0.4</v>
      </c>
      <c r="J102">
        <v>0.06</v>
      </c>
      <c r="K102" s="2"/>
      <c r="M102" s="3"/>
      <c r="O102" s="5"/>
      <c r="P102" s="5"/>
    </row>
    <row r="103" spans="1:16" x14ac:dyDescent="0.3">
      <c r="A103">
        <v>2007</v>
      </c>
      <c r="B103">
        <v>7</v>
      </c>
      <c r="C103" s="1">
        <v>2007.5000000003599</v>
      </c>
      <c r="D103" s="2">
        <v>203.96571428571434</v>
      </c>
      <c r="E103" s="2">
        <v>3058.4677419354839</v>
      </c>
      <c r="F103" s="2">
        <v>0.17075883975024908</v>
      </c>
      <c r="G103" s="2">
        <v>0.72308823529412436</v>
      </c>
      <c r="H103" s="2">
        <v>0.13374432258065383</v>
      </c>
      <c r="I103">
        <v>-0.3</v>
      </c>
      <c r="J103">
        <v>0.13400000000000001</v>
      </c>
      <c r="K103" s="2"/>
      <c r="M103" s="3"/>
      <c r="O103" s="5"/>
      <c r="P103" s="5"/>
    </row>
    <row r="104" spans="1:16" x14ac:dyDescent="0.3">
      <c r="A104">
        <v>2007</v>
      </c>
      <c r="B104">
        <v>6</v>
      </c>
      <c r="C104" s="1">
        <v>2007.4166666670301</v>
      </c>
      <c r="D104" s="2">
        <v>187.4199999999999</v>
      </c>
      <c r="E104" s="2">
        <v>3011.4516129032254</v>
      </c>
      <c r="F104" s="2">
        <v>0.32431322821653552</v>
      </c>
      <c r="G104" s="2">
        <v>0.49494117647058644</v>
      </c>
      <c r="H104" s="2">
        <v>8.2221854838710584E-2</v>
      </c>
      <c r="I104">
        <v>0.5</v>
      </c>
      <c r="J104">
        <v>9.2999999999999999E-2</v>
      </c>
      <c r="K104" s="2"/>
      <c r="M104" s="3"/>
      <c r="O104" s="5"/>
      <c r="P104" s="5"/>
    </row>
    <row r="105" spans="1:16" x14ac:dyDescent="0.3">
      <c r="A105">
        <v>2007</v>
      </c>
      <c r="B105">
        <v>5</v>
      </c>
      <c r="C105" s="1">
        <v>2007.3333333337</v>
      </c>
      <c r="D105" s="2">
        <v>149.81800000000021</v>
      </c>
      <c r="E105" s="2">
        <v>1510.1612903225805</v>
      </c>
      <c r="F105" s="2">
        <v>-0.29413509191813603</v>
      </c>
      <c r="G105" s="2">
        <v>0.64335294117647024</v>
      </c>
      <c r="H105" s="2">
        <v>0.30660817741935986</v>
      </c>
      <c r="I105">
        <v>-0.1</v>
      </c>
      <c r="J105">
        <v>0.11700000000000001</v>
      </c>
      <c r="K105" s="2"/>
      <c r="M105" s="3"/>
      <c r="O105" s="5"/>
      <c r="P105" s="5"/>
    </row>
    <row r="106" spans="1:16" x14ac:dyDescent="0.3">
      <c r="A106">
        <v>2007</v>
      </c>
      <c r="B106">
        <v>4</v>
      </c>
      <c r="C106" s="1">
        <v>2007.2500000003699</v>
      </c>
      <c r="D106" s="2">
        <v>110.83799999999994</v>
      </c>
      <c r="E106" s="2">
        <v>651.822580645161</v>
      </c>
      <c r="F106" s="2">
        <v>9.8077715053772607E-2</v>
      </c>
      <c r="G106" s="2">
        <v>0.54802941176469844</v>
      </c>
      <c r="H106" s="2">
        <v>0.27862414516129874</v>
      </c>
      <c r="I106">
        <v>-0.1</v>
      </c>
      <c r="J106">
        <v>0.16400000000000001</v>
      </c>
      <c r="K106" s="2"/>
      <c r="M106" s="3"/>
      <c r="O106" s="5"/>
      <c r="P106" s="5"/>
    </row>
    <row r="107" spans="1:16" x14ac:dyDescent="0.3">
      <c r="A107">
        <v>2007</v>
      </c>
      <c r="B107">
        <v>3</v>
      </c>
      <c r="C107" s="1">
        <v>2007.1666666670401</v>
      </c>
      <c r="D107" s="2">
        <v>-11.64285714285711</v>
      </c>
      <c r="E107" s="2">
        <v>-1232.3709677419356</v>
      </c>
      <c r="F107" s="2">
        <v>0.15546026014567715</v>
      </c>
      <c r="G107" s="2">
        <v>0.18614705882353277</v>
      </c>
      <c r="H107" s="2">
        <v>0.16651333870966667</v>
      </c>
      <c r="I107">
        <v>0.2</v>
      </c>
      <c r="J107">
        <v>0.13200000000000001</v>
      </c>
      <c r="K107" s="2"/>
      <c r="M107" s="3"/>
      <c r="O107" s="5"/>
      <c r="P107" s="5"/>
    </row>
    <row r="108" spans="1:16" x14ac:dyDescent="0.3">
      <c r="A108">
        <v>2007</v>
      </c>
      <c r="B108">
        <v>2</v>
      </c>
      <c r="C108" s="1">
        <v>2007.08333333371</v>
      </c>
      <c r="D108" s="2">
        <v>118.52599999999998</v>
      </c>
      <c r="E108" s="2">
        <v>-739.7419354838712</v>
      </c>
      <c r="F108" s="2">
        <v>0.18116086981567747</v>
      </c>
      <c r="G108" s="2">
        <v>0.43861764705882678</v>
      </c>
      <c r="H108" s="2">
        <v>0.32300575806451448</v>
      </c>
      <c r="I108">
        <v>-0.1</v>
      </c>
      <c r="J108">
        <v>0.222</v>
      </c>
      <c r="K108" s="2"/>
      <c r="L108" s="9"/>
      <c r="M108" s="4"/>
      <c r="O108" s="5"/>
      <c r="P108" s="5"/>
    </row>
    <row r="109" spans="1:16" x14ac:dyDescent="0.3">
      <c r="A109">
        <v>2007</v>
      </c>
      <c r="B109">
        <v>1</v>
      </c>
      <c r="C109" s="1">
        <v>2007.0000000003799</v>
      </c>
      <c r="D109" s="2">
        <v>164.74799999999999</v>
      </c>
      <c r="E109" s="2">
        <v>905.2741935483873</v>
      </c>
      <c r="F109" s="2">
        <v>-8.4210645161292064E-2</v>
      </c>
      <c r="G109" s="2">
        <v>-2.0705882352938687E-2</v>
      </c>
      <c r="H109" s="2">
        <v>0.27537317741935041</v>
      </c>
      <c r="I109">
        <v>-0.8</v>
      </c>
      <c r="J109">
        <v>0.17599999999999999</v>
      </c>
      <c r="K109" s="2"/>
      <c r="M109" s="3"/>
      <c r="O109" s="5"/>
      <c r="P109" s="5"/>
    </row>
    <row r="110" spans="1:16" x14ac:dyDescent="0.3">
      <c r="A110">
        <v>2006</v>
      </c>
      <c r="B110">
        <v>12</v>
      </c>
      <c r="C110" s="1">
        <v>2006.9166666670501</v>
      </c>
      <c r="D110" s="2">
        <v>101.74571428571426</v>
      </c>
      <c r="E110" s="2">
        <v>656.15053763440665</v>
      </c>
      <c r="F110" s="2">
        <v>0.36445452011793833</v>
      </c>
      <c r="G110" s="2">
        <v>0.56329411764705384</v>
      </c>
      <c r="H110" s="2">
        <v>0.37713640322580844</v>
      </c>
      <c r="I110">
        <v>-0.3</v>
      </c>
      <c r="J110">
        <v>0.17599999999999999</v>
      </c>
      <c r="K110" s="2"/>
      <c r="M110" s="3"/>
      <c r="O110" s="5"/>
      <c r="P110" s="5"/>
    </row>
    <row r="111" spans="1:16" x14ac:dyDescent="0.3">
      <c r="A111">
        <v>2006</v>
      </c>
      <c r="B111">
        <v>11</v>
      </c>
      <c r="C111" s="1">
        <v>2006.83333333372</v>
      </c>
      <c r="D111" s="2">
        <v>47.300000000000068</v>
      </c>
      <c r="E111" s="2">
        <v>-868.32795698924565</v>
      </c>
      <c r="F111" s="2">
        <v>0.34084205376342425</v>
      </c>
      <c r="G111" s="2">
        <v>0.24347058823528656</v>
      </c>
      <c r="H111" s="2">
        <v>0.53412674193548781</v>
      </c>
      <c r="I111">
        <v>0.1</v>
      </c>
      <c r="J111">
        <v>0.29399999999999998</v>
      </c>
      <c r="K111" s="2"/>
      <c r="M111" s="3"/>
      <c r="O111" s="5"/>
      <c r="P111" s="5"/>
    </row>
    <row r="112" spans="1:16" x14ac:dyDescent="0.3">
      <c r="A112">
        <v>2006</v>
      </c>
      <c r="B112">
        <v>10</v>
      </c>
      <c r="C112" s="1">
        <v>2006.7500000003899</v>
      </c>
      <c r="D112" s="2">
        <v>43.265714285714239</v>
      </c>
      <c r="E112" s="2">
        <v>-1426.6935483870966</v>
      </c>
      <c r="F112" s="2">
        <v>0.45887943669787745</v>
      </c>
      <c r="G112" s="2">
        <v>0.30294117647058982</v>
      </c>
      <c r="H112" s="2">
        <v>0.32329822580645029</v>
      </c>
      <c r="I112">
        <v>-1.3</v>
      </c>
      <c r="J112">
        <v>0.33900000000000002</v>
      </c>
      <c r="K112" s="2"/>
      <c r="M112" s="3"/>
      <c r="O112" s="5"/>
      <c r="P112" s="5"/>
    </row>
    <row r="113" spans="1:16" x14ac:dyDescent="0.3">
      <c r="A113">
        <v>2006</v>
      </c>
      <c r="B113">
        <v>9</v>
      </c>
      <c r="C113" s="1">
        <v>2006.6666666670601</v>
      </c>
      <c r="D113" s="2">
        <v>86.282857142857097</v>
      </c>
      <c r="E113" s="2">
        <v>-589.6612903225805</v>
      </c>
      <c r="F113" s="2">
        <v>0.26254343010753445</v>
      </c>
      <c r="G113" s="2">
        <v>8.8441176470595906E-2</v>
      </c>
      <c r="H113" s="2">
        <v>0.33159846774193369</v>
      </c>
      <c r="I113">
        <v>-0.6</v>
      </c>
      <c r="J113">
        <v>0.36899999999999999</v>
      </c>
      <c r="K113" s="2"/>
      <c r="M113" s="3"/>
      <c r="O113" s="5"/>
      <c r="P113" s="5"/>
    </row>
    <row r="114" spans="1:16" x14ac:dyDescent="0.3">
      <c r="A114">
        <v>2006</v>
      </c>
      <c r="B114">
        <v>8</v>
      </c>
      <c r="C114" s="1">
        <v>2006.58333333373</v>
      </c>
      <c r="D114" s="2">
        <v>104.56285714285724</v>
      </c>
      <c r="E114" s="2">
        <v>-462.5967741935483</v>
      </c>
      <c r="F114" s="2">
        <v>0.50482492715920557</v>
      </c>
      <c r="G114" s="2">
        <v>0.31452941176470262</v>
      </c>
      <c r="H114" s="2">
        <v>0.45012096774192756</v>
      </c>
      <c r="I114">
        <v>-1</v>
      </c>
      <c r="J114">
        <v>0.40600000000000003</v>
      </c>
      <c r="K114" s="2"/>
      <c r="M114" s="3"/>
      <c r="O114" s="5"/>
      <c r="P114" s="5"/>
    </row>
    <row r="115" spans="1:16" x14ac:dyDescent="0.3">
      <c r="A115">
        <v>2006</v>
      </c>
      <c r="B115">
        <v>7</v>
      </c>
      <c r="C115" s="1">
        <v>2006.5000000004</v>
      </c>
      <c r="D115" s="2">
        <v>182.7657142857143</v>
      </c>
      <c r="E115" s="2">
        <v>2117.4677419354839</v>
      </c>
      <c r="F115" s="2">
        <v>0.37075883975025192</v>
      </c>
      <c r="G115" s="2">
        <v>0.57308823529412223</v>
      </c>
      <c r="H115" s="2">
        <v>0.42970032258065416</v>
      </c>
      <c r="I115">
        <v>-0.6</v>
      </c>
      <c r="J115">
        <v>0.379</v>
      </c>
      <c r="K115" s="2"/>
      <c r="M115" s="3"/>
      <c r="O115" s="5"/>
      <c r="P115" s="5"/>
    </row>
    <row r="116" spans="1:16" x14ac:dyDescent="0.3">
      <c r="A116">
        <v>2006</v>
      </c>
      <c r="B116">
        <v>6</v>
      </c>
      <c r="C116" s="1">
        <v>2006.4166666670701</v>
      </c>
      <c r="D116" s="2">
        <v>198.51999999999992</v>
      </c>
      <c r="E116" s="2">
        <v>2795.4516129032254</v>
      </c>
      <c r="F116" s="2">
        <v>0.12431322821653623</v>
      </c>
      <c r="G116" s="2">
        <v>0.26694117647058846</v>
      </c>
      <c r="H116" s="2">
        <v>0.40035985483871173</v>
      </c>
      <c r="I116">
        <v>-0.2</v>
      </c>
      <c r="J116">
        <v>0.33800000000000002</v>
      </c>
      <c r="K116" s="2"/>
      <c r="M116" s="3"/>
      <c r="O116" s="5"/>
      <c r="P116" s="5"/>
    </row>
    <row r="117" spans="1:16" x14ac:dyDescent="0.3">
      <c r="A117">
        <v>2006</v>
      </c>
      <c r="B117">
        <v>5</v>
      </c>
      <c r="C117" s="1">
        <v>2006.33333333374</v>
      </c>
      <c r="D117" s="2">
        <v>181.91800000000018</v>
      </c>
      <c r="E117" s="2">
        <v>1825.1612903225805</v>
      </c>
      <c r="F117" s="2">
        <v>0.1058649080818661</v>
      </c>
      <c r="G117" s="2">
        <v>0.4103529411764697</v>
      </c>
      <c r="H117" s="2">
        <v>0.35291817741935816</v>
      </c>
      <c r="I117">
        <v>-0.5</v>
      </c>
      <c r="J117">
        <v>0.313</v>
      </c>
      <c r="K117" s="2"/>
      <c r="M117" s="3"/>
      <c r="O117" s="5"/>
      <c r="P117" s="5"/>
    </row>
    <row r="118" spans="1:16" x14ac:dyDescent="0.3">
      <c r="A118">
        <v>2006</v>
      </c>
      <c r="B118">
        <v>4</v>
      </c>
      <c r="C118" s="1">
        <v>2006.25000000041</v>
      </c>
      <c r="D118" s="2">
        <v>147.33799999999994</v>
      </c>
      <c r="E118" s="2">
        <v>1285.822580645161</v>
      </c>
      <c r="F118" s="2">
        <v>-0.10192228494622668</v>
      </c>
      <c r="G118" s="2">
        <v>0.22202941176470148</v>
      </c>
      <c r="H118" s="2">
        <v>0.21280514516130111</v>
      </c>
      <c r="I118">
        <v>1.1000000000000001</v>
      </c>
      <c r="J118">
        <v>0.20200000000000001</v>
      </c>
      <c r="K118" s="2"/>
      <c r="M118" s="3"/>
      <c r="O118" s="5"/>
      <c r="P118" s="5"/>
    </row>
    <row r="119" spans="1:16" x14ac:dyDescent="0.3">
      <c r="A119">
        <v>2006</v>
      </c>
      <c r="B119">
        <v>3</v>
      </c>
      <c r="C119" s="1">
        <v>2006.1666666670801</v>
      </c>
      <c r="D119" s="2">
        <v>75.957142857142884</v>
      </c>
      <c r="E119" s="2">
        <v>180.6290322580644</v>
      </c>
      <c r="F119" s="2">
        <v>-0.14453973985432</v>
      </c>
      <c r="G119" s="2">
        <v>-2.9852941176468306E-2</v>
      </c>
      <c r="H119" s="2">
        <v>5.7098338709668184E-2</v>
      </c>
      <c r="I119">
        <v>1.8</v>
      </c>
      <c r="J119">
        <v>6.5000000000000002E-2</v>
      </c>
      <c r="K119" s="2"/>
      <c r="M119" s="3"/>
      <c r="O119" s="5"/>
      <c r="P119" s="5"/>
    </row>
    <row r="120" spans="1:16" x14ac:dyDescent="0.3">
      <c r="A120">
        <v>2006</v>
      </c>
      <c r="B120">
        <v>2</v>
      </c>
      <c r="C120" s="1">
        <v>2006.08333333375</v>
      </c>
      <c r="D120" s="2">
        <v>141.42600000000002</v>
      </c>
      <c r="E120" s="2">
        <v>1038.2580645161288</v>
      </c>
      <c r="F120" s="2">
        <v>-0.11883913018432324</v>
      </c>
      <c r="G120" s="2">
        <v>0.20161764705882845</v>
      </c>
      <c r="H120" s="2">
        <v>0.11643175806451467</v>
      </c>
      <c r="I120">
        <v>0.1</v>
      </c>
      <c r="J120">
        <v>0.08</v>
      </c>
      <c r="K120" s="2"/>
      <c r="M120" s="3"/>
      <c r="O120" s="5"/>
      <c r="P120" s="5"/>
    </row>
    <row r="121" spans="1:16" x14ac:dyDescent="0.3">
      <c r="A121">
        <v>2006</v>
      </c>
      <c r="B121">
        <v>1</v>
      </c>
      <c r="C121" s="1">
        <v>2006.00000000042</v>
      </c>
      <c r="D121" s="2">
        <v>132.94800000000004</v>
      </c>
      <c r="E121" s="2">
        <v>2200.2741935483873</v>
      </c>
      <c r="F121" s="2">
        <v>0.21578935483870865</v>
      </c>
      <c r="G121" s="2">
        <v>0.5282941176470608</v>
      </c>
      <c r="H121" s="2">
        <v>0.17660117741935011</v>
      </c>
      <c r="I121">
        <v>1.7</v>
      </c>
      <c r="J121">
        <v>0.128</v>
      </c>
      <c r="K121" s="2"/>
      <c r="M121" s="3"/>
      <c r="O121" s="5"/>
      <c r="P121" s="5"/>
    </row>
    <row r="122" spans="1:16" x14ac:dyDescent="0.3">
      <c r="A122">
        <v>2005</v>
      </c>
      <c r="B122">
        <v>12</v>
      </c>
      <c r="C122" s="1">
        <v>2005.9166666670901</v>
      </c>
      <c r="D122" s="2">
        <v>75.945714285714189</v>
      </c>
      <c r="E122" s="2">
        <v>2781.1505376344066</v>
      </c>
      <c r="F122" s="2">
        <v>6.4454520117937619E-2</v>
      </c>
      <c r="G122" s="2">
        <v>0.42429411764705449</v>
      </c>
      <c r="H122" s="2">
        <v>0.31847140322580714</v>
      </c>
      <c r="I122">
        <v>0</v>
      </c>
      <c r="J122">
        <v>0.221</v>
      </c>
      <c r="K122" s="2"/>
      <c r="M122" s="3"/>
      <c r="O122" s="5"/>
      <c r="P122" s="5"/>
    </row>
    <row r="123" spans="1:16" x14ac:dyDescent="0.3">
      <c r="A123">
        <v>2005</v>
      </c>
      <c r="B123">
        <v>11</v>
      </c>
      <c r="C123" s="1">
        <v>2005.83333333376</v>
      </c>
      <c r="D123" s="2">
        <v>39.600000000000136</v>
      </c>
      <c r="E123" s="2">
        <v>77.672043010754351</v>
      </c>
      <c r="F123" s="2">
        <v>0.14084205376342496</v>
      </c>
      <c r="G123" s="2">
        <v>5.0470588235285163E-2</v>
      </c>
      <c r="H123" s="2">
        <v>0.24023474193548822</v>
      </c>
      <c r="I123">
        <v>-0.2</v>
      </c>
      <c r="J123">
        <v>0.14499999999999999</v>
      </c>
      <c r="K123" s="2"/>
      <c r="M123" s="3"/>
      <c r="O123" s="5"/>
      <c r="P123" s="5"/>
    </row>
    <row r="124" spans="1:16" x14ac:dyDescent="0.3">
      <c r="A124">
        <v>2005</v>
      </c>
      <c r="B124">
        <v>10</v>
      </c>
      <c r="C124" s="1">
        <v>2005.75000000043</v>
      </c>
      <c r="D124" s="2">
        <v>12.465714285714284</v>
      </c>
      <c r="E124" s="2">
        <v>-1134.6935483870966</v>
      </c>
      <c r="F124" s="2">
        <v>-0.14112056330212042</v>
      </c>
      <c r="G124" s="2">
        <v>-4.9058823529410489E-2</v>
      </c>
      <c r="H124" s="2">
        <v>0.3385922258064511</v>
      </c>
      <c r="I124">
        <v>1.2</v>
      </c>
      <c r="J124">
        <v>0.24299999999999999</v>
      </c>
      <c r="K124" s="2"/>
      <c r="M124" s="3"/>
      <c r="O124" s="5"/>
      <c r="P124" s="5"/>
    </row>
    <row r="125" spans="1:16" x14ac:dyDescent="0.3">
      <c r="A125">
        <v>2005</v>
      </c>
      <c r="B125">
        <v>9</v>
      </c>
      <c r="C125" s="1">
        <v>2005.6666666670999</v>
      </c>
      <c r="D125" s="2">
        <v>1.4828571428570854</v>
      </c>
      <c r="E125" s="2">
        <v>-1329.6612903225805</v>
      </c>
      <c r="F125" s="2">
        <v>0.26254343010753445</v>
      </c>
      <c r="G125" s="2">
        <v>0.5174411764705944</v>
      </c>
      <c r="H125" s="2">
        <v>0.52062046774193504</v>
      </c>
      <c r="I125">
        <v>0.4</v>
      </c>
      <c r="J125">
        <v>0.42399999999999999</v>
      </c>
      <c r="K125" s="2"/>
      <c r="M125" s="3"/>
      <c r="O125" s="5"/>
      <c r="P125" s="5"/>
    </row>
    <row r="126" spans="1:16" x14ac:dyDescent="0.3">
      <c r="A126">
        <v>2005</v>
      </c>
      <c r="B126">
        <v>8</v>
      </c>
      <c r="C126" s="1">
        <v>2005.58333333377</v>
      </c>
      <c r="D126" s="2">
        <v>17.362857142857195</v>
      </c>
      <c r="E126" s="2">
        <v>-782.5967741935483</v>
      </c>
      <c r="F126" s="2">
        <v>0.4048249271592077</v>
      </c>
      <c r="G126" s="2">
        <v>0.76852941176470324</v>
      </c>
      <c r="H126" s="2">
        <v>0.6853899677419264</v>
      </c>
      <c r="I126">
        <v>-0.3</v>
      </c>
      <c r="J126">
        <v>0.44500000000000001</v>
      </c>
      <c r="K126" s="2"/>
      <c r="M126" s="3"/>
      <c r="O126" s="5"/>
      <c r="P126" s="5"/>
    </row>
    <row r="127" spans="1:16" x14ac:dyDescent="0.3">
      <c r="A127">
        <v>2005</v>
      </c>
      <c r="B127">
        <v>7</v>
      </c>
      <c r="C127" s="1">
        <v>2005.50000000044</v>
      </c>
      <c r="D127" s="2">
        <v>69.265714285714296</v>
      </c>
      <c r="E127" s="2">
        <v>231.4677419354839</v>
      </c>
      <c r="F127" s="2">
        <v>0.47075883975024979</v>
      </c>
      <c r="G127" s="2">
        <v>0.51408823529412473</v>
      </c>
      <c r="H127" s="2">
        <v>0.66865832258065439</v>
      </c>
      <c r="I127">
        <v>0.2</v>
      </c>
      <c r="J127">
        <v>0.45200000000000001</v>
      </c>
      <c r="K127" s="2"/>
      <c r="M127" s="3"/>
      <c r="O127" s="5"/>
      <c r="P127" s="5"/>
    </row>
    <row r="128" spans="1:16" x14ac:dyDescent="0.3">
      <c r="A128">
        <v>2005</v>
      </c>
      <c r="B128">
        <v>6</v>
      </c>
      <c r="C128" s="1">
        <v>2005.4166666671099</v>
      </c>
      <c r="D128" s="2">
        <v>69.21999999999997</v>
      </c>
      <c r="E128" s="2">
        <v>182.4516129032254</v>
      </c>
      <c r="F128" s="2">
        <v>0.42431322821653694</v>
      </c>
      <c r="G128" s="2">
        <v>0.83894117647058764</v>
      </c>
      <c r="H128" s="2">
        <v>0.73376785483871032</v>
      </c>
      <c r="I128">
        <v>0.4</v>
      </c>
      <c r="J128">
        <v>0.33200000000000002</v>
      </c>
      <c r="K128" s="2"/>
      <c r="M128" s="3"/>
      <c r="O128" s="5"/>
      <c r="P128" s="5"/>
    </row>
    <row r="129" spans="1:16" x14ac:dyDescent="0.3">
      <c r="A129">
        <v>2005</v>
      </c>
      <c r="B129">
        <v>5</v>
      </c>
      <c r="C129" s="1">
        <v>2005.33333333378</v>
      </c>
      <c r="D129" s="2">
        <v>51.918000000000177</v>
      </c>
      <c r="E129" s="2">
        <v>-301.8387096774195</v>
      </c>
      <c r="F129" s="2">
        <v>0.30586490808186539</v>
      </c>
      <c r="G129" s="2">
        <v>0.70835294117646797</v>
      </c>
      <c r="H129" s="2">
        <v>0.8943551774193601</v>
      </c>
      <c r="I129">
        <v>-0.8</v>
      </c>
      <c r="J129">
        <v>0.29799999999999999</v>
      </c>
      <c r="K129" s="2"/>
      <c r="M129" s="3"/>
      <c r="O129" s="5"/>
      <c r="P129" s="5"/>
    </row>
    <row r="130" spans="1:16" x14ac:dyDescent="0.3">
      <c r="A130">
        <v>2005</v>
      </c>
      <c r="B130">
        <v>4</v>
      </c>
      <c r="C130" s="1">
        <v>2005.25000000045</v>
      </c>
      <c r="D130" s="2">
        <v>19.737999999999971</v>
      </c>
      <c r="E130" s="2">
        <v>-558.177419354839</v>
      </c>
      <c r="F130" s="2">
        <v>0.59807771505377261</v>
      </c>
      <c r="G130" s="2">
        <v>0.78002941176470131</v>
      </c>
      <c r="H130" s="2">
        <v>0.87193014516130063</v>
      </c>
      <c r="I130">
        <v>-0.6</v>
      </c>
      <c r="J130">
        <v>0.29699999999999999</v>
      </c>
      <c r="K130" s="2"/>
      <c r="M130" s="3"/>
      <c r="O130" s="5"/>
      <c r="P130" s="5"/>
    </row>
    <row r="131" spans="1:16" x14ac:dyDescent="0.3">
      <c r="A131">
        <v>2005</v>
      </c>
      <c r="B131">
        <v>3</v>
      </c>
      <c r="C131" s="1">
        <v>2005.1666666671199</v>
      </c>
      <c r="D131" s="2">
        <v>18.057142857142907</v>
      </c>
      <c r="E131" s="2">
        <v>-310.3709677419356</v>
      </c>
      <c r="F131" s="2">
        <v>0.95546026014567786</v>
      </c>
      <c r="G131" s="2">
        <v>0.69814705882353323</v>
      </c>
      <c r="H131" s="2">
        <v>0.57105133870966895</v>
      </c>
      <c r="I131">
        <v>0.3</v>
      </c>
      <c r="J131">
        <v>0.28899999999999998</v>
      </c>
      <c r="K131" s="2"/>
      <c r="M131" s="3"/>
      <c r="O131" s="5"/>
      <c r="P131" s="5"/>
    </row>
    <row r="132" spans="1:16" x14ac:dyDescent="0.3">
      <c r="A132">
        <v>2005</v>
      </c>
      <c r="B132">
        <v>2</v>
      </c>
      <c r="C132" s="1">
        <v>2005.0833333337901</v>
      </c>
      <c r="D132" s="2">
        <v>44.525999999999982</v>
      </c>
      <c r="E132" s="2">
        <v>74.258064516128798</v>
      </c>
      <c r="F132" s="2">
        <v>0.38116086981567676</v>
      </c>
      <c r="G132" s="2">
        <v>-0.57238235294117246</v>
      </c>
      <c r="H132" s="2">
        <v>-3.1286241935486458E-2</v>
      </c>
      <c r="I132">
        <v>-3.1</v>
      </c>
      <c r="J132">
        <v>0.13</v>
      </c>
      <c r="K132" s="2"/>
      <c r="M132" s="3"/>
      <c r="O132" s="5"/>
      <c r="P132" s="5"/>
    </row>
    <row r="133" spans="1:16" x14ac:dyDescent="0.3">
      <c r="A133">
        <v>2005</v>
      </c>
      <c r="B133">
        <v>1</v>
      </c>
      <c r="C133" s="1">
        <v>2005.00000000046</v>
      </c>
      <c r="D133" s="2">
        <v>57.148000000000025</v>
      </c>
      <c r="E133" s="2">
        <v>75.274193548387302</v>
      </c>
      <c r="F133" s="2">
        <v>0.41578935483870794</v>
      </c>
      <c r="G133" s="2">
        <v>-0.25170588235294034</v>
      </c>
      <c r="H133" s="2">
        <v>0.27134317741935021</v>
      </c>
      <c r="I133">
        <v>0.3</v>
      </c>
      <c r="J133">
        <v>0.11600000000000001</v>
      </c>
      <c r="K133" s="2"/>
      <c r="M133" s="3"/>
      <c r="O133" s="5"/>
      <c r="P133" s="5"/>
    </row>
    <row r="134" spans="1:16" x14ac:dyDescent="0.3">
      <c r="A134">
        <v>2004</v>
      </c>
      <c r="B134">
        <v>12</v>
      </c>
      <c r="C134" s="1">
        <v>2004.9166666671299</v>
      </c>
      <c r="D134" s="2">
        <v>40.84571428571428</v>
      </c>
      <c r="E134" s="2">
        <v>1187.1505376344066</v>
      </c>
      <c r="F134" s="2">
        <v>0.16445452011793904</v>
      </c>
      <c r="G134" s="2">
        <v>-0.33070588235294451</v>
      </c>
      <c r="H134" s="2">
        <v>0.35848940322580702</v>
      </c>
      <c r="I134">
        <v>-0.8</v>
      </c>
      <c r="J134">
        <v>0.192</v>
      </c>
      <c r="K134" s="2"/>
      <c r="M134" s="3"/>
      <c r="O134" s="5"/>
      <c r="P134" s="5"/>
    </row>
    <row r="135" spans="1:16" x14ac:dyDescent="0.3">
      <c r="A135">
        <v>2004</v>
      </c>
      <c r="B135">
        <v>11</v>
      </c>
      <c r="C135" s="1">
        <v>2004.8333333338001</v>
      </c>
      <c r="D135" s="2">
        <v>60.600000000000136</v>
      </c>
      <c r="E135" s="2">
        <v>178.67204301075435</v>
      </c>
      <c r="F135" s="2">
        <v>-0.25915794623657362</v>
      </c>
      <c r="G135" s="2">
        <v>8.2470588235285192E-2</v>
      </c>
      <c r="H135" s="2">
        <v>0.24429374193548981</v>
      </c>
      <c r="I135">
        <v>-0.7</v>
      </c>
      <c r="J135">
        <v>0.22600000000000001</v>
      </c>
      <c r="K135" s="2"/>
      <c r="M135" s="3"/>
      <c r="O135" s="5"/>
      <c r="P135" s="5"/>
    </row>
    <row r="136" spans="1:16" x14ac:dyDescent="0.3">
      <c r="A136">
        <v>2004</v>
      </c>
      <c r="B136">
        <v>10</v>
      </c>
      <c r="C136" s="1">
        <v>2004.75000000047</v>
      </c>
      <c r="D136" s="2">
        <v>28.665714285714273</v>
      </c>
      <c r="E136" s="2">
        <v>-597.6935483870966</v>
      </c>
      <c r="F136" s="2">
        <v>5.8879436697878873E-2</v>
      </c>
      <c r="G136" s="2">
        <v>0.25194117647058789</v>
      </c>
      <c r="H136" s="2">
        <v>0.39835822580645086</v>
      </c>
      <c r="I136">
        <v>-0.1</v>
      </c>
      <c r="J136">
        <v>0.247</v>
      </c>
      <c r="K136" s="2"/>
      <c r="M136" s="3"/>
      <c r="O136" s="5"/>
      <c r="P136" s="5"/>
    </row>
    <row r="137" spans="1:16" x14ac:dyDescent="0.3">
      <c r="A137">
        <v>2004</v>
      </c>
      <c r="B137">
        <v>9</v>
      </c>
      <c r="C137" s="1">
        <v>2004.6666666671399</v>
      </c>
      <c r="D137" s="2">
        <v>12.582857142857108</v>
      </c>
      <c r="E137" s="2">
        <v>-1376.6612903225805</v>
      </c>
      <c r="F137" s="2">
        <v>6.2543430107535158E-2</v>
      </c>
      <c r="G137" s="2">
        <v>8.444117647059457E-2</v>
      </c>
      <c r="H137" s="2">
        <v>0.43091246774193337</v>
      </c>
      <c r="I137">
        <v>-0.3</v>
      </c>
      <c r="J137">
        <v>0.245</v>
      </c>
      <c r="K137" s="2"/>
      <c r="M137" s="3"/>
      <c r="O137" s="5"/>
      <c r="P137" s="5"/>
    </row>
    <row r="138" spans="1:16" x14ac:dyDescent="0.3">
      <c r="A138">
        <v>2004</v>
      </c>
      <c r="B138">
        <v>8</v>
      </c>
      <c r="C138" s="1">
        <v>2004.5833333338101</v>
      </c>
      <c r="D138" s="2">
        <v>1.06285714285724</v>
      </c>
      <c r="E138" s="2">
        <v>-1505.5967741935483</v>
      </c>
      <c r="F138" s="2">
        <v>0.4048249271592077</v>
      </c>
      <c r="G138" s="2">
        <v>0.25352941176470267</v>
      </c>
      <c r="H138" s="2">
        <v>0.32409096774192747</v>
      </c>
      <c r="I138">
        <v>-0.3</v>
      </c>
      <c r="J138">
        <v>0.32100000000000001</v>
      </c>
      <c r="K138" s="2"/>
      <c r="M138" s="3"/>
      <c r="O138" s="5"/>
      <c r="P138" s="5"/>
    </row>
    <row r="139" spans="1:16" x14ac:dyDescent="0.3">
      <c r="A139">
        <v>2004</v>
      </c>
      <c r="B139">
        <v>7</v>
      </c>
      <c r="C139" s="1">
        <v>2004.50000000048</v>
      </c>
      <c r="D139" s="2">
        <v>-17.134285714285681</v>
      </c>
      <c r="E139" s="2">
        <v>-1846.5322580645161</v>
      </c>
      <c r="F139" s="2">
        <v>-2.9241160249750209E-2</v>
      </c>
      <c r="G139" s="2">
        <v>0.32708823529412356</v>
      </c>
      <c r="H139" s="2">
        <v>0.1930323225806525</v>
      </c>
      <c r="I139">
        <v>-0.5</v>
      </c>
      <c r="J139">
        <v>0.23200000000000001</v>
      </c>
      <c r="K139" s="2"/>
      <c r="M139" s="3"/>
      <c r="O139" s="5"/>
      <c r="P139" s="5"/>
    </row>
    <row r="140" spans="1:16" x14ac:dyDescent="0.3">
      <c r="A140">
        <v>2004</v>
      </c>
      <c r="B140">
        <v>6</v>
      </c>
      <c r="C140" s="1">
        <v>2004.4166666671499</v>
      </c>
      <c r="D140" s="2">
        <v>36.71999999999997</v>
      </c>
      <c r="E140" s="2">
        <v>-693.5483870967746</v>
      </c>
      <c r="F140" s="2">
        <v>0.12431322821653623</v>
      </c>
      <c r="G140" s="2">
        <v>0.15894117647058792</v>
      </c>
      <c r="H140" s="2">
        <v>6.0890854838710595E-2</v>
      </c>
      <c r="I140">
        <v>-0.8</v>
      </c>
      <c r="J140">
        <v>0.182</v>
      </c>
      <c r="K140" s="2"/>
      <c r="M140" s="3"/>
      <c r="O140" s="5"/>
      <c r="P140" s="5"/>
    </row>
    <row r="141" spans="1:16" x14ac:dyDescent="0.3">
      <c r="A141">
        <v>2004</v>
      </c>
      <c r="B141">
        <v>5</v>
      </c>
      <c r="C141" s="1">
        <v>2004.3333333338201</v>
      </c>
      <c r="D141" s="2">
        <v>21.618000000000166</v>
      </c>
      <c r="E141" s="2">
        <v>-920.8387096774195</v>
      </c>
      <c r="F141" s="2">
        <v>5.8649080818646837E-3</v>
      </c>
      <c r="G141" s="2">
        <v>-4.664705882353104E-2</v>
      </c>
      <c r="H141" s="2">
        <v>0.11175517741936147</v>
      </c>
      <c r="I141">
        <v>1</v>
      </c>
      <c r="J141">
        <v>1.0999999999999999E-2</v>
      </c>
      <c r="K141" s="2"/>
      <c r="M141" s="3"/>
      <c r="O141" s="5"/>
      <c r="P141" s="5"/>
    </row>
    <row r="142" spans="1:16" x14ac:dyDescent="0.3">
      <c r="A142">
        <v>2004</v>
      </c>
      <c r="B142">
        <v>4</v>
      </c>
      <c r="C142" s="1">
        <v>2004.25000000049</v>
      </c>
      <c r="D142" s="2">
        <v>-76.762000000000029</v>
      </c>
      <c r="E142" s="2">
        <v>-1397.177419354839</v>
      </c>
      <c r="F142" s="2">
        <v>9.8077715053772607E-2</v>
      </c>
      <c r="G142" s="2">
        <v>-6.3970588235299886E-2</v>
      </c>
      <c r="H142" s="2">
        <v>0.35926714516130076</v>
      </c>
      <c r="I142">
        <v>-0.9</v>
      </c>
      <c r="J142">
        <v>0.113</v>
      </c>
      <c r="K142" s="2"/>
      <c r="M142" s="3"/>
      <c r="O142" s="5"/>
      <c r="P142" s="5"/>
    </row>
    <row r="143" spans="1:16" x14ac:dyDescent="0.3">
      <c r="A143">
        <v>2004</v>
      </c>
      <c r="B143">
        <v>3</v>
      </c>
      <c r="C143" s="1">
        <v>2004.1666666671599</v>
      </c>
      <c r="D143" s="2">
        <v>-76.14285714285711</v>
      </c>
      <c r="E143" s="2">
        <v>-1232.3709677419356</v>
      </c>
      <c r="F143" s="2">
        <v>-0.14453973985432</v>
      </c>
      <c r="G143" s="2">
        <v>-0.12385294117646595</v>
      </c>
      <c r="H143" s="2">
        <v>7.7973338709668383E-2</v>
      </c>
      <c r="I143">
        <v>0.4</v>
      </c>
      <c r="J143">
        <v>0.16300000000000001</v>
      </c>
      <c r="K143" s="2"/>
      <c r="M143" s="3"/>
      <c r="O143" s="5"/>
      <c r="P143" s="5"/>
    </row>
    <row r="144" spans="1:16" x14ac:dyDescent="0.3">
      <c r="A144">
        <v>2004</v>
      </c>
      <c r="B144">
        <v>2</v>
      </c>
      <c r="C144" s="1">
        <v>2004.0833333338301</v>
      </c>
      <c r="D144" s="2">
        <v>-26.574000000000012</v>
      </c>
      <c r="E144" s="2">
        <v>-769.7419354838712</v>
      </c>
      <c r="F144" s="2">
        <v>0.48116086981567463</v>
      </c>
      <c r="G144" s="2">
        <v>0.70061764705882723</v>
      </c>
      <c r="H144" s="2">
        <v>0.19095175806451437</v>
      </c>
      <c r="I144">
        <v>1.2</v>
      </c>
      <c r="J144">
        <v>0.214</v>
      </c>
      <c r="K144" s="2"/>
      <c r="M144" s="3"/>
      <c r="O144" s="5"/>
      <c r="P144" s="5"/>
    </row>
    <row r="145" spans="1:16" x14ac:dyDescent="0.3">
      <c r="A145">
        <v>2004</v>
      </c>
      <c r="B145">
        <v>1</v>
      </c>
      <c r="C145" s="1">
        <v>2004.0000000005</v>
      </c>
      <c r="D145" s="2">
        <v>99.048000000000059</v>
      </c>
      <c r="E145" s="2">
        <v>1351.2741935483873</v>
      </c>
      <c r="F145" s="2">
        <v>1.5789354838709357E-2</v>
      </c>
      <c r="G145" s="2">
        <v>-9.3705882352939085E-2</v>
      </c>
      <c r="H145" s="2">
        <v>0.19087217741935092</v>
      </c>
      <c r="I145">
        <v>-1.3</v>
      </c>
      <c r="J145">
        <v>0.215</v>
      </c>
      <c r="K145" s="2"/>
      <c r="M145" s="3"/>
      <c r="O145" s="5"/>
      <c r="P145" s="5"/>
    </row>
    <row r="146" spans="1:16" x14ac:dyDescent="0.3">
      <c r="A146">
        <v>2003</v>
      </c>
      <c r="B146">
        <v>12</v>
      </c>
      <c r="C146" s="1">
        <v>2003.9166666671699</v>
      </c>
      <c r="D146" s="2">
        <v>79.545714285714212</v>
      </c>
      <c r="E146" s="2">
        <v>1227.1505376344066</v>
      </c>
      <c r="F146" s="2">
        <v>0.36445452011793833</v>
      </c>
      <c r="G146" s="2">
        <v>0.70729411764705574</v>
      </c>
      <c r="H146" s="2">
        <v>0.20429740322580869</v>
      </c>
      <c r="I146">
        <v>1.1000000000000001</v>
      </c>
      <c r="J146">
        <v>0.22900000000000001</v>
      </c>
      <c r="K146" s="2"/>
      <c r="M146" s="3"/>
      <c r="O146" s="5"/>
      <c r="P146" s="5"/>
    </row>
    <row r="147" spans="1:16" x14ac:dyDescent="0.3">
      <c r="A147">
        <v>2003</v>
      </c>
      <c r="B147">
        <v>11</v>
      </c>
      <c r="C147" s="1">
        <v>2003.8333333338401</v>
      </c>
      <c r="D147" s="2">
        <v>37.900000000000091</v>
      </c>
      <c r="E147" s="2">
        <v>33.672043010754351</v>
      </c>
      <c r="F147" s="2">
        <v>0.44084205376342567</v>
      </c>
      <c r="G147" s="2">
        <v>0.51147058823528724</v>
      </c>
      <c r="H147" s="2">
        <v>0.34487674193548656</v>
      </c>
      <c r="I147">
        <v>-0.3</v>
      </c>
      <c r="J147">
        <v>0.22800000000000001</v>
      </c>
      <c r="K147" s="2"/>
      <c r="M147" s="3"/>
      <c r="O147" s="5"/>
      <c r="P147" s="5"/>
    </row>
    <row r="148" spans="1:16" x14ac:dyDescent="0.3">
      <c r="A148">
        <v>2003</v>
      </c>
      <c r="B148">
        <v>10</v>
      </c>
      <c r="C148" s="1">
        <v>2003.75000000051</v>
      </c>
      <c r="D148" s="2">
        <v>38.06571428571425</v>
      </c>
      <c r="E148" s="2">
        <v>-747.6935483870966</v>
      </c>
      <c r="F148" s="2">
        <v>-4.1120563302122548E-2</v>
      </c>
      <c r="G148" s="2">
        <v>0.29194117647058704</v>
      </c>
      <c r="H148" s="2">
        <v>0.52874522580645333</v>
      </c>
      <c r="I148">
        <v>0</v>
      </c>
      <c r="J148">
        <v>0.43099999999999999</v>
      </c>
      <c r="K148" s="2"/>
      <c r="M148" s="3"/>
      <c r="O148" s="5"/>
      <c r="P148" s="5"/>
    </row>
    <row r="149" spans="1:16" x14ac:dyDescent="0.3">
      <c r="A149">
        <v>2003</v>
      </c>
      <c r="B149">
        <v>9</v>
      </c>
      <c r="C149" s="1">
        <v>2003.6666666671799</v>
      </c>
      <c r="D149" s="2">
        <v>12.382857142857119</v>
      </c>
      <c r="E149" s="2">
        <v>-1507.6612903225805</v>
      </c>
      <c r="F149" s="2">
        <v>0.36254343010753587</v>
      </c>
      <c r="G149" s="2">
        <v>0.43144117647059588</v>
      </c>
      <c r="H149" s="2">
        <v>0.41106246774193522</v>
      </c>
      <c r="I149">
        <v>-0.1</v>
      </c>
      <c r="J149">
        <v>0.45600000000000002</v>
      </c>
      <c r="K149" s="2"/>
      <c r="M149" s="3"/>
      <c r="O149" s="5"/>
      <c r="P149" s="5"/>
    </row>
    <row r="150" spans="1:16" x14ac:dyDescent="0.3">
      <c r="A150">
        <v>2003</v>
      </c>
      <c r="B150">
        <v>8</v>
      </c>
      <c r="C150" s="1">
        <v>2003.5833333338501</v>
      </c>
      <c r="D150" s="2">
        <v>63.362857142857195</v>
      </c>
      <c r="E150" s="2">
        <v>-536.5967741935483</v>
      </c>
      <c r="F150" s="2">
        <v>0.20482492715920486</v>
      </c>
      <c r="G150" s="2">
        <v>0.52552941176470114</v>
      </c>
      <c r="H150" s="2">
        <v>0.31510696774192581</v>
      </c>
      <c r="I150">
        <v>0.1</v>
      </c>
      <c r="J150">
        <v>0.42</v>
      </c>
      <c r="K150" s="2"/>
      <c r="M150" s="3"/>
      <c r="O150" s="5"/>
      <c r="P150" s="5"/>
    </row>
    <row r="151" spans="1:16" x14ac:dyDescent="0.3">
      <c r="A151">
        <v>2003</v>
      </c>
      <c r="B151">
        <v>7</v>
      </c>
      <c r="C151" s="1">
        <v>2003.50000000052</v>
      </c>
      <c r="D151" s="2">
        <v>52.265714285714296</v>
      </c>
      <c r="E151" s="2">
        <v>-329.5322580645161</v>
      </c>
      <c r="F151" s="2">
        <v>-2.9241160249750209E-2</v>
      </c>
      <c r="G151" s="2">
        <v>0.15708823529412541</v>
      </c>
      <c r="H151" s="2">
        <v>0.16467232258065323</v>
      </c>
      <c r="I151">
        <v>0.3</v>
      </c>
      <c r="J151">
        <v>0.28100000000000003</v>
      </c>
      <c r="K151" s="2"/>
      <c r="M151" s="3"/>
      <c r="O151" s="5"/>
      <c r="P151" s="5"/>
    </row>
    <row r="152" spans="1:16" x14ac:dyDescent="0.3">
      <c r="A152">
        <v>2003</v>
      </c>
      <c r="B152">
        <v>6</v>
      </c>
      <c r="C152" s="1">
        <v>2003.4166666671899</v>
      </c>
      <c r="D152" s="2">
        <v>-1.980000000000075</v>
      </c>
      <c r="E152" s="2">
        <v>-1099.5483870967746</v>
      </c>
      <c r="F152" s="2">
        <v>-7.5686771783463058E-2</v>
      </c>
      <c r="G152" s="2">
        <v>-0.10505882352941143</v>
      </c>
      <c r="H152" s="2">
        <v>4.7176854838710369E-2</v>
      </c>
      <c r="I152">
        <v>-0.6</v>
      </c>
      <c r="J152">
        <v>0.21</v>
      </c>
      <c r="K152" s="2"/>
      <c r="M152" s="3"/>
      <c r="O152" s="5"/>
      <c r="P152" s="5"/>
    </row>
    <row r="153" spans="1:16" x14ac:dyDescent="0.3">
      <c r="A153">
        <v>2003</v>
      </c>
      <c r="B153">
        <v>5</v>
      </c>
      <c r="C153" s="1">
        <v>2003.3333333338601</v>
      </c>
      <c r="D153" s="2">
        <v>-3.8819999999998345</v>
      </c>
      <c r="E153" s="2">
        <v>-972.8387096774195</v>
      </c>
      <c r="F153" s="2">
        <v>0.50586490808186468</v>
      </c>
      <c r="G153" s="2">
        <v>0.52335294117646924</v>
      </c>
      <c r="H153" s="2">
        <v>0.10159217741935933</v>
      </c>
      <c r="I153">
        <v>-0.3</v>
      </c>
      <c r="J153">
        <v>0.156</v>
      </c>
      <c r="K153" s="2"/>
      <c r="M153" s="3"/>
      <c r="O153" s="5"/>
      <c r="P153" s="5"/>
    </row>
    <row r="154" spans="1:16" x14ac:dyDescent="0.3">
      <c r="A154">
        <v>2003</v>
      </c>
      <c r="B154">
        <v>4</v>
      </c>
      <c r="C154" s="1">
        <v>2003.25000000053</v>
      </c>
      <c r="D154" s="2">
        <v>12.637999999999948</v>
      </c>
      <c r="E154" s="2">
        <v>-1191.177419354839</v>
      </c>
      <c r="F154" s="2">
        <v>0.19807771505377048</v>
      </c>
      <c r="G154" s="2">
        <v>0.61702941176470105</v>
      </c>
      <c r="H154" s="2">
        <v>0.53638914516130143</v>
      </c>
      <c r="I154">
        <v>-0.1</v>
      </c>
      <c r="J154">
        <v>8.4000000000000005E-2</v>
      </c>
      <c r="K154" s="2"/>
      <c r="L154" s="9"/>
      <c r="M154" s="4"/>
      <c r="O154" s="5"/>
      <c r="P154" s="5"/>
    </row>
    <row r="155" spans="1:16" x14ac:dyDescent="0.3">
      <c r="A155">
        <v>2003</v>
      </c>
      <c r="B155">
        <v>3</v>
      </c>
      <c r="C155" s="1">
        <v>2003.1666666671999</v>
      </c>
      <c r="D155" s="2">
        <v>-28.742857142857105</v>
      </c>
      <c r="E155" s="2">
        <v>-1464.3709677419356</v>
      </c>
      <c r="F155" s="2">
        <v>0.25546026014567857</v>
      </c>
      <c r="G155" s="2">
        <v>0.60914705882353104</v>
      </c>
      <c r="H155" s="2">
        <v>0.17779333870966596</v>
      </c>
      <c r="I155">
        <v>-0.3</v>
      </c>
      <c r="J155">
        <v>0.11700000000000001</v>
      </c>
      <c r="K155" s="2"/>
      <c r="M155" s="3"/>
      <c r="O155" s="5"/>
      <c r="P155" s="5"/>
    </row>
    <row r="156" spans="1:16" x14ac:dyDescent="0.3">
      <c r="A156">
        <v>2003</v>
      </c>
      <c r="B156">
        <v>2</v>
      </c>
      <c r="C156" s="1">
        <v>2003.0833333338701</v>
      </c>
      <c r="D156" s="2">
        <v>-70.873999999999995</v>
      </c>
      <c r="E156" s="2">
        <v>-1927.7419354838712</v>
      </c>
      <c r="F156" s="2">
        <v>0.48116086981567463</v>
      </c>
      <c r="G156" s="2">
        <v>0.66661764705882831</v>
      </c>
      <c r="H156" s="2">
        <v>0.25274275806451385</v>
      </c>
      <c r="I156">
        <v>-0.7</v>
      </c>
      <c r="J156">
        <v>-8.0000000000000002E-3</v>
      </c>
      <c r="K156" s="2"/>
      <c r="M156" s="3"/>
      <c r="O156" s="5"/>
      <c r="P156" s="5"/>
    </row>
    <row r="157" spans="1:16" x14ac:dyDescent="0.3">
      <c r="A157">
        <v>2003</v>
      </c>
      <c r="B157">
        <v>1</v>
      </c>
      <c r="C157" s="1">
        <v>2003.00000000054</v>
      </c>
      <c r="D157" s="2">
        <v>-131.75199999999995</v>
      </c>
      <c r="E157" s="2">
        <v>-3476.7258064516127</v>
      </c>
      <c r="F157" s="2">
        <v>0.31578935483871007</v>
      </c>
      <c r="G157" s="2">
        <v>0.30729411764706072</v>
      </c>
      <c r="H157" s="2">
        <v>0.22317117741934922</v>
      </c>
      <c r="I157">
        <v>-0.2</v>
      </c>
      <c r="J157">
        <v>5.5E-2</v>
      </c>
      <c r="K157" s="2"/>
      <c r="M157" s="3"/>
      <c r="O157" s="5"/>
      <c r="P157" s="5"/>
    </row>
    <row r="158" spans="1:16" x14ac:dyDescent="0.3">
      <c r="A158">
        <v>2002</v>
      </c>
      <c r="B158">
        <v>12</v>
      </c>
      <c r="C158" s="1">
        <v>2002.9166666672099</v>
      </c>
      <c r="D158" s="2">
        <v>-92.154285714285777</v>
      </c>
      <c r="E158" s="2">
        <v>-3693.8494623655934</v>
      </c>
      <c r="F158" s="2">
        <v>0.4644545201179362</v>
      </c>
      <c r="G158" s="2">
        <v>0.56329411764705384</v>
      </c>
      <c r="H158" s="2">
        <v>0.20441640322580668</v>
      </c>
      <c r="I158">
        <v>-1.1000000000000001</v>
      </c>
      <c r="J158">
        <v>8.9999999999999993E-3</v>
      </c>
      <c r="K158" s="2"/>
      <c r="M158" s="3"/>
      <c r="O158" s="5"/>
      <c r="P158" s="5"/>
    </row>
    <row r="159" spans="1:16" x14ac:dyDescent="0.3">
      <c r="A159">
        <v>2002</v>
      </c>
      <c r="B159">
        <v>11</v>
      </c>
      <c r="C159" s="1">
        <v>2002.8333333338801</v>
      </c>
      <c r="D159" s="2">
        <v>-14.599999999999909</v>
      </c>
      <c r="E159" s="2">
        <v>-2390.3279569892456</v>
      </c>
      <c r="F159" s="2">
        <v>0.44084205376342567</v>
      </c>
      <c r="G159" s="2">
        <v>0.49647058823528667</v>
      </c>
      <c r="H159" s="2">
        <v>0.234157741935487</v>
      </c>
      <c r="I159">
        <v>-0.5</v>
      </c>
      <c r="J159">
        <v>2.4E-2</v>
      </c>
      <c r="K159" s="2"/>
      <c r="M159" s="3"/>
      <c r="O159" s="5"/>
      <c r="P159" s="5"/>
    </row>
    <row r="160" spans="1:16" x14ac:dyDescent="0.3">
      <c r="A160">
        <v>2002</v>
      </c>
      <c r="B160">
        <v>10</v>
      </c>
      <c r="C160" s="1">
        <v>2002.75000000055</v>
      </c>
      <c r="D160" s="2">
        <v>-36.134285714285738</v>
      </c>
      <c r="E160" s="2">
        <v>-3550.6935483870966</v>
      </c>
      <c r="F160" s="2">
        <v>0.45887943669787745</v>
      </c>
      <c r="G160" s="2">
        <v>0.38594117647058823</v>
      </c>
      <c r="H160" s="2">
        <v>0.19317322580645069</v>
      </c>
      <c r="I160">
        <v>-0.4</v>
      </c>
      <c r="J160">
        <v>0.11600000000000001</v>
      </c>
      <c r="K160" s="2"/>
      <c r="M160" s="3"/>
      <c r="O160" s="5"/>
      <c r="P160" s="5"/>
    </row>
    <row r="161" spans="1:16" x14ac:dyDescent="0.3">
      <c r="A161">
        <v>2002</v>
      </c>
      <c r="B161">
        <v>9</v>
      </c>
      <c r="C161" s="1">
        <v>2002.6666666672199</v>
      </c>
      <c r="D161" s="2">
        <v>-39.417142857142892</v>
      </c>
      <c r="E161" s="2">
        <v>-3062.6612903225805</v>
      </c>
      <c r="F161" s="2">
        <v>0.26254343010753445</v>
      </c>
      <c r="G161" s="2">
        <v>0.46444117647059358</v>
      </c>
      <c r="H161" s="2">
        <v>-2.8585532258066593E-2</v>
      </c>
      <c r="I161">
        <v>-0.6</v>
      </c>
      <c r="J161">
        <v>8.4000000000000005E-2</v>
      </c>
      <c r="K161" s="2"/>
      <c r="M161" s="3"/>
      <c r="O161" s="5"/>
      <c r="P161" s="5"/>
    </row>
    <row r="162" spans="1:16" x14ac:dyDescent="0.3">
      <c r="A162">
        <v>2002</v>
      </c>
      <c r="B162">
        <v>8</v>
      </c>
      <c r="C162" s="1">
        <v>2002.5833333338901</v>
      </c>
      <c r="D162" s="2">
        <v>-40.637142857142805</v>
      </c>
      <c r="E162" s="2">
        <v>-3006.5967741935483</v>
      </c>
      <c r="F162" s="2">
        <v>0.60482492715920699</v>
      </c>
      <c r="G162" s="2">
        <v>0.21652941176470364</v>
      </c>
      <c r="H162" s="2">
        <v>-0.18783403225807405</v>
      </c>
      <c r="I162">
        <v>-1</v>
      </c>
      <c r="J162">
        <v>0.111</v>
      </c>
      <c r="K162" s="2"/>
      <c r="M162" s="3"/>
      <c r="O162" s="5"/>
      <c r="P162" s="5"/>
    </row>
    <row r="163" spans="1:16" x14ac:dyDescent="0.3">
      <c r="A163">
        <v>2002</v>
      </c>
      <c r="B163">
        <v>7</v>
      </c>
      <c r="C163" s="1">
        <v>2002.50000000056</v>
      </c>
      <c r="D163" s="2">
        <v>35.465714285714341</v>
      </c>
      <c r="E163" s="2">
        <v>-1290.5322580645161</v>
      </c>
      <c r="F163" s="2">
        <v>0.17075883975024908</v>
      </c>
      <c r="G163" s="2">
        <v>9.5088235294124246E-2</v>
      </c>
      <c r="H163" s="2">
        <v>-6.4360677419347923E-2</v>
      </c>
      <c r="I163">
        <v>-0.5</v>
      </c>
      <c r="J163">
        <v>-6.0999999999999999E-2</v>
      </c>
      <c r="K163" s="2"/>
      <c r="M163" s="3"/>
      <c r="O163" s="5"/>
      <c r="P163" s="5"/>
    </row>
    <row r="164" spans="1:16" x14ac:dyDescent="0.3">
      <c r="A164">
        <v>2002</v>
      </c>
      <c r="B164">
        <v>6</v>
      </c>
      <c r="C164" s="1">
        <v>2002.4166666672299</v>
      </c>
      <c r="D164" s="2">
        <v>50.619999999999948</v>
      </c>
      <c r="E164" s="2">
        <v>-668.5483870967746</v>
      </c>
      <c r="F164" s="2">
        <v>0.32431322821653552</v>
      </c>
      <c r="G164" s="2">
        <v>-8.0588235294101196E-3</v>
      </c>
      <c r="H164" s="2">
        <v>-0.11247814516128685</v>
      </c>
      <c r="I164">
        <v>-0.2</v>
      </c>
      <c r="J164">
        <v>-0.112</v>
      </c>
      <c r="K164" s="2"/>
      <c r="M164" s="3"/>
      <c r="O164" s="5"/>
      <c r="P164" s="5"/>
    </row>
    <row r="165" spans="1:16" x14ac:dyDescent="0.3">
      <c r="A165">
        <v>2002</v>
      </c>
      <c r="B165">
        <v>5</v>
      </c>
      <c r="C165" s="1">
        <v>2002.3333333339001</v>
      </c>
      <c r="D165" s="2">
        <v>72.618000000000166</v>
      </c>
      <c r="E165" s="2">
        <v>-976.8387096774195</v>
      </c>
      <c r="F165" s="2">
        <v>0.30586490808186539</v>
      </c>
      <c r="G165" s="2">
        <v>-0.56464705882353172</v>
      </c>
      <c r="H165" s="2">
        <v>-0.12867582258063948</v>
      </c>
      <c r="I165">
        <v>-0.8</v>
      </c>
      <c r="J165">
        <v>-4.3999999999999997E-2</v>
      </c>
      <c r="K165" s="2"/>
      <c r="M165" s="3"/>
      <c r="O165" s="5"/>
      <c r="P165" s="5"/>
    </row>
    <row r="166" spans="1:16" x14ac:dyDescent="0.3">
      <c r="A166">
        <v>2002</v>
      </c>
      <c r="B166">
        <v>4</v>
      </c>
      <c r="C166" s="1">
        <v>2002.25000000057</v>
      </c>
      <c r="D166" s="2">
        <v>64.137999999999948</v>
      </c>
      <c r="E166" s="2">
        <v>-488.177419354839</v>
      </c>
      <c r="F166" s="2">
        <v>-1.9222849462288139E-3</v>
      </c>
      <c r="G166" s="2">
        <v>-5.0970588235301761E-2</v>
      </c>
      <c r="H166" s="2">
        <v>9.3933145161301468E-2</v>
      </c>
      <c r="I166">
        <v>-0.1</v>
      </c>
      <c r="J166">
        <v>3.2000000000000001E-2</v>
      </c>
      <c r="K166" s="2"/>
      <c r="M166" s="3"/>
      <c r="O166" s="5"/>
      <c r="P166" s="5"/>
    </row>
    <row r="167" spans="1:16" x14ac:dyDescent="0.3">
      <c r="A167">
        <v>2002</v>
      </c>
      <c r="B167">
        <v>3</v>
      </c>
      <c r="C167" s="1">
        <v>2002.16666666724</v>
      </c>
      <c r="D167" s="2">
        <v>0.55714285714290668</v>
      </c>
      <c r="E167" s="2">
        <v>-1255.3709677419356</v>
      </c>
      <c r="F167" s="2">
        <v>-0.24453973985432143</v>
      </c>
      <c r="G167" s="2">
        <v>0.15714705882353286</v>
      </c>
      <c r="H167" s="2">
        <v>0.10343533870966581</v>
      </c>
      <c r="I167">
        <v>-0.2</v>
      </c>
      <c r="J167">
        <v>0.14899999999999999</v>
      </c>
      <c r="K167" s="2"/>
      <c r="M167" s="3"/>
      <c r="O167" s="5"/>
      <c r="P167" s="5"/>
    </row>
    <row r="168" spans="1:16" x14ac:dyDescent="0.3">
      <c r="A168">
        <v>2002</v>
      </c>
      <c r="B168">
        <v>2</v>
      </c>
      <c r="C168" s="1">
        <v>2002.0833333339101</v>
      </c>
      <c r="D168" s="2">
        <v>-24.274000000000001</v>
      </c>
      <c r="E168" s="2">
        <v>-1167.7419354838712</v>
      </c>
      <c r="F168" s="2">
        <v>-0.21883913018432466</v>
      </c>
      <c r="G168" s="2">
        <v>0.20561764705882624</v>
      </c>
      <c r="H168" s="2">
        <v>0.13204775806451252</v>
      </c>
      <c r="I168">
        <v>1.1000000000000001</v>
      </c>
      <c r="J168">
        <v>0.17</v>
      </c>
      <c r="K168" s="2"/>
      <c r="M168" s="3"/>
      <c r="O168" s="5"/>
      <c r="P168" s="5"/>
    </row>
    <row r="169" spans="1:16" x14ac:dyDescent="0.3">
      <c r="A169">
        <v>2002</v>
      </c>
      <c r="B169">
        <v>1</v>
      </c>
      <c r="C169" s="1">
        <v>2002.00000000058</v>
      </c>
      <c r="D169" s="2">
        <v>17.648000000000025</v>
      </c>
      <c r="E169" s="2">
        <v>-286.7258064516127</v>
      </c>
      <c r="F169" s="2">
        <v>0.71578935483870865</v>
      </c>
      <c r="G169" s="2">
        <v>0.68629411764706205</v>
      </c>
      <c r="H169" s="2">
        <v>0.24960717741934957</v>
      </c>
      <c r="I169">
        <v>0.4</v>
      </c>
      <c r="J169">
        <v>0.186</v>
      </c>
      <c r="K169" s="2"/>
      <c r="M169" s="3"/>
      <c r="O169" s="5"/>
      <c r="P169" s="5"/>
    </row>
    <row r="170" spans="1:16" x14ac:dyDescent="0.3">
      <c r="A170">
        <v>2001</v>
      </c>
      <c r="B170">
        <v>12</v>
      </c>
      <c r="C170" s="1">
        <v>2001.91666666725</v>
      </c>
      <c r="D170" s="2">
        <v>-54.854285714285766</v>
      </c>
      <c r="E170" s="2">
        <v>-1381.8494623655934</v>
      </c>
      <c r="F170" s="2">
        <v>0.4644545201179362</v>
      </c>
      <c r="G170" s="2">
        <v>0.10429411764705421</v>
      </c>
      <c r="H170" s="2">
        <v>0.23492040322580721</v>
      </c>
      <c r="I170">
        <v>-0.8</v>
      </c>
      <c r="J170">
        <v>0.218</v>
      </c>
      <c r="K170" s="2"/>
      <c r="M170" s="3"/>
      <c r="O170" s="5"/>
      <c r="P170" s="5"/>
    </row>
    <row r="171" spans="1:16" x14ac:dyDescent="0.3">
      <c r="A171">
        <v>2001</v>
      </c>
      <c r="B171">
        <v>11</v>
      </c>
      <c r="C171" s="1">
        <v>2001.8333333339201</v>
      </c>
      <c r="D171" s="2">
        <v>-89.799999999999898</v>
      </c>
      <c r="E171" s="2">
        <v>-2248.3279569892456</v>
      </c>
      <c r="F171" s="2">
        <v>0.24084205376342638</v>
      </c>
      <c r="G171" s="2">
        <v>0.20147058823528496</v>
      </c>
      <c r="H171" s="2">
        <v>8.6474193548724543E-4</v>
      </c>
      <c r="I171">
        <v>0.7</v>
      </c>
      <c r="J171">
        <v>0.161</v>
      </c>
      <c r="K171" s="2"/>
      <c r="M171" s="3"/>
      <c r="O171" s="5"/>
      <c r="P171" s="5"/>
    </row>
    <row r="172" spans="1:16" x14ac:dyDescent="0.3">
      <c r="A172">
        <v>2001</v>
      </c>
      <c r="B172">
        <v>10</v>
      </c>
      <c r="C172" s="1">
        <v>2001.75000000059</v>
      </c>
      <c r="D172" s="2">
        <v>-99.234285714285761</v>
      </c>
      <c r="E172" s="2">
        <v>-2415.6935483870966</v>
      </c>
      <c r="F172" s="2">
        <v>0.15887943669788029</v>
      </c>
      <c r="G172" s="2">
        <v>0.1459411764705898</v>
      </c>
      <c r="H172" s="2">
        <v>0.21721222580645261</v>
      </c>
      <c r="I172">
        <v>0</v>
      </c>
      <c r="J172">
        <v>0.25600000000000001</v>
      </c>
      <c r="K172" s="2"/>
      <c r="M172" s="3"/>
      <c r="O172" s="5"/>
      <c r="P172" s="5"/>
    </row>
    <row r="173" spans="1:16" x14ac:dyDescent="0.3">
      <c r="A173">
        <v>2001</v>
      </c>
      <c r="B173">
        <v>9</v>
      </c>
      <c r="C173" s="1">
        <v>2001.66666666726</v>
      </c>
      <c r="D173" s="2">
        <v>-114.31714285714287</v>
      </c>
      <c r="E173" s="2">
        <v>-3058.6612903225805</v>
      </c>
      <c r="F173" s="2">
        <v>-3.7456569892466263E-2</v>
      </c>
      <c r="G173" s="2">
        <v>-0.10255882352940304</v>
      </c>
      <c r="H173" s="2">
        <v>0.2258914677419348</v>
      </c>
      <c r="I173">
        <v>0.2</v>
      </c>
      <c r="J173">
        <v>0.29099999999999998</v>
      </c>
      <c r="K173" s="2"/>
      <c r="M173" s="3"/>
      <c r="O173" s="5"/>
      <c r="P173" s="5"/>
    </row>
    <row r="174" spans="1:16" x14ac:dyDescent="0.3">
      <c r="A174">
        <v>2001</v>
      </c>
      <c r="B174">
        <v>8</v>
      </c>
      <c r="C174" s="1">
        <v>2001.5833333339301</v>
      </c>
      <c r="D174" s="2">
        <v>-119.73714285714277</v>
      </c>
      <c r="E174" s="2">
        <v>-3153.5967741935483</v>
      </c>
      <c r="F174" s="2">
        <v>0.60482492715920699</v>
      </c>
      <c r="G174" s="2">
        <v>1.5294117647037808E-3</v>
      </c>
      <c r="H174" s="2">
        <v>0.14847896774192648</v>
      </c>
      <c r="I174">
        <v>-0.4</v>
      </c>
      <c r="J174">
        <v>0.182</v>
      </c>
      <c r="K174" s="2"/>
      <c r="M174" s="3"/>
      <c r="O174" s="5"/>
      <c r="P174" s="5"/>
    </row>
    <row r="175" spans="1:16" x14ac:dyDescent="0.3">
      <c r="A175">
        <v>2001</v>
      </c>
      <c r="B175">
        <v>7</v>
      </c>
      <c r="C175" s="1">
        <v>2001.5000000006</v>
      </c>
      <c r="D175" s="2">
        <v>-106.03428571428566</v>
      </c>
      <c r="E175" s="2">
        <v>-3151.5322580645161</v>
      </c>
      <c r="F175" s="2">
        <v>7.0758839750251212E-2</v>
      </c>
      <c r="G175" s="2">
        <v>-0.52391176470587553</v>
      </c>
      <c r="H175" s="2">
        <v>0.13231332258065365</v>
      </c>
      <c r="I175">
        <v>-0.2</v>
      </c>
      <c r="J175">
        <v>0.14000000000000001</v>
      </c>
      <c r="K175" s="2"/>
      <c r="M175" s="3"/>
      <c r="O175" s="5"/>
      <c r="P175" s="5"/>
    </row>
    <row r="176" spans="1:16" x14ac:dyDescent="0.3">
      <c r="A176">
        <v>2001</v>
      </c>
      <c r="B176">
        <v>6</v>
      </c>
      <c r="C176" s="1">
        <v>2001.41666666727</v>
      </c>
      <c r="D176" s="2">
        <v>-82.380000000000052</v>
      </c>
      <c r="E176" s="2">
        <v>-2379.5483870967746</v>
      </c>
      <c r="F176" s="2">
        <v>-0.17568677178346448</v>
      </c>
      <c r="G176" s="2">
        <v>-0.60005882352941242</v>
      </c>
      <c r="H176" s="2">
        <v>0.19937185483871289</v>
      </c>
      <c r="I176">
        <v>0.3</v>
      </c>
      <c r="J176">
        <v>0.20300000000000001</v>
      </c>
      <c r="K176" s="2"/>
      <c r="M176" s="3"/>
      <c r="O176" s="5"/>
      <c r="P176" s="5"/>
    </row>
    <row r="177" spans="1:16" x14ac:dyDescent="0.3">
      <c r="A177">
        <v>2001</v>
      </c>
      <c r="B177">
        <v>5</v>
      </c>
      <c r="C177" s="1">
        <v>2001.3333333339399</v>
      </c>
      <c r="D177" s="2">
        <v>-105.28199999999981</v>
      </c>
      <c r="E177" s="2">
        <v>-2375.8387096774195</v>
      </c>
      <c r="F177" s="2">
        <v>-0.19413509191813461</v>
      </c>
      <c r="G177" s="2">
        <v>-0.6366470588235309</v>
      </c>
      <c r="H177" s="2">
        <v>-2.4563822580638828E-2</v>
      </c>
      <c r="I177">
        <v>-0.5</v>
      </c>
      <c r="J177">
        <v>-5.0000000000000001E-3</v>
      </c>
      <c r="K177" s="2"/>
      <c r="M177" s="3"/>
      <c r="O177" s="5"/>
      <c r="P177" s="5"/>
    </row>
    <row r="178" spans="1:16" x14ac:dyDescent="0.3">
      <c r="A178">
        <v>2001</v>
      </c>
      <c r="B178">
        <v>4</v>
      </c>
      <c r="C178" s="1">
        <v>2001.25000000061</v>
      </c>
      <c r="D178" s="2">
        <v>-52.162000000000035</v>
      </c>
      <c r="E178" s="2">
        <v>-1245.177419354839</v>
      </c>
      <c r="F178" s="2">
        <v>-0.40192228494622739</v>
      </c>
      <c r="G178" s="2">
        <v>-0.74597058823529849</v>
      </c>
      <c r="H178" s="2">
        <v>-0.22834285483870076</v>
      </c>
      <c r="I178">
        <v>0.2</v>
      </c>
      <c r="J178">
        <v>-8.0000000000000002E-3</v>
      </c>
      <c r="K178" s="2"/>
      <c r="M178" s="3"/>
      <c r="O178" s="5"/>
      <c r="P178" s="5"/>
    </row>
    <row r="179" spans="1:16" x14ac:dyDescent="0.3">
      <c r="A179">
        <v>2001</v>
      </c>
      <c r="B179">
        <v>3</v>
      </c>
      <c r="C179" s="1">
        <v>2001.16666666728</v>
      </c>
      <c r="D179" s="2">
        <v>-19.042857142857116</v>
      </c>
      <c r="E179" s="2">
        <v>-860.3709677419356</v>
      </c>
      <c r="F179" s="2">
        <v>-0.54453973985432214</v>
      </c>
      <c r="G179" s="2">
        <v>-0.31485294117646845</v>
      </c>
      <c r="H179" s="2">
        <v>-0.24186466129033235</v>
      </c>
      <c r="I179">
        <v>0.9</v>
      </c>
      <c r="J179">
        <v>1.9E-2</v>
      </c>
      <c r="K179" s="2"/>
      <c r="M179" s="3"/>
      <c r="O179" s="5"/>
      <c r="P179" s="5"/>
    </row>
    <row r="180" spans="1:16" x14ac:dyDescent="0.3">
      <c r="A180">
        <v>2001</v>
      </c>
      <c r="B180">
        <v>2</v>
      </c>
      <c r="C180" s="1">
        <v>2001.0833333339499</v>
      </c>
      <c r="D180" s="2">
        <v>-59.174000000000007</v>
      </c>
      <c r="E180" s="2">
        <v>-1533.7419354838712</v>
      </c>
      <c r="F180" s="2">
        <v>-0.91883913018432395</v>
      </c>
      <c r="G180" s="2">
        <v>-0.44738235294117246</v>
      </c>
      <c r="H180" s="2">
        <v>-0.24409924193548704</v>
      </c>
      <c r="I180">
        <v>1.7</v>
      </c>
      <c r="J180">
        <v>-2.1999999999999999E-2</v>
      </c>
      <c r="K180" s="2"/>
      <c r="M180" s="3"/>
      <c r="O180" s="5"/>
      <c r="P180" s="5"/>
    </row>
    <row r="181" spans="1:16" x14ac:dyDescent="0.3">
      <c r="A181">
        <v>2001</v>
      </c>
      <c r="B181">
        <v>1</v>
      </c>
      <c r="C181" s="1">
        <v>2001.00000000062</v>
      </c>
      <c r="D181" s="2">
        <v>-24.651999999999987</v>
      </c>
      <c r="E181" s="2">
        <v>-1764.7258064516127</v>
      </c>
      <c r="F181" s="2">
        <v>-8.4210645161292064E-2</v>
      </c>
      <c r="G181" s="2">
        <v>-0.10570588235293954</v>
      </c>
      <c r="H181" s="2">
        <v>-0.20474182258065099</v>
      </c>
      <c r="I181">
        <v>1</v>
      </c>
      <c r="J181">
        <v>-0.123</v>
      </c>
      <c r="K181" s="2"/>
      <c r="M181" s="3"/>
      <c r="O181" s="5"/>
      <c r="P181" s="5"/>
    </row>
    <row r="182" spans="1:16" x14ac:dyDescent="0.3">
      <c r="A182">
        <v>2000</v>
      </c>
      <c r="B182">
        <v>12</v>
      </c>
      <c r="C182" s="1">
        <v>2000.91666666729</v>
      </c>
      <c r="D182" s="2">
        <v>73.045714285714212</v>
      </c>
      <c r="E182" s="2">
        <v>-756.84946236559335</v>
      </c>
      <c r="F182" s="2">
        <v>-0.13554547988206522</v>
      </c>
      <c r="G182" s="2">
        <v>-4.7058823529440019E-3</v>
      </c>
      <c r="H182" s="2">
        <v>-0.2008555967741934</v>
      </c>
      <c r="I182">
        <v>0.8</v>
      </c>
      <c r="J182">
        <v>-0.122</v>
      </c>
      <c r="K182" s="2"/>
      <c r="M182" s="3"/>
      <c r="N182" s="8"/>
      <c r="O182" s="5"/>
      <c r="P182" s="5"/>
    </row>
    <row r="183" spans="1:16" x14ac:dyDescent="0.3">
      <c r="A183">
        <v>2000</v>
      </c>
      <c r="B183">
        <v>11</v>
      </c>
      <c r="C183" s="1">
        <v>2000.8333333339599</v>
      </c>
      <c r="D183" s="2">
        <v>111.40000000000009</v>
      </c>
      <c r="E183" s="2">
        <v>587.67204301075435</v>
      </c>
      <c r="F183" s="2">
        <v>-0.15915794623657575</v>
      </c>
      <c r="G183" s="2">
        <v>-5.4529411764715263E-2</v>
      </c>
      <c r="H183" s="2">
        <v>4.3920741935487229E-2</v>
      </c>
      <c r="I183">
        <v>1.8</v>
      </c>
      <c r="J183">
        <v>-4.8000000000000001E-2</v>
      </c>
      <c r="K183" s="2"/>
      <c r="M183" s="3"/>
      <c r="O183" s="5"/>
      <c r="P183" s="5"/>
    </row>
    <row r="184" spans="1:16" x14ac:dyDescent="0.3">
      <c r="A184">
        <v>2000</v>
      </c>
      <c r="B184">
        <v>10</v>
      </c>
      <c r="C184" s="1">
        <v>2000.7500000006301</v>
      </c>
      <c r="D184" s="2">
        <v>142.26571428571424</v>
      </c>
      <c r="E184" s="2">
        <v>1589.3064516129034</v>
      </c>
      <c r="F184" s="2">
        <v>-0.14112056330212042</v>
      </c>
      <c r="G184" s="2">
        <v>-0.35005882352941242</v>
      </c>
      <c r="H184" s="2">
        <v>1.9132225806451686E-2</v>
      </c>
      <c r="I184">
        <v>1.1000000000000001</v>
      </c>
      <c r="J184">
        <v>-3.5000000000000003E-2</v>
      </c>
      <c r="K184" s="2"/>
      <c r="M184" s="3"/>
      <c r="O184" s="5"/>
      <c r="P184" s="5"/>
    </row>
    <row r="185" spans="1:16" x14ac:dyDescent="0.3">
      <c r="A185">
        <v>2000</v>
      </c>
      <c r="B185">
        <v>9</v>
      </c>
      <c r="C185" s="1">
        <v>2000.6666666673</v>
      </c>
      <c r="D185" s="2">
        <v>137.48285714285709</v>
      </c>
      <c r="E185" s="2">
        <v>924.3387096774195</v>
      </c>
      <c r="F185" s="2">
        <v>-0.53745656989246626</v>
      </c>
      <c r="G185" s="2">
        <v>-0.47555882352940415</v>
      </c>
      <c r="H185" s="2">
        <v>3.7124677419342333E-3</v>
      </c>
      <c r="I185">
        <v>0.9</v>
      </c>
      <c r="J185">
        <v>0.106</v>
      </c>
      <c r="K185" s="2"/>
      <c r="M185" s="3"/>
      <c r="O185" s="5"/>
      <c r="P185" s="5"/>
    </row>
    <row r="186" spans="1:16" x14ac:dyDescent="0.3">
      <c r="A186">
        <v>2000</v>
      </c>
      <c r="B186">
        <v>8</v>
      </c>
      <c r="C186" s="1">
        <v>2000.5833333339699</v>
      </c>
      <c r="D186" s="2">
        <v>178.26285714285717</v>
      </c>
      <c r="E186" s="2">
        <v>1115.4032258064517</v>
      </c>
      <c r="F186" s="2">
        <v>4.824927159205572E-3</v>
      </c>
      <c r="G186" s="2">
        <v>-0.43047058823529838</v>
      </c>
      <c r="H186" s="2">
        <v>0.10421296774192612</v>
      </c>
      <c r="I186">
        <v>0.7</v>
      </c>
      <c r="J186">
        <v>0.107</v>
      </c>
      <c r="K186" s="2"/>
      <c r="M186" s="3"/>
      <c r="O186" s="5"/>
      <c r="P186" s="5"/>
    </row>
    <row r="187" spans="1:16" x14ac:dyDescent="0.3">
      <c r="A187">
        <v>2000</v>
      </c>
      <c r="B187">
        <v>7</v>
      </c>
      <c r="C187" s="1">
        <v>2000.5000000006401</v>
      </c>
      <c r="D187" s="2">
        <v>176.06571428571436</v>
      </c>
      <c r="E187" s="2">
        <v>1531.4677419354839</v>
      </c>
      <c r="F187" s="2">
        <v>-0.42924116024974879</v>
      </c>
      <c r="G187" s="2">
        <v>-0.34891176470587482</v>
      </c>
      <c r="H187" s="2">
        <v>5.0803225806532737E-3</v>
      </c>
      <c r="I187">
        <v>-0.2</v>
      </c>
      <c r="J187">
        <v>7.6999999999999999E-2</v>
      </c>
      <c r="K187" s="2"/>
      <c r="M187" s="3"/>
      <c r="O187" s="5"/>
      <c r="P187" s="5"/>
    </row>
    <row r="188" spans="1:16" x14ac:dyDescent="0.3">
      <c r="A188">
        <v>2000</v>
      </c>
      <c r="B188">
        <v>6</v>
      </c>
      <c r="C188" s="1">
        <v>2000.41666666731</v>
      </c>
      <c r="D188" s="2">
        <v>118.9199999999999</v>
      </c>
      <c r="E188" s="2">
        <v>719.4516129032254</v>
      </c>
      <c r="F188" s="2">
        <v>-0.27568677178346235</v>
      </c>
      <c r="G188" s="2">
        <v>-0.23705882352941288</v>
      </c>
      <c r="H188" s="2">
        <v>-0.17373414516128705</v>
      </c>
      <c r="I188">
        <v>-0.2</v>
      </c>
      <c r="J188">
        <v>-1.2999999999999999E-2</v>
      </c>
      <c r="K188" s="2"/>
      <c r="M188" s="3"/>
      <c r="O188" s="5"/>
      <c r="P188" s="5"/>
    </row>
    <row r="189" spans="1:16" x14ac:dyDescent="0.3">
      <c r="A189">
        <v>2000</v>
      </c>
      <c r="B189">
        <v>5</v>
      </c>
      <c r="C189" s="1">
        <v>2000.3333333339799</v>
      </c>
      <c r="D189" s="2">
        <v>92.718000000000188</v>
      </c>
      <c r="E189" s="2">
        <v>-8.8387096774195015</v>
      </c>
      <c r="F189" s="2">
        <v>-0.29413509191813603</v>
      </c>
      <c r="G189" s="2">
        <v>-0.23964705882353243</v>
      </c>
      <c r="H189" s="2">
        <v>-0.11459982258064016</v>
      </c>
      <c r="I189">
        <v>0.4</v>
      </c>
      <c r="J189">
        <v>0.109</v>
      </c>
      <c r="K189" s="2"/>
      <c r="M189" s="3"/>
      <c r="O189" s="5"/>
      <c r="P189" s="5"/>
    </row>
    <row r="190" spans="1:16" x14ac:dyDescent="0.3">
      <c r="A190">
        <v>2000</v>
      </c>
      <c r="B190">
        <v>4</v>
      </c>
      <c r="C190" s="1">
        <v>2000.2500000006501</v>
      </c>
      <c r="D190" s="2">
        <v>125.63799999999995</v>
      </c>
      <c r="E190" s="2">
        <v>623.822580645161</v>
      </c>
      <c r="F190" s="2">
        <v>-0.40192228494622739</v>
      </c>
      <c r="G190" s="2">
        <v>-0.5879705882353008</v>
      </c>
      <c r="H190" s="2">
        <v>-0.14310985483870198</v>
      </c>
      <c r="I190">
        <v>1.2</v>
      </c>
      <c r="J190">
        <v>4.7E-2</v>
      </c>
      <c r="K190" s="2"/>
      <c r="M190" s="3"/>
      <c r="O190" s="5"/>
      <c r="P190" s="5"/>
    </row>
    <row r="191" spans="1:16" x14ac:dyDescent="0.3">
      <c r="A191">
        <v>2000</v>
      </c>
      <c r="B191">
        <v>3</v>
      </c>
      <c r="C191" s="1">
        <v>2000.16666666732</v>
      </c>
      <c r="D191" s="2">
        <v>193.85714285714292</v>
      </c>
      <c r="E191" s="2">
        <v>1827.6290322580644</v>
      </c>
      <c r="F191" s="2">
        <v>-0.84453973985432285</v>
      </c>
      <c r="G191" s="2">
        <v>-0.73285294117646771</v>
      </c>
      <c r="H191" s="2">
        <v>-0.29201066129033393</v>
      </c>
      <c r="I191">
        <v>1.3</v>
      </c>
      <c r="J191">
        <v>0.108</v>
      </c>
      <c r="K191" s="2"/>
      <c r="M191" s="3"/>
      <c r="O191" s="5"/>
      <c r="P191" s="5"/>
    </row>
    <row r="192" spans="1:16" x14ac:dyDescent="0.3">
      <c r="A192">
        <v>2000</v>
      </c>
      <c r="B192">
        <v>2</v>
      </c>
      <c r="C192" s="1">
        <v>2000.0833333339899</v>
      </c>
      <c r="D192" s="2">
        <v>230.32599999999999</v>
      </c>
      <c r="E192" s="2">
        <v>1599.2580645161288</v>
      </c>
      <c r="F192" s="2">
        <v>-0.61883913018432324</v>
      </c>
      <c r="G192" s="2">
        <v>-0.55038235294117399</v>
      </c>
      <c r="H192" s="2">
        <v>-0.16407024193548736</v>
      </c>
      <c r="I192">
        <v>1.7</v>
      </c>
      <c r="J192">
        <v>-3.4000000000000002E-2</v>
      </c>
      <c r="K192" s="2"/>
      <c r="M192" s="3"/>
      <c r="O192" s="5"/>
      <c r="P192" s="5"/>
    </row>
    <row r="193" spans="1:16" x14ac:dyDescent="0.3">
      <c r="A193">
        <v>2000</v>
      </c>
      <c r="B193">
        <v>1</v>
      </c>
      <c r="C193" s="1">
        <v>2000.0000000006601</v>
      </c>
      <c r="D193" s="2">
        <v>216.44800000000004</v>
      </c>
      <c r="E193" s="2">
        <v>3808.2741935483873</v>
      </c>
      <c r="F193" s="2">
        <v>-0.88421064516128922</v>
      </c>
      <c r="G193" s="2">
        <v>-0.43470588235294016</v>
      </c>
      <c r="H193" s="2">
        <v>-0.31037882258064897</v>
      </c>
      <c r="I193">
        <v>0.7</v>
      </c>
      <c r="J193">
        <v>-7.9000000000000001E-2</v>
      </c>
      <c r="K193" s="2"/>
      <c r="M193" s="3"/>
      <c r="O193" s="5"/>
      <c r="P193" s="5"/>
    </row>
    <row r="194" spans="1:16" x14ac:dyDescent="0.3">
      <c r="A194">
        <v>1999</v>
      </c>
      <c r="B194">
        <v>12</v>
      </c>
      <c r="C194" s="1">
        <v>1999.91666666732</v>
      </c>
      <c r="D194" s="2">
        <v>141.84571428571428</v>
      </c>
      <c r="E194" s="2">
        <v>3104.1505376344066</v>
      </c>
      <c r="F194" s="2">
        <v>-0.63554547988206167</v>
      </c>
      <c r="G194" s="2">
        <v>-0.33470588235294585</v>
      </c>
      <c r="H194" s="2">
        <v>-2.4612596774193918E-2</v>
      </c>
      <c r="I194">
        <v>1.4</v>
      </c>
      <c r="J194">
        <v>1.9E-2</v>
      </c>
      <c r="K194" s="2"/>
      <c r="M194" s="3"/>
      <c r="O194" s="5"/>
      <c r="P194" s="5"/>
    </row>
    <row r="195" spans="1:16" x14ac:dyDescent="0.3">
      <c r="A195">
        <v>1999</v>
      </c>
      <c r="B195">
        <v>11</v>
      </c>
      <c r="C195" s="1">
        <v>1999.8333333339899</v>
      </c>
      <c r="D195" s="2">
        <v>140.80000000000007</v>
      </c>
      <c r="E195" s="2">
        <v>3395.6720430107544</v>
      </c>
      <c r="F195" s="2">
        <v>-0.45915794623657646</v>
      </c>
      <c r="G195" s="2">
        <v>-0.29852941176471504</v>
      </c>
      <c r="H195" s="2">
        <v>-0.28602025806451081</v>
      </c>
      <c r="I195">
        <v>1</v>
      </c>
      <c r="J195">
        <v>-4.3999999999999997E-2</v>
      </c>
      <c r="K195" s="2"/>
      <c r="M195" s="3"/>
      <c r="O195" s="5"/>
      <c r="P195" s="5"/>
    </row>
    <row r="196" spans="1:16" x14ac:dyDescent="0.3">
      <c r="A196">
        <v>1999</v>
      </c>
      <c r="B196">
        <v>10</v>
      </c>
      <c r="C196" s="1">
        <v>1999.7500000006601</v>
      </c>
      <c r="D196" s="2">
        <v>143.16571428571422</v>
      </c>
      <c r="E196" s="2">
        <v>2789.3064516129034</v>
      </c>
      <c r="F196" s="2">
        <v>-0.74112056330212184</v>
      </c>
      <c r="G196" s="2">
        <v>-0.23805882352941055</v>
      </c>
      <c r="H196" s="2">
        <v>5.8850225806452272E-2</v>
      </c>
      <c r="I196">
        <v>1</v>
      </c>
      <c r="J196">
        <v>2.1999999999999999E-2</v>
      </c>
      <c r="K196" s="2"/>
      <c r="M196" s="3"/>
      <c r="O196" s="5"/>
      <c r="P196" s="5"/>
    </row>
    <row r="197" spans="1:16" x14ac:dyDescent="0.3">
      <c r="A197">
        <v>1999</v>
      </c>
      <c r="B197">
        <v>9</v>
      </c>
      <c r="C197" s="1">
        <v>1999.66666666733</v>
      </c>
      <c r="D197" s="2">
        <v>164.48285714285709</v>
      </c>
      <c r="E197" s="2">
        <v>1946.3387096774195</v>
      </c>
      <c r="F197" s="2">
        <v>-0.83745656989246697</v>
      </c>
      <c r="G197" s="2">
        <v>8.8441176470595906E-2</v>
      </c>
      <c r="H197" s="2">
        <v>0.23469346774193411</v>
      </c>
      <c r="I197">
        <v>-0.1</v>
      </c>
      <c r="J197">
        <v>0.189</v>
      </c>
      <c r="K197" s="2"/>
      <c r="M197" s="3"/>
      <c r="O197" s="5"/>
      <c r="P197" s="5"/>
    </row>
    <row r="198" spans="1:16" x14ac:dyDescent="0.3">
      <c r="A198">
        <v>1999</v>
      </c>
      <c r="B198">
        <v>8</v>
      </c>
      <c r="C198" s="1">
        <v>1999.5833333339999</v>
      </c>
      <c r="D198" s="2">
        <v>168.86285714285719</v>
      </c>
      <c r="E198" s="2">
        <v>2286.4032258064517</v>
      </c>
      <c r="F198" s="2">
        <v>-0.5951750728407923</v>
      </c>
      <c r="G198" s="2">
        <v>-5.7470588235297271E-2</v>
      </c>
      <c r="H198" s="2">
        <v>0.29116396774192665</v>
      </c>
      <c r="I198">
        <v>0.4</v>
      </c>
      <c r="J198">
        <v>0.311</v>
      </c>
      <c r="K198" s="2"/>
      <c r="M198" s="3"/>
      <c r="O198" s="5"/>
      <c r="P198" s="5"/>
    </row>
    <row r="199" spans="1:16" x14ac:dyDescent="0.3">
      <c r="A199">
        <v>1999</v>
      </c>
      <c r="B199">
        <v>7</v>
      </c>
      <c r="C199" s="1">
        <v>1999.5000000006701</v>
      </c>
      <c r="D199" s="2">
        <v>151.46571428571434</v>
      </c>
      <c r="E199" s="2">
        <v>2944.4677419354839</v>
      </c>
      <c r="F199" s="2">
        <v>-0.12924116024974808</v>
      </c>
      <c r="G199" s="2">
        <v>0.2840882352941243</v>
      </c>
      <c r="H199" s="2">
        <v>0.22077732258065197</v>
      </c>
      <c r="I199">
        <v>0.5</v>
      </c>
      <c r="J199">
        <v>0.20200000000000001</v>
      </c>
      <c r="K199" s="2"/>
      <c r="M199" s="3"/>
      <c r="O199" s="5"/>
      <c r="P199" s="5"/>
    </row>
    <row r="200" spans="1:16" x14ac:dyDescent="0.3">
      <c r="A200">
        <v>1999</v>
      </c>
      <c r="B200">
        <v>6</v>
      </c>
      <c r="C200" s="1">
        <v>1999.41666666734</v>
      </c>
      <c r="D200" s="2">
        <v>138.9199999999999</v>
      </c>
      <c r="E200" s="2">
        <v>2076.4516129032254</v>
      </c>
      <c r="F200" s="2">
        <v>-0.37568677178346377</v>
      </c>
      <c r="G200" s="2">
        <v>-0.10905882352941276</v>
      </c>
      <c r="H200" s="2">
        <v>0.10346785483871201</v>
      </c>
      <c r="I200">
        <v>0.3</v>
      </c>
      <c r="J200">
        <v>0.184</v>
      </c>
      <c r="K200" s="2"/>
      <c r="M200" s="3"/>
      <c r="O200" s="5"/>
      <c r="P200" s="5"/>
    </row>
    <row r="201" spans="1:16" x14ac:dyDescent="0.3">
      <c r="A201">
        <v>1999</v>
      </c>
      <c r="B201">
        <v>5</v>
      </c>
      <c r="C201" s="1">
        <v>1999.3333333340099</v>
      </c>
      <c r="D201" s="2">
        <v>184.81800000000021</v>
      </c>
      <c r="E201" s="2">
        <v>2402.1612903225805</v>
      </c>
      <c r="F201" s="2">
        <v>5.8649080818646837E-3</v>
      </c>
      <c r="G201" s="2">
        <v>0.61835294117646811</v>
      </c>
      <c r="H201" s="2">
        <v>-7.6812822580638596E-2</v>
      </c>
      <c r="I201">
        <v>0.2</v>
      </c>
      <c r="J201">
        <v>0.16700000000000001</v>
      </c>
      <c r="K201" s="2"/>
      <c r="M201" s="3"/>
      <c r="O201" s="5"/>
      <c r="P201" s="5"/>
    </row>
    <row r="202" spans="1:16" x14ac:dyDescent="0.3">
      <c r="A202">
        <v>1999</v>
      </c>
      <c r="B202">
        <v>4</v>
      </c>
      <c r="C202" s="1">
        <v>1999.2500000006801</v>
      </c>
      <c r="D202" s="2">
        <v>235.73799999999997</v>
      </c>
      <c r="E202" s="2">
        <v>3424.822580645161</v>
      </c>
      <c r="F202" s="2">
        <v>9.8077715053772607E-2</v>
      </c>
      <c r="G202" s="2">
        <v>-8.7970588235300795E-2</v>
      </c>
      <c r="H202" s="2">
        <v>7.5110145161300323E-2</v>
      </c>
      <c r="I202">
        <v>1.4</v>
      </c>
      <c r="J202">
        <v>5.6000000000000001E-2</v>
      </c>
      <c r="K202" s="2"/>
      <c r="M202" s="3"/>
      <c r="O202" s="5"/>
      <c r="P202" s="5"/>
    </row>
    <row r="203" spans="1:16" x14ac:dyDescent="0.3">
      <c r="A203">
        <v>1999</v>
      </c>
      <c r="B203">
        <v>3</v>
      </c>
      <c r="C203" s="1">
        <v>1999.16666666735</v>
      </c>
      <c r="D203" s="2">
        <v>261.75714285714287</v>
      </c>
      <c r="E203" s="2">
        <v>3928.6290322580644</v>
      </c>
      <c r="F203" s="2">
        <v>5.5460260145679285E-2</v>
      </c>
      <c r="G203" s="2">
        <v>0.16014705882353297</v>
      </c>
      <c r="H203" s="2">
        <v>-4.7933661290333163E-2</v>
      </c>
      <c r="I203">
        <v>1.3</v>
      </c>
      <c r="J203">
        <v>7.2999999999999995E-2</v>
      </c>
      <c r="K203" s="2"/>
      <c r="M203" s="3"/>
      <c r="O203" s="5"/>
      <c r="P203" s="5"/>
    </row>
    <row r="204" spans="1:16" x14ac:dyDescent="0.3">
      <c r="A204">
        <v>1999</v>
      </c>
      <c r="B204">
        <v>2</v>
      </c>
      <c r="C204" s="1">
        <v>1999.0833333340199</v>
      </c>
      <c r="D204" s="2">
        <v>218.626</v>
      </c>
      <c r="E204" s="2">
        <v>2821.2580645161288</v>
      </c>
      <c r="F204" s="2">
        <v>-0.61883913018432324</v>
      </c>
      <c r="G204" s="2">
        <v>-0.11038235294117271</v>
      </c>
      <c r="H204" s="2">
        <v>-0.30984324193548574</v>
      </c>
      <c r="I204">
        <v>1</v>
      </c>
      <c r="J204">
        <v>6.2E-2</v>
      </c>
      <c r="K204" s="2"/>
      <c r="M204" s="3"/>
      <c r="O204" s="5"/>
      <c r="P204" s="5"/>
    </row>
    <row r="205" spans="1:16" x14ac:dyDescent="0.3">
      <c r="A205">
        <v>1999</v>
      </c>
      <c r="B205">
        <v>1</v>
      </c>
      <c r="C205" s="1">
        <v>1999.0000000006901</v>
      </c>
      <c r="D205" s="2">
        <v>158.64800000000008</v>
      </c>
      <c r="E205" s="2">
        <v>2845.2741935483873</v>
      </c>
      <c r="F205" s="2">
        <v>-0.18421064516128993</v>
      </c>
      <c r="G205" s="2">
        <v>0.2592941176470589</v>
      </c>
      <c r="H205" s="2">
        <v>3.5032177419349608E-2</v>
      </c>
      <c r="I205">
        <v>1.8</v>
      </c>
      <c r="J205">
        <v>5.5E-2</v>
      </c>
      <c r="K205" s="2"/>
      <c r="M205" s="3"/>
      <c r="O205" s="5"/>
      <c r="P205" s="5"/>
    </row>
    <row r="206" spans="1:16" x14ac:dyDescent="0.3">
      <c r="A206">
        <v>1998</v>
      </c>
      <c r="B206">
        <v>12</v>
      </c>
      <c r="C206" s="1">
        <v>1998.91666666736</v>
      </c>
      <c r="D206" s="2">
        <v>52.945714285714189</v>
      </c>
      <c r="E206" s="2">
        <v>1101.1505376344066</v>
      </c>
      <c r="F206" s="2">
        <v>-0.13554547988206167</v>
      </c>
      <c r="G206" s="2">
        <v>0.40629411764705381</v>
      </c>
      <c r="H206" s="2">
        <v>0.21459140322580694</v>
      </c>
      <c r="I206">
        <v>1.4</v>
      </c>
      <c r="J206">
        <v>0.28399999999999997</v>
      </c>
      <c r="K206" s="2"/>
      <c r="M206" s="3"/>
      <c r="O206" s="5"/>
      <c r="P206" s="5"/>
    </row>
    <row r="207" spans="1:16" x14ac:dyDescent="0.3">
      <c r="A207">
        <v>1998</v>
      </c>
      <c r="B207">
        <v>11</v>
      </c>
      <c r="C207" s="1">
        <v>1998.8333333340299</v>
      </c>
      <c r="D207" s="2">
        <v>41.200000000000045</v>
      </c>
      <c r="E207" s="2">
        <v>-1.3279569892456493</v>
      </c>
      <c r="F207" s="2">
        <v>0.14084205376342496</v>
      </c>
      <c r="G207" s="2">
        <v>0.56747058823528462</v>
      </c>
      <c r="H207" s="2">
        <v>0.27967874193548781</v>
      </c>
      <c r="I207">
        <v>1</v>
      </c>
      <c r="J207">
        <v>0.32100000000000001</v>
      </c>
      <c r="K207" s="2"/>
      <c r="M207" s="3"/>
      <c r="O207" s="5"/>
      <c r="P207" s="5"/>
    </row>
    <row r="208" spans="1:16" x14ac:dyDescent="0.3">
      <c r="A208">
        <v>1998</v>
      </c>
      <c r="B208">
        <v>10</v>
      </c>
      <c r="C208" s="1">
        <v>1998.7500000007001</v>
      </c>
      <c r="D208" s="2">
        <v>69.865714285714262</v>
      </c>
      <c r="E208" s="2">
        <v>662.3064516129034</v>
      </c>
      <c r="F208" s="2">
        <v>0.25887943669787816</v>
      </c>
      <c r="G208" s="2">
        <v>0.8019411764705886</v>
      </c>
      <c r="H208" s="2">
        <v>0.14809522580645051</v>
      </c>
      <c r="I208">
        <v>1.1000000000000001</v>
      </c>
      <c r="J208">
        <v>0.38600000000000001</v>
      </c>
      <c r="K208" s="2"/>
      <c r="M208" s="3"/>
      <c r="O208" s="5"/>
      <c r="P208" s="5"/>
    </row>
    <row r="209" spans="1:16" x14ac:dyDescent="0.3">
      <c r="A209">
        <v>1998</v>
      </c>
      <c r="B209">
        <v>9</v>
      </c>
      <c r="C209" s="1">
        <v>1998.66666666737</v>
      </c>
      <c r="D209" s="2">
        <v>89.282857142857097</v>
      </c>
      <c r="E209" s="2">
        <v>833.3387096774195</v>
      </c>
      <c r="F209" s="2">
        <v>0.16254343010753303</v>
      </c>
      <c r="G209" s="2">
        <v>0.61244117647059682</v>
      </c>
      <c r="H209" s="2">
        <v>0.65333046774193448</v>
      </c>
      <c r="I209">
        <v>1</v>
      </c>
      <c r="J209">
        <v>0.41699999999999998</v>
      </c>
      <c r="K209" s="2"/>
      <c r="M209" s="3"/>
      <c r="O209" s="5"/>
      <c r="P209" s="5"/>
    </row>
    <row r="210" spans="1:16" x14ac:dyDescent="0.3">
      <c r="A210">
        <v>1998</v>
      </c>
      <c r="B210">
        <v>8</v>
      </c>
      <c r="C210" s="1">
        <v>1998.5833333340399</v>
      </c>
      <c r="D210" s="2">
        <v>84.962857142857217</v>
      </c>
      <c r="E210" s="2">
        <v>860.4032258064517</v>
      </c>
      <c r="F210" s="2">
        <v>0.70482492715920486</v>
      </c>
      <c r="G210" s="2">
        <v>0.28152941176470136</v>
      </c>
      <c r="H210" s="2">
        <v>0.80217696774192504</v>
      </c>
      <c r="I210">
        <v>1.2</v>
      </c>
      <c r="J210">
        <v>0.51700000000000002</v>
      </c>
      <c r="K210" s="2"/>
      <c r="M210" s="3"/>
      <c r="O210" s="5"/>
      <c r="P210" s="5"/>
    </row>
    <row r="211" spans="1:16" x14ac:dyDescent="0.3">
      <c r="A211">
        <v>1998</v>
      </c>
      <c r="B211">
        <v>7</v>
      </c>
      <c r="C211" s="1">
        <v>1998.5000000007101</v>
      </c>
      <c r="D211" s="2">
        <v>52.065714285714307</v>
      </c>
      <c r="E211" s="2">
        <v>592.4677419354839</v>
      </c>
      <c r="F211" s="2">
        <v>7.0758839750251212E-2</v>
      </c>
      <c r="G211" s="2">
        <v>0.32308823529412223</v>
      </c>
      <c r="H211" s="2">
        <v>0.53310332258065429</v>
      </c>
      <c r="I211">
        <v>1.2</v>
      </c>
      <c r="J211">
        <v>0.49199999999999999</v>
      </c>
      <c r="K211" s="2"/>
      <c r="M211" s="3"/>
      <c r="O211" s="5"/>
      <c r="P211" s="5"/>
    </row>
    <row r="212" spans="1:16" x14ac:dyDescent="0.3">
      <c r="A212">
        <v>1998</v>
      </c>
      <c r="B212">
        <v>6</v>
      </c>
      <c r="C212" s="1">
        <v>1998.41666666738</v>
      </c>
      <c r="D212" s="2">
        <v>8.4199999999999591</v>
      </c>
      <c r="E212" s="2">
        <v>-243.5483870967746</v>
      </c>
      <c r="F212" s="2">
        <v>0.22431322821653765</v>
      </c>
      <c r="G212" s="2">
        <v>0.12294117647058656</v>
      </c>
      <c r="H212" s="2">
        <v>0.4485938548387125</v>
      </c>
      <c r="I212">
        <v>1</v>
      </c>
      <c r="J212">
        <v>0.49399999999999999</v>
      </c>
      <c r="K212" s="2"/>
      <c r="M212" s="3"/>
      <c r="O212" s="5"/>
      <c r="P212" s="5"/>
    </row>
    <row r="213" spans="1:16" x14ac:dyDescent="0.3">
      <c r="A213">
        <v>1998</v>
      </c>
      <c r="B213">
        <v>5</v>
      </c>
      <c r="C213" s="1">
        <v>1998.3333333340499</v>
      </c>
      <c r="D213" s="2">
        <v>-9.2819999999998117</v>
      </c>
      <c r="E213" s="2">
        <v>-417.8387096774195</v>
      </c>
      <c r="F213" s="2">
        <v>0.30586490808186539</v>
      </c>
      <c r="G213" s="2">
        <v>0.35335294117646754</v>
      </c>
      <c r="H213" s="2">
        <v>0.59396117741935939</v>
      </c>
      <c r="I213">
        <v>0.3</v>
      </c>
      <c r="J213">
        <v>0.38800000000000001</v>
      </c>
      <c r="K213" s="2"/>
      <c r="M213" s="3"/>
      <c r="O213" s="5"/>
      <c r="P213" s="5"/>
    </row>
    <row r="214" spans="1:16" x14ac:dyDescent="0.3">
      <c r="A214">
        <v>1998</v>
      </c>
      <c r="B214">
        <v>4</v>
      </c>
      <c r="C214" s="1">
        <v>1998.2500000007201</v>
      </c>
      <c r="D214" s="2">
        <v>-31.56200000000004</v>
      </c>
      <c r="E214" s="2">
        <v>-879.177419354839</v>
      </c>
      <c r="F214" s="2">
        <v>0.69807771505377048</v>
      </c>
      <c r="G214" s="2">
        <v>0.53802941176470043</v>
      </c>
      <c r="H214" s="2">
        <v>0.51002614516130151</v>
      </c>
      <c r="I214">
        <v>-1.4</v>
      </c>
      <c r="J214">
        <v>0.29599999999999999</v>
      </c>
      <c r="K214" s="2"/>
      <c r="M214" s="3"/>
      <c r="O214" s="5"/>
      <c r="P214" s="5"/>
    </row>
    <row r="215" spans="1:16" x14ac:dyDescent="0.3">
      <c r="A215">
        <v>1998</v>
      </c>
      <c r="B215">
        <v>3</v>
      </c>
      <c r="C215" s="1">
        <v>1998.16666666739</v>
      </c>
      <c r="D215" s="2">
        <v>-59.64285714285711</v>
      </c>
      <c r="E215" s="2">
        <v>-1615.3709677419356</v>
      </c>
      <c r="F215" s="2">
        <v>0.25546026014567857</v>
      </c>
      <c r="G215" s="2">
        <v>0.69314705882353422</v>
      </c>
      <c r="H215" s="2">
        <v>0.58469633870966575</v>
      </c>
      <c r="I215">
        <v>-2.4</v>
      </c>
      <c r="J215">
        <v>0.32600000000000001</v>
      </c>
      <c r="K215" s="2"/>
      <c r="M215" s="3"/>
      <c r="O215" s="5"/>
      <c r="P215" s="5"/>
    </row>
    <row r="216" spans="1:16" x14ac:dyDescent="0.3">
      <c r="A216">
        <v>1998</v>
      </c>
      <c r="B216">
        <v>2</v>
      </c>
      <c r="C216" s="1">
        <v>1998.0833333340599</v>
      </c>
      <c r="D216" s="2">
        <v>-110.874</v>
      </c>
      <c r="E216" s="2">
        <v>-1747.7419354838712</v>
      </c>
      <c r="F216" s="2">
        <v>0.78116086981567534</v>
      </c>
      <c r="G216" s="2">
        <v>0.90961764705882686</v>
      </c>
      <c r="H216" s="2">
        <v>0.65391875806451338</v>
      </c>
      <c r="I216">
        <v>-2</v>
      </c>
      <c r="J216">
        <v>0.29599999999999999</v>
      </c>
      <c r="K216" s="2"/>
      <c r="M216" s="3"/>
      <c r="O216" s="5"/>
      <c r="P216" s="5"/>
    </row>
    <row r="217" spans="1:16" x14ac:dyDescent="0.3">
      <c r="A217">
        <v>1998</v>
      </c>
      <c r="B217">
        <v>1</v>
      </c>
      <c r="C217" s="1">
        <v>1998.0000000007301</v>
      </c>
      <c r="D217" s="2">
        <v>-232.15199999999996</v>
      </c>
      <c r="E217" s="2">
        <v>-4377.7258064516127</v>
      </c>
      <c r="F217" s="2">
        <v>0.41578935483870794</v>
      </c>
      <c r="G217" s="2">
        <v>0.47929411764706131</v>
      </c>
      <c r="H217" s="2">
        <v>0.34421517741935048</v>
      </c>
      <c r="I217">
        <v>-2.7</v>
      </c>
      <c r="J217">
        <v>0.13400000000000001</v>
      </c>
      <c r="K217" s="2"/>
      <c r="M217" s="3"/>
      <c r="O217" s="5"/>
      <c r="P217" s="5"/>
    </row>
    <row r="218" spans="1:16" x14ac:dyDescent="0.3">
      <c r="A218">
        <v>1997</v>
      </c>
      <c r="B218">
        <v>12</v>
      </c>
      <c r="C218" s="1">
        <v>1997.9166666674</v>
      </c>
      <c r="D218" s="2">
        <v>-235.85428571428577</v>
      </c>
      <c r="E218" s="2">
        <v>-5099.8494623655934</v>
      </c>
      <c r="F218" s="2">
        <v>0.36445452011793833</v>
      </c>
      <c r="G218" s="2">
        <v>0.53629411764705637</v>
      </c>
      <c r="H218" s="2">
        <v>0.33960740322580563</v>
      </c>
      <c r="I218">
        <v>-1</v>
      </c>
      <c r="J218">
        <v>0.13600000000000001</v>
      </c>
      <c r="K218" s="2"/>
      <c r="M218" s="3"/>
      <c r="O218" s="5"/>
      <c r="P218" s="5"/>
    </row>
    <row r="219" spans="1:16" x14ac:dyDescent="0.3">
      <c r="A219">
        <v>1997</v>
      </c>
      <c r="B219">
        <v>11</v>
      </c>
      <c r="C219" s="1">
        <v>1997.8333333340699</v>
      </c>
      <c r="D219" s="2">
        <v>-199.7999999999999</v>
      </c>
      <c r="E219" s="2">
        <v>-4320.3279569892456</v>
      </c>
      <c r="F219" s="2">
        <v>0.14084205376342496</v>
      </c>
      <c r="G219" s="2">
        <v>0.37847058823528457</v>
      </c>
      <c r="H219" s="2">
        <v>0.36821774193548862</v>
      </c>
      <c r="I219">
        <v>-1.2</v>
      </c>
      <c r="J219">
        <v>5.5E-2</v>
      </c>
      <c r="K219" s="2"/>
      <c r="M219" s="3"/>
      <c r="O219" s="5"/>
      <c r="P219" s="5"/>
    </row>
    <row r="220" spans="1:16" x14ac:dyDescent="0.3">
      <c r="A220">
        <v>1997</v>
      </c>
      <c r="B220">
        <v>10</v>
      </c>
      <c r="C220" s="1">
        <v>1997.7500000007401</v>
      </c>
      <c r="D220" s="2">
        <v>-178.63428571428574</v>
      </c>
      <c r="E220" s="2">
        <v>-3605.6935483870966</v>
      </c>
      <c r="F220" s="2">
        <v>0.55887943669787887</v>
      </c>
      <c r="G220" s="2">
        <v>0.23194117647058832</v>
      </c>
      <c r="H220" s="2">
        <v>0.31138322580645195</v>
      </c>
      <c r="I220">
        <v>-1.5</v>
      </c>
      <c r="J220">
        <v>0.155</v>
      </c>
      <c r="K220" s="2"/>
      <c r="M220" s="3"/>
      <c r="O220" s="5"/>
      <c r="P220" s="5"/>
    </row>
    <row r="221" spans="1:16" x14ac:dyDescent="0.3">
      <c r="A221">
        <v>1997</v>
      </c>
      <c r="B221">
        <v>9</v>
      </c>
      <c r="C221" s="1">
        <v>1997.66666666741</v>
      </c>
      <c r="D221" s="2">
        <v>-199.61714285714288</v>
      </c>
      <c r="E221" s="2">
        <v>-3986.6612903225805</v>
      </c>
      <c r="F221" s="2">
        <v>0.26254343010753445</v>
      </c>
      <c r="G221" s="2">
        <v>0.25644117647059517</v>
      </c>
      <c r="H221" s="2">
        <v>0.1393384677419327</v>
      </c>
      <c r="I221">
        <v>-1.4</v>
      </c>
      <c r="J221">
        <v>0.114</v>
      </c>
      <c r="K221" s="2"/>
      <c r="M221" s="3"/>
      <c r="O221" s="5"/>
      <c r="P221" s="5"/>
    </row>
    <row r="222" spans="1:16" x14ac:dyDescent="0.3">
      <c r="A222">
        <v>1997</v>
      </c>
      <c r="B222">
        <v>8</v>
      </c>
      <c r="C222" s="1">
        <v>1997.58333333408</v>
      </c>
      <c r="D222" s="2">
        <v>-191.23714285714277</v>
      </c>
      <c r="E222" s="2">
        <v>-3718.5967741935483</v>
      </c>
      <c r="F222" s="2">
        <v>0.4048249271592077</v>
      </c>
      <c r="G222" s="2">
        <v>2.4529411764703468E-2</v>
      </c>
      <c r="H222" s="2">
        <v>-1.287103225807229E-2</v>
      </c>
      <c r="I222">
        <v>-1.4</v>
      </c>
      <c r="J222">
        <v>1.9E-2</v>
      </c>
      <c r="K222" s="2"/>
      <c r="M222" s="3"/>
      <c r="O222" s="5"/>
      <c r="P222" s="5"/>
    </row>
    <row r="223" spans="1:16" x14ac:dyDescent="0.3">
      <c r="A223">
        <v>1997</v>
      </c>
      <c r="B223">
        <v>7</v>
      </c>
      <c r="C223" s="1">
        <v>1997.5000000007501</v>
      </c>
      <c r="D223" s="2">
        <v>-145.93428571428569</v>
      </c>
      <c r="E223" s="2">
        <v>-2975.5322580645161</v>
      </c>
      <c r="F223" s="2">
        <v>0.17075883975024908</v>
      </c>
      <c r="G223" s="2">
        <v>-0.27491176470587675</v>
      </c>
      <c r="H223" s="2">
        <v>0.14310532258065223</v>
      </c>
      <c r="I223">
        <v>-0.8</v>
      </c>
      <c r="J223">
        <v>6.5000000000000002E-2</v>
      </c>
      <c r="K223" s="2"/>
      <c r="M223" s="3"/>
      <c r="O223" s="5"/>
      <c r="P223" s="5"/>
    </row>
    <row r="224" spans="1:16" x14ac:dyDescent="0.3">
      <c r="A224">
        <v>1997</v>
      </c>
      <c r="B224">
        <v>6</v>
      </c>
      <c r="C224" s="1">
        <v>1997.41666666742</v>
      </c>
      <c r="D224" s="2">
        <v>-174.78000000000006</v>
      </c>
      <c r="E224" s="2">
        <v>-2813.5483870967746</v>
      </c>
      <c r="F224" s="2">
        <v>-0.27568677178346235</v>
      </c>
      <c r="G224" s="2">
        <v>-0.30805882352941083</v>
      </c>
      <c r="H224" s="2">
        <v>0.17360285483871252</v>
      </c>
      <c r="I224">
        <v>-1.4</v>
      </c>
      <c r="J224">
        <v>1.2999999999999999E-2</v>
      </c>
      <c r="K224" s="2"/>
      <c r="M224" s="3"/>
      <c r="O224" s="5"/>
      <c r="P224" s="5"/>
    </row>
    <row r="225" spans="1:16" x14ac:dyDescent="0.3">
      <c r="A225">
        <v>1997</v>
      </c>
      <c r="B225">
        <v>5</v>
      </c>
      <c r="C225" s="1">
        <v>1997.33333333409</v>
      </c>
      <c r="D225" s="2">
        <v>-154.78199999999981</v>
      </c>
      <c r="E225" s="2">
        <v>-2349.8387096774195</v>
      </c>
      <c r="F225" s="2">
        <v>5.8649080818646837E-3</v>
      </c>
      <c r="G225" s="2">
        <v>-0.84264705882353041</v>
      </c>
      <c r="H225" s="2">
        <v>7.2242177419358455E-2</v>
      </c>
      <c r="I225">
        <v>-1.3</v>
      </c>
      <c r="J225">
        <v>4.3999999999999997E-2</v>
      </c>
      <c r="K225" s="2"/>
      <c r="M225" s="3"/>
      <c r="O225" s="5"/>
      <c r="P225" s="5"/>
    </row>
    <row r="226" spans="1:16" x14ac:dyDescent="0.3">
      <c r="A226">
        <v>1997</v>
      </c>
      <c r="B226">
        <v>4</v>
      </c>
      <c r="C226" s="1">
        <v>1997.2500000007601</v>
      </c>
      <c r="D226" s="2">
        <v>-104.26200000000003</v>
      </c>
      <c r="E226" s="2">
        <v>-1302.177419354839</v>
      </c>
      <c r="F226" s="2">
        <v>-0.50192228494622881</v>
      </c>
      <c r="G226" s="2">
        <v>-0.26297058823530151</v>
      </c>
      <c r="H226" s="2">
        <v>-7.4105854838698804E-2</v>
      </c>
      <c r="I226">
        <v>-0.6</v>
      </c>
      <c r="J226">
        <v>1.2E-2</v>
      </c>
      <c r="K226" s="2"/>
      <c r="M226" s="3"/>
      <c r="O226" s="5"/>
      <c r="P226" s="5"/>
    </row>
    <row r="227" spans="1:16" x14ac:dyDescent="0.3">
      <c r="A227">
        <v>1997</v>
      </c>
      <c r="B227">
        <v>3</v>
      </c>
      <c r="C227" s="1">
        <v>1997.16666666743</v>
      </c>
      <c r="D227" s="2">
        <v>-69.042857142857116</v>
      </c>
      <c r="E227" s="2">
        <v>-459.3709677419356</v>
      </c>
      <c r="F227" s="2">
        <v>-0.84453973985432285</v>
      </c>
      <c r="G227" s="2">
        <v>-0.26885294117646907</v>
      </c>
      <c r="H227" s="2">
        <v>-0.13278566129033109</v>
      </c>
      <c r="I227">
        <v>-0.4</v>
      </c>
      <c r="J227">
        <v>8.9999999999999993E-3</v>
      </c>
      <c r="K227" s="2"/>
      <c r="M227" s="3"/>
      <c r="O227" s="5"/>
      <c r="P227" s="5"/>
    </row>
    <row r="228" spans="1:16" x14ac:dyDescent="0.3">
      <c r="A228">
        <v>1997</v>
      </c>
      <c r="B228">
        <v>2</v>
      </c>
      <c r="C228" s="1">
        <v>1997.0833333341</v>
      </c>
      <c r="D228" s="2">
        <v>-28.574000000000012</v>
      </c>
      <c r="E228" s="2">
        <v>440.2580645161288</v>
      </c>
      <c r="F228" s="2">
        <v>8.1160869815676051E-2</v>
      </c>
      <c r="G228" s="2">
        <v>0.31061764705882666</v>
      </c>
      <c r="H228" s="2">
        <v>5.9785758064514027E-2</v>
      </c>
      <c r="I228">
        <v>1.7</v>
      </c>
      <c r="J228">
        <v>-3.1E-2</v>
      </c>
      <c r="K228" s="2"/>
      <c r="M228" s="3"/>
      <c r="O228" s="5"/>
      <c r="P228" s="5"/>
    </row>
    <row r="229" spans="1:16" x14ac:dyDescent="0.3">
      <c r="A229">
        <v>1997</v>
      </c>
      <c r="B229">
        <v>1</v>
      </c>
      <c r="C229" s="1">
        <v>1997.0000000007699</v>
      </c>
      <c r="D229" s="2">
        <v>-86.951999999999941</v>
      </c>
      <c r="E229" s="2">
        <v>-1311.7258064516127</v>
      </c>
      <c r="F229" s="2">
        <v>-0.48421064516129064</v>
      </c>
      <c r="G229" s="2">
        <v>9.7294117647059863E-2</v>
      </c>
      <c r="H229" s="2">
        <v>9.2060177419352129E-2</v>
      </c>
      <c r="I229">
        <v>0.5</v>
      </c>
      <c r="J229">
        <v>-8.6999999999999994E-2</v>
      </c>
      <c r="K229" s="2"/>
      <c r="M229" s="3"/>
      <c r="O229" s="5"/>
      <c r="P229" s="5"/>
    </row>
    <row r="230" spans="1:16" x14ac:dyDescent="0.3">
      <c r="A230">
        <v>1996</v>
      </c>
      <c r="B230">
        <v>12</v>
      </c>
      <c r="C230" s="1">
        <v>1996.91666666744</v>
      </c>
      <c r="D230" s="2">
        <v>-48.254285714285743</v>
      </c>
      <c r="E230" s="2">
        <v>-516.84946236559335</v>
      </c>
      <c r="F230" s="2">
        <v>-0.5355454798820638</v>
      </c>
      <c r="G230" s="2">
        <v>-0.56270588235294383</v>
      </c>
      <c r="H230" s="2">
        <v>-0.10845159677419147</v>
      </c>
      <c r="I230">
        <v>0.9</v>
      </c>
      <c r="J230">
        <v>-0.151</v>
      </c>
      <c r="K230" s="2"/>
      <c r="M230" s="3"/>
      <c r="O230" s="5"/>
      <c r="P230" s="5"/>
    </row>
    <row r="231" spans="1:16" x14ac:dyDescent="0.3">
      <c r="A231">
        <v>1996</v>
      </c>
      <c r="B231">
        <v>11</v>
      </c>
      <c r="C231" s="1">
        <v>1996.83333333411</v>
      </c>
      <c r="D231" s="2">
        <v>-23.699999999999932</v>
      </c>
      <c r="E231" s="2">
        <v>528.67204301075435</v>
      </c>
      <c r="F231" s="2">
        <v>-0.35915794623657504</v>
      </c>
      <c r="G231" s="2">
        <v>-0.31052941176471549</v>
      </c>
      <c r="H231" s="2">
        <v>-0.17256325806451045</v>
      </c>
      <c r="I231">
        <v>-0.1</v>
      </c>
      <c r="J231">
        <v>-0.16900000000000001</v>
      </c>
      <c r="K231" s="2"/>
      <c r="M231" s="3"/>
      <c r="O231" s="5"/>
      <c r="P231" s="5"/>
    </row>
    <row r="232" spans="1:16" x14ac:dyDescent="0.3">
      <c r="A232">
        <v>1996</v>
      </c>
      <c r="B232">
        <v>10</v>
      </c>
      <c r="C232" s="1">
        <v>1996.7500000007799</v>
      </c>
      <c r="D232" s="2">
        <v>23.265714285714239</v>
      </c>
      <c r="E232" s="2">
        <v>1251.3064516129034</v>
      </c>
      <c r="F232" s="2">
        <v>-0.14112056330212042</v>
      </c>
      <c r="G232" s="2">
        <v>-8.205882352941174E-2</v>
      </c>
      <c r="H232" s="2">
        <v>-0.13155277419354761</v>
      </c>
      <c r="I232">
        <v>0.6</v>
      </c>
      <c r="J232">
        <v>-0.14000000000000001</v>
      </c>
      <c r="K232" s="2"/>
      <c r="M232" s="3"/>
      <c r="O232" s="5"/>
      <c r="P232" s="5"/>
    </row>
    <row r="233" spans="1:16" x14ac:dyDescent="0.3">
      <c r="A233">
        <v>1996</v>
      </c>
      <c r="B233">
        <v>9</v>
      </c>
      <c r="C233" s="1">
        <v>1996.66666666745</v>
      </c>
      <c r="D233" s="2">
        <v>71.882857142857119</v>
      </c>
      <c r="E233" s="2">
        <v>2586.3387096774195</v>
      </c>
      <c r="F233" s="2">
        <v>-0.23745656989246555</v>
      </c>
      <c r="G233" s="2">
        <v>-0.18355882352940611</v>
      </c>
      <c r="H233" s="2">
        <v>1.3601467741931828E-2</v>
      </c>
      <c r="I233">
        <v>0.6</v>
      </c>
      <c r="J233">
        <v>3.0000000000000001E-3</v>
      </c>
      <c r="K233" s="2"/>
      <c r="M233" s="3"/>
      <c r="O233" s="5"/>
      <c r="P233" s="5"/>
    </row>
    <row r="234" spans="1:16" x14ac:dyDescent="0.3">
      <c r="A234">
        <v>1996</v>
      </c>
      <c r="B234">
        <v>8</v>
      </c>
      <c r="C234" s="1">
        <v>1996.58333333412</v>
      </c>
      <c r="D234" s="2">
        <v>98.462857142857217</v>
      </c>
      <c r="E234" s="2">
        <v>3675.4032258064517</v>
      </c>
      <c r="F234" s="2">
        <v>-0.19517507284079372</v>
      </c>
      <c r="G234" s="2">
        <v>0.25352941176470267</v>
      </c>
      <c r="H234" s="2">
        <v>-6.5920032258073746E-2</v>
      </c>
      <c r="I234">
        <v>0.7</v>
      </c>
      <c r="J234">
        <v>-4.0000000000000001E-3</v>
      </c>
      <c r="K234" s="2"/>
      <c r="M234" s="3"/>
      <c r="O234" s="5"/>
      <c r="P234" s="5"/>
    </row>
    <row r="235" spans="1:16" x14ac:dyDescent="0.3">
      <c r="A235">
        <v>1996</v>
      </c>
      <c r="B235">
        <v>7</v>
      </c>
      <c r="C235" s="1">
        <v>1996.5000000007899</v>
      </c>
      <c r="D235" s="2">
        <v>66.965714285714341</v>
      </c>
      <c r="E235" s="2">
        <v>2987.4677419354839</v>
      </c>
      <c r="F235" s="2">
        <v>-0.2292411602497495</v>
      </c>
      <c r="G235" s="2">
        <v>7.0882352941232796E-3</v>
      </c>
      <c r="H235" s="2">
        <v>9.5011322580653257E-2</v>
      </c>
      <c r="I235">
        <v>0.7</v>
      </c>
      <c r="J235">
        <v>-0.1</v>
      </c>
      <c r="K235" s="2"/>
      <c r="M235" s="3"/>
      <c r="O235" s="5"/>
      <c r="P235" s="5"/>
    </row>
    <row r="236" spans="1:16" x14ac:dyDescent="0.3">
      <c r="A236">
        <v>1996</v>
      </c>
      <c r="B236">
        <v>6</v>
      </c>
      <c r="C236" s="1">
        <v>1996.41666666746</v>
      </c>
      <c r="D236" s="2">
        <v>33.919999999999959</v>
      </c>
      <c r="E236" s="2">
        <v>973.4516129032254</v>
      </c>
      <c r="F236" s="2">
        <v>2.431322821653481E-2</v>
      </c>
      <c r="G236" s="2">
        <v>-6.6058823529413502E-2</v>
      </c>
      <c r="H236" s="2">
        <v>0.17311285483870975</v>
      </c>
      <c r="I236">
        <v>1.2</v>
      </c>
      <c r="J236">
        <v>-0.11899999999999999</v>
      </c>
      <c r="K236" s="2"/>
      <c r="M236" s="3"/>
      <c r="O236" s="5"/>
      <c r="P236" s="5"/>
    </row>
    <row r="237" spans="1:16" x14ac:dyDescent="0.3">
      <c r="A237">
        <v>1996</v>
      </c>
      <c r="B237">
        <v>5</v>
      </c>
      <c r="C237" s="1">
        <v>1996.33333333413</v>
      </c>
      <c r="D237" s="2">
        <v>40.318000000000211</v>
      </c>
      <c r="E237" s="2">
        <v>277.1612903225805</v>
      </c>
      <c r="F237" s="2">
        <v>-0.29413509191813603</v>
      </c>
      <c r="G237" s="2">
        <v>0.17535294117647027</v>
      </c>
      <c r="H237" s="2">
        <v>0.13812417741936045</v>
      </c>
      <c r="I237">
        <v>0.3</v>
      </c>
      <c r="J237">
        <v>-6.0999999999999999E-2</v>
      </c>
      <c r="K237" s="2"/>
      <c r="M237" s="3"/>
      <c r="O237" s="5"/>
      <c r="P237" s="5"/>
    </row>
    <row r="238" spans="1:16" x14ac:dyDescent="0.3">
      <c r="A238">
        <v>1996</v>
      </c>
      <c r="B238">
        <v>4</v>
      </c>
      <c r="C238" s="1">
        <v>1996.2500000007999</v>
      </c>
      <c r="D238" s="2">
        <v>113.13799999999995</v>
      </c>
      <c r="E238" s="2">
        <v>1620.822580645161</v>
      </c>
      <c r="F238" s="2">
        <v>0.19807771505377048</v>
      </c>
      <c r="G238" s="2">
        <v>-0.21097058823529835</v>
      </c>
      <c r="H238" s="2">
        <v>0.19623614516130061</v>
      </c>
      <c r="I238">
        <v>0.8</v>
      </c>
      <c r="J238">
        <v>1.4E-2</v>
      </c>
      <c r="K238" s="2"/>
      <c r="M238" s="3"/>
      <c r="O238" s="5"/>
      <c r="P238" s="5"/>
    </row>
    <row r="239" spans="1:16" x14ac:dyDescent="0.3">
      <c r="A239">
        <v>1996</v>
      </c>
      <c r="B239">
        <v>3</v>
      </c>
      <c r="C239" s="1">
        <v>1996.1666666674701</v>
      </c>
      <c r="D239" s="2">
        <v>111.65714285714287</v>
      </c>
      <c r="E239" s="2">
        <v>1734.6290322580644</v>
      </c>
      <c r="F239" s="2">
        <v>0.15546026014567715</v>
      </c>
      <c r="G239" s="2">
        <v>0.26314705882353095</v>
      </c>
      <c r="H239" s="2">
        <v>0.22796333870966734</v>
      </c>
      <c r="I239">
        <v>1.1000000000000001</v>
      </c>
      <c r="J239">
        <v>-5.2999999999999999E-2</v>
      </c>
      <c r="K239" s="2"/>
      <c r="M239" s="3"/>
      <c r="O239" s="5"/>
      <c r="P239" s="5"/>
    </row>
    <row r="240" spans="1:16" x14ac:dyDescent="0.3">
      <c r="A240">
        <v>1996</v>
      </c>
      <c r="B240">
        <v>2</v>
      </c>
      <c r="C240" s="1">
        <v>1996.08333333414</v>
      </c>
      <c r="D240" s="2">
        <v>51.525999999999982</v>
      </c>
      <c r="E240" s="2">
        <v>488.2580645161288</v>
      </c>
      <c r="F240" s="2">
        <v>0.28116086981567534</v>
      </c>
      <c r="G240" s="2">
        <v>-0.15138235294117308</v>
      </c>
      <c r="H240" s="2">
        <v>0.38487575806451346</v>
      </c>
      <c r="I240">
        <v>0.3</v>
      </c>
      <c r="J240">
        <v>-2.8000000000000001E-2</v>
      </c>
      <c r="K240" s="2"/>
      <c r="M240" s="3"/>
      <c r="O240" s="5"/>
      <c r="P240" s="5"/>
    </row>
    <row r="241" spans="1:16" x14ac:dyDescent="0.3">
      <c r="A241">
        <v>1996</v>
      </c>
      <c r="B241">
        <v>1</v>
      </c>
      <c r="C241" s="1">
        <v>1996.0000000008099</v>
      </c>
      <c r="D241" s="2">
        <v>5.0480000000000587</v>
      </c>
      <c r="E241" s="2">
        <v>-181.7258064516127</v>
      </c>
      <c r="F241" s="2">
        <v>0.31578935483871007</v>
      </c>
      <c r="G241" s="2">
        <v>0.51729411764706157</v>
      </c>
      <c r="H241" s="2">
        <v>0.6266251774193492</v>
      </c>
      <c r="I241">
        <v>1</v>
      </c>
      <c r="J241">
        <v>-5.0000000000000001E-3</v>
      </c>
      <c r="K241" s="2"/>
      <c r="M241" s="3"/>
      <c r="O241" s="5"/>
      <c r="P241" s="5"/>
    </row>
    <row r="242" spans="1:16" x14ac:dyDescent="0.3">
      <c r="A242">
        <v>1995</v>
      </c>
      <c r="B242">
        <v>12</v>
      </c>
      <c r="C242" s="1">
        <v>1995.9166666674801</v>
      </c>
      <c r="D242" s="2">
        <v>57.045714285714212</v>
      </c>
      <c r="E242" s="2">
        <v>-569.84946236559335</v>
      </c>
      <c r="F242" s="2">
        <v>6.4454520117937619E-2</v>
      </c>
      <c r="G242" s="2">
        <v>0.50229411764705389</v>
      </c>
      <c r="H242" s="2">
        <v>0.31520140322580659</v>
      </c>
      <c r="I242">
        <v>-0.5</v>
      </c>
      <c r="J242">
        <v>4.5999999999999999E-2</v>
      </c>
      <c r="K242" s="2"/>
      <c r="M242" s="3"/>
      <c r="O242" s="5"/>
      <c r="P242" s="5"/>
    </row>
    <row r="243" spans="1:16" x14ac:dyDescent="0.3">
      <c r="A243">
        <v>1995</v>
      </c>
      <c r="B243">
        <v>11</v>
      </c>
      <c r="C243" s="1">
        <v>1995.83333333415</v>
      </c>
      <c r="D243" s="2">
        <v>91.400000000000091</v>
      </c>
      <c r="E243" s="2">
        <v>45.672043010754351</v>
      </c>
      <c r="F243" s="2">
        <v>0.14084205376342496</v>
      </c>
      <c r="G243" s="2">
        <v>0.47747058823528477</v>
      </c>
      <c r="H243" s="2">
        <v>0.26335574193548794</v>
      </c>
      <c r="I243">
        <v>0</v>
      </c>
      <c r="J243">
        <v>0.13100000000000001</v>
      </c>
      <c r="K243" s="2"/>
      <c r="M243" s="3"/>
      <c r="O243" s="5"/>
      <c r="P243" s="5"/>
    </row>
    <row r="244" spans="1:16" x14ac:dyDescent="0.3">
      <c r="A244">
        <v>1995</v>
      </c>
      <c r="B244">
        <v>10</v>
      </c>
      <c r="C244" s="1">
        <v>1995.7500000008199</v>
      </c>
      <c r="D244" s="2">
        <v>135.56571428571431</v>
      </c>
      <c r="E244" s="2">
        <v>518.3064516129034</v>
      </c>
      <c r="F244" s="2">
        <v>-0.24112056330212184</v>
      </c>
      <c r="G244" s="2">
        <v>0.25294117647058911</v>
      </c>
      <c r="H244" s="2">
        <v>0.17207222580645265</v>
      </c>
      <c r="I244">
        <v>0</v>
      </c>
      <c r="J244">
        <v>0.106</v>
      </c>
      <c r="K244" s="2"/>
      <c r="M244" s="3"/>
      <c r="O244" s="5"/>
      <c r="P244" s="5"/>
    </row>
    <row r="245" spans="1:16" x14ac:dyDescent="0.3">
      <c r="A245">
        <v>1995</v>
      </c>
      <c r="B245">
        <v>9</v>
      </c>
      <c r="C245" s="1">
        <v>1995.6666666674901</v>
      </c>
      <c r="D245" s="2">
        <v>189.38285714285706</v>
      </c>
      <c r="E245" s="2">
        <v>1845.3387096774195</v>
      </c>
      <c r="F245" s="2">
        <v>0.36254343010753587</v>
      </c>
      <c r="G245" s="2">
        <v>0.5904411764705948</v>
      </c>
      <c r="H245" s="2">
        <v>0.12543346774193509</v>
      </c>
      <c r="I245">
        <v>0.3</v>
      </c>
      <c r="J245">
        <v>5.8000000000000003E-2</v>
      </c>
      <c r="K245" s="2"/>
      <c r="M245" s="3"/>
      <c r="O245" s="5"/>
      <c r="P245" s="5"/>
    </row>
    <row r="246" spans="1:16" x14ac:dyDescent="0.3">
      <c r="A246">
        <v>1995</v>
      </c>
      <c r="B246">
        <v>8</v>
      </c>
      <c r="C246" s="1">
        <v>1995.58333333416</v>
      </c>
      <c r="D246" s="2">
        <v>148.76285714285717</v>
      </c>
      <c r="E246" s="2">
        <v>1403.4032258064517</v>
      </c>
      <c r="F246" s="2">
        <v>-0.19517507284079372</v>
      </c>
      <c r="G246" s="2">
        <v>0.27352941176470225</v>
      </c>
      <c r="H246" s="2">
        <v>0.32322296774192694</v>
      </c>
      <c r="I246">
        <v>0.3</v>
      </c>
      <c r="J246">
        <v>0.188</v>
      </c>
      <c r="K246" s="2"/>
      <c r="M246" s="3"/>
      <c r="O246" s="5"/>
      <c r="P246" s="5"/>
    </row>
    <row r="247" spans="1:16" x14ac:dyDescent="0.3">
      <c r="A247">
        <v>1995</v>
      </c>
      <c r="B247">
        <v>7</v>
      </c>
      <c r="C247" s="1">
        <v>1995.5000000008299</v>
      </c>
      <c r="D247" s="2">
        <v>42.765714285714296</v>
      </c>
      <c r="E247" s="2">
        <v>-299.5322580645161</v>
      </c>
      <c r="F247" s="2">
        <v>-0.2292411602497495</v>
      </c>
      <c r="G247" s="2">
        <v>0.52708823529412285</v>
      </c>
      <c r="H247" s="2">
        <v>0.40360532258065263</v>
      </c>
      <c r="I247">
        <v>0.4</v>
      </c>
      <c r="J247">
        <v>0.318</v>
      </c>
      <c r="K247" s="2"/>
      <c r="M247" s="3"/>
      <c r="O247" s="5"/>
      <c r="P247" s="5"/>
    </row>
    <row r="248" spans="1:16" x14ac:dyDescent="0.3">
      <c r="A248">
        <v>1995</v>
      </c>
      <c r="B248">
        <v>6</v>
      </c>
      <c r="C248" s="1">
        <v>1995.4166666675001</v>
      </c>
      <c r="D248" s="2">
        <v>-23.980000000000075</v>
      </c>
      <c r="E248" s="2">
        <v>-1017.5483870967746</v>
      </c>
      <c r="F248" s="2">
        <v>0.12431322821653623</v>
      </c>
      <c r="G248" s="2">
        <v>0.77994117647058658</v>
      </c>
      <c r="H248" s="2">
        <v>0.33749785483871264</v>
      </c>
      <c r="I248">
        <v>0.1</v>
      </c>
      <c r="J248">
        <v>0.36799999999999999</v>
      </c>
      <c r="K248" s="2"/>
      <c r="M248" s="3"/>
      <c r="O248" s="5"/>
      <c r="P248" s="5"/>
    </row>
    <row r="249" spans="1:16" x14ac:dyDescent="0.3">
      <c r="A249">
        <v>1995</v>
      </c>
      <c r="B249">
        <v>5</v>
      </c>
      <c r="C249" s="1">
        <v>1995.33333333417</v>
      </c>
      <c r="D249" s="2">
        <v>-38.381999999999834</v>
      </c>
      <c r="E249" s="2">
        <v>-1109.8387096774195</v>
      </c>
      <c r="F249" s="2">
        <v>0.20586490808186397</v>
      </c>
      <c r="G249" s="2">
        <v>0.36035294117646899</v>
      </c>
      <c r="H249" s="2">
        <v>0.31260617741936159</v>
      </c>
      <c r="I249">
        <v>-0.4</v>
      </c>
      <c r="J249">
        <v>0.27600000000000002</v>
      </c>
      <c r="K249" s="2"/>
      <c r="M249" s="3"/>
      <c r="O249" s="5"/>
      <c r="P249" s="5"/>
    </row>
    <row r="250" spans="1:16" x14ac:dyDescent="0.3">
      <c r="A250">
        <v>1995</v>
      </c>
      <c r="B250">
        <v>4</v>
      </c>
      <c r="C250" s="1">
        <v>1995.2500000008399</v>
      </c>
      <c r="D250" s="2">
        <v>-53.662000000000035</v>
      </c>
      <c r="E250" s="2">
        <v>-1317.177419354839</v>
      </c>
      <c r="F250" s="2">
        <v>0.19807771505377048</v>
      </c>
      <c r="G250" s="2">
        <v>0.303029411764701</v>
      </c>
      <c r="H250" s="2">
        <v>0.31542114516129871</v>
      </c>
      <c r="I250">
        <v>-0.7</v>
      </c>
      <c r="J250">
        <v>0.08</v>
      </c>
      <c r="K250" s="2"/>
      <c r="M250" s="3"/>
      <c r="O250" s="5"/>
      <c r="P250" s="5"/>
    </row>
    <row r="251" spans="1:16" x14ac:dyDescent="0.3">
      <c r="A251">
        <v>1995</v>
      </c>
      <c r="B251">
        <v>3</v>
      </c>
      <c r="C251" s="1">
        <v>1995.1666666675101</v>
      </c>
      <c r="D251" s="2">
        <v>-66.542857142857116</v>
      </c>
      <c r="E251" s="2">
        <v>-1525.3709677419356</v>
      </c>
      <c r="F251" s="2">
        <v>-4.4539739854322136E-2</v>
      </c>
      <c r="G251" s="2">
        <v>0.64814705882353252</v>
      </c>
      <c r="H251" s="2">
        <v>0.36371433870966641</v>
      </c>
      <c r="I251">
        <v>0.8</v>
      </c>
      <c r="J251">
        <v>2.1000000000000001E-2</v>
      </c>
      <c r="K251" s="2"/>
      <c r="M251" s="3"/>
      <c r="O251" s="5"/>
      <c r="P251" s="5"/>
    </row>
    <row r="252" spans="1:16" x14ac:dyDescent="0.3">
      <c r="A252">
        <v>1995</v>
      </c>
      <c r="B252">
        <v>2</v>
      </c>
      <c r="C252" s="1">
        <v>1995.08333333418</v>
      </c>
      <c r="D252" s="2">
        <v>-98.074000000000012</v>
      </c>
      <c r="E252" s="2">
        <v>-1959.7419354838712</v>
      </c>
      <c r="F252" s="2">
        <v>-0.21883913018432466</v>
      </c>
      <c r="G252" s="2">
        <v>-0.12238235294117317</v>
      </c>
      <c r="H252" s="2">
        <v>0.2342487580645134</v>
      </c>
      <c r="I252">
        <v>-0.1</v>
      </c>
      <c r="J252">
        <v>-3.5000000000000003E-2</v>
      </c>
      <c r="K252" s="2"/>
      <c r="M252" s="3"/>
      <c r="O252" s="5"/>
      <c r="P252" s="5"/>
    </row>
    <row r="253" spans="1:16" x14ac:dyDescent="0.3">
      <c r="A253">
        <v>1995</v>
      </c>
      <c r="B253">
        <v>1</v>
      </c>
      <c r="C253" s="1">
        <v>1995.0000000008499</v>
      </c>
      <c r="D253" s="2">
        <v>-30.851999999999975</v>
      </c>
      <c r="E253" s="2">
        <v>-1756.7258064516127</v>
      </c>
      <c r="F253" s="2">
        <v>1.5789354838709357E-2</v>
      </c>
      <c r="G253" s="2">
        <v>0.1342941176470589</v>
      </c>
      <c r="H253" s="2">
        <v>0.20077517741935225</v>
      </c>
      <c r="I253">
        <v>-0.4</v>
      </c>
      <c r="J253">
        <v>-5.8000000000000003E-2</v>
      </c>
      <c r="K253" s="2"/>
      <c r="M253" s="3"/>
      <c r="O253" s="5"/>
      <c r="P253" s="5"/>
    </row>
    <row r="254" spans="1:16" x14ac:dyDescent="0.3">
      <c r="A254">
        <v>1994</v>
      </c>
      <c r="B254">
        <v>12</v>
      </c>
      <c r="C254" s="1">
        <v>1994.9166666675201</v>
      </c>
      <c r="D254" s="2">
        <v>-1.654285714285777</v>
      </c>
      <c r="E254" s="2">
        <v>27.150537634406646</v>
      </c>
      <c r="F254" s="2">
        <v>-0.43554547988206238</v>
      </c>
      <c r="G254" s="2">
        <v>-0.47570588235294409</v>
      </c>
      <c r="H254" s="2">
        <v>6.2209403225807591E-2</v>
      </c>
      <c r="I254">
        <v>-1.2</v>
      </c>
      <c r="J254">
        <v>-8.5999999999999993E-2</v>
      </c>
      <c r="K254" s="2"/>
      <c r="M254" s="3"/>
      <c r="O254" s="5"/>
      <c r="P254" s="5"/>
    </row>
    <row r="255" spans="1:16" x14ac:dyDescent="0.3">
      <c r="A255">
        <v>1994</v>
      </c>
      <c r="B255">
        <v>11</v>
      </c>
      <c r="C255" s="1">
        <v>1994.83333333419</v>
      </c>
      <c r="D255" s="2">
        <v>-6.5999999999999091</v>
      </c>
      <c r="E255" s="2">
        <v>-441.32795698924565</v>
      </c>
      <c r="F255" s="2">
        <v>-0.35915794623657504</v>
      </c>
      <c r="G255" s="2">
        <v>-0.30652941176471415</v>
      </c>
      <c r="H255" s="2">
        <v>-2.6006258064512622E-2</v>
      </c>
      <c r="I255">
        <v>-0.6</v>
      </c>
      <c r="J255">
        <v>-1.4999999999999999E-2</v>
      </c>
      <c r="K255" s="2"/>
      <c r="M255" s="3"/>
      <c r="O255" s="5"/>
      <c r="P255" s="5"/>
    </row>
    <row r="256" spans="1:16" x14ac:dyDescent="0.3">
      <c r="A256">
        <v>1994</v>
      </c>
      <c r="B256">
        <v>10</v>
      </c>
      <c r="C256" s="1">
        <v>1994.7500000008599</v>
      </c>
      <c r="D256" s="2">
        <v>-16.634285714285738</v>
      </c>
      <c r="E256" s="2">
        <v>-723.6935483870966</v>
      </c>
      <c r="F256" s="2">
        <v>-0.34112056330211971</v>
      </c>
      <c r="G256" s="2">
        <v>2.941176470589113E-3</v>
      </c>
      <c r="H256" s="2">
        <v>-1.6493774193548916E-2</v>
      </c>
      <c r="I256">
        <v>-1.1000000000000001</v>
      </c>
      <c r="J256">
        <v>-5.5E-2</v>
      </c>
      <c r="K256" s="2"/>
      <c r="M256" s="3"/>
      <c r="O256" s="5"/>
      <c r="P256" s="5"/>
    </row>
    <row r="257" spans="1:16" x14ac:dyDescent="0.3">
      <c r="A257">
        <v>1994</v>
      </c>
      <c r="B257">
        <v>9</v>
      </c>
      <c r="C257" s="1">
        <v>1994.6666666675301</v>
      </c>
      <c r="D257" s="2">
        <v>-38.117142857142881</v>
      </c>
      <c r="E257" s="2">
        <v>-1072.6612903225805</v>
      </c>
      <c r="F257" s="2">
        <v>-3.7456569892466263E-2</v>
      </c>
      <c r="G257" s="2">
        <v>5.2441176470594542E-2</v>
      </c>
      <c r="H257" s="2">
        <v>-0.21172253225806514</v>
      </c>
      <c r="I257">
        <v>-1.6</v>
      </c>
      <c r="J257">
        <v>-0.14699999999999999</v>
      </c>
      <c r="K257" s="2"/>
      <c r="M257" s="3"/>
      <c r="O257" s="5"/>
      <c r="P257" s="5"/>
    </row>
    <row r="258" spans="1:16" x14ac:dyDescent="0.3">
      <c r="A258">
        <v>1994</v>
      </c>
      <c r="B258">
        <v>8</v>
      </c>
      <c r="C258" s="1">
        <v>1994.5833333342</v>
      </c>
      <c r="D258" s="2">
        <v>-2.8371428571427941</v>
      </c>
      <c r="E258" s="2">
        <v>-580.5967741935483</v>
      </c>
      <c r="F258" s="2">
        <v>-9.5175072840792296E-2</v>
      </c>
      <c r="G258" s="2">
        <v>0.42152941176470193</v>
      </c>
      <c r="H258" s="2">
        <v>-0.20206903225807338</v>
      </c>
      <c r="I258">
        <v>-1.2</v>
      </c>
      <c r="J258">
        <v>-0.23100000000000001</v>
      </c>
      <c r="K258" s="2"/>
      <c r="M258" s="3"/>
      <c r="O258" s="5"/>
      <c r="P258" s="5"/>
    </row>
    <row r="259" spans="1:16" x14ac:dyDescent="0.3">
      <c r="A259">
        <v>1994</v>
      </c>
      <c r="B259">
        <v>7</v>
      </c>
      <c r="C259" s="1">
        <v>1994.5000000008699</v>
      </c>
      <c r="D259" s="2">
        <v>49.065714285714307</v>
      </c>
      <c r="E259" s="2">
        <v>334.4677419354839</v>
      </c>
      <c r="F259" s="2">
        <v>-0.2292411602497495</v>
      </c>
      <c r="G259" s="2">
        <v>-0.32591176470587513</v>
      </c>
      <c r="H259" s="2">
        <v>-0.25796067741934792</v>
      </c>
      <c r="I259">
        <v>-1.3</v>
      </c>
      <c r="J259">
        <v>-0.22600000000000001</v>
      </c>
      <c r="K259" s="2"/>
      <c r="M259" s="3"/>
      <c r="O259" s="5"/>
      <c r="P259" s="5"/>
    </row>
    <row r="260" spans="1:16" x14ac:dyDescent="0.3">
      <c r="A260">
        <v>1994</v>
      </c>
      <c r="B260">
        <v>6</v>
      </c>
      <c r="C260" s="1">
        <v>1994.4166666675401</v>
      </c>
      <c r="D260" s="2">
        <v>50.019999999999925</v>
      </c>
      <c r="E260" s="2">
        <v>830.4516129032254</v>
      </c>
      <c r="F260" s="2">
        <v>-7.5686771783463058E-2</v>
      </c>
      <c r="G260" s="2">
        <v>-0.35305882352941254</v>
      </c>
      <c r="H260" s="2">
        <v>-8.0635145161288335E-2</v>
      </c>
      <c r="I260">
        <v>-0.4</v>
      </c>
      <c r="J260">
        <v>-0.217</v>
      </c>
      <c r="K260" s="2"/>
      <c r="M260" s="3"/>
      <c r="O260" s="5"/>
      <c r="P260" s="5"/>
    </row>
    <row r="261" spans="1:16" x14ac:dyDescent="0.3">
      <c r="A261">
        <v>1994</v>
      </c>
      <c r="B261">
        <v>5</v>
      </c>
      <c r="C261" s="1">
        <v>1994.33333333421</v>
      </c>
      <c r="D261" s="2">
        <v>51.418000000000177</v>
      </c>
      <c r="E261" s="2">
        <v>1142.1612903225805</v>
      </c>
      <c r="F261" s="2">
        <v>-9.4135091918133185E-2</v>
      </c>
      <c r="G261" s="2">
        <v>0.26535294117647013</v>
      </c>
      <c r="H261" s="2">
        <v>-5.065582258064083E-2</v>
      </c>
      <c r="I261">
        <v>-0.7</v>
      </c>
      <c r="J261">
        <v>-0.20200000000000001</v>
      </c>
      <c r="K261" s="2"/>
      <c r="M261" s="3"/>
      <c r="O261" s="5"/>
      <c r="P261" s="5"/>
    </row>
    <row r="262" spans="1:16" x14ac:dyDescent="0.3">
      <c r="A262">
        <v>1994</v>
      </c>
      <c r="B262">
        <v>4</v>
      </c>
      <c r="C262" s="1">
        <v>1994.2500000008799</v>
      </c>
      <c r="D262" s="2">
        <v>68.137999999999948</v>
      </c>
      <c r="E262" s="2">
        <v>1444.822580645161</v>
      </c>
      <c r="F262" s="2">
        <v>-0.40192228494622739</v>
      </c>
      <c r="G262" s="2">
        <v>-0.23097058823530148</v>
      </c>
      <c r="H262" s="2">
        <v>-3.4100854838701622E-2</v>
      </c>
      <c r="I262">
        <v>-1.3</v>
      </c>
      <c r="J262">
        <v>-0.19500000000000001</v>
      </c>
      <c r="K262" s="2"/>
      <c r="M262" s="3"/>
      <c r="O262" s="5"/>
      <c r="P262" s="5"/>
    </row>
    <row r="263" spans="1:16" x14ac:dyDescent="0.3">
      <c r="A263">
        <v>1994</v>
      </c>
      <c r="B263">
        <v>3</v>
      </c>
      <c r="C263" s="1">
        <v>1994.1666666675501</v>
      </c>
      <c r="D263" s="2">
        <v>30.557142857142907</v>
      </c>
      <c r="E263" s="2">
        <v>997.6290322580644</v>
      </c>
      <c r="F263" s="2">
        <v>-0.24453973985432143</v>
      </c>
      <c r="G263" s="2">
        <v>-7.3852941176468789E-2</v>
      </c>
      <c r="H263" s="2">
        <v>-0.11512166129033119</v>
      </c>
      <c r="I263">
        <v>-0.7</v>
      </c>
      <c r="J263">
        <v>-0.27400000000000002</v>
      </c>
      <c r="K263" s="2"/>
      <c r="M263" s="3"/>
      <c r="O263" s="5"/>
      <c r="P263" s="5"/>
    </row>
    <row r="264" spans="1:16" x14ac:dyDescent="0.3">
      <c r="A264">
        <v>1994</v>
      </c>
      <c r="B264">
        <v>2</v>
      </c>
      <c r="C264" s="1">
        <v>1994.08333333422</v>
      </c>
      <c r="D264" s="2">
        <v>23.426000000000016</v>
      </c>
      <c r="E264" s="2">
        <v>660.2580645161288</v>
      </c>
      <c r="F264" s="2">
        <v>-0.51883913018432537</v>
      </c>
      <c r="G264" s="2">
        <v>0.63261764705882939</v>
      </c>
      <c r="H264" s="2">
        <v>-0.34604124193548813</v>
      </c>
      <c r="I264">
        <v>0.3</v>
      </c>
      <c r="J264">
        <v>-0.30399999999999999</v>
      </c>
      <c r="K264" s="2"/>
      <c r="M264" s="3"/>
      <c r="O264" s="5"/>
      <c r="P264" s="5"/>
    </row>
    <row r="265" spans="1:16" x14ac:dyDescent="0.3">
      <c r="A265">
        <v>1994</v>
      </c>
      <c r="B265">
        <v>1</v>
      </c>
      <c r="C265" s="1">
        <v>1994.0000000008899</v>
      </c>
      <c r="D265" s="2">
        <v>68.348000000000013</v>
      </c>
      <c r="E265" s="2">
        <v>1041.2741935483873</v>
      </c>
      <c r="F265" s="2">
        <v>-0.48421064516129064</v>
      </c>
      <c r="G265" s="2">
        <v>0.47429411764705875</v>
      </c>
      <c r="H265" s="2">
        <v>-8.8199822580648402E-2</v>
      </c>
      <c r="I265">
        <v>-0.1</v>
      </c>
      <c r="J265">
        <v>-0.29099999999999998</v>
      </c>
      <c r="K265" s="2"/>
      <c r="M265" s="3"/>
      <c r="O265" s="5"/>
      <c r="P265" s="5"/>
    </row>
    <row r="266" spans="1:16" x14ac:dyDescent="0.3">
      <c r="A266">
        <v>1993</v>
      </c>
      <c r="B266">
        <v>12</v>
      </c>
      <c r="C266" s="1">
        <v>1993.9166666675601</v>
      </c>
      <c r="D266" s="2">
        <v>-30.354285714285766</v>
      </c>
      <c r="E266" s="2">
        <v>93.150537634406646</v>
      </c>
      <c r="F266" s="2">
        <v>-3.5545479882063802E-2</v>
      </c>
      <c r="G266" s="2">
        <v>0.49129411764705466</v>
      </c>
      <c r="H266" s="2">
        <v>-4.798559677419334E-2</v>
      </c>
      <c r="I266">
        <v>0.2</v>
      </c>
      <c r="J266">
        <v>-0.28799999999999998</v>
      </c>
      <c r="K266" s="2"/>
      <c r="M266" s="3"/>
      <c r="O266" s="5"/>
      <c r="P266" s="5"/>
    </row>
    <row r="267" spans="1:16" x14ac:dyDescent="0.3">
      <c r="A267">
        <v>1993</v>
      </c>
      <c r="B267">
        <v>11</v>
      </c>
      <c r="C267" s="1">
        <v>1993.83333333423</v>
      </c>
      <c r="D267" s="2">
        <v>-47.999999999999886</v>
      </c>
      <c r="E267" s="2">
        <v>-1000.3279569892456</v>
      </c>
      <c r="F267" s="2">
        <v>-0.35915794623657504</v>
      </c>
      <c r="G267" s="2">
        <v>5.8470588235284282E-2</v>
      </c>
      <c r="H267" s="2">
        <v>-2.7363258064511342E-2</v>
      </c>
      <c r="I267">
        <v>-0.1</v>
      </c>
      <c r="J267">
        <v>-0.313</v>
      </c>
      <c r="K267" s="2"/>
      <c r="M267" s="3"/>
      <c r="O267" s="5"/>
      <c r="P267" s="5"/>
    </row>
    <row r="268" spans="1:16" x14ac:dyDescent="0.3">
      <c r="A268">
        <v>1993</v>
      </c>
      <c r="B268">
        <v>10</v>
      </c>
      <c r="C268" s="1">
        <v>1993.7500000008999</v>
      </c>
      <c r="D268" s="2">
        <v>-22.034285714285716</v>
      </c>
      <c r="E268" s="2">
        <v>-376.6935483870966</v>
      </c>
      <c r="F268" s="2">
        <v>0.35887943669787958</v>
      </c>
      <c r="G268" s="2">
        <v>4.5941176470588374E-2</v>
      </c>
      <c r="H268" s="2">
        <v>-2.6281774193549268E-2</v>
      </c>
      <c r="I268">
        <v>-1.1000000000000001</v>
      </c>
      <c r="J268">
        <v>-0.23799999999999999</v>
      </c>
      <c r="K268" s="2"/>
      <c r="M268" s="3"/>
      <c r="O268" s="5"/>
      <c r="P268" s="5"/>
    </row>
    <row r="269" spans="1:16" x14ac:dyDescent="0.3">
      <c r="A269">
        <v>1993</v>
      </c>
      <c r="B269">
        <v>9</v>
      </c>
      <c r="C269" s="1">
        <v>1993.6666666675701</v>
      </c>
      <c r="D269" s="2">
        <v>-36.717142857142903</v>
      </c>
      <c r="E269" s="2">
        <v>-410.6612903225805</v>
      </c>
      <c r="F269" s="2">
        <v>-0.63745656989246413</v>
      </c>
      <c r="G269" s="2">
        <v>-0.22955882352940549</v>
      </c>
      <c r="H269" s="2">
        <v>-3.1053532258066951E-2</v>
      </c>
      <c r="I269">
        <v>-0.7</v>
      </c>
      <c r="J269">
        <v>-0.159</v>
      </c>
      <c r="K269" s="2"/>
      <c r="M269" s="3"/>
      <c r="O269" s="5"/>
      <c r="P269" s="5"/>
    </row>
    <row r="270" spans="1:16" x14ac:dyDescent="0.3">
      <c r="A270">
        <v>1993</v>
      </c>
      <c r="B270">
        <v>8</v>
      </c>
      <c r="C270" s="1">
        <v>1993.58333333424</v>
      </c>
      <c r="D270" s="2">
        <v>-51.337142857142794</v>
      </c>
      <c r="E270" s="2">
        <v>-1171.5967741935483</v>
      </c>
      <c r="F270" s="2">
        <v>0.30482492715920628</v>
      </c>
      <c r="G270" s="2">
        <v>0.19452941176470162</v>
      </c>
      <c r="H270" s="2">
        <v>7.3844967741926837E-2</v>
      </c>
      <c r="I270">
        <v>-0.9</v>
      </c>
      <c r="J270">
        <v>-0.223</v>
      </c>
      <c r="K270" s="2"/>
      <c r="M270" s="3"/>
      <c r="O270" s="5"/>
      <c r="P270" s="5"/>
    </row>
    <row r="271" spans="1:16" x14ac:dyDescent="0.3">
      <c r="A271">
        <v>1993</v>
      </c>
      <c r="B271">
        <v>7</v>
      </c>
      <c r="C271" s="1">
        <v>1993.5000000009099</v>
      </c>
      <c r="D271" s="2">
        <v>-11.33428571428567</v>
      </c>
      <c r="E271" s="2">
        <v>-271.5322580645161</v>
      </c>
      <c r="F271" s="2">
        <v>-2.9241160249750209E-2</v>
      </c>
      <c r="G271" s="2">
        <v>0.37908823529412317</v>
      </c>
      <c r="H271" s="2">
        <v>3.9827322580652691E-2</v>
      </c>
      <c r="I271">
        <v>-0.8</v>
      </c>
      <c r="J271">
        <v>-0.27100000000000002</v>
      </c>
      <c r="K271" s="2"/>
      <c r="M271" s="3"/>
      <c r="O271" s="5"/>
      <c r="P271" s="5"/>
    </row>
    <row r="272" spans="1:16" x14ac:dyDescent="0.3">
      <c r="A272">
        <v>1993</v>
      </c>
      <c r="B272">
        <v>6</v>
      </c>
      <c r="C272" s="1">
        <v>1993.4166666675801</v>
      </c>
      <c r="D272" s="2">
        <v>3.019999999999925</v>
      </c>
      <c r="E272" s="2">
        <v>315.4516129032254</v>
      </c>
      <c r="F272" s="2">
        <v>0.22431322821653765</v>
      </c>
      <c r="G272" s="2">
        <v>0.51794117647058968</v>
      </c>
      <c r="H272" s="2">
        <v>0.4246638548387125</v>
      </c>
      <c r="I272">
        <v>-0.8</v>
      </c>
      <c r="J272">
        <v>-0.17599999999999999</v>
      </c>
      <c r="K272" s="2"/>
      <c r="M272" s="3"/>
      <c r="O272" s="5"/>
      <c r="P272" s="5"/>
    </row>
    <row r="273" spans="1:16" x14ac:dyDescent="0.3">
      <c r="A273">
        <v>1993</v>
      </c>
      <c r="B273">
        <v>5</v>
      </c>
      <c r="C273" s="1">
        <v>1993.33333333425</v>
      </c>
      <c r="D273" s="2">
        <v>12.118000000000166</v>
      </c>
      <c r="E273" s="2">
        <v>486.1612903225805</v>
      </c>
      <c r="F273" s="2">
        <v>-9.4135091918133185E-2</v>
      </c>
      <c r="G273" s="2">
        <v>0.43735294117646717</v>
      </c>
      <c r="H273" s="2">
        <v>0.43054117741936082</v>
      </c>
      <c r="I273">
        <v>-0.3</v>
      </c>
      <c r="J273">
        <v>-0.158</v>
      </c>
      <c r="K273" s="2"/>
      <c r="M273" s="3"/>
      <c r="O273" s="5"/>
      <c r="P273" s="5"/>
    </row>
    <row r="274" spans="1:16" x14ac:dyDescent="0.3">
      <c r="A274">
        <v>1993</v>
      </c>
      <c r="B274">
        <v>4</v>
      </c>
      <c r="C274" s="1">
        <v>1993.25000000092</v>
      </c>
      <c r="D274" s="2">
        <v>-12.262000000000029</v>
      </c>
      <c r="E274" s="2">
        <v>259.822580645161</v>
      </c>
      <c r="F274" s="2">
        <v>0.19807771505377048</v>
      </c>
      <c r="G274" s="2">
        <v>0.22202941176470148</v>
      </c>
      <c r="H274" s="2">
        <v>0.50434614516129983</v>
      </c>
      <c r="I274">
        <v>-1.2</v>
      </c>
      <c r="J274">
        <v>-0.16800000000000001</v>
      </c>
      <c r="K274" s="2"/>
      <c r="M274" s="3"/>
      <c r="O274" s="5"/>
      <c r="P274" s="5"/>
    </row>
    <row r="275" spans="1:16" x14ac:dyDescent="0.3">
      <c r="A275">
        <v>1993</v>
      </c>
      <c r="B275">
        <v>3</v>
      </c>
      <c r="C275" s="1">
        <v>1993.1666666675901</v>
      </c>
      <c r="D275" s="2">
        <v>-57.842857142857099</v>
      </c>
      <c r="E275" s="2">
        <v>-561.3709677419356</v>
      </c>
      <c r="F275" s="2">
        <v>5.5460260145679285E-2</v>
      </c>
      <c r="G275" s="2">
        <v>0.28814705882353309</v>
      </c>
      <c r="H275" s="2">
        <v>-6.9400661290334398E-2</v>
      </c>
      <c r="I275">
        <v>-0.5</v>
      </c>
      <c r="J275">
        <v>-0.23799999999999999</v>
      </c>
      <c r="K275" s="2"/>
      <c r="M275" s="3"/>
      <c r="O275" s="5"/>
      <c r="P275" s="5"/>
    </row>
    <row r="276" spans="1:16" x14ac:dyDescent="0.3">
      <c r="A276">
        <v>1993</v>
      </c>
      <c r="B276">
        <v>2</v>
      </c>
      <c r="C276" s="1">
        <v>1993.08333333426</v>
      </c>
      <c r="D276" s="2">
        <v>-77.174000000000007</v>
      </c>
      <c r="E276" s="2">
        <v>-643.7419354838712</v>
      </c>
      <c r="F276" s="2">
        <v>8.1160869815676051E-2</v>
      </c>
      <c r="G276" s="2">
        <v>6.9617647058827004E-2</v>
      </c>
      <c r="H276" s="2">
        <v>-1.9989241935487456E-2</v>
      </c>
      <c r="I276">
        <v>-0.7</v>
      </c>
      <c r="J276">
        <v>-0.18099999999999999</v>
      </c>
      <c r="K276" s="2"/>
      <c r="M276" s="3"/>
      <c r="O276" s="5"/>
      <c r="P276" s="5"/>
    </row>
    <row r="277" spans="1:16" x14ac:dyDescent="0.3">
      <c r="A277">
        <v>1993</v>
      </c>
      <c r="B277">
        <v>1</v>
      </c>
      <c r="C277" s="1">
        <v>1993.00000000093</v>
      </c>
      <c r="D277" s="2">
        <v>-122.95199999999997</v>
      </c>
      <c r="E277" s="2">
        <v>-1892.7258064516127</v>
      </c>
      <c r="F277" s="2">
        <v>0.11578935483871078</v>
      </c>
      <c r="G277" s="2">
        <v>0.41929411764705904</v>
      </c>
      <c r="H277" s="2">
        <v>6.123017741935044E-2</v>
      </c>
      <c r="I277">
        <v>-0.9</v>
      </c>
      <c r="J277">
        <v>-0.23400000000000001</v>
      </c>
      <c r="K277" s="2"/>
      <c r="M277" s="3"/>
      <c r="O277" s="5"/>
      <c r="P277" s="5"/>
    </row>
    <row r="278" spans="1:16" x14ac:dyDescent="0.3">
      <c r="A278">
        <v>1992</v>
      </c>
      <c r="B278">
        <v>12</v>
      </c>
      <c r="C278" s="1">
        <v>1992.9166666676001</v>
      </c>
      <c r="D278" s="2">
        <v>-138.75428571428574</v>
      </c>
      <c r="E278" s="2">
        <v>-2822.8494623655934</v>
      </c>
      <c r="F278" s="2">
        <v>-3.5545479882063802E-2</v>
      </c>
      <c r="G278" s="2">
        <v>-0.55870588235294605</v>
      </c>
      <c r="H278" s="2">
        <v>-4.9984596774191203E-2</v>
      </c>
      <c r="I278">
        <v>-0.6</v>
      </c>
      <c r="J278">
        <v>-0.27900000000000003</v>
      </c>
      <c r="K278" s="2"/>
      <c r="M278" s="3"/>
      <c r="O278" s="5"/>
      <c r="P278" s="5"/>
    </row>
    <row r="279" spans="1:16" x14ac:dyDescent="0.3">
      <c r="A279">
        <v>1992</v>
      </c>
      <c r="B279">
        <v>11</v>
      </c>
      <c r="C279" s="1">
        <v>1992.83333333427</v>
      </c>
      <c r="D279" s="2">
        <v>-129.49999999999989</v>
      </c>
      <c r="E279" s="2">
        <v>-3068.3279569892456</v>
      </c>
      <c r="F279" s="2">
        <v>4.0842053763423536E-2</v>
      </c>
      <c r="G279" s="2">
        <v>-0.15752941176471325</v>
      </c>
      <c r="H279" s="2">
        <v>-0.12515025806451163</v>
      </c>
      <c r="I279">
        <v>-0.7</v>
      </c>
      <c r="J279">
        <v>-0.32900000000000001</v>
      </c>
      <c r="K279" s="2"/>
      <c r="M279" s="3"/>
      <c r="O279" s="5"/>
      <c r="P279" s="5"/>
    </row>
    <row r="280" spans="1:16" x14ac:dyDescent="0.3">
      <c r="A280">
        <v>1992</v>
      </c>
      <c r="B280">
        <v>10</v>
      </c>
      <c r="C280" s="1">
        <v>1992.75000000094</v>
      </c>
      <c r="D280" s="2">
        <v>-44.634285714285738</v>
      </c>
      <c r="E280" s="2">
        <v>-1736.6935483870966</v>
      </c>
      <c r="F280" s="2">
        <v>-4.1120563302122548E-2</v>
      </c>
      <c r="G280" s="2">
        <v>-0.84405882352941219</v>
      </c>
      <c r="H280" s="2">
        <v>-7.8584774193547702E-2</v>
      </c>
      <c r="I280">
        <v>-1.4</v>
      </c>
      <c r="J280">
        <v>-0.29399999999999998</v>
      </c>
      <c r="K280" s="2"/>
      <c r="M280" s="3"/>
      <c r="O280" s="5"/>
      <c r="P280" s="5"/>
    </row>
    <row r="281" spans="1:16" x14ac:dyDescent="0.3">
      <c r="A281">
        <v>1992</v>
      </c>
      <c r="B281">
        <v>9</v>
      </c>
      <c r="C281" s="1">
        <v>1992.6666666676099</v>
      </c>
      <c r="D281" s="2">
        <v>-83.717142857142903</v>
      </c>
      <c r="E281" s="2">
        <v>-1572.6612903225805</v>
      </c>
      <c r="F281" s="2">
        <v>-0.43745656989246484</v>
      </c>
      <c r="G281" s="2">
        <v>-1.7558823529405743E-2</v>
      </c>
      <c r="H281" s="2">
        <v>-0.12554753225806792</v>
      </c>
      <c r="I281">
        <v>0.1</v>
      </c>
      <c r="J281">
        <v>-0.36399999999999999</v>
      </c>
      <c r="K281" s="2"/>
      <c r="M281" s="3"/>
      <c r="O281" s="5"/>
      <c r="P281" s="5"/>
    </row>
    <row r="282" spans="1:16" x14ac:dyDescent="0.3">
      <c r="A282">
        <v>1992</v>
      </c>
      <c r="B282">
        <v>8</v>
      </c>
      <c r="C282" s="1">
        <v>1992.58333333428</v>
      </c>
      <c r="D282" s="2">
        <v>-107.13714285714281</v>
      </c>
      <c r="E282" s="2">
        <v>-1728.5967741935483</v>
      </c>
      <c r="F282" s="2">
        <v>-0.19517507284079372</v>
      </c>
      <c r="G282" s="2">
        <v>-0.6364705882352979</v>
      </c>
      <c r="H282" s="2">
        <v>-0.20639303225807382</v>
      </c>
      <c r="I282">
        <v>0.4</v>
      </c>
      <c r="J282">
        <v>-0.375</v>
      </c>
      <c r="K282" s="2"/>
      <c r="M282" s="3"/>
      <c r="O282" s="5"/>
      <c r="P282" s="5"/>
    </row>
    <row r="283" spans="1:16" x14ac:dyDescent="0.3">
      <c r="A283">
        <v>1992</v>
      </c>
      <c r="B283">
        <v>7</v>
      </c>
      <c r="C283" s="1">
        <v>1992.50000000095</v>
      </c>
      <c r="D283" s="2">
        <v>-172.23428571428568</v>
      </c>
      <c r="E283" s="2">
        <v>-3142.5322580645161</v>
      </c>
      <c r="F283" s="2">
        <v>-0.32924116024975092</v>
      </c>
      <c r="G283" s="2">
        <v>0.14308823529412251</v>
      </c>
      <c r="H283" s="2">
        <v>-0.25320267741934543</v>
      </c>
      <c r="I283">
        <v>-0.6</v>
      </c>
      <c r="J283">
        <v>-0.21299999999999999</v>
      </c>
      <c r="K283" s="2"/>
      <c r="M283" s="3"/>
      <c r="O283" s="5"/>
      <c r="P283" s="5"/>
    </row>
    <row r="284" spans="1:16" x14ac:dyDescent="0.3">
      <c r="A284">
        <v>1992</v>
      </c>
      <c r="B284">
        <v>6</v>
      </c>
      <c r="C284" s="1">
        <v>1992.4166666676199</v>
      </c>
      <c r="D284" s="2">
        <v>-131.28000000000003</v>
      </c>
      <c r="E284" s="2">
        <v>-2744.5483870967746</v>
      </c>
      <c r="F284" s="2">
        <v>0.32431322821653552</v>
      </c>
      <c r="G284" s="2">
        <v>0.2829411764705867</v>
      </c>
      <c r="H284" s="2">
        <v>-2.467314516128738E-2</v>
      </c>
      <c r="I284">
        <v>-0.6</v>
      </c>
      <c r="J284">
        <v>-0.14499999999999999</v>
      </c>
      <c r="K284" s="2"/>
      <c r="M284" s="3"/>
      <c r="O284" s="5"/>
      <c r="P284" s="5"/>
    </row>
    <row r="285" spans="1:16" x14ac:dyDescent="0.3">
      <c r="A285">
        <v>1992</v>
      </c>
      <c r="B285">
        <v>5</v>
      </c>
      <c r="C285" s="1">
        <v>1992.33333333429</v>
      </c>
      <c r="D285" s="2">
        <v>-128.9819999999998</v>
      </c>
      <c r="E285" s="2">
        <v>-2314.8387096774195</v>
      </c>
      <c r="F285" s="2">
        <v>0.20586490808186397</v>
      </c>
      <c r="G285" s="2">
        <v>0.12035294117647055</v>
      </c>
      <c r="H285" s="2">
        <v>1.8466177419359298E-2</v>
      </c>
      <c r="I285">
        <v>0.3</v>
      </c>
      <c r="J285">
        <v>-0.216</v>
      </c>
      <c r="K285" s="2"/>
      <c r="M285" s="3"/>
      <c r="O285" s="5"/>
      <c r="P285" s="5"/>
    </row>
    <row r="286" spans="1:16" x14ac:dyDescent="0.3">
      <c r="A286">
        <v>1992</v>
      </c>
      <c r="B286">
        <v>4</v>
      </c>
      <c r="C286" s="1">
        <v>1992.25000000096</v>
      </c>
      <c r="D286" s="2">
        <v>-105.76200000000003</v>
      </c>
      <c r="E286" s="2">
        <v>-2162.177419354839</v>
      </c>
      <c r="F286" s="2">
        <v>0.49807771505377119</v>
      </c>
      <c r="G286" s="2">
        <v>-0.3899705882353004</v>
      </c>
      <c r="H286" s="2">
        <v>-1.9646854838700989E-2</v>
      </c>
      <c r="I286">
        <v>-1</v>
      </c>
      <c r="J286">
        <v>-0.17799999999999999</v>
      </c>
      <c r="K286" s="2"/>
      <c r="M286" s="3"/>
      <c r="O286" s="5"/>
      <c r="P286" s="5"/>
    </row>
    <row r="287" spans="1:16" x14ac:dyDescent="0.3">
      <c r="A287">
        <v>1992</v>
      </c>
      <c r="B287">
        <v>3</v>
      </c>
      <c r="C287" s="1">
        <v>1992.1666666676299</v>
      </c>
      <c r="D287" s="2">
        <v>-72.842857142857099</v>
      </c>
      <c r="E287" s="2">
        <v>-1264.3709677419356</v>
      </c>
      <c r="F287" s="2">
        <v>0.15546026014567715</v>
      </c>
      <c r="G287" s="2">
        <v>-8.6852941176466913E-2</v>
      </c>
      <c r="H287" s="2">
        <v>-0.17525266129033312</v>
      </c>
      <c r="I287">
        <v>-2</v>
      </c>
      <c r="J287">
        <v>-8.5999999999999993E-2</v>
      </c>
      <c r="K287" s="2"/>
      <c r="M287" s="3"/>
      <c r="O287" s="5"/>
      <c r="P287" s="5"/>
    </row>
    <row r="288" spans="1:16" x14ac:dyDescent="0.3">
      <c r="A288">
        <v>1992</v>
      </c>
      <c r="B288">
        <v>2</v>
      </c>
      <c r="C288" s="1">
        <v>1992.0833333343001</v>
      </c>
      <c r="D288" s="2">
        <v>-106.57400000000001</v>
      </c>
      <c r="E288" s="2">
        <v>-1425.7419354838712</v>
      </c>
      <c r="F288" s="2">
        <v>0.18116086981567747</v>
      </c>
      <c r="G288" s="2">
        <v>-0.33038235294117158</v>
      </c>
      <c r="H288" s="2">
        <v>-8.4816241935484982E-2</v>
      </c>
      <c r="I288">
        <v>-0.9</v>
      </c>
      <c r="J288">
        <v>-8.7999999999999995E-2</v>
      </c>
      <c r="K288" s="2"/>
      <c r="M288" s="3"/>
      <c r="O288" s="5"/>
      <c r="P288" s="5"/>
    </row>
    <row r="289" spans="1:16" x14ac:dyDescent="0.3">
      <c r="A289">
        <v>1992</v>
      </c>
      <c r="B289">
        <v>1</v>
      </c>
      <c r="C289" s="1">
        <v>1992.00000000097</v>
      </c>
      <c r="D289" s="2">
        <v>-137.35199999999998</v>
      </c>
      <c r="E289" s="2">
        <v>-2451.7258064516127</v>
      </c>
      <c r="F289" s="2">
        <v>-0.38421064516128922</v>
      </c>
      <c r="G289" s="2">
        <v>-0.7267058823529382</v>
      </c>
      <c r="H289" s="2">
        <v>-0.28910982258064877</v>
      </c>
      <c r="I289">
        <v>-2.9</v>
      </c>
      <c r="J289">
        <v>-0.184</v>
      </c>
      <c r="K289" s="2"/>
      <c r="M289" s="3"/>
      <c r="O289" s="5"/>
      <c r="P289" s="5"/>
    </row>
    <row r="290" spans="1:16" x14ac:dyDescent="0.3">
      <c r="A290">
        <v>1991</v>
      </c>
      <c r="B290">
        <v>12</v>
      </c>
      <c r="C290" s="1">
        <v>1991.9166666676399</v>
      </c>
      <c r="D290" s="2">
        <v>-175.65428571428578</v>
      </c>
      <c r="E290" s="2">
        <v>-1480.8494623655934</v>
      </c>
      <c r="F290" s="2">
        <v>-0.73554547988206309</v>
      </c>
      <c r="G290" s="2">
        <v>-1.2597058823529466</v>
      </c>
      <c r="H290" s="2">
        <v>-0.3535465967741942</v>
      </c>
      <c r="I290">
        <v>-1.8</v>
      </c>
      <c r="J290">
        <v>-0.20799999999999999</v>
      </c>
      <c r="K290" s="2"/>
      <c r="M290" s="3"/>
      <c r="O290" s="5"/>
      <c r="P290" s="5"/>
    </row>
    <row r="291" spans="1:16" x14ac:dyDescent="0.3">
      <c r="A291">
        <v>1991</v>
      </c>
      <c r="B291">
        <v>11</v>
      </c>
      <c r="C291" s="1">
        <v>1991.8333333343101</v>
      </c>
      <c r="D291" s="2">
        <v>-168.69999999999993</v>
      </c>
      <c r="E291" s="2">
        <v>-1742.3279569892456</v>
      </c>
      <c r="F291" s="2">
        <v>-0.15915794623657575</v>
      </c>
      <c r="G291" s="2">
        <v>-0.71052941176471407</v>
      </c>
      <c r="H291" s="2">
        <v>-0.17005525806451161</v>
      </c>
      <c r="I291">
        <v>-0.7</v>
      </c>
      <c r="J291">
        <v>-0.255</v>
      </c>
      <c r="K291" s="2"/>
      <c r="M291" s="3"/>
      <c r="O291" s="5"/>
      <c r="P291" s="5"/>
    </row>
    <row r="292" spans="1:16" x14ac:dyDescent="0.3">
      <c r="A292">
        <v>1991</v>
      </c>
      <c r="B292">
        <v>10</v>
      </c>
      <c r="C292" s="1">
        <v>1991.75000000098</v>
      </c>
      <c r="D292" s="2">
        <v>-138.73428571428576</v>
      </c>
      <c r="E292" s="2">
        <v>-876.6935483870966</v>
      </c>
      <c r="F292" s="2">
        <v>-0.14112056330212042</v>
      </c>
      <c r="G292" s="2">
        <v>-0.53805882352941126</v>
      </c>
      <c r="H292" s="2">
        <v>-0.24016877419354898</v>
      </c>
      <c r="I292">
        <v>-1</v>
      </c>
      <c r="J292">
        <v>-0.25600000000000001</v>
      </c>
      <c r="K292" s="2"/>
      <c r="M292" s="3"/>
      <c r="O292" s="5"/>
      <c r="P292" s="5"/>
    </row>
    <row r="293" spans="1:16" x14ac:dyDescent="0.3">
      <c r="A293">
        <v>1991</v>
      </c>
      <c r="B293">
        <v>9</v>
      </c>
      <c r="C293" s="1">
        <v>1991.6666666676499</v>
      </c>
      <c r="D293" s="2">
        <v>-176.3171428571429</v>
      </c>
      <c r="E293" s="2">
        <v>-2251.6612903225805</v>
      </c>
      <c r="F293" s="2">
        <v>-3.7456569892466263E-2</v>
      </c>
      <c r="G293" s="2">
        <v>-0.98355882352940327</v>
      </c>
      <c r="H293" s="2">
        <v>-0.37576453225806716</v>
      </c>
      <c r="I293">
        <v>-1.5</v>
      </c>
      <c r="J293">
        <v>-3.1E-2</v>
      </c>
      <c r="K293" s="2"/>
      <c r="M293" s="3"/>
      <c r="O293" s="5"/>
      <c r="P293" s="5"/>
    </row>
    <row r="294" spans="1:16" x14ac:dyDescent="0.3">
      <c r="A294">
        <v>1991</v>
      </c>
      <c r="B294">
        <v>8</v>
      </c>
      <c r="C294" s="1">
        <v>1991.5833333343201</v>
      </c>
      <c r="D294" s="2">
        <v>-129.53714285714278</v>
      </c>
      <c r="E294" s="2">
        <v>-1099.5967741935483</v>
      </c>
      <c r="F294" s="2">
        <v>0.20482492715920486</v>
      </c>
      <c r="G294" s="2">
        <v>-0.58647058823529719</v>
      </c>
      <c r="H294" s="2">
        <v>-0.36352603225807201</v>
      </c>
      <c r="I294">
        <v>-0.4</v>
      </c>
      <c r="J294">
        <v>-0.10199999999999999</v>
      </c>
      <c r="K294" s="2"/>
      <c r="M294" s="3"/>
      <c r="O294" s="5"/>
      <c r="P294" s="5"/>
    </row>
    <row r="295" spans="1:16" x14ac:dyDescent="0.3">
      <c r="A295">
        <v>1991</v>
      </c>
      <c r="B295">
        <v>7</v>
      </c>
      <c r="C295" s="1">
        <v>1991.50000000099</v>
      </c>
      <c r="D295" s="2">
        <v>-130.03428571428566</v>
      </c>
      <c r="E295" s="2">
        <v>-1301.5322580645161</v>
      </c>
      <c r="F295" s="2">
        <v>-2.9241160249750209E-2</v>
      </c>
      <c r="G295" s="2">
        <v>-0.63891176470587752</v>
      </c>
      <c r="H295" s="2">
        <v>-0.38086267741934776</v>
      </c>
      <c r="I295">
        <v>0</v>
      </c>
      <c r="J295">
        <v>-0.10100000000000001</v>
      </c>
      <c r="K295" s="2"/>
      <c r="M295" s="3"/>
      <c r="O295" s="5"/>
      <c r="P295" s="5"/>
    </row>
    <row r="296" spans="1:16" x14ac:dyDescent="0.3">
      <c r="A296">
        <v>1991</v>
      </c>
      <c r="B296">
        <v>6</v>
      </c>
      <c r="C296" s="1">
        <v>1991.4166666676599</v>
      </c>
      <c r="D296" s="2">
        <v>-125.58000000000004</v>
      </c>
      <c r="E296" s="2">
        <v>-1121.5483870967746</v>
      </c>
      <c r="F296" s="2">
        <v>2.431322821653481E-2</v>
      </c>
      <c r="G296" s="2">
        <v>-2.9058823529410915E-2</v>
      </c>
      <c r="H296" s="2">
        <v>-0.22531214516128983</v>
      </c>
      <c r="I296">
        <v>-0.1</v>
      </c>
      <c r="J296">
        <v>-0.123</v>
      </c>
      <c r="K296" s="2"/>
      <c r="M296" s="3"/>
      <c r="O296" s="5"/>
      <c r="P296" s="5"/>
    </row>
    <row r="297" spans="1:16" x14ac:dyDescent="0.3">
      <c r="A297">
        <v>1991</v>
      </c>
      <c r="B297">
        <v>5</v>
      </c>
      <c r="C297" s="1">
        <v>1991.3333333343301</v>
      </c>
      <c r="D297" s="2">
        <v>-96.181999999999817</v>
      </c>
      <c r="E297" s="2">
        <v>-513.8387096774195</v>
      </c>
      <c r="F297" s="2">
        <v>-9.4135091918133185E-2</v>
      </c>
      <c r="G297" s="2">
        <v>-6.1647058823531609E-2</v>
      </c>
      <c r="H297" s="2">
        <v>-0.27772382258063999</v>
      </c>
      <c r="I297">
        <v>-1</v>
      </c>
      <c r="J297">
        <v>-0.14699999999999999</v>
      </c>
      <c r="K297" s="2"/>
      <c r="M297" s="3"/>
      <c r="O297" s="5"/>
      <c r="P297" s="5"/>
    </row>
    <row r="298" spans="1:16" x14ac:dyDescent="0.3">
      <c r="A298">
        <v>1991</v>
      </c>
      <c r="B298">
        <v>4</v>
      </c>
      <c r="C298" s="1">
        <v>1991.250000001</v>
      </c>
      <c r="D298" s="2">
        <v>-64.162000000000035</v>
      </c>
      <c r="E298" s="2">
        <v>-163.177419354839</v>
      </c>
      <c r="F298" s="2">
        <v>-0.10192228494622668</v>
      </c>
      <c r="G298" s="2">
        <v>0.51202941176470063</v>
      </c>
      <c r="H298" s="2">
        <v>-0.18664685483869903</v>
      </c>
      <c r="I298">
        <v>-0.6</v>
      </c>
      <c r="J298">
        <v>-0.126</v>
      </c>
      <c r="K298" s="2"/>
      <c r="M298" s="3"/>
      <c r="O298" s="5"/>
      <c r="P298" s="5"/>
    </row>
    <row r="299" spans="1:16" x14ac:dyDescent="0.3">
      <c r="A299">
        <v>1991</v>
      </c>
      <c r="B299">
        <v>3</v>
      </c>
      <c r="C299" s="1">
        <v>1991.1666666676699</v>
      </c>
      <c r="D299" s="2">
        <v>-44.042857142857116</v>
      </c>
      <c r="E299" s="2">
        <v>6.6290322580643988</v>
      </c>
      <c r="F299" s="2">
        <v>-0.24453973985432143</v>
      </c>
      <c r="G299" s="2">
        <v>0.14214705882353229</v>
      </c>
      <c r="H299" s="2">
        <v>-8.2650661290333716E-2</v>
      </c>
      <c r="I299">
        <v>-0.7</v>
      </c>
      <c r="J299">
        <v>-6.2E-2</v>
      </c>
      <c r="K299" s="2"/>
      <c r="M299" s="3"/>
      <c r="O299" s="5"/>
      <c r="P299" s="5"/>
    </row>
    <row r="300" spans="1:16" x14ac:dyDescent="0.3">
      <c r="A300">
        <v>1991</v>
      </c>
      <c r="B300">
        <v>2</v>
      </c>
      <c r="C300" s="1">
        <v>1991.0833333343401</v>
      </c>
      <c r="D300" s="2">
        <v>-89.074000000000012</v>
      </c>
      <c r="E300" s="2">
        <v>-797.7419354838712</v>
      </c>
      <c r="F300" s="2">
        <v>-0.21883913018432466</v>
      </c>
      <c r="G300" s="2">
        <v>-0.41738235294117132</v>
      </c>
      <c r="H300" s="2">
        <v>-0.16046924193548762</v>
      </c>
      <c r="I300">
        <v>0.3</v>
      </c>
      <c r="J300">
        <v>-0.11</v>
      </c>
      <c r="K300" s="2"/>
      <c r="M300" s="3"/>
      <c r="O300" s="5"/>
      <c r="P300" s="5"/>
    </row>
    <row r="301" spans="1:16" x14ac:dyDescent="0.3">
      <c r="A301">
        <v>1991</v>
      </c>
      <c r="B301">
        <v>1</v>
      </c>
      <c r="C301" s="1">
        <v>1991.00000000101</v>
      </c>
      <c r="D301" s="2">
        <v>-93.251999999999953</v>
      </c>
      <c r="E301" s="2">
        <v>46.274193548387302</v>
      </c>
      <c r="F301" s="2">
        <v>-0.28421064516129135</v>
      </c>
      <c r="G301" s="2">
        <v>0.18629411764706205</v>
      </c>
      <c r="H301" s="2">
        <v>-0.27831982258064869</v>
      </c>
      <c r="I301">
        <v>0.6</v>
      </c>
      <c r="J301">
        <v>-0.188</v>
      </c>
      <c r="K301" s="2"/>
      <c r="M301" s="3"/>
      <c r="O301" s="5"/>
      <c r="P301" s="5"/>
    </row>
    <row r="302" spans="1:16" x14ac:dyDescent="0.3">
      <c r="A302">
        <v>1990</v>
      </c>
      <c r="B302">
        <v>12</v>
      </c>
      <c r="C302" s="1">
        <v>1990.9166666676799</v>
      </c>
      <c r="D302" s="2">
        <v>-7.7542857142857429</v>
      </c>
      <c r="E302" s="2">
        <v>275.15053763440665</v>
      </c>
      <c r="F302" s="2">
        <v>-0.5355454798820638</v>
      </c>
      <c r="G302" s="2">
        <v>9.7294117647056311E-2</v>
      </c>
      <c r="H302" s="2">
        <v>-0.13197759677419185</v>
      </c>
      <c r="I302">
        <v>-0.2</v>
      </c>
      <c r="J302">
        <v>-2.9000000000000001E-2</v>
      </c>
      <c r="K302" s="2"/>
      <c r="M302" s="3"/>
      <c r="O302" s="5"/>
      <c r="P302" s="5"/>
    </row>
    <row r="303" spans="1:16" x14ac:dyDescent="0.3">
      <c r="A303">
        <v>1990</v>
      </c>
      <c r="B303">
        <v>11</v>
      </c>
      <c r="C303" s="1">
        <v>1990.8333333343501</v>
      </c>
      <c r="D303" s="2">
        <v>-24.999999999999886</v>
      </c>
      <c r="E303" s="2">
        <v>-91.327956989245649</v>
      </c>
      <c r="F303" s="2">
        <v>-0.15915794623657575</v>
      </c>
      <c r="G303" s="2">
        <v>0.37047058823528545</v>
      </c>
      <c r="H303" s="2">
        <v>2.3080741935487481E-2</v>
      </c>
      <c r="I303">
        <v>-0.5</v>
      </c>
      <c r="J303">
        <v>-4.5999999999999999E-2</v>
      </c>
      <c r="K303" s="2"/>
      <c r="M303" s="3"/>
      <c r="O303" s="5"/>
      <c r="P303" s="5"/>
    </row>
    <row r="304" spans="1:16" x14ac:dyDescent="0.3">
      <c r="A304">
        <v>1990</v>
      </c>
      <c r="B304">
        <v>10</v>
      </c>
      <c r="C304" s="1">
        <v>1990.75000000102</v>
      </c>
      <c r="D304" s="2">
        <v>-64.034285714285716</v>
      </c>
      <c r="E304" s="2">
        <v>-646.6935483870966</v>
      </c>
      <c r="F304" s="2">
        <v>-0.34112056330211971</v>
      </c>
      <c r="G304" s="2">
        <v>0.10294117647058698</v>
      </c>
      <c r="H304" s="2">
        <v>8.4792258064503301E-3</v>
      </c>
      <c r="I304">
        <v>0.3</v>
      </c>
      <c r="J304">
        <v>0.12</v>
      </c>
      <c r="K304" s="2"/>
      <c r="M304" s="3"/>
      <c r="O304" s="5"/>
      <c r="P304" s="5"/>
    </row>
    <row r="305" spans="1:16" x14ac:dyDescent="0.3">
      <c r="A305">
        <v>1990</v>
      </c>
      <c r="B305">
        <v>9</v>
      </c>
      <c r="C305" s="1">
        <v>1990.6666666676899</v>
      </c>
      <c r="D305" s="2">
        <v>-84.317142857142869</v>
      </c>
      <c r="E305" s="2">
        <v>-1041.6612903225805</v>
      </c>
      <c r="F305" s="2">
        <v>-0.33745656989246697</v>
      </c>
      <c r="G305" s="2">
        <v>-0.31355882352940512</v>
      </c>
      <c r="H305" s="2">
        <v>8.7072467741933224E-2</v>
      </c>
      <c r="I305">
        <v>-0.7</v>
      </c>
      <c r="J305">
        <v>0.154</v>
      </c>
      <c r="K305" s="2"/>
      <c r="M305" s="3"/>
      <c r="O305" s="5"/>
      <c r="P305" s="5"/>
    </row>
    <row r="306" spans="1:16" x14ac:dyDescent="0.3">
      <c r="A306">
        <v>1990</v>
      </c>
      <c r="B306">
        <v>8</v>
      </c>
      <c r="C306" s="1">
        <v>1990.5833333343601</v>
      </c>
      <c r="D306" s="2">
        <v>-85.237142857142771</v>
      </c>
      <c r="E306" s="2">
        <v>-1111.5967741935483</v>
      </c>
      <c r="F306" s="2">
        <v>-0.29517507284079514</v>
      </c>
      <c r="G306" s="2">
        <v>-0.2354705882352981</v>
      </c>
      <c r="H306" s="2">
        <v>-8.5800322580737998E-3</v>
      </c>
      <c r="I306">
        <v>-0.2</v>
      </c>
      <c r="J306">
        <v>0.06</v>
      </c>
      <c r="K306" s="2"/>
      <c r="M306" s="3"/>
      <c r="O306" s="5"/>
      <c r="P306" s="5"/>
    </row>
    <row r="307" spans="1:16" x14ac:dyDescent="0.3">
      <c r="A307">
        <v>1990</v>
      </c>
      <c r="B307">
        <v>7</v>
      </c>
      <c r="C307" s="1">
        <v>1990.50000000103</v>
      </c>
      <c r="D307" s="2">
        <v>-72.034285714285659</v>
      </c>
      <c r="E307" s="2">
        <v>-951.5322580645161</v>
      </c>
      <c r="F307" s="2">
        <v>-0.2292411602497495</v>
      </c>
      <c r="G307" s="2">
        <v>6.3088235294124217E-2</v>
      </c>
      <c r="H307" s="2">
        <v>-3.0695677419348755E-2</v>
      </c>
      <c r="I307">
        <v>0.5</v>
      </c>
      <c r="J307">
        <v>-1.4999999999999999E-2</v>
      </c>
      <c r="K307" s="2"/>
      <c r="M307" s="3"/>
      <c r="O307" s="5"/>
      <c r="P307" s="5"/>
    </row>
    <row r="308" spans="1:16" x14ac:dyDescent="0.3">
      <c r="A308">
        <v>1990</v>
      </c>
      <c r="B308">
        <v>6</v>
      </c>
      <c r="C308" s="1">
        <v>1990.4166666676999</v>
      </c>
      <c r="D308" s="2">
        <v>-59.180000000000064</v>
      </c>
      <c r="E308" s="2">
        <v>-544.5483870967746</v>
      </c>
      <c r="F308" s="2">
        <v>-0.17568677178346448</v>
      </c>
      <c r="G308" s="2">
        <v>-0.13005882352941356</v>
      </c>
      <c r="H308" s="2">
        <v>-4.5217145161288386E-2</v>
      </c>
      <c r="I308">
        <v>0.3</v>
      </c>
      <c r="J308">
        <v>-4.9000000000000002E-2</v>
      </c>
      <c r="K308" s="2"/>
      <c r="M308" s="3"/>
      <c r="O308" s="5"/>
      <c r="P308" s="5"/>
    </row>
    <row r="309" spans="1:16" x14ac:dyDescent="0.3">
      <c r="A309">
        <v>1990</v>
      </c>
      <c r="B309">
        <v>5</v>
      </c>
      <c r="C309" s="1">
        <v>1990.3333333343701</v>
      </c>
      <c r="D309" s="2">
        <v>-21.381999999999834</v>
      </c>
      <c r="E309" s="2">
        <v>469.1612903225805</v>
      </c>
      <c r="F309" s="2">
        <v>-0.29413509191813603</v>
      </c>
      <c r="G309" s="2">
        <v>-0.14964705882353257</v>
      </c>
      <c r="H309" s="2">
        <v>-0.11984882258063934</v>
      </c>
      <c r="I309">
        <v>1.2</v>
      </c>
      <c r="J309">
        <v>-5.0999999999999997E-2</v>
      </c>
      <c r="K309" s="2"/>
      <c r="M309" s="3"/>
      <c r="O309" s="5"/>
      <c r="P309" s="5"/>
    </row>
    <row r="310" spans="1:16" x14ac:dyDescent="0.3">
      <c r="A310">
        <v>1990</v>
      </c>
      <c r="B310">
        <v>4</v>
      </c>
      <c r="C310" s="1">
        <v>1990.25000000104</v>
      </c>
      <c r="D310" s="2">
        <v>-31.762000000000029</v>
      </c>
      <c r="E310" s="2">
        <v>269.822580645161</v>
      </c>
      <c r="F310" s="2">
        <v>-0.40192228494622739</v>
      </c>
      <c r="G310" s="2">
        <v>-0.73397058823530159</v>
      </c>
      <c r="H310" s="2">
        <v>-0.14790285483870136</v>
      </c>
      <c r="I310">
        <v>0.2</v>
      </c>
      <c r="J310">
        <v>-0.11</v>
      </c>
      <c r="K310" s="2"/>
      <c r="M310" s="3"/>
      <c r="O310" s="5"/>
      <c r="P310" s="5"/>
    </row>
    <row r="311" spans="1:16" x14ac:dyDescent="0.3">
      <c r="A311">
        <v>1990</v>
      </c>
      <c r="B311">
        <v>3</v>
      </c>
      <c r="C311" s="1">
        <v>1990.1666666677099</v>
      </c>
      <c r="D311" s="2">
        <v>-17.64285714285711</v>
      </c>
      <c r="E311" s="2">
        <v>535.6290322580644</v>
      </c>
      <c r="F311" s="2">
        <v>-0.24453973985432143</v>
      </c>
      <c r="G311" s="2">
        <v>-0.28885294117646865</v>
      </c>
      <c r="H311" s="2">
        <v>-0.14072966129033304</v>
      </c>
      <c r="I311">
        <v>-0.4</v>
      </c>
      <c r="J311">
        <v>-0.17100000000000001</v>
      </c>
      <c r="K311" s="2"/>
      <c r="M311" s="3"/>
      <c r="O311" s="5"/>
      <c r="P311" s="5"/>
    </row>
    <row r="312" spans="1:16" x14ac:dyDescent="0.3">
      <c r="A312">
        <v>1990</v>
      </c>
      <c r="B312">
        <v>2</v>
      </c>
      <c r="C312" s="1">
        <v>1990.0833333343801</v>
      </c>
      <c r="D312" s="2">
        <v>-37.774000000000001</v>
      </c>
      <c r="E312" s="2">
        <v>563.2580645161288</v>
      </c>
      <c r="F312" s="2">
        <v>-0.21883913018432466</v>
      </c>
      <c r="G312" s="2">
        <v>-0.2793823529411732</v>
      </c>
      <c r="H312" s="2">
        <v>-0.39405624193548761</v>
      </c>
      <c r="I312">
        <v>-1.8</v>
      </c>
      <c r="J312">
        <v>-0.154</v>
      </c>
      <c r="K312" s="2"/>
      <c r="M312" s="3"/>
      <c r="O312" s="5"/>
      <c r="P312" s="5"/>
    </row>
    <row r="313" spans="1:16" x14ac:dyDescent="0.3">
      <c r="A313">
        <v>1990</v>
      </c>
      <c r="B313">
        <v>1</v>
      </c>
      <c r="C313" s="1">
        <v>1990.00000000105</v>
      </c>
      <c r="D313" s="2">
        <v>-45.451999999999941</v>
      </c>
      <c r="E313" s="2">
        <v>-330.7258064516127</v>
      </c>
      <c r="F313" s="2">
        <v>-0.38421064516128922</v>
      </c>
      <c r="G313" s="2">
        <v>-4.8705882352940932E-2</v>
      </c>
      <c r="H313" s="2">
        <v>-1.5924822580650755E-2</v>
      </c>
      <c r="I313">
        <v>-0.1</v>
      </c>
      <c r="J313">
        <v>-0.29199999999999998</v>
      </c>
      <c r="K313" s="2"/>
      <c r="M313" s="3"/>
      <c r="O313" s="5"/>
      <c r="P313" s="5"/>
    </row>
    <row r="314" spans="1:16" x14ac:dyDescent="0.3">
      <c r="A314">
        <v>1989</v>
      </c>
      <c r="B314">
        <v>12</v>
      </c>
      <c r="C314" s="1">
        <v>1989.9166666677199</v>
      </c>
      <c r="D314" s="2">
        <v>35.545714285714212</v>
      </c>
      <c r="E314" s="2">
        <v>790.15053763440665</v>
      </c>
      <c r="F314" s="2">
        <v>0.26445452011793691</v>
      </c>
      <c r="G314" s="2">
        <v>0.1722941176470556</v>
      </c>
      <c r="H314" s="2">
        <v>-0.21423359677419285</v>
      </c>
      <c r="I314">
        <v>-0.5</v>
      </c>
      <c r="J314">
        <v>-0.14599999999999999</v>
      </c>
      <c r="K314" s="2"/>
      <c r="M314" s="3"/>
      <c r="O314" s="5"/>
      <c r="P314" s="5"/>
    </row>
    <row r="315" spans="1:16" x14ac:dyDescent="0.3">
      <c r="A315">
        <v>1989</v>
      </c>
      <c r="B315">
        <v>11</v>
      </c>
      <c r="C315" s="1">
        <v>1989.8333333343901</v>
      </c>
      <c r="D315" s="2">
        <v>49.300000000000068</v>
      </c>
      <c r="E315" s="2">
        <v>2063.6720430107544</v>
      </c>
      <c r="F315" s="2">
        <v>-0.15915794623657575</v>
      </c>
      <c r="G315" s="2">
        <v>-5.0529411764713927E-2</v>
      </c>
      <c r="H315" s="2">
        <v>-0.15583925806451049</v>
      </c>
      <c r="I315">
        <v>-0.2</v>
      </c>
      <c r="J315">
        <v>-0.14199999999999999</v>
      </c>
      <c r="K315" s="2"/>
      <c r="M315" s="3"/>
      <c r="O315" s="5"/>
      <c r="P315" s="5"/>
    </row>
    <row r="316" spans="1:16" x14ac:dyDescent="0.3">
      <c r="A316">
        <v>1989</v>
      </c>
      <c r="B316">
        <v>10</v>
      </c>
      <c r="C316" s="1">
        <v>1989.75000000106</v>
      </c>
      <c r="D316" s="2">
        <v>23.965714285714284</v>
      </c>
      <c r="E316" s="2">
        <v>1886.3064516129034</v>
      </c>
      <c r="F316" s="2">
        <v>-0.34112056330211971</v>
      </c>
      <c r="G316" s="2">
        <v>1.5941176470587237E-2</v>
      </c>
      <c r="H316" s="2">
        <v>-0.51629677419354891</v>
      </c>
      <c r="I316">
        <v>0.8</v>
      </c>
      <c r="J316">
        <v>-0.11600000000000001</v>
      </c>
      <c r="K316" s="2"/>
      <c r="M316" s="3"/>
      <c r="O316" s="5"/>
      <c r="P316" s="5"/>
    </row>
    <row r="317" spans="1:16" x14ac:dyDescent="0.3">
      <c r="A317">
        <v>1989</v>
      </c>
      <c r="B317">
        <v>9</v>
      </c>
      <c r="C317" s="1">
        <v>1989.6666666677299</v>
      </c>
      <c r="D317" s="2">
        <v>-31.817142857142869</v>
      </c>
      <c r="E317" s="2">
        <v>650.3387096774195</v>
      </c>
      <c r="F317" s="2">
        <v>-0.33745656989246697</v>
      </c>
      <c r="G317" s="2">
        <v>4.3441176470594201E-2</v>
      </c>
      <c r="H317" s="2">
        <v>-4.1391532258067798E-2</v>
      </c>
      <c r="I317">
        <v>0.5</v>
      </c>
      <c r="J317">
        <v>-8.6999999999999994E-2</v>
      </c>
      <c r="K317" s="2"/>
      <c r="M317" s="3"/>
      <c r="O317" s="5"/>
      <c r="P317" s="5"/>
    </row>
    <row r="318" spans="1:16" x14ac:dyDescent="0.3">
      <c r="A318">
        <v>1989</v>
      </c>
      <c r="B318">
        <v>8</v>
      </c>
      <c r="C318" s="1">
        <v>1989.5833333344001</v>
      </c>
      <c r="D318" s="2">
        <v>-74.337142857142794</v>
      </c>
      <c r="E318" s="2">
        <v>-557.5967741935483</v>
      </c>
      <c r="F318" s="2">
        <v>-0.29517507284079514</v>
      </c>
      <c r="G318" s="2">
        <v>9.8529411764701536E-2</v>
      </c>
      <c r="H318" s="2">
        <v>5.3504967741925924E-2</v>
      </c>
      <c r="I318">
        <v>-0.3</v>
      </c>
      <c r="J318">
        <v>0.12</v>
      </c>
      <c r="K318" s="2"/>
      <c r="M318" s="3"/>
      <c r="O318" s="5"/>
      <c r="P318" s="5"/>
    </row>
    <row r="319" spans="1:16" x14ac:dyDescent="0.3">
      <c r="A319">
        <v>1989</v>
      </c>
      <c r="B319">
        <v>7</v>
      </c>
      <c r="C319" s="1">
        <v>1989.50000000107</v>
      </c>
      <c r="D319" s="2">
        <v>-78.934285714285693</v>
      </c>
      <c r="E319" s="2">
        <v>-823.5322580645161</v>
      </c>
      <c r="F319" s="2">
        <v>-0.2292411602497495</v>
      </c>
      <c r="G319" s="2">
        <v>-2.9911764705875754E-2</v>
      </c>
      <c r="H319" s="2">
        <v>-0.36195467741934806</v>
      </c>
      <c r="I319">
        <v>0.9</v>
      </c>
      <c r="J319">
        <v>0.185</v>
      </c>
      <c r="K319" s="2"/>
      <c r="M319" s="3"/>
      <c r="O319" s="5"/>
      <c r="P319" s="5"/>
    </row>
    <row r="320" spans="1:16" x14ac:dyDescent="0.3">
      <c r="A320">
        <v>1989</v>
      </c>
      <c r="B320">
        <v>6</v>
      </c>
      <c r="C320" s="1">
        <v>1989.4166666677399</v>
      </c>
      <c r="D320" s="2">
        <v>-81.380000000000052</v>
      </c>
      <c r="E320" s="2">
        <v>-705.5483870967746</v>
      </c>
      <c r="F320" s="2">
        <v>-7.5686771783463058E-2</v>
      </c>
      <c r="G320" s="2">
        <v>-0.50205882352941344</v>
      </c>
      <c r="H320" s="2">
        <v>-0.48306614516128832</v>
      </c>
      <c r="I320">
        <v>0.7</v>
      </c>
      <c r="J320">
        <v>9.8000000000000004E-2</v>
      </c>
      <c r="K320" s="2"/>
      <c r="M320" s="3"/>
      <c r="O320" s="5"/>
      <c r="P320" s="5"/>
    </row>
    <row r="321" spans="1:16" x14ac:dyDescent="0.3">
      <c r="A321">
        <v>1989</v>
      </c>
      <c r="B321">
        <v>5</v>
      </c>
      <c r="C321" s="1">
        <v>1989.3333333344101</v>
      </c>
      <c r="D321" s="2">
        <v>-90.9819999999998</v>
      </c>
      <c r="E321" s="2">
        <v>-467.8387096774195</v>
      </c>
      <c r="F321" s="2">
        <v>-0.19413509191813461</v>
      </c>
      <c r="G321" s="2">
        <v>-0.75164705882353289</v>
      </c>
      <c r="H321" s="2">
        <v>-0.4838008225806405</v>
      </c>
      <c r="I321">
        <v>1.2</v>
      </c>
      <c r="J321">
        <v>-0.13900000000000001</v>
      </c>
      <c r="K321" s="2"/>
      <c r="M321" s="3"/>
      <c r="O321" s="5"/>
      <c r="P321" s="5"/>
    </row>
    <row r="322" spans="1:16" x14ac:dyDescent="0.3">
      <c r="A322">
        <v>1989</v>
      </c>
      <c r="B322">
        <v>4</v>
      </c>
      <c r="C322" s="1">
        <v>1989.25000000108</v>
      </c>
      <c r="D322" s="2">
        <v>-16.362000000000052</v>
      </c>
      <c r="E322" s="2">
        <v>855.822580645161</v>
      </c>
      <c r="F322" s="2">
        <v>-0.30192228494622952</v>
      </c>
      <c r="G322" s="2">
        <v>-0.72697058823530014</v>
      </c>
      <c r="H322" s="2">
        <v>-0.67568685483870183</v>
      </c>
      <c r="I322">
        <v>1.6</v>
      </c>
      <c r="J322">
        <v>-0.28199999999999997</v>
      </c>
      <c r="K322" s="2"/>
      <c r="M322" s="3"/>
      <c r="O322" s="5"/>
      <c r="P322" s="5"/>
    </row>
    <row r="323" spans="1:16" x14ac:dyDescent="0.3">
      <c r="A323">
        <v>1989</v>
      </c>
      <c r="B323">
        <v>3</v>
      </c>
      <c r="C323" s="1">
        <v>1989.16666666775</v>
      </c>
      <c r="D323" s="2">
        <v>53.157142857142901</v>
      </c>
      <c r="E323" s="2">
        <v>1971.6290322580644</v>
      </c>
      <c r="F323" s="2">
        <v>-0.24453973985432143</v>
      </c>
      <c r="G323" s="2">
        <v>-0.4118529411764662</v>
      </c>
      <c r="H323" s="2">
        <v>-0.96034166129033238</v>
      </c>
      <c r="I323">
        <v>1.1000000000000001</v>
      </c>
      <c r="J323">
        <v>-0.246</v>
      </c>
      <c r="K323" s="2"/>
      <c r="M323" s="3"/>
      <c r="O323" s="5"/>
      <c r="P323" s="5"/>
    </row>
    <row r="324" spans="1:16" x14ac:dyDescent="0.3">
      <c r="A324">
        <v>1989</v>
      </c>
      <c r="B324">
        <v>2</v>
      </c>
      <c r="C324" s="1">
        <v>1989.0833333344201</v>
      </c>
      <c r="D324" s="2">
        <v>127.32599999999999</v>
      </c>
      <c r="E324" s="2">
        <v>2730.2580645161288</v>
      </c>
      <c r="F324" s="2">
        <v>-0.21883913018432466</v>
      </c>
      <c r="G324" s="2">
        <v>-0.71938235294117092</v>
      </c>
      <c r="H324" s="2">
        <v>-0.50548424193548769</v>
      </c>
      <c r="I324">
        <v>1.2</v>
      </c>
      <c r="J324">
        <v>-0.14899999999999999</v>
      </c>
      <c r="K324" s="2"/>
      <c r="M324" s="3"/>
      <c r="O324" s="5"/>
      <c r="P324" s="5"/>
    </row>
    <row r="325" spans="1:16" x14ac:dyDescent="0.3">
      <c r="A325">
        <v>1989</v>
      </c>
      <c r="B325">
        <v>1</v>
      </c>
      <c r="C325" s="1">
        <v>1989.00000000109</v>
      </c>
      <c r="D325" s="2">
        <v>171.34800000000001</v>
      </c>
      <c r="E325" s="2">
        <v>4560.2741935483873</v>
      </c>
      <c r="F325" s="2">
        <v>-0.28421064516129135</v>
      </c>
      <c r="G325" s="2">
        <v>-0.25870588235293823</v>
      </c>
      <c r="H325" s="2">
        <v>-0.33354982258065036</v>
      </c>
      <c r="I325">
        <v>1.5</v>
      </c>
      <c r="J325">
        <v>-0.21299999999999999</v>
      </c>
      <c r="K325" s="2"/>
      <c r="M325" s="3"/>
      <c r="O325" s="5"/>
      <c r="P325" s="5"/>
    </row>
    <row r="326" spans="1:16" x14ac:dyDescent="0.3">
      <c r="A326">
        <v>1988</v>
      </c>
      <c r="B326">
        <v>12</v>
      </c>
      <c r="C326" s="1">
        <v>1988.91666666776</v>
      </c>
      <c r="D326" s="2">
        <v>183.14571428571423</v>
      </c>
      <c r="E326" s="2">
        <v>3612.1505376344066</v>
      </c>
      <c r="F326" s="2">
        <v>-0.43554547988206238</v>
      </c>
      <c r="G326" s="2">
        <v>-0.36470588235294343</v>
      </c>
      <c r="H326" s="2">
        <v>-0.49905459677419373</v>
      </c>
      <c r="I326">
        <v>1.2</v>
      </c>
      <c r="J326">
        <v>-0.156</v>
      </c>
      <c r="K326" s="2"/>
      <c r="M326" s="3"/>
      <c r="O326" s="5"/>
      <c r="P326" s="5"/>
    </row>
    <row r="327" spans="1:16" x14ac:dyDescent="0.3">
      <c r="A327">
        <v>1988</v>
      </c>
      <c r="B327">
        <v>11</v>
      </c>
      <c r="C327" s="1">
        <v>1988.8333333344301</v>
      </c>
      <c r="D327" s="2">
        <v>197.00000000000011</v>
      </c>
      <c r="E327" s="2">
        <v>3177.6720430107544</v>
      </c>
      <c r="F327" s="2">
        <v>-0.15915794623657575</v>
      </c>
      <c r="G327" s="2">
        <v>-0.19752941176471595</v>
      </c>
      <c r="H327" s="2">
        <v>-0.23232325806451115</v>
      </c>
      <c r="I327">
        <v>1.7</v>
      </c>
      <c r="J327">
        <v>-0.13900000000000001</v>
      </c>
      <c r="K327" s="2"/>
      <c r="M327" s="3"/>
      <c r="O327" s="5"/>
      <c r="P327" s="5"/>
    </row>
    <row r="328" spans="1:16" x14ac:dyDescent="0.3">
      <c r="A328">
        <v>1988</v>
      </c>
      <c r="B328">
        <v>10</v>
      </c>
      <c r="C328" s="1">
        <v>1988.7500000011</v>
      </c>
      <c r="D328" s="2">
        <v>254.06571428571431</v>
      </c>
      <c r="E328" s="2">
        <v>4248.3064516129034</v>
      </c>
      <c r="F328" s="2">
        <v>-0.24112056330212184</v>
      </c>
      <c r="G328" s="2">
        <v>-0.30805882352941083</v>
      </c>
      <c r="H328" s="2">
        <v>-0.30977677419354777</v>
      </c>
      <c r="I328">
        <v>1.4</v>
      </c>
      <c r="J328">
        <v>-0.16300000000000001</v>
      </c>
      <c r="K328" s="2"/>
      <c r="M328" s="3"/>
      <c r="O328" s="5"/>
      <c r="P328" s="5"/>
    </row>
    <row r="329" spans="1:16" x14ac:dyDescent="0.3">
      <c r="A329">
        <v>1988</v>
      </c>
      <c r="B329">
        <v>9</v>
      </c>
      <c r="C329" s="1">
        <v>1988.66666666776</v>
      </c>
      <c r="D329" s="2">
        <v>235.48285714285709</v>
      </c>
      <c r="E329" s="2">
        <v>3871.3387096774195</v>
      </c>
      <c r="F329" s="2">
        <v>-0.33745656989246697</v>
      </c>
      <c r="G329" s="2">
        <v>-0.20955882352940591</v>
      </c>
      <c r="H329" s="2">
        <v>7.1352467741935044E-2</v>
      </c>
      <c r="I329">
        <v>1.8</v>
      </c>
      <c r="J329">
        <v>-8.6999999999999994E-2</v>
      </c>
      <c r="K329" s="2"/>
      <c r="M329" s="3"/>
      <c r="O329" s="5"/>
      <c r="P329" s="5"/>
    </row>
    <row r="330" spans="1:16" x14ac:dyDescent="0.3">
      <c r="A330">
        <v>1988</v>
      </c>
      <c r="B330">
        <v>8</v>
      </c>
      <c r="C330" s="1">
        <v>1988.5833333344301</v>
      </c>
      <c r="D330" s="2">
        <v>175.26285714285717</v>
      </c>
      <c r="E330" s="2">
        <v>2222.4032258064517</v>
      </c>
      <c r="F330" s="2">
        <v>-0.29517507284079514</v>
      </c>
      <c r="G330" s="2">
        <v>-0.18547058823529738</v>
      </c>
      <c r="H330" s="2">
        <v>0.18655696774192521</v>
      </c>
      <c r="I330">
        <v>1.5</v>
      </c>
      <c r="J330">
        <v>0</v>
      </c>
      <c r="K330" s="2"/>
      <c r="M330" s="3"/>
      <c r="O330" s="5"/>
      <c r="P330" s="5"/>
    </row>
    <row r="331" spans="1:16" x14ac:dyDescent="0.3">
      <c r="A331">
        <v>1988</v>
      </c>
      <c r="B331">
        <v>7</v>
      </c>
      <c r="C331" s="1">
        <v>1988.5000000011</v>
      </c>
      <c r="D331" s="2">
        <v>76.465714285714341</v>
      </c>
      <c r="E331" s="2">
        <v>594.4677419354839</v>
      </c>
      <c r="F331" s="2">
        <v>-0.2292411602497495</v>
      </c>
      <c r="G331" s="2">
        <v>-0.32391176470587624</v>
      </c>
      <c r="H331" s="2">
        <v>0.30033632258065168</v>
      </c>
      <c r="I331">
        <v>1</v>
      </c>
      <c r="J331">
        <v>0.11799999999999999</v>
      </c>
      <c r="K331" s="2"/>
      <c r="M331" s="3"/>
      <c r="O331" s="5"/>
      <c r="P331" s="5"/>
    </row>
    <row r="332" spans="1:16" x14ac:dyDescent="0.3">
      <c r="A332">
        <v>1988</v>
      </c>
      <c r="B332">
        <v>6</v>
      </c>
      <c r="C332" s="1">
        <v>1988.41666666777</v>
      </c>
      <c r="D332" s="2">
        <v>-47.380000000000052</v>
      </c>
      <c r="E332" s="2">
        <v>-1835.5483870967746</v>
      </c>
      <c r="F332" s="2">
        <v>-0.17568677178346448</v>
      </c>
      <c r="G332" s="2">
        <v>-0.18605882352941094</v>
      </c>
      <c r="H332" s="2">
        <v>0.32830785483871239</v>
      </c>
      <c r="I332">
        <v>0.1</v>
      </c>
      <c r="J332">
        <v>0.17399999999999999</v>
      </c>
      <c r="K332" s="2"/>
      <c r="M332" s="3"/>
      <c r="O332" s="5"/>
      <c r="P332" s="5"/>
    </row>
    <row r="333" spans="1:16" x14ac:dyDescent="0.3">
      <c r="A333">
        <v>1988</v>
      </c>
      <c r="B333">
        <v>5</v>
      </c>
      <c r="C333" s="1">
        <v>1988.3333333344401</v>
      </c>
      <c r="D333" s="2">
        <v>-41.9819999999998</v>
      </c>
      <c r="E333" s="2">
        <v>-1206.8387096774195</v>
      </c>
      <c r="F333" s="2">
        <v>-0.19413509191813461</v>
      </c>
      <c r="G333" s="2">
        <v>-0.42064705882352982</v>
      </c>
      <c r="H333" s="2">
        <v>0.3602491774193588</v>
      </c>
      <c r="I333">
        <v>0.9</v>
      </c>
      <c r="J333">
        <v>0.14699999999999999</v>
      </c>
      <c r="K333" s="2"/>
      <c r="M333" s="3"/>
      <c r="O333" s="5"/>
      <c r="P333" s="5"/>
    </row>
    <row r="334" spans="1:16" x14ac:dyDescent="0.3">
      <c r="A334">
        <v>1988</v>
      </c>
      <c r="B334">
        <v>4</v>
      </c>
      <c r="C334" s="1">
        <v>1988.25000000111</v>
      </c>
      <c r="D334" s="2">
        <v>-61.06200000000004</v>
      </c>
      <c r="E334" s="2">
        <v>-311.177419354839</v>
      </c>
      <c r="F334" s="2">
        <v>-0.40192228494622739</v>
      </c>
      <c r="G334" s="2">
        <v>-0.50797058823529895</v>
      </c>
      <c r="H334" s="2">
        <v>0.11643114516130026</v>
      </c>
      <c r="I334">
        <v>0.1</v>
      </c>
      <c r="J334">
        <v>6.0999999999999999E-2</v>
      </c>
      <c r="K334" s="2"/>
      <c r="M334" s="3"/>
      <c r="O334" s="5"/>
      <c r="P334" s="5"/>
    </row>
    <row r="335" spans="1:16" x14ac:dyDescent="0.3">
      <c r="A335">
        <v>1988</v>
      </c>
      <c r="B335">
        <v>3</v>
      </c>
      <c r="C335" s="1">
        <v>1988.16666666778</v>
      </c>
      <c r="D335" s="2">
        <v>-78.14285714285711</v>
      </c>
      <c r="E335" s="2">
        <v>3.6290322580643988</v>
      </c>
      <c r="F335" s="2">
        <v>-0.24453973985432143</v>
      </c>
      <c r="G335" s="2">
        <v>-0.35085294117646626</v>
      </c>
      <c r="H335" s="2">
        <v>0.19195333870966635</v>
      </c>
      <c r="I335">
        <v>0.6</v>
      </c>
      <c r="J335">
        <v>0</v>
      </c>
      <c r="K335" s="2"/>
      <c r="M335" s="3"/>
      <c r="O335" s="5"/>
      <c r="P335" s="5"/>
    </row>
    <row r="336" spans="1:16" x14ac:dyDescent="0.3">
      <c r="A336">
        <v>1988</v>
      </c>
      <c r="B336">
        <v>2</v>
      </c>
      <c r="C336" s="1">
        <v>1988.0833333344499</v>
      </c>
      <c r="D336" s="2">
        <v>-54.373999999999995</v>
      </c>
      <c r="E336" s="2">
        <v>-99.741935483871202</v>
      </c>
      <c r="F336" s="2">
        <v>-0.21883913018432466</v>
      </c>
      <c r="G336" s="2">
        <v>-0.18638235294117322</v>
      </c>
      <c r="H336" s="2">
        <v>7.3232758064513348E-2</v>
      </c>
      <c r="I336">
        <v>-0.4</v>
      </c>
      <c r="J336">
        <v>-0.106</v>
      </c>
      <c r="K336" s="2"/>
      <c r="M336" s="3"/>
      <c r="O336" s="5"/>
      <c r="P336" s="5"/>
    </row>
    <row r="337" spans="1:16" x14ac:dyDescent="0.3">
      <c r="A337">
        <v>1988</v>
      </c>
      <c r="B337">
        <v>1</v>
      </c>
      <c r="C337" s="1">
        <v>1988.00000000112</v>
      </c>
      <c r="D337" s="2">
        <v>62.848000000000013</v>
      </c>
      <c r="E337" s="2">
        <v>-486.7258064516127</v>
      </c>
      <c r="F337" s="2">
        <v>-0.28421064516129135</v>
      </c>
      <c r="G337" s="2">
        <v>-0.52270588235294113</v>
      </c>
      <c r="H337" s="2">
        <v>0.11007317741935196</v>
      </c>
      <c r="I337">
        <v>-0.1</v>
      </c>
      <c r="J337">
        <v>-3.1E-2</v>
      </c>
      <c r="K337" s="2"/>
      <c r="M337" s="3"/>
      <c r="O337" s="5"/>
      <c r="P337" s="5"/>
    </row>
    <row r="338" spans="1:16" x14ac:dyDescent="0.3">
      <c r="A338">
        <v>1987</v>
      </c>
      <c r="B338">
        <v>12</v>
      </c>
      <c r="C338" s="1">
        <v>1987.91666666779</v>
      </c>
      <c r="D338" s="2">
        <v>116.44571428571419</v>
      </c>
      <c r="E338" s="2">
        <v>1213.1505376344066</v>
      </c>
      <c r="F338" s="2">
        <v>-0.33554547988206096</v>
      </c>
      <c r="G338" s="2">
        <v>2.5294117647053582E-2</v>
      </c>
      <c r="H338" s="2">
        <v>0.35763940322580723</v>
      </c>
      <c r="I338">
        <v>-0.5</v>
      </c>
      <c r="J338">
        <v>5.3999999999999999E-2</v>
      </c>
      <c r="K338" s="2"/>
      <c r="M338" s="3"/>
      <c r="O338" s="5"/>
      <c r="P338" s="5"/>
    </row>
    <row r="339" spans="1:16" x14ac:dyDescent="0.3">
      <c r="A339">
        <v>1987</v>
      </c>
      <c r="B339">
        <v>11</v>
      </c>
      <c r="C339" s="1">
        <v>1987.8333333344599</v>
      </c>
      <c r="D339" s="2">
        <v>67.200000000000045</v>
      </c>
      <c r="E339" s="2">
        <v>1103.6720430107544</v>
      </c>
      <c r="F339" s="2">
        <v>-5.9157946236574332E-2</v>
      </c>
      <c r="G339" s="2">
        <v>-0.35552941176471364</v>
      </c>
      <c r="H339" s="2">
        <v>0.24232174193548772</v>
      </c>
      <c r="I339">
        <v>0</v>
      </c>
      <c r="J339">
        <v>-5.8999999999999997E-2</v>
      </c>
      <c r="K339" s="2"/>
      <c r="M339" s="3"/>
      <c r="O339" s="5"/>
      <c r="P339" s="5"/>
    </row>
    <row r="340" spans="1:16" x14ac:dyDescent="0.3">
      <c r="A340">
        <v>1987</v>
      </c>
      <c r="B340">
        <v>10</v>
      </c>
      <c r="C340" s="1">
        <v>1987.75000000113</v>
      </c>
      <c r="D340" s="2">
        <v>27.265714285714239</v>
      </c>
      <c r="E340" s="2">
        <v>277.3064516129034</v>
      </c>
      <c r="F340" s="2">
        <v>-0.24112056330212184</v>
      </c>
      <c r="G340" s="2">
        <v>0.6319411764705869</v>
      </c>
      <c r="H340" s="2">
        <v>0.44526822580645131</v>
      </c>
      <c r="I340">
        <v>-0.4</v>
      </c>
      <c r="J340">
        <v>5.7000000000000002E-2</v>
      </c>
      <c r="K340" s="2"/>
      <c r="M340" s="3"/>
      <c r="O340" s="5"/>
      <c r="P340" s="5"/>
    </row>
    <row r="341" spans="1:16" x14ac:dyDescent="0.3">
      <c r="A341">
        <v>1987</v>
      </c>
      <c r="B341">
        <v>9</v>
      </c>
      <c r="C341" s="1">
        <v>1987.6666666678</v>
      </c>
      <c r="D341" s="2">
        <v>-3.0171428571429146</v>
      </c>
      <c r="E341" s="2">
        <v>5.3387096774195015</v>
      </c>
      <c r="F341" s="2">
        <v>-0.23745656989246555</v>
      </c>
      <c r="G341" s="2">
        <v>1.5441176470595508E-2</v>
      </c>
      <c r="H341" s="2">
        <v>0.26407046774193432</v>
      </c>
      <c r="I341">
        <v>-1</v>
      </c>
      <c r="J341">
        <v>0.20499999999999999</v>
      </c>
      <c r="K341" s="2"/>
      <c r="M341" s="3"/>
      <c r="O341" s="5"/>
      <c r="P341" s="5"/>
    </row>
    <row r="342" spans="1:16" x14ac:dyDescent="0.3">
      <c r="A342">
        <v>1987</v>
      </c>
      <c r="B342">
        <v>8</v>
      </c>
      <c r="C342" s="1">
        <v>1987.5833333344699</v>
      </c>
      <c r="D342" s="2">
        <v>-29.137142857142805</v>
      </c>
      <c r="E342" s="2">
        <v>117.4032258064517</v>
      </c>
      <c r="F342" s="2">
        <v>0.50482492715920557</v>
      </c>
      <c r="G342" s="2">
        <v>-0.48247058823529798</v>
      </c>
      <c r="H342" s="2">
        <v>0.43163096774192766</v>
      </c>
      <c r="I342">
        <v>-0.9</v>
      </c>
      <c r="J342">
        <v>0.28999999999999998</v>
      </c>
      <c r="K342" s="2"/>
      <c r="M342" s="3"/>
      <c r="O342" s="5"/>
      <c r="P342" s="5"/>
    </row>
    <row r="343" spans="1:16" x14ac:dyDescent="0.3">
      <c r="A343">
        <v>1987</v>
      </c>
      <c r="B343">
        <v>7</v>
      </c>
      <c r="C343" s="1">
        <v>1987.5000000011401</v>
      </c>
      <c r="D343" s="2">
        <v>-117.43428571428569</v>
      </c>
      <c r="E343" s="2">
        <v>-2096.5322580645161</v>
      </c>
      <c r="F343" s="2">
        <v>0.47075883975024979</v>
      </c>
      <c r="G343" s="2">
        <v>-0.11991176470587561</v>
      </c>
      <c r="H343" s="2">
        <v>0.26798732258065172</v>
      </c>
      <c r="I343">
        <v>-1.4</v>
      </c>
      <c r="J343">
        <v>0.28999999999999998</v>
      </c>
      <c r="K343" s="2"/>
      <c r="M343" s="3"/>
      <c r="O343" s="5"/>
      <c r="P343" s="5"/>
    </row>
    <row r="344" spans="1:16" x14ac:dyDescent="0.3">
      <c r="A344">
        <v>1987</v>
      </c>
      <c r="B344">
        <v>6</v>
      </c>
      <c r="C344" s="1">
        <v>1987.41666666781</v>
      </c>
      <c r="D344" s="2">
        <v>-73.080000000000041</v>
      </c>
      <c r="E344" s="2">
        <v>-1269.5483870967746</v>
      </c>
      <c r="F344" s="2">
        <v>0.92431322821653694</v>
      </c>
      <c r="G344" s="2">
        <v>-0.24405882352941077</v>
      </c>
      <c r="H344" s="2">
        <v>0.45690385483871054</v>
      </c>
      <c r="I344">
        <v>-1.1000000000000001</v>
      </c>
      <c r="J344">
        <v>0.214</v>
      </c>
      <c r="K344" s="2"/>
      <c r="M344" s="3"/>
      <c r="O344" s="5"/>
      <c r="P344" s="5"/>
    </row>
    <row r="345" spans="1:16" x14ac:dyDescent="0.3">
      <c r="A345">
        <v>1987</v>
      </c>
      <c r="B345">
        <v>5</v>
      </c>
      <c r="C345" s="1">
        <v>1987.3333333344799</v>
      </c>
      <c r="D345" s="2">
        <v>-80.4819999999998</v>
      </c>
      <c r="E345" s="2">
        <v>-782.8387096774195</v>
      </c>
      <c r="F345" s="2">
        <v>-9.4135091918133185E-2</v>
      </c>
      <c r="G345" s="2">
        <v>-0.52564705882353024</v>
      </c>
      <c r="H345" s="2">
        <v>0.50976517741936078</v>
      </c>
      <c r="I345">
        <v>-1.3</v>
      </c>
      <c r="J345">
        <v>7.9000000000000001E-2</v>
      </c>
      <c r="K345" s="2"/>
      <c r="M345" s="3"/>
      <c r="O345" s="5"/>
      <c r="P345" s="5"/>
    </row>
    <row r="346" spans="1:16" x14ac:dyDescent="0.3">
      <c r="A346">
        <v>1987</v>
      </c>
      <c r="B346">
        <v>4</v>
      </c>
      <c r="C346" s="1">
        <v>1987.2500000011501</v>
      </c>
      <c r="D346" s="2">
        <v>-117.26200000000004</v>
      </c>
      <c r="E346" s="2">
        <v>-555.177419354839</v>
      </c>
      <c r="F346" s="2">
        <v>0.39807771505377332</v>
      </c>
      <c r="G346" s="2">
        <v>-0.20997058823530068</v>
      </c>
      <c r="H346" s="2">
        <v>0.18139114516129951</v>
      </c>
      <c r="I346">
        <v>-1.4</v>
      </c>
      <c r="J346">
        <v>0.04</v>
      </c>
      <c r="K346" s="2"/>
      <c r="M346" s="3"/>
      <c r="O346" s="5"/>
      <c r="P346" s="5"/>
    </row>
    <row r="347" spans="1:16" x14ac:dyDescent="0.3">
      <c r="A347">
        <v>1987</v>
      </c>
      <c r="B347">
        <v>3</v>
      </c>
      <c r="C347" s="1">
        <v>1987.16666666782</v>
      </c>
      <c r="D347" s="2">
        <v>-122.7428571428571</v>
      </c>
      <c r="E347" s="2">
        <v>-34.370967741935601</v>
      </c>
      <c r="F347" s="2">
        <v>0.35546026014568</v>
      </c>
      <c r="G347" s="2">
        <v>-0.41785294117646643</v>
      </c>
      <c r="H347" s="2">
        <v>0.14969833870966553</v>
      </c>
      <c r="I347">
        <v>-1.3</v>
      </c>
      <c r="J347">
        <v>-2.1999999999999999E-2</v>
      </c>
      <c r="K347" s="2"/>
      <c r="M347" s="3"/>
      <c r="O347" s="5"/>
      <c r="P347" s="5"/>
    </row>
    <row r="348" spans="1:16" x14ac:dyDescent="0.3">
      <c r="A348">
        <v>1987</v>
      </c>
      <c r="B348">
        <v>2</v>
      </c>
      <c r="C348" s="1">
        <v>1987.0833333344899</v>
      </c>
      <c r="D348" s="2">
        <v>-140.97399999999999</v>
      </c>
      <c r="E348" s="2">
        <v>-271.7419354838712</v>
      </c>
      <c r="F348" s="2">
        <v>0.48116086981567463</v>
      </c>
      <c r="G348" s="2">
        <v>-0.15838235294117098</v>
      </c>
      <c r="H348" s="2">
        <v>-0.12237624193548768</v>
      </c>
      <c r="I348">
        <v>-1.2</v>
      </c>
      <c r="J348">
        <v>-0.20699999999999999</v>
      </c>
      <c r="K348" s="2"/>
      <c r="M348" s="3"/>
      <c r="O348" s="5"/>
      <c r="P348" s="5"/>
    </row>
    <row r="349" spans="1:16" x14ac:dyDescent="0.3">
      <c r="A349">
        <v>1987</v>
      </c>
      <c r="B349">
        <v>1</v>
      </c>
      <c r="C349" s="1">
        <v>1987.0000000011601</v>
      </c>
      <c r="D349" s="2">
        <v>-121.15199999999996</v>
      </c>
      <c r="E349" s="2">
        <v>-1928.7258064516127</v>
      </c>
      <c r="F349" s="2">
        <v>0.11578935483871078</v>
      </c>
      <c r="G349" s="2">
        <v>-0.27870588235294136</v>
      </c>
      <c r="H349" s="2">
        <v>-0.13914882258064765</v>
      </c>
      <c r="I349">
        <v>-0.7</v>
      </c>
      <c r="J349">
        <v>-0.26700000000000002</v>
      </c>
      <c r="K349" s="2"/>
      <c r="M349" s="3"/>
      <c r="O349" s="5"/>
      <c r="P349" s="5"/>
    </row>
    <row r="350" spans="1:16" x14ac:dyDescent="0.3">
      <c r="A350">
        <v>1986</v>
      </c>
      <c r="B350">
        <v>12</v>
      </c>
      <c r="C350" s="1">
        <v>1986.91666666783</v>
      </c>
      <c r="D350" s="2">
        <v>-10.554285714285754</v>
      </c>
      <c r="E350" s="2">
        <v>-324.84946236559335</v>
      </c>
      <c r="F350" s="2">
        <v>-0.33554547988206096</v>
      </c>
      <c r="G350" s="2">
        <v>-0.65670588235294503</v>
      </c>
      <c r="H350" s="2">
        <v>-0.53150559677419196</v>
      </c>
      <c r="I350">
        <v>-1.4</v>
      </c>
      <c r="J350">
        <v>-0.36</v>
      </c>
      <c r="K350" s="2"/>
      <c r="M350" s="3"/>
      <c r="O350" s="5"/>
      <c r="P350" s="5"/>
    </row>
    <row r="351" spans="1:16" x14ac:dyDescent="0.3">
      <c r="A351">
        <v>1986</v>
      </c>
      <c r="B351">
        <v>11</v>
      </c>
      <c r="C351" s="1">
        <v>1986.8333333344999</v>
      </c>
      <c r="D351" s="2">
        <v>-19.599999999999909</v>
      </c>
      <c r="E351" s="2">
        <v>645.67204301075435</v>
      </c>
      <c r="F351" s="2">
        <v>4.0842053763423536E-2</v>
      </c>
      <c r="G351" s="2">
        <v>-0.60852941176471376</v>
      </c>
      <c r="H351" s="2">
        <v>-0.54803425806451145</v>
      </c>
      <c r="I351">
        <v>-1.2</v>
      </c>
      <c r="J351">
        <v>-0.38700000000000001</v>
      </c>
      <c r="K351" s="2"/>
      <c r="M351" s="3"/>
      <c r="O351" s="5"/>
      <c r="P351" s="5"/>
    </row>
    <row r="352" spans="1:16" x14ac:dyDescent="0.3">
      <c r="A352">
        <v>1986</v>
      </c>
      <c r="B352">
        <v>10</v>
      </c>
      <c r="C352" s="1">
        <v>1986.7500000011701</v>
      </c>
      <c r="D352" s="2">
        <v>-91.834285714285727</v>
      </c>
      <c r="E352" s="2">
        <v>-253.6935483870966</v>
      </c>
      <c r="F352" s="2">
        <v>-0.34112056330211971</v>
      </c>
      <c r="G352" s="2">
        <v>-0.745058823529412</v>
      </c>
      <c r="H352" s="2">
        <v>-0.35425477419354934</v>
      </c>
      <c r="I352">
        <v>0.6</v>
      </c>
      <c r="J352">
        <v>-0.308</v>
      </c>
      <c r="K352" s="2"/>
      <c r="M352" s="3"/>
      <c r="O352" s="5"/>
      <c r="P352" s="5"/>
    </row>
    <row r="353" spans="1:16" x14ac:dyDescent="0.3">
      <c r="A353">
        <v>1986</v>
      </c>
      <c r="B353">
        <v>9</v>
      </c>
      <c r="C353" s="1">
        <v>1986.66666666784</v>
      </c>
      <c r="D353" s="2">
        <v>-142.91714285714289</v>
      </c>
      <c r="E353" s="2">
        <v>-1457.6612903225805</v>
      </c>
      <c r="F353" s="2">
        <v>6.2543430107535158E-2</v>
      </c>
      <c r="G353" s="2">
        <v>-0.62755882352940517</v>
      </c>
      <c r="H353" s="2">
        <v>-0.30738453225806595</v>
      </c>
      <c r="I353">
        <v>-0.5</v>
      </c>
      <c r="J353">
        <v>-0.20899999999999999</v>
      </c>
      <c r="K353" s="2"/>
      <c r="M353" s="3"/>
      <c r="O353" s="5"/>
      <c r="P353" s="5"/>
    </row>
    <row r="354" spans="1:16" x14ac:dyDescent="0.3">
      <c r="A354">
        <v>1986</v>
      </c>
      <c r="B354">
        <v>8</v>
      </c>
      <c r="C354" s="1">
        <v>1986.5833333345099</v>
      </c>
      <c r="D354" s="2">
        <v>-109.73714285714277</v>
      </c>
      <c r="E354" s="2">
        <v>-1241.5967741935483</v>
      </c>
      <c r="F354" s="2">
        <v>0.20482492715920486</v>
      </c>
      <c r="G354" s="2">
        <v>-0.83247058823529585</v>
      </c>
      <c r="H354" s="2">
        <v>-0.45676603225807355</v>
      </c>
      <c r="I354">
        <v>-0.4</v>
      </c>
      <c r="J354">
        <v>-0.26200000000000001</v>
      </c>
      <c r="K354" s="2"/>
      <c r="M354" s="3"/>
      <c r="O354" s="5"/>
      <c r="P354" s="5"/>
    </row>
    <row r="355" spans="1:16" x14ac:dyDescent="0.3">
      <c r="A355">
        <v>1986</v>
      </c>
      <c r="B355">
        <v>7</v>
      </c>
      <c r="C355" s="1">
        <v>1986.5000000011801</v>
      </c>
      <c r="D355" s="2">
        <v>-7.8342857142856701</v>
      </c>
      <c r="E355" s="2">
        <v>675.4677419354839</v>
      </c>
      <c r="F355" s="2">
        <v>7.0758839750251212E-2</v>
      </c>
      <c r="G355" s="2">
        <v>-0.90891176470587709</v>
      </c>
      <c r="H355" s="2">
        <v>-0.45692767741934759</v>
      </c>
      <c r="I355">
        <v>0.3</v>
      </c>
      <c r="J355">
        <v>-0.23799999999999999</v>
      </c>
      <c r="K355" s="2"/>
      <c r="M355" s="3"/>
      <c r="O355" s="5"/>
      <c r="P355" s="5"/>
    </row>
    <row r="356" spans="1:16" x14ac:dyDescent="0.3">
      <c r="A356">
        <v>1986</v>
      </c>
      <c r="B356">
        <v>6</v>
      </c>
      <c r="C356" s="1">
        <v>1986.41666666785</v>
      </c>
      <c r="D356" s="2">
        <v>-7.980000000000075</v>
      </c>
      <c r="E356" s="2">
        <v>977.4516129032254</v>
      </c>
      <c r="F356" s="2">
        <v>2.431322821653481E-2</v>
      </c>
      <c r="G356" s="2">
        <v>-0.4410588235294135</v>
      </c>
      <c r="H356" s="2">
        <v>-0.23573214516128971</v>
      </c>
      <c r="I356">
        <v>1</v>
      </c>
      <c r="J356">
        <v>-0.25</v>
      </c>
      <c r="K356" s="2"/>
      <c r="M356" s="3"/>
      <c r="O356" s="5"/>
      <c r="P356" s="5"/>
    </row>
    <row r="357" spans="1:16" x14ac:dyDescent="0.3">
      <c r="A357">
        <v>1986</v>
      </c>
      <c r="B357">
        <v>5</v>
      </c>
      <c r="C357" s="1">
        <v>1986.3333333345199</v>
      </c>
      <c r="D357" s="2">
        <v>-1.4819999999998004</v>
      </c>
      <c r="E357" s="2">
        <v>1415.1612903225805</v>
      </c>
      <c r="F357" s="2">
        <v>0.1058649080818661</v>
      </c>
      <c r="G357" s="2">
        <v>-0.99964705882353044</v>
      </c>
      <c r="H357" s="2">
        <v>-0.30011382258064145</v>
      </c>
      <c r="I357">
        <v>-0.2</v>
      </c>
      <c r="J357">
        <v>-0.218</v>
      </c>
      <c r="K357" s="2"/>
      <c r="M357" s="3"/>
      <c r="O357" s="5"/>
      <c r="P357" s="5"/>
    </row>
    <row r="358" spans="1:16" x14ac:dyDescent="0.3">
      <c r="A358">
        <v>1986</v>
      </c>
      <c r="B358">
        <v>4</v>
      </c>
      <c r="C358" s="1">
        <v>1986.2500000011901</v>
      </c>
      <c r="D358" s="2">
        <v>-2.7620000000000289</v>
      </c>
      <c r="E358" s="2">
        <v>1545.822580645161</v>
      </c>
      <c r="F358" s="2">
        <v>-0.10192228494622668</v>
      </c>
      <c r="G358" s="2">
        <v>-0.72197058823530114</v>
      </c>
      <c r="H358" s="2">
        <v>-0.42646185483869914</v>
      </c>
      <c r="I358">
        <v>0.3</v>
      </c>
      <c r="J358">
        <v>-0.314</v>
      </c>
      <c r="K358" s="2"/>
      <c r="M358" s="3"/>
      <c r="O358" s="5"/>
      <c r="P358" s="5"/>
    </row>
    <row r="359" spans="1:16" x14ac:dyDescent="0.3">
      <c r="A359">
        <v>1986</v>
      </c>
      <c r="B359">
        <v>3</v>
      </c>
      <c r="C359" s="1">
        <v>1986.16666666786</v>
      </c>
      <c r="D359" s="2">
        <v>-9.342857142857099</v>
      </c>
      <c r="E359" s="2">
        <v>1518.6290322580644</v>
      </c>
      <c r="F359" s="2">
        <v>-0.24453973985432143</v>
      </c>
      <c r="G359" s="2">
        <v>-0.87985294117646617</v>
      </c>
      <c r="H359" s="2">
        <v>-0.63763166129033166</v>
      </c>
      <c r="I359">
        <v>0.5</v>
      </c>
      <c r="J359">
        <v>-0.28199999999999997</v>
      </c>
      <c r="K359" s="2"/>
      <c r="M359" s="3"/>
      <c r="O359" s="5"/>
      <c r="P359" s="5"/>
    </row>
    <row r="360" spans="1:16" x14ac:dyDescent="0.3">
      <c r="A360">
        <v>1986</v>
      </c>
      <c r="B360">
        <v>2</v>
      </c>
      <c r="C360" s="1">
        <v>1986.0833333345299</v>
      </c>
      <c r="D360" s="2">
        <v>-65.474000000000018</v>
      </c>
      <c r="E360" s="2">
        <v>603.2580645161288</v>
      </c>
      <c r="F360" s="2">
        <v>-0.31883913018432253</v>
      </c>
      <c r="G360" s="2">
        <v>-0.63738235294117374</v>
      </c>
      <c r="H360" s="2">
        <v>-0.65561124193548537</v>
      </c>
      <c r="I360">
        <v>-1</v>
      </c>
      <c r="J360">
        <v>-0.26400000000000001</v>
      </c>
      <c r="K360" s="2"/>
      <c r="M360" s="3"/>
      <c r="O360" s="5"/>
      <c r="P360" s="5"/>
    </row>
    <row r="361" spans="1:16" x14ac:dyDescent="0.3">
      <c r="A361">
        <v>1986</v>
      </c>
      <c r="B361">
        <v>1</v>
      </c>
      <c r="C361" s="1">
        <v>1986.0000000012001</v>
      </c>
      <c r="D361" s="2">
        <v>-68.051999999999964</v>
      </c>
      <c r="E361" s="2">
        <v>-478.7258064516127</v>
      </c>
      <c r="F361" s="2">
        <v>-0.48421064516129064</v>
      </c>
      <c r="G361" s="2">
        <v>-0.57270588235293829</v>
      </c>
      <c r="H361" s="2">
        <v>-0.67280582258064925</v>
      </c>
      <c r="I361">
        <v>1</v>
      </c>
      <c r="J361">
        <v>-0.33200000000000002</v>
      </c>
      <c r="K361" s="2"/>
      <c r="M361" s="3"/>
      <c r="O361" s="5"/>
      <c r="P361" s="5"/>
    </row>
    <row r="362" spans="1:16" x14ac:dyDescent="0.3">
      <c r="A362">
        <v>1985</v>
      </c>
      <c r="B362">
        <v>12</v>
      </c>
      <c r="C362" s="1">
        <v>1985.91666666787</v>
      </c>
      <c r="D362" s="2">
        <v>-8.5542857142857542</v>
      </c>
      <c r="E362" s="2">
        <v>-165.84946236559335</v>
      </c>
      <c r="F362" s="2">
        <v>-0.5355454798820638</v>
      </c>
      <c r="G362" s="2">
        <v>-0.69370588235294406</v>
      </c>
      <c r="H362" s="2">
        <v>-0.51939059677419408</v>
      </c>
      <c r="I362">
        <v>0.2</v>
      </c>
      <c r="J362">
        <v>-0.32600000000000001</v>
      </c>
      <c r="K362" s="2"/>
      <c r="M362" s="3"/>
      <c r="O362" s="5"/>
      <c r="P362" s="5"/>
    </row>
    <row r="363" spans="1:16" x14ac:dyDescent="0.3">
      <c r="A363">
        <v>1985</v>
      </c>
      <c r="B363">
        <v>11</v>
      </c>
      <c r="C363" s="1">
        <v>1985.8333333345399</v>
      </c>
      <c r="D363" s="2">
        <v>-20.599999999999909</v>
      </c>
      <c r="E363" s="2">
        <v>-75.327956989245649</v>
      </c>
      <c r="F363" s="2">
        <v>-0.15915794623657575</v>
      </c>
      <c r="G363" s="2">
        <v>-0.94452941176471583</v>
      </c>
      <c r="H363" s="2">
        <v>-0.74447625806451256</v>
      </c>
      <c r="I363">
        <v>-0.2</v>
      </c>
      <c r="J363">
        <v>-0.28399999999999997</v>
      </c>
      <c r="K363" s="2"/>
      <c r="M363" s="3"/>
      <c r="O363" s="5"/>
      <c r="P363" s="5"/>
    </row>
    <row r="364" spans="1:16" x14ac:dyDescent="0.3">
      <c r="A364">
        <v>1985</v>
      </c>
      <c r="B364">
        <v>10</v>
      </c>
      <c r="C364" s="1">
        <v>1985.7500000012101</v>
      </c>
      <c r="D364" s="2">
        <v>-23.334285714285727</v>
      </c>
      <c r="E364" s="2">
        <v>442.3064516129034</v>
      </c>
      <c r="F364" s="2">
        <v>0.25887943669787816</v>
      </c>
      <c r="G364" s="2">
        <v>-0.42505882352941171</v>
      </c>
      <c r="H364" s="2">
        <v>-0.55916077419354693</v>
      </c>
      <c r="I364">
        <v>-0.4</v>
      </c>
      <c r="J364">
        <v>-0.23400000000000001</v>
      </c>
      <c r="K364" s="2"/>
      <c r="M364" s="3"/>
      <c r="O364" s="5"/>
      <c r="P364" s="5"/>
    </row>
    <row r="365" spans="1:16" x14ac:dyDescent="0.3">
      <c r="A365">
        <v>1985</v>
      </c>
      <c r="B365">
        <v>9</v>
      </c>
      <c r="C365" s="1">
        <v>1985.66666666788</v>
      </c>
      <c r="D365" s="2">
        <v>-43.117142857142881</v>
      </c>
      <c r="E365" s="2">
        <v>194.3387096774195</v>
      </c>
      <c r="F365" s="2">
        <v>-0.43745656989246484</v>
      </c>
      <c r="G365" s="2">
        <v>-0.74455882352940606</v>
      </c>
      <c r="H365" s="2">
        <v>-0.4070565322580677</v>
      </c>
      <c r="I365">
        <v>0</v>
      </c>
      <c r="J365">
        <v>-0.23599999999999999</v>
      </c>
      <c r="K365" s="2"/>
      <c r="M365" s="3"/>
      <c r="O365" s="5"/>
      <c r="P365" s="5"/>
    </row>
    <row r="366" spans="1:16" x14ac:dyDescent="0.3">
      <c r="A366">
        <v>1985</v>
      </c>
      <c r="B366">
        <v>8</v>
      </c>
      <c r="C366" s="1">
        <v>1985.5833333345499</v>
      </c>
      <c r="D366" s="2">
        <v>-114.23714285714277</v>
      </c>
      <c r="E366" s="2">
        <v>-1388.5967741935483</v>
      </c>
      <c r="F366" s="2">
        <v>-0.29517507284079514</v>
      </c>
      <c r="G366" s="2">
        <v>-0.41847058823529792</v>
      </c>
      <c r="H366" s="2">
        <v>-0.50098103225807478</v>
      </c>
      <c r="I366">
        <v>1</v>
      </c>
      <c r="J366">
        <v>-0.27</v>
      </c>
      <c r="K366" s="2"/>
      <c r="M366" s="3"/>
      <c r="O366" s="5"/>
      <c r="P366" s="5"/>
    </row>
    <row r="367" spans="1:16" x14ac:dyDescent="0.3">
      <c r="A367">
        <v>1985</v>
      </c>
      <c r="B367">
        <v>7</v>
      </c>
      <c r="C367" s="1">
        <v>1985.5000000012201</v>
      </c>
      <c r="D367" s="2">
        <v>-182.33428571428567</v>
      </c>
      <c r="E367" s="2">
        <v>-3311.5322580645161</v>
      </c>
      <c r="F367" s="2">
        <v>7.0758839750251212E-2</v>
      </c>
      <c r="G367" s="2">
        <v>-0.4709117647058747</v>
      </c>
      <c r="H367" s="2">
        <v>-0.35995567741934664</v>
      </c>
      <c r="I367">
        <v>-0.1</v>
      </c>
      <c r="J367">
        <v>-0.14199999999999999</v>
      </c>
      <c r="K367" s="2"/>
      <c r="M367" s="3"/>
      <c r="O367" s="5"/>
      <c r="P367" s="5"/>
    </row>
    <row r="368" spans="1:16" x14ac:dyDescent="0.3">
      <c r="A368">
        <v>1985</v>
      </c>
      <c r="B368">
        <v>6</v>
      </c>
      <c r="C368" s="1">
        <v>1985.41666666789</v>
      </c>
      <c r="D368" s="2">
        <v>-114.18000000000006</v>
      </c>
      <c r="E368" s="2">
        <v>-2045.5483870967746</v>
      </c>
      <c r="F368" s="2">
        <v>0.12431322821653623</v>
      </c>
      <c r="G368" s="2">
        <v>-0.88405882352941134</v>
      </c>
      <c r="H368" s="2">
        <v>-0.57202514516128744</v>
      </c>
      <c r="I368">
        <v>-0.4</v>
      </c>
      <c r="J368">
        <v>-0.11700000000000001</v>
      </c>
      <c r="K368" s="2"/>
      <c r="M368" s="3"/>
      <c r="O368" s="5"/>
      <c r="P368" s="5"/>
    </row>
    <row r="369" spans="1:16" x14ac:dyDescent="0.3">
      <c r="A369">
        <v>1985</v>
      </c>
      <c r="B369">
        <v>5</v>
      </c>
      <c r="C369" s="1">
        <v>1985.3333333345599</v>
      </c>
      <c r="D369" s="2">
        <v>-100.88199999999981</v>
      </c>
      <c r="E369" s="2">
        <v>-1410.8387096774195</v>
      </c>
      <c r="F369" s="2">
        <v>5.8649080818646837E-3</v>
      </c>
      <c r="G369" s="2">
        <v>-1.0366470588235295</v>
      </c>
      <c r="H369" s="2">
        <v>-0.40100482258063863</v>
      </c>
      <c r="I369">
        <v>0.4</v>
      </c>
      <c r="J369">
        <v>-0.32600000000000001</v>
      </c>
      <c r="K369" s="2"/>
      <c r="M369" s="3"/>
      <c r="O369" s="5"/>
      <c r="P369" s="5"/>
    </row>
    <row r="370" spans="1:16" x14ac:dyDescent="0.3">
      <c r="A370">
        <v>1985</v>
      </c>
      <c r="B370">
        <v>4</v>
      </c>
      <c r="C370" s="1">
        <v>1985.2500000012301</v>
      </c>
      <c r="D370" s="2">
        <v>-70.262000000000029</v>
      </c>
      <c r="E370" s="2">
        <v>-1032.177419354839</v>
      </c>
      <c r="F370" s="2">
        <v>-0.7019222849462281</v>
      </c>
      <c r="G370" s="2">
        <v>-1.0039705882353012</v>
      </c>
      <c r="H370" s="2">
        <v>-0.60957485483870144</v>
      </c>
      <c r="I370">
        <v>1.2</v>
      </c>
      <c r="J370">
        <v>-0.39</v>
      </c>
      <c r="K370" s="2"/>
      <c r="M370" s="3"/>
      <c r="O370" s="5"/>
      <c r="P370" s="5"/>
    </row>
    <row r="371" spans="1:16" x14ac:dyDescent="0.3">
      <c r="A371">
        <v>1985</v>
      </c>
      <c r="B371">
        <v>3</v>
      </c>
      <c r="C371" s="1">
        <v>1985.1666666679</v>
      </c>
      <c r="D371" s="2">
        <v>-59.64285714285711</v>
      </c>
      <c r="E371" s="2">
        <v>-1147.3709677419356</v>
      </c>
      <c r="F371" s="2">
        <v>-0.54453973985432214</v>
      </c>
      <c r="G371" s="2">
        <v>-1.0718529411764663</v>
      </c>
      <c r="H371" s="2">
        <v>-0.7942786612903312</v>
      </c>
      <c r="I371">
        <v>0.8</v>
      </c>
      <c r="J371">
        <v>-0.34499999999999997</v>
      </c>
      <c r="K371" s="2"/>
      <c r="M371" s="3"/>
      <c r="O371" s="5"/>
      <c r="P371" s="5"/>
    </row>
    <row r="372" spans="1:16" x14ac:dyDescent="0.3">
      <c r="A372">
        <v>1985</v>
      </c>
      <c r="B372">
        <v>2</v>
      </c>
      <c r="C372" s="1">
        <v>1985.0833333345699</v>
      </c>
      <c r="D372" s="2">
        <v>-19.574000000000012</v>
      </c>
      <c r="E372" s="2">
        <v>-576.7419354838712</v>
      </c>
      <c r="F372" s="2">
        <v>-0.41883913018432395</v>
      </c>
      <c r="G372" s="2">
        <v>-0.75038235294117328</v>
      </c>
      <c r="H372" s="2">
        <v>-0.3989472419354847</v>
      </c>
      <c r="I372">
        <v>1.2</v>
      </c>
      <c r="J372">
        <v>-0.318</v>
      </c>
      <c r="K372" s="2"/>
      <c r="M372" s="3"/>
      <c r="O372" s="5"/>
      <c r="P372" s="5"/>
    </row>
    <row r="373" spans="1:16" x14ac:dyDescent="0.3">
      <c r="A373">
        <v>1985</v>
      </c>
      <c r="B373">
        <v>1</v>
      </c>
      <c r="C373" s="1">
        <v>1985.0000000012401</v>
      </c>
      <c r="D373" s="2">
        <v>60.248000000000047</v>
      </c>
      <c r="E373" s="2">
        <v>950.2741935483873</v>
      </c>
      <c r="F373" s="2">
        <v>-1.0842106451612921</v>
      </c>
      <c r="G373" s="2">
        <v>-1.1017058823529382</v>
      </c>
      <c r="H373" s="2">
        <v>-1.0172818225806495</v>
      </c>
      <c r="I373">
        <v>-0.3</v>
      </c>
      <c r="J373">
        <v>-0.34300000000000003</v>
      </c>
      <c r="K373" s="2"/>
      <c r="M373" s="3"/>
      <c r="O373" s="5"/>
      <c r="P373" s="5"/>
    </row>
    <row r="374" spans="1:16" x14ac:dyDescent="0.3">
      <c r="A374">
        <v>1984</v>
      </c>
      <c r="B374">
        <v>12</v>
      </c>
      <c r="C374" s="1">
        <v>1984.91666666791</v>
      </c>
      <c r="D374" s="2">
        <v>142.14571428571423</v>
      </c>
      <c r="E374" s="2">
        <v>2589.1505376344066</v>
      </c>
      <c r="F374" s="2">
        <v>-1.1355454798820617</v>
      </c>
      <c r="G374" s="2">
        <v>-1.1207058823529437</v>
      </c>
      <c r="H374" s="2">
        <v>-0.69519659677419199</v>
      </c>
      <c r="I374">
        <v>-0.1</v>
      </c>
      <c r="J374">
        <v>-0.307</v>
      </c>
      <c r="K374" s="2"/>
      <c r="M374" s="3"/>
      <c r="O374" s="5"/>
      <c r="P374" s="5"/>
    </row>
    <row r="375" spans="1:16" x14ac:dyDescent="0.3">
      <c r="A375">
        <v>1984</v>
      </c>
      <c r="B375">
        <v>11</v>
      </c>
      <c r="C375" s="1">
        <v>1984.8333333345799</v>
      </c>
      <c r="D375" s="2">
        <v>95.900000000000091</v>
      </c>
      <c r="E375" s="2">
        <v>2779.6720430107544</v>
      </c>
      <c r="F375" s="2">
        <v>-0.45915794623657646</v>
      </c>
      <c r="G375" s="2">
        <v>-0.50252941176471566</v>
      </c>
      <c r="H375" s="2">
        <v>-0.64575925806451195</v>
      </c>
      <c r="I375">
        <v>0.3</v>
      </c>
      <c r="J375">
        <v>-0.41299999999999998</v>
      </c>
      <c r="K375" s="2"/>
      <c r="M375" s="3"/>
      <c r="O375" s="5"/>
      <c r="P375" s="5"/>
    </row>
    <row r="376" spans="1:16" x14ac:dyDescent="0.3">
      <c r="A376">
        <v>1984</v>
      </c>
      <c r="B376">
        <v>10</v>
      </c>
      <c r="C376" s="1">
        <v>1984.7500000012501</v>
      </c>
      <c r="D376" s="2">
        <v>44.56571428571425</v>
      </c>
      <c r="E376" s="2">
        <v>2653.3064516129034</v>
      </c>
      <c r="F376" s="2">
        <v>-0.44112056330212113</v>
      </c>
      <c r="G376" s="2">
        <v>-0.65705882352941103</v>
      </c>
      <c r="H376" s="2">
        <v>-0.79425677419354912</v>
      </c>
      <c r="I376">
        <v>-0.3</v>
      </c>
      <c r="J376">
        <v>-0.33300000000000002</v>
      </c>
      <c r="K376" s="2"/>
      <c r="M376" s="3"/>
      <c r="O376" s="5"/>
      <c r="P376" s="5"/>
    </row>
    <row r="377" spans="1:16" x14ac:dyDescent="0.3">
      <c r="A377">
        <v>1984</v>
      </c>
      <c r="B377">
        <v>9</v>
      </c>
      <c r="C377" s="1">
        <v>1984.66666666792</v>
      </c>
      <c r="D377" s="2">
        <v>37.982857142857085</v>
      </c>
      <c r="E377" s="2">
        <v>2464.3387096774195</v>
      </c>
      <c r="F377" s="2">
        <v>-0.73745656989246555</v>
      </c>
      <c r="G377" s="2">
        <v>-0.69155882352940523</v>
      </c>
      <c r="H377" s="2">
        <v>-0.45055153225806777</v>
      </c>
      <c r="I377">
        <v>0.1</v>
      </c>
      <c r="J377">
        <v>-0.19800000000000001</v>
      </c>
      <c r="K377" s="2"/>
      <c r="M377" s="3"/>
      <c r="O377" s="5"/>
      <c r="P377" s="5"/>
    </row>
    <row r="378" spans="1:16" x14ac:dyDescent="0.3">
      <c r="A378">
        <v>1984</v>
      </c>
      <c r="B378">
        <v>8</v>
      </c>
      <c r="C378" s="1">
        <v>1984.58333333459</v>
      </c>
      <c r="D378" s="2">
        <v>58.862857142857195</v>
      </c>
      <c r="E378" s="2">
        <v>2968.4032258064517</v>
      </c>
      <c r="F378" s="2">
        <v>-0.5951750728407923</v>
      </c>
      <c r="G378" s="2">
        <v>-0.67147058823529804</v>
      </c>
      <c r="H378" s="2">
        <v>-0.33062803225807258</v>
      </c>
      <c r="I378">
        <v>0.4</v>
      </c>
      <c r="J378">
        <v>-0.214</v>
      </c>
      <c r="K378" s="2"/>
      <c r="M378" s="3"/>
      <c r="O378" s="5"/>
      <c r="P378" s="5"/>
    </row>
    <row r="379" spans="1:16" x14ac:dyDescent="0.3">
      <c r="A379">
        <v>1984</v>
      </c>
      <c r="B379">
        <v>7</v>
      </c>
      <c r="C379" s="1">
        <v>1984.5000000012601</v>
      </c>
      <c r="D379" s="2">
        <v>-6.7342857142857042</v>
      </c>
      <c r="E379" s="2">
        <v>2361.4677419354839</v>
      </c>
      <c r="F379" s="2">
        <v>-0.52924116024975021</v>
      </c>
      <c r="G379" s="2">
        <v>-0.81191176470587578</v>
      </c>
      <c r="H379" s="2">
        <v>-0.28917567741934747</v>
      </c>
      <c r="I379">
        <v>0.2</v>
      </c>
      <c r="J379">
        <v>-0.255</v>
      </c>
      <c r="K379" s="2"/>
      <c r="M379" s="3"/>
      <c r="O379" s="5"/>
      <c r="P379" s="5"/>
    </row>
    <row r="380" spans="1:16" x14ac:dyDescent="0.3">
      <c r="A380">
        <v>1984</v>
      </c>
      <c r="B380">
        <v>6</v>
      </c>
      <c r="C380" s="1">
        <v>1984.41666666793</v>
      </c>
      <c r="D380" s="2">
        <v>-72.680000000000064</v>
      </c>
      <c r="E380" s="2">
        <v>912.4516129032254</v>
      </c>
      <c r="F380" s="2">
        <v>-0.17568677178346448</v>
      </c>
      <c r="G380" s="2">
        <v>-0.60905882352941276</v>
      </c>
      <c r="H380" s="2">
        <v>-0.6818771451612875</v>
      </c>
      <c r="I380">
        <v>-0.3</v>
      </c>
      <c r="J380">
        <v>-0.313</v>
      </c>
      <c r="K380" s="2"/>
      <c r="M380" s="3"/>
      <c r="O380" s="5"/>
      <c r="P380" s="5"/>
    </row>
    <row r="381" spans="1:16" x14ac:dyDescent="0.3">
      <c r="A381">
        <v>1984</v>
      </c>
      <c r="B381">
        <v>5</v>
      </c>
      <c r="C381" s="1">
        <v>1984.3333333346</v>
      </c>
      <c r="D381" s="2">
        <v>-108.9819999999998</v>
      </c>
      <c r="E381" s="2">
        <v>-147.8387096774195</v>
      </c>
      <c r="F381" s="2">
        <v>-9.4135091918133185E-2</v>
      </c>
      <c r="G381" s="2">
        <v>-0.33664705882353019</v>
      </c>
      <c r="H381" s="2">
        <v>-0.20130182258063911</v>
      </c>
      <c r="I381">
        <v>0.2</v>
      </c>
      <c r="J381">
        <v>-0.155</v>
      </c>
      <c r="K381" s="2"/>
      <c r="M381" s="3"/>
      <c r="O381" s="5"/>
      <c r="P381" s="5"/>
    </row>
    <row r="382" spans="1:16" x14ac:dyDescent="0.3">
      <c r="A382">
        <v>1984</v>
      </c>
      <c r="B382">
        <v>4</v>
      </c>
      <c r="C382" s="1">
        <v>1984.2500000012701</v>
      </c>
      <c r="D382" s="2">
        <v>-104.96200000000005</v>
      </c>
      <c r="E382" s="2">
        <v>-393.177419354839</v>
      </c>
      <c r="F382" s="2">
        <v>-0.2019222849462281</v>
      </c>
      <c r="G382" s="2">
        <v>-0.29797058823530165</v>
      </c>
      <c r="H382" s="2">
        <v>9.4267145161300192E-2</v>
      </c>
      <c r="I382">
        <v>0.3</v>
      </c>
      <c r="J382">
        <v>-0.14599999999999999</v>
      </c>
      <c r="K382" s="2"/>
      <c r="M382" s="3"/>
      <c r="O382" s="5"/>
      <c r="P382" s="5"/>
    </row>
    <row r="383" spans="1:16" x14ac:dyDescent="0.3">
      <c r="A383">
        <v>1984</v>
      </c>
      <c r="B383">
        <v>3</v>
      </c>
      <c r="C383" s="1">
        <v>1984.16666666794</v>
      </c>
      <c r="D383" s="2">
        <v>-28.542857142857116</v>
      </c>
      <c r="E383" s="2">
        <v>867.6290322580644</v>
      </c>
      <c r="F383" s="2">
        <v>-0.34453973985432285</v>
      </c>
      <c r="G383" s="2">
        <v>-0.18985294117646845</v>
      </c>
      <c r="H383" s="2">
        <v>0.10392933870966559</v>
      </c>
      <c r="I383">
        <v>-0.2</v>
      </c>
      <c r="J383">
        <v>-0.114</v>
      </c>
      <c r="K383" s="2"/>
      <c r="M383" s="3"/>
      <c r="O383" s="5"/>
      <c r="P383" s="5"/>
    </row>
    <row r="384" spans="1:16" x14ac:dyDescent="0.3">
      <c r="A384">
        <v>1984</v>
      </c>
      <c r="B384">
        <v>2</v>
      </c>
      <c r="C384" s="1">
        <v>1984.08333333461</v>
      </c>
      <c r="D384" s="2">
        <v>-22.974000000000018</v>
      </c>
      <c r="E384" s="2">
        <v>1275.2580645161288</v>
      </c>
      <c r="F384" s="2">
        <v>0.28116086981567534</v>
      </c>
      <c r="G384" s="2">
        <v>-2.7382352941170751E-2</v>
      </c>
      <c r="H384" s="2">
        <v>0.16608775806451348</v>
      </c>
      <c r="I384">
        <v>0.9</v>
      </c>
      <c r="J384">
        <v>-7.6999999999999999E-2</v>
      </c>
      <c r="K384" s="2"/>
      <c r="M384" s="3"/>
      <c r="O384" s="5"/>
      <c r="P384" s="5"/>
    </row>
    <row r="385" spans="1:16" x14ac:dyDescent="0.3">
      <c r="A385">
        <v>1984</v>
      </c>
      <c r="B385">
        <v>1</v>
      </c>
      <c r="C385" s="1">
        <v>1984.0000000012799</v>
      </c>
      <c r="D385" s="2">
        <v>-28.451999999999941</v>
      </c>
      <c r="E385" s="2">
        <v>42.274193548387302</v>
      </c>
      <c r="F385" s="2">
        <v>-0.18421064516128993</v>
      </c>
      <c r="G385" s="2">
        <v>-0.22570588235294053</v>
      </c>
      <c r="H385" s="2">
        <v>0.24192817741935002</v>
      </c>
      <c r="I385">
        <v>0.2</v>
      </c>
      <c r="J385">
        <v>-9.5000000000000001E-2</v>
      </c>
      <c r="K385" s="2"/>
      <c r="M385" s="3"/>
      <c r="O385" s="5"/>
      <c r="P385" s="5"/>
    </row>
    <row r="386" spans="1:16" x14ac:dyDescent="0.3">
      <c r="A386">
        <v>1983</v>
      </c>
      <c r="B386">
        <v>12</v>
      </c>
      <c r="C386" s="1">
        <v>1983.91666666795</v>
      </c>
      <c r="D386" s="2">
        <v>-176.35428571428577</v>
      </c>
      <c r="E386" s="2">
        <v>-2428.8494623655934</v>
      </c>
      <c r="F386" s="2">
        <v>-3.5545479882063802E-2</v>
      </c>
      <c r="G386" s="2">
        <v>-5.8705882352946048E-2</v>
      </c>
      <c r="H386" s="2">
        <v>2.6689403225805819E-2</v>
      </c>
      <c r="I386">
        <v>0</v>
      </c>
      <c r="J386">
        <v>8.0000000000000002E-3</v>
      </c>
      <c r="K386" s="2"/>
      <c r="M386" s="3"/>
      <c r="O386" s="5"/>
      <c r="P386" s="5"/>
    </row>
    <row r="387" spans="1:16" x14ac:dyDescent="0.3">
      <c r="A387">
        <v>1983</v>
      </c>
      <c r="B387">
        <v>11</v>
      </c>
      <c r="C387" s="1">
        <v>1983.83333333462</v>
      </c>
      <c r="D387" s="2">
        <v>-166.99999999999989</v>
      </c>
      <c r="E387" s="2">
        <v>-1975.3279569892456</v>
      </c>
      <c r="F387" s="2">
        <v>0.44084205376342567</v>
      </c>
      <c r="G387" s="2">
        <v>-0.26652941176471501</v>
      </c>
      <c r="H387" s="2">
        <v>9.3519741935487843E-2</v>
      </c>
      <c r="I387">
        <v>-0.1</v>
      </c>
      <c r="J387">
        <v>-0.14699999999999999</v>
      </c>
      <c r="K387" s="2"/>
      <c r="M387" s="3"/>
      <c r="O387" s="5"/>
      <c r="P387" s="5"/>
    </row>
    <row r="388" spans="1:16" x14ac:dyDescent="0.3">
      <c r="A388">
        <v>1983</v>
      </c>
      <c r="B388">
        <v>10</v>
      </c>
      <c r="C388" s="1">
        <v>1983.7500000012899</v>
      </c>
      <c r="D388" s="2">
        <v>-157.43428571428575</v>
      </c>
      <c r="E388" s="2">
        <v>-1414.6935483870966</v>
      </c>
      <c r="F388" s="2">
        <v>-0.24112056330212184</v>
      </c>
      <c r="G388" s="2">
        <v>-0.38105882352941123</v>
      </c>
      <c r="H388" s="2">
        <v>-7.5574774193547967E-2</v>
      </c>
      <c r="I388">
        <v>0.4</v>
      </c>
      <c r="J388">
        <v>-0.184</v>
      </c>
      <c r="K388" s="2"/>
      <c r="M388" s="3"/>
      <c r="O388" s="5"/>
      <c r="P388" s="5"/>
    </row>
    <row r="389" spans="1:16" x14ac:dyDescent="0.3">
      <c r="A389">
        <v>1983</v>
      </c>
      <c r="B389">
        <v>9</v>
      </c>
      <c r="C389" s="1">
        <v>1983.66666666796</v>
      </c>
      <c r="D389" s="2">
        <v>-164.2171428571429</v>
      </c>
      <c r="E389" s="2">
        <v>-1172.6612903225805</v>
      </c>
      <c r="F389" s="2">
        <v>6.2543430107535158E-2</v>
      </c>
      <c r="G389" s="2">
        <v>-0.41555882352940543</v>
      </c>
      <c r="H389" s="2">
        <v>-7.9743532258067518E-2</v>
      </c>
      <c r="I389">
        <v>0.9</v>
      </c>
      <c r="J389">
        <v>-0.20499999999999999</v>
      </c>
      <c r="K389" s="2"/>
      <c r="M389" s="3"/>
      <c r="O389" s="5"/>
      <c r="P389" s="5"/>
    </row>
    <row r="390" spans="1:16" x14ac:dyDescent="0.3">
      <c r="A390">
        <v>1983</v>
      </c>
      <c r="B390">
        <v>8</v>
      </c>
      <c r="C390" s="1">
        <v>1983.58333333463</v>
      </c>
      <c r="D390" s="2">
        <v>-170.83714285714279</v>
      </c>
      <c r="E390" s="2">
        <v>-1616.5967741935483</v>
      </c>
      <c r="F390" s="2">
        <v>0.4048249271592077</v>
      </c>
      <c r="G390" s="2">
        <v>-0.49547058823529611</v>
      </c>
      <c r="H390" s="2">
        <v>6.0132967741925114E-2</v>
      </c>
      <c r="I390">
        <v>0.1</v>
      </c>
      <c r="J390">
        <v>-0.14699999999999999</v>
      </c>
      <c r="K390" s="2"/>
      <c r="M390" s="3"/>
      <c r="O390" s="5"/>
      <c r="P390" s="5"/>
    </row>
    <row r="391" spans="1:16" x14ac:dyDescent="0.3">
      <c r="A391">
        <v>1983</v>
      </c>
      <c r="B391">
        <v>7</v>
      </c>
      <c r="C391" s="1">
        <v>1983.5000000012999</v>
      </c>
      <c r="D391" s="2">
        <v>-255.33428571428567</v>
      </c>
      <c r="E391" s="2">
        <v>-1680.5322580645161</v>
      </c>
      <c r="F391" s="2">
        <v>0.47075883975024979</v>
      </c>
      <c r="G391" s="2">
        <v>-0.51891176470587652</v>
      </c>
      <c r="H391" s="2">
        <v>0.24444732258065471</v>
      </c>
      <c r="I391">
        <v>-0.6</v>
      </c>
      <c r="J391">
        <v>-4.0000000000000001E-3</v>
      </c>
      <c r="K391" s="2"/>
      <c r="M391" s="3"/>
      <c r="O391" s="5"/>
      <c r="P391" s="5"/>
    </row>
    <row r="392" spans="1:16" x14ac:dyDescent="0.3">
      <c r="A392">
        <v>1983</v>
      </c>
      <c r="B392">
        <v>6</v>
      </c>
      <c r="C392" s="1">
        <v>1983.41666666797</v>
      </c>
      <c r="D392" s="2">
        <v>-289.98</v>
      </c>
      <c r="E392" s="2">
        <v>-47.548387096774604</v>
      </c>
      <c r="F392" s="2">
        <v>0.82431322821653552</v>
      </c>
      <c r="G392" s="2">
        <v>-1.6058823529412791E-2</v>
      </c>
      <c r="H392" s="2">
        <v>0.68504185483871183</v>
      </c>
      <c r="I392">
        <v>0</v>
      </c>
      <c r="J392">
        <v>-4.2999999999999997E-2</v>
      </c>
      <c r="K392" s="2"/>
      <c r="M392" s="3"/>
      <c r="O392" s="5"/>
      <c r="P392" s="5"/>
    </row>
    <row r="393" spans="1:16" x14ac:dyDescent="0.3">
      <c r="A393">
        <v>1983</v>
      </c>
      <c r="B393">
        <v>5</v>
      </c>
      <c r="C393" s="1">
        <v>1983.33333333464</v>
      </c>
      <c r="D393" s="2">
        <v>-247.01199999999983</v>
      </c>
      <c r="E393" s="2">
        <v>388.1612903225805</v>
      </c>
      <c r="F393" s="2">
        <v>0.40586490808186682</v>
      </c>
      <c r="G393" s="2">
        <v>0.28835294117646981</v>
      </c>
      <c r="H393" s="2">
        <v>0.50646117741936081</v>
      </c>
      <c r="I393">
        <v>0.6</v>
      </c>
      <c r="J393">
        <v>-3.6999999999999998E-2</v>
      </c>
      <c r="K393" s="2"/>
      <c r="M393" s="3"/>
      <c r="O393" s="5"/>
      <c r="P393" s="5"/>
    </row>
    <row r="394" spans="1:16" x14ac:dyDescent="0.3">
      <c r="A394">
        <v>1983</v>
      </c>
      <c r="B394">
        <v>4</v>
      </c>
      <c r="C394" s="1">
        <v>1983.2500000013099</v>
      </c>
      <c r="D394" s="2">
        <v>-173.39200000000005</v>
      </c>
      <c r="E394" s="2">
        <v>-533.177419354839</v>
      </c>
      <c r="F394" s="2">
        <v>0.39807771505377332</v>
      </c>
      <c r="G394" s="2">
        <v>0.15902941176469909</v>
      </c>
      <c r="H394" s="2">
        <v>0.45782014516129976</v>
      </c>
      <c r="I394">
        <v>-0.9</v>
      </c>
      <c r="J394">
        <v>7.0000000000000007E-2</v>
      </c>
      <c r="K394" s="2"/>
      <c r="M394" s="3"/>
      <c r="O394" s="5"/>
      <c r="P394" s="5"/>
    </row>
    <row r="395" spans="1:16" x14ac:dyDescent="0.3">
      <c r="A395">
        <v>1983</v>
      </c>
      <c r="B395">
        <v>3</v>
      </c>
      <c r="C395" s="1">
        <v>1983.1666666679801</v>
      </c>
      <c r="D395" s="2">
        <v>-162.4328571428571</v>
      </c>
      <c r="E395" s="2">
        <v>-1434.3709677419356</v>
      </c>
      <c r="F395" s="2">
        <v>0.75546026014567857</v>
      </c>
      <c r="G395" s="2">
        <v>9.4147058823534024E-2</v>
      </c>
      <c r="H395" s="2">
        <v>0.43638433870966864</v>
      </c>
      <c r="I395">
        <v>-2.4</v>
      </c>
      <c r="J395">
        <v>9.1999999999999998E-2</v>
      </c>
      <c r="K395" s="2"/>
      <c r="M395" s="3"/>
      <c r="O395" s="5"/>
      <c r="P395" s="5"/>
    </row>
    <row r="396" spans="1:16" x14ac:dyDescent="0.3">
      <c r="A396">
        <v>1983</v>
      </c>
      <c r="B396">
        <v>2</v>
      </c>
      <c r="C396" s="1">
        <v>1983.08333333465</v>
      </c>
      <c r="D396" s="2">
        <v>-206.04400000000001</v>
      </c>
      <c r="E396" s="2">
        <v>-2003.7419354838712</v>
      </c>
      <c r="F396" s="2">
        <v>0.18116086981567747</v>
      </c>
      <c r="G396" s="2">
        <v>-0.57638235294117379</v>
      </c>
      <c r="H396" s="2">
        <v>-2.4120241935484898E-2</v>
      </c>
      <c r="I396">
        <v>-3.6</v>
      </c>
      <c r="J396">
        <v>-9.2999999999999999E-2</v>
      </c>
      <c r="K396" s="2"/>
      <c r="M396" s="3"/>
      <c r="O396" s="5"/>
      <c r="P396" s="5"/>
    </row>
    <row r="397" spans="1:16" x14ac:dyDescent="0.3">
      <c r="A397">
        <v>1983</v>
      </c>
      <c r="B397">
        <v>1</v>
      </c>
      <c r="C397" s="1">
        <v>1983.0000000013199</v>
      </c>
      <c r="D397" s="2">
        <v>-290.63199999999995</v>
      </c>
      <c r="E397" s="2">
        <v>-2564.7258064516127</v>
      </c>
      <c r="F397" s="2">
        <v>0.41578935483870794</v>
      </c>
      <c r="G397" s="2">
        <v>-0.65370588235294136</v>
      </c>
      <c r="H397" s="2">
        <v>-4.2878225806504133E-3</v>
      </c>
      <c r="I397">
        <v>-3.5</v>
      </c>
      <c r="J397">
        <v>-0.28699999999999998</v>
      </c>
      <c r="K397" s="2"/>
      <c r="M397" s="3"/>
      <c r="O397" s="5"/>
      <c r="P397" s="5"/>
    </row>
    <row r="398" spans="1:16" x14ac:dyDescent="0.3">
      <c r="A398">
        <v>1982</v>
      </c>
      <c r="B398">
        <v>12</v>
      </c>
      <c r="C398" s="1">
        <v>1982.9166666679901</v>
      </c>
      <c r="D398" s="2">
        <v>-222.45428571428579</v>
      </c>
      <c r="E398" s="2">
        <v>-2342.8494623655934</v>
      </c>
      <c r="F398" s="2">
        <v>-0.43554547988206238</v>
      </c>
      <c r="G398" s="2">
        <v>-1.0567058823529436</v>
      </c>
      <c r="H398" s="2">
        <v>-0.35566559677419107</v>
      </c>
      <c r="I398">
        <v>-2.2000000000000002</v>
      </c>
      <c r="J398">
        <v>-0.36899999999999999</v>
      </c>
      <c r="K398" s="2"/>
      <c r="M398" s="3"/>
      <c r="O398" s="5"/>
      <c r="P398" s="5"/>
    </row>
    <row r="399" spans="1:16" x14ac:dyDescent="0.3">
      <c r="A399">
        <v>1982</v>
      </c>
      <c r="B399">
        <v>11</v>
      </c>
      <c r="C399" s="1">
        <v>1982.83333333466</v>
      </c>
      <c r="D399" s="2">
        <v>-180.59999999999991</v>
      </c>
      <c r="E399" s="2">
        <v>-583.32795698924565</v>
      </c>
      <c r="F399" s="2">
        <v>0.14084205376342496</v>
      </c>
      <c r="G399" s="2">
        <v>-0.53652941176471458</v>
      </c>
      <c r="H399" s="2">
        <v>-0.28063725806451245</v>
      </c>
      <c r="I399">
        <v>-2.6</v>
      </c>
      <c r="J399">
        <v>-0.40600000000000003</v>
      </c>
      <c r="K399" s="2"/>
      <c r="M399" s="3"/>
      <c r="O399" s="5"/>
      <c r="P399" s="5"/>
    </row>
    <row r="400" spans="1:16" x14ac:dyDescent="0.3">
      <c r="A400">
        <v>1982</v>
      </c>
      <c r="B400">
        <v>10</v>
      </c>
      <c r="C400" s="1">
        <v>1982.7500000013299</v>
      </c>
      <c r="D400" s="2">
        <v>-208.63428571428574</v>
      </c>
      <c r="E400" s="2">
        <v>-929.6935483870966</v>
      </c>
      <c r="F400" s="2">
        <v>-0.34112056330211971</v>
      </c>
      <c r="G400" s="2">
        <v>-0.375058823529411</v>
      </c>
      <c r="H400" s="2">
        <v>-0.32064177419354678</v>
      </c>
      <c r="I400">
        <v>-1.7</v>
      </c>
      <c r="J400">
        <v>-0.36</v>
      </c>
      <c r="K400" s="2"/>
      <c r="M400" s="3"/>
      <c r="O400" s="5"/>
      <c r="P400" s="5"/>
    </row>
    <row r="401" spans="1:16" x14ac:dyDescent="0.3">
      <c r="A401">
        <v>1982</v>
      </c>
      <c r="B401">
        <v>9</v>
      </c>
      <c r="C401" s="1">
        <v>1982.6666666680001</v>
      </c>
      <c r="D401" s="2">
        <v>-218.3171428571429</v>
      </c>
      <c r="E401" s="2">
        <v>-1624.6612903225805</v>
      </c>
      <c r="F401" s="2">
        <v>6.2543430107535158E-2</v>
      </c>
      <c r="G401" s="2">
        <v>-1.2375588235294046</v>
      </c>
      <c r="H401" s="2">
        <v>-0.43385653225806564</v>
      </c>
      <c r="I401">
        <v>-1.7</v>
      </c>
      <c r="J401">
        <v>-0.29699999999999999</v>
      </c>
      <c r="K401" s="2"/>
      <c r="M401" s="3"/>
      <c r="O401" s="5"/>
      <c r="P401" s="5"/>
    </row>
    <row r="402" spans="1:16" x14ac:dyDescent="0.3">
      <c r="A402">
        <v>1982</v>
      </c>
      <c r="B402">
        <v>8</v>
      </c>
      <c r="C402" s="1">
        <v>1982.58333333467</v>
      </c>
      <c r="D402" s="2">
        <v>-159.23714285714277</v>
      </c>
      <c r="E402" s="2">
        <v>-553.5967741935483</v>
      </c>
      <c r="F402" s="2">
        <v>0.10482492715920699</v>
      </c>
      <c r="G402" s="2">
        <v>-0.90647058823529747</v>
      </c>
      <c r="H402" s="2">
        <v>-0.64532903225807203</v>
      </c>
      <c r="I402">
        <v>-1.7</v>
      </c>
      <c r="J402">
        <v>-0.29799999999999999</v>
      </c>
      <c r="K402" s="2"/>
      <c r="M402" s="3"/>
      <c r="O402" s="5"/>
      <c r="P402" s="5"/>
    </row>
    <row r="403" spans="1:16" x14ac:dyDescent="0.3">
      <c r="A403">
        <v>1982</v>
      </c>
      <c r="B403">
        <v>7</v>
      </c>
      <c r="C403" s="1">
        <v>1982.5000000013399</v>
      </c>
      <c r="D403" s="2">
        <v>-48.33428571428567</v>
      </c>
      <c r="E403" s="2">
        <v>1527.4677419354839</v>
      </c>
      <c r="F403" s="2">
        <v>-0.12924116024974808</v>
      </c>
      <c r="G403" s="2">
        <v>-0.9969117647058745</v>
      </c>
      <c r="H403" s="2">
        <v>-0.3596376774193466</v>
      </c>
      <c r="I403">
        <v>-1.5</v>
      </c>
      <c r="J403">
        <v>-0.218</v>
      </c>
      <c r="K403" s="2"/>
      <c r="M403" s="3"/>
      <c r="O403" s="5"/>
      <c r="P403" s="5"/>
    </row>
    <row r="404" spans="1:16" x14ac:dyDescent="0.3">
      <c r="A404">
        <v>1982</v>
      </c>
      <c r="B404">
        <v>6</v>
      </c>
      <c r="C404" s="1">
        <v>1982.4166666680101</v>
      </c>
      <c r="D404" s="2">
        <v>-41.78000000000003</v>
      </c>
      <c r="E404" s="2">
        <v>2840.4516129032254</v>
      </c>
      <c r="F404" s="2">
        <v>2.431322821653481E-2</v>
      </c>
      <c r="G404" s="2">
        <v>-0.48805882352941055</v>
      </c>
      <c r="H404" s="2">
        <v>4.474485483871149E-2</v>
      </c>
      <c r="I404">
        <v>-1</v>
      </c>
      <c r="J404">
        <v>-0.17299999999999999</v>
      </c>
      <c r="K404" s="2"/>
      <c r="M404" s="3"/>
      <c r="O404" s="5"/>
      <c r="P404" s="5"/>
    </row>
    <row r="405" spans="1:16" x14ac:dyDescent="0.3">
      <c r="A405">
        <v>1982</v>
      </c>
      <c r="B405">
        <v>5</v>
      </c>
      <c r="C405" s="1">
        <v>1982.33333333468</v>
      </c>
      <c r="D405" s="2">
        <v>-85.781999999999812</v>
      </c>
      <c r="E405" s="2">
        <v>2095.1612903225805</v>
      </c>
      <c r="F405" s="2">
        <v>-0.19413509191813461</v>
      </c>
      <c r="G405" s="2">
        <v>-0.38164705882353189</v>
      </c>
      <c r="H405" s="2">
        <v>2.9327177419361306E-2</v>
      </c>
      <c r="I405">
        <v>-0.3</v>
      </c>
      <c r="J405">
        <v>-0.18099999999999999</v>
      </c>
      <c r="K405" s="2"/>
      <c r="M405" s="3"/>
      <c r="O405" s="5"/>
      <c r="P405" s="5"/>
    </row>
    <row r="406" spans="1:16" x14ac:dyDescent="0.3">
      <c r="A406">
        <v>1982</v>
      </c>
      <c r="B406">
        <v>4</v>
      </c>
      <c r="C406" s="1">
        <v>1982.2500000013499</v>
      </c>
      <c r="D406" s="2">
        <v>-86.462000000000046</v>
      </c>
      <c r="E406" s="2">
        <v>1363.822580645161</v>
      </c>
      <c r="F406" s="2">
        <v>-0.40192228494622739</v>
      </c>
      <c r="G406" s="2">
        <v>-0.45297058823529923</v>
      </c>
      <c r="H406" s="2">
        <v>5.6071145161300961E-2</v>
      </c>
      <c r="I406">
        <v>0.1</v>
      </c>
      <c r="J406">
        <v>-0.17199999999999999</v>
      </c>
      <c r="K406" s="2"/>
      <c r="M406" s="3"/>
      <c r="O406" s="5"/>
      <c r="P406" s="5"/>
    </row>
    <row r="407" spans="1:16" x14ac:dyDescent="0.3">
      <c r="A407">
        <v>1982</v>
      </c>
      <c r="B407">
        <v>3</v>
      </c>
      <c r="C407" s="1">
        <v>1982.1666666680201</v>
      </c>
      <c r="D407" s="2">
        <v>-80.842857142857099</v>
      </c>
      <c r="E407" s="2">
        <v>991.6290322580644</v>
      </c>
      <c r="F407" s="2">
        <v>-0.64453973985432</v>
      </c>
      <c r="G407" s="2">
        <v>8.1470588235319497E-3</v>
      </c>
      <c r="H407" s="2">
        <v>-0.15519866129033133</v>
      </c>
      <c r="I407">
        <v>0.6</v>
      </c>
      <c r="J407">
        <v>-6.9000000000000006E-2</v>
      </c>
      <c r="K407" s="2"/>
      <c r="M407" s="3"/>
      <c r="O407" s="5"/>
      <c r="P407" s="5"/>
    </row>
    <row r="408" spans="1:16" x14ac:dyDescent="0.3">
      <c r="A408">
        <v>1982</v>
      </c>
      <c r="B408">
        <v>2</v>
      </c>
      <c r="C408" s="1">
        <v>1982.08333333469</v>
      </c>
      <c r="D408" s="2">
        <v>-58.174000000000007</v>
      </c>
      <c r="E408" s="2">
        <v>1331.2580645161288</v>
      </c>
      <c r="F408" s="2">
        <v>-0.11883913018432324</v>
      </c>
      <c r="G408" s="2">
        <v>0.18861764705882678</v>
      </c>
      <c r="H408" s="2">
        <v>0.15132075806451439</v>
      </c>
      <c r="I408">
        <v>0.3</v>
      </c>
      <c r="J408">
        <v>-6.8000000000000005E-2</v>
      </c>
      <c r="K408" s="2"/>
      <c r="M408" s="3"/>
      <c r="O408" s="5"/>
      <c r="P408" s="5"/>
    </row>
    <row r="409" spans="1:16" x14ac:dyDescent="0.3">
      <c r="A409">
        <v>1982</v>
      </c>
      <c r="B409">
        <v>1</v>
      </c>
      <c r="C409" s="1">
        <v>1982.0000000013599</v>
      </c>
      <c r="D409" s="2">
        <v>-77.751999999999953</v>
      </c>
      <c r="E409" s="2">
        <v>1321.2741935483873</v>
      </c>
      <c r="F409" s="2">
        <v>-0.28421064516129135</v>
      </c>
      <c r="G409" s="2">
        <v>0.17029411764706026</v>
      </c>
      <c r="H409" s="2">
        <v>0.16951817741935216</v>
      </c>
      <c r="I409">
        <v>1.2</v>
      </c>
      <c r="J409">
        <v>-7.0000000000000007E-2</v>
      </c>
      <c r="K409" s="2"/>
      <c r="M409" s="3"/>
      <c r="O409" s="5"/>
      <c r="P409" s="5"/>
    </row>
    <row r="410" spans="1:16" x14ac:dyDescent="0.3">
      <c r="A410">
        <v>1981</v>
      </c>
      <c r="B410">
        <v>12</v>
      </c>
      <c r="C410" s="1">
        <v>1981.9166666680301</v>
      </c>
      <c r="D410" s="2">
        <v>-144.95428571428579</v>
      </c>
      <c r="E410" s="2">
        <v>1660.1505376344066</v>
      </c>
      <c r="F410" s="2">
        <v>0.26445452011793691</v>
      </c>
      <c r="G410" s="2"/>
      <c r="H410" s="2">
        <v>1.2945403225806729E-2</v>
      </c>
      <c r="I410">
        <v>0.5</v>
      </c>
      <c r="J410">
        <v>5.0000000000000001E-3</v>
      </c>
      <c r="K410" s="2"/>
      <c r="M410" s="3"/>
      <c r="P410" s="5"/>
    </row>
    <row r="411" spans="1:16" x14ac:dyDescent="0.3">
      <c r="A411">
        <v>1981</v>
      </c>
      <c r="B411">
        <v>11</v>
      </c>
      <c r="C411" s="1">
        <v>1981.8333333347</v>
      </c>
      <c r="D411" s="2">
        <v>-159.49999999999989</v>
      </c>
      <c r="E411" s="2">
        <v>1165.6720430107544</v>
      </c>
      <c r="F411" s="2">
        <v>0.44084205376342567</v>
      </c>
      <c r="G411" s="2"/>
      <c r="H411" s="2">
        <v>-0.16285125806451362</v>
      </c>
      <c r="I411">
        <v>0.2</v>
      </c>
      <c r="J411">
        <v>-0.126</v>
      </c>
      <c r="K411" s="2"/>
      <c r="M411" s="3"/>
      <c r="P411" s="5"/>
    </row>
    <row r="412" spans="1:16" x14ac:dyDescent="0.3">
      <c r="A412">
        <v>1981</v>
      </c>
      <c r="B412">
        <v>10</v>
      </c>
      <c r="C412" s="1">
        <v>1981.7500000013699</v>
      </c>
      <c r="D412" s="2">
        <v>-125.93428571428575</v>
      </c>
      <c r="E412" s="2">
        <v>1281.3064516129034</v>
      </c>
      <c r="F412" s="2">
        <v>-4.1120563302122548E-2</v>
      </c>
      <c r="G412" s="2"/>
      <c r="H412" s="2">
        <v>-0.18891477419354885</v>
      </c>
      <c r="I412">
        <v>-0.4</v>
      </c>
      <c r="J412">
        <v>-0.17599999999999999</v>
      </c>
      <c r="K412" s="2"/>
      <c r="M412" s="3"/>
      <c r="P412" s="5"/>
    </row>
    <row r="413" spans="1:16" x14ac:dyDescent="0.3">
      <c r="A413">
        <v>1981</v>
      </c>
      <c r="B413">
        <v>9</v>
      </c>
      <c r="C413" s="1">
        <v>1981.6666666680401</v>
      </c>
      <c r="D413" s="2">
        <v>-78.417142857142892</v>
      </c>
      <c r="E413" s="2">
        <v>2695.3387096774195</v>
      </c>
      <c r="F413" s="2">
        <v>6.2543430107535158E-2</v>
      </c>
      <c r="G413" s="2"/>
      <c r="H413" s="2">
        <v>3.3352467741934788E-2</v>
      </c>
      <c r="I413">
        <v>0.3</v>
      </c>
      <c r="J413">
        <v>-2.5000000000000001E-2</v>
      </c>
      <c r="K413" s="2"/>
      <c r="M413" s="3"/>
      <c r="P413" s="5"/>
    </row>
    <row r="414" spans="1:16" x14ac:dyDescent="0.3">
      <c r="A414">
        <v>1981</v>
      </c>
      <c r="B414">
        <v>8</v>
      </c>
      <c r="C414" s="1">
        <v>1981.58333333471</v>
      </c>
      <c r="D414" s="2">
        <v>-33.43714285714276</v>
      </c>
      <c r="E414" s="2">
        <v>3404.4032258064517</v>
      </c>
      <c r="F414" s="2">
        <v>-0.29517507284079514</v>
      </c>
      <c r="G414" s="2"/>
      <c r="H414" s="2">
        <v>-3.5633032258072461E-2</v>
      </c>
      <c r="I414">
        <v>0.7</v>
      </c>
      <c r="J414">
        <v>-0.104</v>
      </c>
      <c r="K414" s="2"/>
      <c r="M414" s="3"/>
      <c r="P414" s="5"/>
    </row>
    <row r="415" spans="1:16" x14ac:dyDescent="0.3">
      <c r="A415">
        <v>1981</v>
      </c>
      <c r="B415">
        <v>7</v>
      </c>
      <c r="C415" s="1">
        <v>1981.5000000013799</v>
      </c>
      <c r="D415" s="2">
        <v>-11.33428571428567</v>
      </c>
      <c r="E415" s="2">
        <v>5525.4677419354839</v>
      </c>
      <c r="F415" s="2">
        <v>0.17075883975024908</v>
      </c>
      <c r="G415" s="2"/>
      <c r="H415" s="2">
        <v>0.19734732258065435</v>
      </c>
      <c r="I415">
        <v>0.8</v>
      </c>
      <c r="J415">
        <v>-8.4000000000000005E-2</v>
      </c>
      <c r="K415" s="2"/>
      <c r="M415" s="3"/>
      <c r="P415" s="5"/>
    </row>
    <row r="416" spans="1:16" x14ac:dyDescent="0.3">
      <c r="A416">
        <v>1981</v>
      </c>
      <c r="B416">
        <v>6</v>
      </c>
      <c r="C416" s="1">
        <v>1981.4166666680501</v>
      </c>
      <c r="D416" s="2">
        <v>-43.180000000000064</v>
      </c>
      <c r="E416" s="2">
        <v>5279.4516129032254</v>
      </c>
      <c r="F416" s="2">
        <v>-0.27568677178346235</v>
      </c>
      <c r="G416" s="2"/>
      <c r="H416" s="2">
        <v>0.2609778548387105</v>
      </c>
      <c r="I416">
        <v>1.2</v>
      </c>
      <c r="J416">
        <v>-5.0999999999999997E-2</v>
      </c>
      <c r="K416" s="2"/>
      <c r="M416" s="3"/>
      <c r="P416" s="5"/>
    </row>
    <row r="417" spans="1:16" x14ac:dyDescent="0.3">
      <c r="A417">
        <v>1981</v>
      </c>
      <c r="B417">
        <v>5</v>
      </c>
      <c r="C417" s="1">
        <v>1981.33333333472</v>
      </c>
      <c r="D417" s="2">
        <v>-108.88199999999981</v>
      </c>
      <c r="E417" s="2">
        <v>2734.1612903225805</v>
      </c>
      <c r="F417" s="2">
        <v>-0.19413509191813461</v>
      </c>
      <c r="G417" s="2"/>
      <c r="H417" s="2">
        <v>0.51400517741936014</v>
      </c>
      <c r="I417">
        <v>0.8</v>
      </c>
      <c r="J417">
        <v>-7.2999999999999995E-2</v>
      </c>
      <c r="K417" s="2"/>
      <c r="M417" s="3"/>
      <c r="P417" s="5"/>
    </row>
    <row r="418" spans="1:16" x14ac:dyDescent="0.3">
      <c r="A418">
        <v>1981</v>
      </c>
      <c r="B418">
        <v>4</v>
      </c>
      <c r="C418" s="1">
        <v>1981.2500000013899</v>
      </c>
      <c r="D418" s="2">
        <v>-130.06200000000004</v>
      </c>
      <c r="E418" s="2">
        <v>-4.1774193548390031</v>
      </c>
      <c r="F418" s="2">
        <v>-0.10192228494622668</v>
      </c>
      <c r="G418" s="2"/>
      <c r="H418" s="2">
        <v>-1.3146854838701927E-2</v>
      </c>
      <c r="I418">
        <v>-0.1</v>
      </c>
      <c r="J418">
        <v>-8.4000000000000005E-2</v>
      </c>
      <c r="K418" s="2"/>
      <c r="M418" s="3"/>
      <c r="P418" s="5"/>
    </row>
    <row r="419" spans="1:16" x14ac:dyDescent="0.3">
      <c r="A419">
        <v>1981</v>
      </c>
      <c r="B419">
        <v>3</v>
      </c>
      <c r="C419" s="1">
        <v>1981.1666666680601</v>
      </c>
      <c r="D419" s="2">
        <v>-104.6528571428571</v>
      </c>
      <c r="E419" s="2">
        <v>820.6290322580644</v>
      </c>
      <c r="F419" s="2">
        <v>0.35546026014568</v>
      </c>
      <c r="G419" s="2"/>
      <c r="H419" s="2">
        <v>0.63045733870966814</v>
      </c>
      <c r="I419">
        <v>-1.3</v>
      </c>
      <c r="J419">
        <v>1.2E-2</v>
      </c>
      <c r="K419" s="2"/>
      <c r="M419" s="3"/>
      <c r="P419" s="5"/>
    </row>
    <row r="420" spans="1:16" x14ac:dyDescent="0.3">
      <c r="A420">
        <v>1981</v>
      </c>
      <c r="B420">
        <v>2</v>
      </c>
      <c r="C420" s="1">
        <v>1981.08333333473</v>
      </c>
      <c r="D420" s="2">
        <v>-158.214</v>
      </c>
      <c r="E420" s="2">
        <v>-699.7419354838712</v>
      </c>
      <c r="F420" s="2">
        <v>0.18116086981567747</v>
      </c>
      <c r="G420" s="2"/>
      <c r="H420" s="2">
        <v>9.5008758064512477E-2</v>
      </c>
      <c r="I420">
        <v>-0.2</v>
      </c>
      <c r="J420">
        <v>-0.17</v>
      </c>
      <c r="K420" s="2"/>
      <c r="M420" s="3"/>
      <c r="P420" s="5"/>
    </row>
    <row r="421" spans="1:16" x14ac:dyDescent="0.3">
      <c r="A421">
        <v>1981</v>
      </c>
      <c r="B421">
        <v>1</v>
      </c>
      <c r="C421" s="1">
        <v>1981.0000000013999</v>
      </c>
      <c r="D421" s="2">
        <v>-171.35199999999998</v>
      </c>
      <c r="E421" s="2">
        <v>-315.7258064516127</v>
      </c>
      <c r="F421" s="2">
        <v>0.41578935483870794</v>
      </c>
      <c r="G421" s="2"/>
      <c r="H421" s="2">
        <v>7.3318177419348984E-2</v>
      </c>
      <c r="I421">
        <v>0.4</v>
      </c>
      <c r="J421">
        <v>-0.17100000000000001</v>
      </c>
      <c r="K421" s="2"/>
      <c r="M421" s="3"/>
      <c r="P421" s="5"/>
    </row>
    <row r="422" spans="1:16" x14ac:dyDescent="0.3">
      <c r="A422">
        <v>1980</v>
      </c>
      <c r="B422">
        <v>12</v>
      </c>
      <c r="C422" s="1">
        <v>1980.9166666680701</v>
      </c>
      <c r="D422" s="2"/>
      <c r="E422" s="2">
        <v>-1205.8494623655934</v>
      </c>
      <c r="F422" s="2">
        <v>0.36445452011793833</v>
      </c>
      <c r="G422" s="2"/>
      <c r="H422" s="2">
        <v>-0.14503859677419229</v>
      </c>
      <c r="I422">
        <v>-0.1</v>
      </c>
      <c r="J422">
        <v>-0.24299999999999999</v>
      </c>
      <c r="K422" s="2"/>
      <c r="L422" s="1"/>
      <c r="M422" s="3"/>
      <c r="P422" s="5"/>
    </row>
    <row r="423" spans="1:16" x14ac:dyDescent="0.3">
      <c r="A423">
        <v>1980</v>
      </c>
      <c r="B423">
        <v>11</v>
      </c>
      <c r="C423" s="1">
        <v>1980.83333333474</v>
      </c>
      <c r="D423" s="2"/>
      <c r="E423" s="2">
        <v>-943.32795698924565</v>
      </c>
      <c r="F423" s="2">
        <v>0.54084205376342354</v>
      </c>
      <c r="G423" s="2"/>
      <c r="H423" s="2">
        <v>-1.2666258064513158E-2</v>
      </c>
      <c r="I423">
        <v>-0.3</v>
      </c>
      <c r="J423">
        <v>-0.191</v>
      </c>
      <c r="K423" s="2"/>
      <c r="L423" s="1"/>
      <c r="M423" s="3"/>
      <c r="P423" s="5"/>
    </row>
    <row r="424" spans="1:16" x14ac:dyDescent="0.3">
      <c r="A424">
        <v>1980</v>
      </c>
      <c r="B424">
        <v>10</v>
      </c>
      <c r="C424" s="1">
        <v>1980.7500000014099</v>
      </c>
      <c r="D424" s="2"/>
      <c r="E424" s="2">
        <v>-632.6935483870966</v>
      </c>
      <c r="F424" s="2">
        <v>0.35887943669787958</v>
      </c>
      <c r="G424" s="2"/>
      <c r="H424" s="2">
        <v>-0.30208077419354851</v>
      </c>
      <c r="I424">
        <v>0</v>
      </c>
      <c r="J424">
        <v>-5.5E-2</v>
      </c>
      <c r="K424" s="2"/>
      <c r="L424" s="1"/>
      <c r="M424" s="3"/>
      <c r="P424" s="5"/>
    </row>
    <row r="425" spans="1:16" x14ac:dyDescent="0.3">
      <c r="A425">
        <v>1980</v>
      </c>
      <c r="B425">
        <v>9</v>
      </c>
      <c r="C425" s="1">
        <v>1980.6666666680801</v>
      </c>
      <c r="D425" s="2"/>
      <c r="E425" s="2">
        <v>-1511.6612903225805</v>
      </c>
      <c r="F425" s="2">
        <v>0.36254343010753587</v>
      </c>
      <c r="G425" s="2"/>
      <c r="H425" s="2">
        <v>-3.7274532258066984E-2</v>
      </c>
      <c r="I425">
        <v>-0.5</v>
      </c>
      <c r="J425">
        <v>-2E-3</v>
      </c>
      <c r="K425" s="2"/>
      <c r="L425" s="1"/>
      <c r="M425" s="3"/>
      <c r="P425" s="5"/>
    </row>
    <row r="426" spans="1:16" x14ac:dyDescent="0.3">
      <c r="A426">
        <v>1980</v>
      </c>
      <c r="B426">
        <v>8</v>
      </c>
      <c r="C426" s="1">
        <v>1980.58333333475</v>
      </c>
      <c r="D426" s="2"/>
      <c r="E426" s="2">
        <v>-1186.5967741935483</v>
      </c>
      <c r="F426" s="2">
        <v>0.20482492715920486</v>
      </c>
      <c r="G426" s="2"/>
      <c r="H426" s="2">
        <v>4.1959677419249886E-3</v>
      </c>
      <c r="I426">
        <v>0.4</v>
      </c>
      <c r="J426">
        <v>2.9000000000000001E-2</v>
      </c>
      <c r="K426" s="2"/>
      <c r="L426" s="1"/>
      <c r="M426" s="3"/>
      <c r="P426" s="5"/>
    </row>
    <row r="427" spans="1:16" x14ac:dyDescent="0.3">
      <c r="A427">
        <v>1980</v>
      </c>
      <c r="B427">
        <v>7</v>
      </c>
      <c r="C427" s="1">
        <v>1980.5000000014199</v>
      </c>
      <c r="D427" s="2"/>
      <c r="E427" s="2">
        <v>-2145.5322580645161</v>
      </c>
      <c r="F427" s="2">
        <v>0.2707588397502505</v>
      </c>
      <c r="G427" s="2"/>
      <c r="H427" s="2">
        <v>0.2707413225806512</v>
      </c>
      <c r="I427">
        <v>0</v>
      </c>
      <c r="J427">
        <v>5.6000000000000001E-2</v>
      </c>
      <c r="K427" s="2"/>
      <c r="L427" s="1"/>
      <c r="M427" s="3"/>
      <c r="P427" s="5"/>
    </row>
    <row r="428" spans="1:16" x14ac:dyDescent="0.3">
      <c r="A428">
        <v>1980</v>
      </c>
      <c r="B428">
        <v>6</v>
      </c>
      <c r="C428" s="1">
        <v>1980.4166666680901</v>
      </c>
      <c r="D428" s="2"/>
      <c r="E428" s="2">
        <v>-1615.5483870967746</v>
      </c>
      <c r="F428" s="2">
        <v>0.22431322821653765</v>
      </c>
      <c r="G428" s="2"/>
      <c r="H428" s="2">
        <v>0.21921585483871198</v>
      </c>
      <c r="I428">
        <v>0</v>
      </c>
      <c r="J428">
        <v>0.114</v>
      </c>
      <c r="K428" s="2"/>
      <c r="L428" s="1"/>
      <c r="M428" s="3"/>
      <c r="P428" s="5"/>
    </row>
    <row r="429" spans="1:16" x14ac:dyDescent="0.3">
      <c r="A429">
        <v>1980</v>
      </c>
      <c r="B429">
        <v>5</v>
      </c>
      <c r="C429" s="1">
        <v>1980.33333333476</v>
      </c>
      <c r="D429" s="2"/>
      <c r="E429" s="2">
        <v>-1792.8387096774195</v>
      </c>
      <c r="F429" s="2">
        <v>0.30586490808186539</v>
      </c>
      <c r="G429" s="2"/>
      <c r="H429" s="2">
        <v>0.32290017741935984</v>
      </c>
      <c r="I429">
        <v>0</v>
      </c>
      <c r="J429">
        <v>0.13500000000000001</v>
      </c>
      <c r="K429" s="2"/>
      <c r="L429" s="1"/>
      <c r="M429" s="3"/>
      <c r="P429" s="5"/>
    </row>
    <row r="430" spans="1:16" x14ac:dyDescent="0.3">
      <c r="A430">
        <v>1980</v>
      </c>
      <c r="B430">
        <v>4</v>
      </c>
      <c r="C430" s="1">
        <v>1980.25000000143</v>
      </c>
      <c r="D430" s="2"/>
      <c r="E430" s="2">
        <v>-1654.177419354839</v>
      </c>
      <c r="F430" s="2">
        <v>0.19807771505377048</v>
      </c>
      <c r="G430" s="2"/>
      <c r="H430" s="2">
        <v>-0.4287238548387009</v>
      </c>
      <c r="I430">
        <v>-0.6</v>
      </c>
      <c r="J430">
        <v>5.0000000000000001E-3</v>
      </c>
      <c r="K430" s="2"/>
      <c r="L430" s="1"/>
      <c r="M430" s="3"/>
      <c r="P430" s="5"/>
    </row>
    <row r="431" spans="1:16" x14ac:dyDescent="0.3">
      <c r="A431">
        <v>1980</v>
      </c>
      <c r="B431">
        <v>3</v>
      </c>
      <c r="C431" s="1">
        <v>1980.1666666681001</v>
      </c>
      <c r="D431" s="2"/>
      <c r="E431" s="2">
        <v>-989.3709677419356</v>
      </c>
      <c r="F431" s="2">
        <v>0.35546026014568</v>
      </c>
      <c r="G431" s="2"/>
      <c r="H431" s="2">
        <v>-0.43031866129033247</v>
      </c>
      <c r="I431">
        <v>-0.4</v>
      </c>
      <c r="J431">
        <v>-0.13300000000000001</v>
      </c>
      <c r="K431" s="2"/>
      <c r="L431" s="1"/>
      <c r="M431" s="3"/>
      <c r="P431" s="5"/>
    </row>
    <row r="432" spans="1:16" x14ac:dyDescent="0.3">
      <c r="A432">
        <v>1980</v>
      </c>
      <c r="B432">
        <v>2</v>
      </c>
      <c r="C432" s="1">
        <v>1980.08333333477</v>
      </c>
      <c r="D432" s="2"/>
      <c r="E432" s="2">
        <v>162.2580645161288</v>
      </c>
      <c r="F432" s="2">
        <v>0.38116086981567676</v>
      </c>
      <c r="G432" s="2"/>
      <c r="H432" s="2">
        <v>6.5610758064511998E-2</v>
      </c>
      <c r="I432">
        <v>0.3</v>
      </c>
      <c r="J432">
        <v>-7.2999999999999995E-2</v>
      </c>
      <c r="K432" s="2"/>
      <c r="L432" s="1"/>
      <c r="M432" s="3"/>
      <c r="P432" s="5"/>
    </row>
    <row r="433" spans="1:16" x14ac:dyDescent="0.3">
      <c r="A433">
        <v>1980</v>
      </c>
      <c r="B433">
        <v>1</v>
      </c>
      <c r="C433" s="1">
        <v>1980.00000000144</v>
      </c>
      <c r="D433" s="2"/>
      <c r="E433" s="2">
        <v>499.2741935483873</v>
      </c>
      <c r="F433" s="2">
        <v>0.41578935483870794</v>
      </c>
      <c r="G433" s="2"/>
      <c r="H433" s="2">
        <v>0.1842191774193509</v>
      </c>
      <c r="I433">
        <v>0.4</v>
      </c>
      <c r="J433">
        <v>4.0000000000000001E-3</v>
      </c>
      <c r="K433" s="2"/>
      <c r="L433" s="1"/>
      <c r="M433" s="3"/>
      <c r="P433" s="5"/>
    </row>
    <row r="434" spans="1:16" x14ac:dyDescent="0.3">
      <c r="A434">
        <v>1979</v>
      </c>
      <c r="B434">
        <v>12</v>
      </c>
      <c r="C434" s="1">
        <v>1979.9166666681101</v>
      </c>
      <c r="D434" s="2"/>
      <c r="E434" s="2">
        <v>2422.1505376344066</v>
      </c>
      <c r="F434" s="2">
        <v>0.36445452011793833</v>
      </c>
      <c r="G434" s="2"/>
      <c r="H434" s="2">
        <v>0.22663440322580897</v>
      </c>
      <c r="I434">
        <v>-0.7</v>
      </c>
      <c r="J434">
        <v>-5.3999999999999999E-2</v>
      </c>
      <c r="K434" s="2"/>
      <c r="L434" s="1"/>
      <c r="M434" s="3"/>
      <c r="P434" s="5"/>
    </row>
    <row r="435" spans="1:16" x14ac:dyDescent="0.3">
      <c r="A435">
        <v>1979</v>
      </c>
      <c r="B435">
        <v>11</v>
      </c>
      <c r="C435" s="1">
        <v>1979.83333333478</v>
      </c>
      <c r="D435" s="2"/>
      <c r="E435" s="2">
        <v>880.67204301075435</v>
      </c>
      <c r="F435" s="2">
        <v>0.54084205376342354</v>
      </c>
      <c r="G435" s="2"/>
      <c r="H435" s="2">
        <v>9.8388741935487189E-2</v>
      </c>
      <c r="I435">
        <v>-0.4</v>
      </c>
      <c r="J435">
        <v>-0.08</v>
      </c>
      <c r="K435" s="2"/>
      <c r="L435" s="1"/>
      <c r="M435" s="3"/>
      <c r="P435" s="5"/>
    </row>
    <row r="436" spans="1:16" x14ac:dyDescent="0.3">
      <c r="A436">
        <v>1979</v>
      </c>
      <c r="B436">
        <v>10</v>
      </c>
      <c r="C436" s="1">
        <v>1979.75000000145</v>
      </c>
      <c r="D436" s="2"/>
      <c r="E436" s="2">
        <v>493.3064516129034</v>
      </c>
      <c r="F436" s="2">
        <v>0.45887943669787745</v>
      </c>
      <c r="G436" s="2"/>
      <c r="H436" s="2">
        <v>-0.18958477419354836</v>
      </c>
      <c r="I436">
        <v>-0.1</v>
      </c>
      <c r="J436">
        <v>-8.2000000000000003E-2</v>
      </c>
      <c r="K436" s="2"/>
      <c r="L436" s="1"/>
      <c r="M436" s="3"/>
      <c r="P436" s="5"/>
    </row>
    <row r="437" spans="1:16" x14ac:dyDescent="0.3">
      <c r="A437">
        <v>1979</v>
      </c>
      <c r="B437">
        <v>9</v>
      </c>
      <c r="C437" s="1">
        <v>1979.6666666681199</v>
      </c>
      <c r="D437" s="2"/>
      <c r="E437" s="2">
        <v>539.3387096774195</v>
      </c>
      <c r="F437" s="2">
        <v>0.36254343010753587</v>
      </c>
      <c r="G437" s="2"/>
      <c r="H437" s="2">
        <v>-4.5629532258065097E-2</v>
      </c>
      <c r="I437">
        <v>0.1</v>
      </c>
      <c r="J437">
        <v>-0.104</v>
      </c>
      <c r="K437" s="2"/>
      <c r="L437" s="1"/>
      <c r="M437" s="3"/>
      <c r="P437" s="5"/>
    </row>
    <row r="438" spans="1:16" x14ac:dyDescent="0.3">
      <c r="A438">
        <v>1979</v>
      </c>
      <c r="B438">
        <v>8</v>
      </c>
      <c r="C438" s="1">
        <v>1979.58333333479</v>
      </c>
      <c r="D438" s="2"/>
      <c r="E438" s="2">
        <v>-521.5967741935483</v>
      </c>
      <c r="F438" s="2">
        <v>0.10482492715920699</v>
      </c>
      <c r="G438" s="2"/>
      <c r="H438" s="2">
        <v>-0.14140003225807263</v>
      </c>
      <c r="I438">
        <v>-0.2</v>
      </c>
      <c r="J438">
        <v>-0.11</v>
      </c>
      <c r="K438" s="2"/>
      <c r="L438" s="1"/>
      <c r="M438" s="3"/>
      <c r="P438" s="5"/>
    </row>
    <row r="439" spans="1:16" x14ac:dyDescent="0.3">
      <c r="A439">
        <v>1979</v>
      </c>
      <c r="B439">
        <v>7</v>
      </c>
      <c r="C439" s="1">
        <v>1979.50000000146</v>
      </c>
      <c r="D439" s="2"/>
      <c r="E439" s="2">
        <v>747.4677419354839</v>
      </c>
      <c r="F439" s="2">
        <v>0.17075883975024908</v>
      </c>
      <c r="G439" s="2"/>
      <c r="H439" s="2">
        <v>0.20049732258065234</v>
      </c>
      <c r="I439">
        <v>1.3</v>
      </c>
      <c r="J439">
        <v>-8.8999999999999996E-2</v>
      </c>
      <c r="K439" s="2"/>
      <c r="L439" s="1"/>
      <c r="M439" s="3"/>
      <c r="P439" s="5"/>
    </row>
    <row r="440" spans="1:16" x14ac:dyDescent="0.3">
      <c r="A440">
        <v>1979</v>
      </c>
      <c r="B440">
        <v>6</v>
      </c>
      <c r="C440" s="1">
        <v>1979.4166666681299</v>
      </c>
      <c r="D440" s="2"/>
      <c r="E440" s="2">
        <v>573.4516129032254</v>
      </c>
      <c r="F440" s="2">
        <v>0.12431322821653623</v>
      </c>
      <c r="G440" s="2"/>
      <c r="H440" s="2">
        <v>-9.1926145161288275E-2</v>
      </c>
      <c r="I440">
        <v>0.6</v>
      </c>
      <c r="J440">
        <v>-3.6999999999999998E-2</v>
      </c>
      <c r="K440" s="2"/>
      <c r="L440" s="1"/>
      <c r="M440" s="3"/>
      <c r="P440" s="5"/>
    </row>
    <row r="441" spans="1:16" x14ac:dyDescent="0.3">
      <c r="A441">
        <v>1979</v>
      </c>
      <c r="B441">
        <v>5</v>
      </c>
      <c r="C441" s="1">
        <v>1979.3333333348</v>
      </c>
      <c r="D441" s="2"/>
      <c r="E441" s="2">
        <v>30.161290322580498</v>
      </c>
      <c r="F441" s="2">
        <v>0.30586490808186539</v>
      </c>
      <c r="G441" s="2"/>
      <c r="H441" s="2">
        <v>-5.4012822580638442E-2</v>
      </c>
      <c r="I441">
        <v>0.5</v>
      </c>
      <c r="J441">
        <v>-0.112</v>
      </c>
      <c r="K441" s="2"/>
      <c r="L441" s="1"/>
      <c r="M441" s="3"/>
      <c r="P441" s="5"/>
    </row>
    <row r="442" spans="1:16" x14ac:dyDescent="0.3">
      <c r="A442">
        <v>1979</v>
      </c>
      <c r="B442">
        <v>4</v>
      </c>
      <c r="C442" s="1">
        <v>1979.25000000147</v>
      </c>
      <c r="D442" s="2"/>
      <c r="E442" s="2">
        <v>-749.177419354839</v>
      </c>
      <c r="F442" s="2">
        <v>0.19807771505377048</v>
      </c>
      <c r="G442" s="2"/>
      <c r="H442" s="2">
        <v>-0.33349585483869859</v>
      </c>
      <c r="I442">
        <v>-0.1</v>
      </c>
      <c r="J442">
        <v>-0.23200000000000001</v>
      </c>
      <c r="K442" s="2"/>
      <c r="L442" s="1"/>
      <c r="M442" s="3"/>
      <c r="P442" s="5"/>
    </row>
    <row r="443" spans="1:16" x14ac:dyDescent="0.3">
      <c r="A443">
        <v>1979</v>
      </c>
      <c r="B443">
        <v>3</v>
      </c>
      <c r="C443" s="1">
        <v>1979.1666666681399</v>
      </c>
      <c r="D443" s="2"/>
      <c r="E443" s="2">
        <v>-811.3709677419356</v>
      </c>
      <c r="F443" s="2">
        <v>0.45546026014567786</v>
      </c>
      <c r="G443" s="2"/>
      <c r="H443" s="2">
        <v>-2.8138661290331157E-2</v>
      </c>
      <c r="I443">
        <v>0.1</v>
      </c>
      <c r="J443">
        <v>-0.223</v>
      </c>
      <c r="K443" s="2"/>
      <c r="L443" s="1"/>
      <c r="M443" s="3"/>
      <c r="P443" s="5"/>
    </row>
    <row r="444" spans="1:16" x14ac:dyDescent="0.3">
      <c r="A444">
        <v>1979</v>
      </c>
      <c r="B444">
        <v>2</v>
      </c>
      <c r="C444" s="1">
        <v>1979.08333333481</v>
      </c>
      <c r="D444" s="2"/>
      <c r="E444" s="2">
        <v>-1667.7419354838712</v>
      </c>
      <c r="F444" s="2">
        <v>0.28116086981567534</v>
      </c>
      <c r="G444" s="2"/>
      <c r="H444" s="2">
        <v>8.6104758064514897E-2</v>
      </c>
      <c r="I444">
        <v>1</v>
      </c>
      <c r="J444">
        <v>-0.14599999999999999</v>
      </c>
      <c r="K444" s="2"/>
      <c r="L444" s="1"/>
      <c r="M444" s="3"/>
      <c r="P444" s="5"/>
    </row>
    <row r="445" spans="1:16" x14ac:dyDescent="0.3">
      <c r="A445">
        <v>1979</v>
      </c>
      <c r="B445">
        <v>1</v>
      </c>
      <c r="C445" s="1">
        <v>1979.00000000148</v>
      </c>
      <c r="D445" s="2"/>
      <c r="E445" s="2">
        <v>-1532.7258064516127</v>
      </c>
      <c r="F445" s="2">
        <v>0.51578935483870936</v>
      </c>
      <c r="G445" s="2"/>
      <c r="H445" s="2">
        <v>-0.29284182258064817</v>
      </c>
      <c r="I445">
        <v>-0.4</v>
      </c>
      <c r="J445">
        <v>-0.187</v>
      </c>
      <c r="K445" s="2"/>
      <c r="L445" s="1"/>
      <c r="M445" s="3"/>
      <c r="P445" s="5"/>
    </row>
    <row r="446" spans="1:16" x14ac:dyDescent="0.3">
      <c r="A446">
        <v>1978</v>
      </c>
      <c r="B446">
        <v>12</v>
      </c>
      <c r="C446" s="1">
        <v>1978.9166666681499</v>
      </c>
      <c r="D446" s="2"/>
      <c r="E446" s="2">
        <v>-765.84946236559335</v>
      </c>
      <c r="F446" s="2">
        <v>0.56445452011793762</v>
      </c>
      <c r="G446" s="2"/>
      <c r="H446" s="2">
        <v>-0.20255859677419252</v>
      </c>
      <c r="I446">
        <v>-0.1</v>
      </c>
      <c r="J446">
        <v>-0.17799999999999999</v>
      </c>
      <c r="K446" s="2"/>
      <c r="L446" s="1"/>
      <c r="M446" s="3"/>
      <c r="P446" s="5"/>
    </row>
    <row r="447" spans="1:16" x14ac:dyDescent="0.3">
      <c r="A447">
        <v>1978</v>
      </c>
      <c r="B447">
        <v>11</v>
      </c>
      <c r="C447" s="1">
        <v>1978.8333333348201</v>
      </c>
      <c r="D447" s="2"/>
      <c r="E447" s="2">
        <v>-462.32795698924565</v>
      </c>
      <c r="F447" s="2">
        <v>0.54084205376342354</v>
      </c>
      <c r="G447" s="2"/>
      <c r="H447" s="2">
        <v>-9.4760258064511049E-2</v>
      </c>
      <c r="I447">
        <v>0</v>
      </c>
      <c r="J447">
        <v>-0.115</v>
      </c>
      <c r="K447" s="2"/>
      <c r="L447" s="1"/>
      <c r="M447" s="3"/>
      <c r="P447" s="5"/>
    </row>
    <row r="448" spans="1:16" x14ac:dyDescent="0.3">
      <c r="A448">
        <v>1978</v>
      </c>
      <c r="B448">
        <v>10</v>
      </c>
      <c r="C448" s="1">
        <v>1978.75000000149</v>
      </c>
      <c r="D448" s="2"/>
      <c r="E448" s="2">
        <v>-714.6935483870966</v>
      </c>
      <c r="F448" s="2">
        <v>0.45887943669787745</v>
      </c>
      <c r="G448" s="2"/>
      <c r="H448" s="2">
        <v>-0.40875877419354723</v>
      </c>
      <c r="I448">
        <v>-0.4</v>
      </c>
      <c r="J448">
        <v>-0.20200000000000001</v>
      </c>
      <c r="K448" s="2"/>
      <c r="L448" s="1"/>
      <c r="M448" s="3"/>
      <c r="P448" s="5"/>
    </row>
    <row r="449" spans="1:16" x14ac:dyDescent="0.3">
      <c r="A449">
        <v>1978</v>
      </c>
      <c r="B449">
        <v>9</v>
      </c>
      <c r="C449" s="1">
        <v>1978.6666666681599</v>
      </c>
      <c r="D449" s="2"/>
      <c r="E449" s="2">
        <v>-1094.6612903225805</v>
      </c>
      <c r="F449" s="2">
        <v>0.36254343010753587</v>
      </c>
      <c r="G449" s="2"/>
      <c r="H449" s="2">
        <v>-0.71540653225806494</v>
      </c>
      <c r="I449">
        <v>0.1</v>
      </c>
      <c r="J449">
        <v>-0.185</v>
      </c>
      <c r="K449" s="2"/>
      <c r="L449" s="1"/>
      <c r="M449" s="3"/>
      <c r="P449" s="5"/>
    </row>
    <row r="450" spans="1:16" x14ac:dyDescent="0.3">
      <c r="A450">
        <v>1978</v>
      </c>
      <c r="B450">
        <v>8</v>
      </c>
      <c r="C450" s="1">
        <v>1978.5833333348301</v>
      </c>
      <c r="D450" s="2"/>
      <c r="E450" s="2">
        <v>-441.5967741935483</v>
      </c>
      <c r="F450" s="2">
        <v>0.10482492715920699</v>
      </c>
      <c r="G450" s="2"/>
      <c r="H450" s="2">
        <v>-0.33313203225807442</v>
      </c>
      <c r="I450">
        <v>0.4</v>
      </c>
      <c r="J450">
        <v>-0.222</v>
      </c>
      <c r="K450" s="2"/>
      <c r="L450" s="1"/>
      <c r="M450" s="3"/>
      <c r="P450" s="5"/>
    </row>
    <row r="451" spans="1:16" x14ac:dyDescent="0.3">
      <c r="A451">
        <v>1978</v>
      </c>
      <c r="B451">
        <v>7</v>
      </c>
      <c r="C451" s="1">
        <v>1978.5000000015</v>
      </c>
      <c r="D451" s="2"/>
      <c r="E451" s="2">
        <v>661.4677419354839</v>
      </c>
      <c r="F451" s="2">
        <v>0.17075883975024908</v>
      </c>
      <c r="G451" s="2"/>
      <c r="H451" s="2">
        <v>-0.36339467741934683</v>
      </c>
      <c r="I451">
        <v>0.6</v>
      </c>
      <c r="J451">
        <v>-0.27200000000000002</v>
      </c>
      <c r="K451" s="2"/>
      <c r="L451" s="1"/>
      <c r="M451" s="3"/>
      <c r="P451" s="5"/>
    </row>
    <row r="452" spans="1:16" x14ac:dyDescent="0.3">
      <c r="A452">
        <v>1978</v>
      </c>
      <c r="B452">
        <v>6</v>
      </c>
      <c r="C452" s="1">
        <v>1978.4166666681699</v>
      </c>
      <c r="D452" s="2"/>
      <c r="E452" s="2">
        <v>782.4516129032254</v>
      </c>
      <c r="F452" s="2">
        <v>0.12431322821653623</v>
      </c>
      <c r="G452" s="2"/>
      <c r="H452" s="2">
        <v>-0.42473414516128827</v>
      </c>
      <c r="I452">
        <v>0.7</v>
      </c>
      <c r="J452">
        <v>-0.32800000000000001</v>
      </c>
      <c r="K452" s="2"/>
      <c r="L452" s="1"/>
      <c r="M452" s="3"/>
      <c r="P452" s="5"/>
    </row>
    <row r="453" spans="1:16" x14ac:dyDescent="0.3">
      <c r="A453">
        <v>1978</v>
      </c>
      <c r="B453">
        <v>5</v>
      </c>
      <c r="C453" s="1">
        <v>1978.3333333348401</v>
      </c>
      <c r="D453" s="2"/>
      <c r="E453" s="2">
        <v>1443.1612903225805</v>
      </c>
      <c r="F453" s="2">
        <v>0.30586490808186539</v>
      </c>
      <c r="G453" s="2"/>
      <c r="H453" s="2">
        <v>0.33013317741935921</v>
      </c>
      <c r="I453">
        <v>1.4</v>
      </c>
      <c r="J453">
        <v>-0.19900000000000001</v>
      </c>
      <c r="K453" s="2"/>
      <c r="L453" s="1"/>
      <c r="M453" s="3"/>
      <c r="P453" s="5"/>
    </row>
    <row r="454" spans="1:16" x14ac:dyDescent="0.3">
      <c r="A454">
        <v>1978</v>
      </c>
      <c r="B454">
        <v>4</v>
      </c>
      <c r="C454" s="1">
        <v>1978.25000000151</v>
      </c>
      <c r="D454" s="2"/>
      <c r="E454" s="2">
        <v>909.822580645161</v>
      </c>
      <c r="F454" s="2">
        <v>0.2980777150537719</v>
      </c>
      <c r="G454" s="2"/>
      <c r="H454" s="2">
        <v>5.9333145161300394E-2</v>
      </c>
      <c r="I454">
        <v>-0.3</v>
      </c>
      <c r="J454">
        <v>-0.19</v>
      </c>
      <c r="K454" s="2"/>
      <c r="L454" s="1"/>
      <c r="M454" s="3"/>
      <c r="P454" s="5"/>
    </row>
    <row r="455" spans="1:16" x14ac:dyDescent="0.3">
      <c r="A455">
        <v>1978</v>
      </c>
      <c r="B455">
        <v>3</v>
      </c>
      <c r="C455" s="1">
        <v>1978.1666666681799</v>
      </c>
      <c r="D455" s="2"/>
      <c r="E455" s="2">
        <v>-1451.3709677419356</v>
      </c>
      <c r="F455" s="2">
        <v>0.45546026014567786</v>
      </c>
      <c r="G455" s="2"/>
      <c r="H455" s="2">
        <v>0.3335423387096661</v>
      </c>
      <c r="I455">
        <v>-0.2</v>
      </c>
      <c r="J455">
        <v>-0.154</v>
      </c>
      <c r="K455" s="2"/>
      <c r="L455" s="1"/>
      <c r="M455" s="3"/>
      <c r="P455" s="5"/>
    </row>
    <row r="456" spans="1:16" x14ac:dyDescent="0.3">
      <c r="A456">
        <v>1978</v>
      </c>
      <c r="B456">
        <v>2</v>
      </c>
      <c r="C456" s="1">
        <v>1978.0833333348501</v>
      </c>
      <c r="D456" s="2"/>
      <c r="E456" s="2">
        <v>-1717.7419354838712</v>
      </c>
      <c r="F456" s="2">
        <v>0.38116086981567676</v>
      </c>
      <c r="G456" s="2"/>
      <c r="H456" s="2">
        <v>0.37075075806451352</v>
      </c>
      <c r="I456">
        <v>-2.7</v>
      </c>
      <c r="J456">
        <v>-0.14299999999999999</v>
      </c>
      <c r="K456" s="2"/>
      <c r="L456" s="1"/>
      <c r="M456" s="3"/>
      <c r="P456" s="5"/>
    </row>
    <row r="457" spans="1:16" x14ac:dyDescent="0.3">
      <c r="A457">
        <v>1978</v>
      </c>
      <c r="B457">
        <v>1</v>
      </c>
      <c r="C457" s="1">
        <v>1978.00000000152</v>
      </c>
      <c r="D457" s="2"/>
      <c r="E457" s="2">
        <v>-1856.7258064516127</v>
      </c>
      <c r="F457" s="2">
        <v>0.51578935483870936</v>
      </c>
      <c r="G457" s="2"/>
      <c r="H457" s="2">
        <v>0.12426917741935029</v>
      </c>
      <c r="I457">
        <v>-0.3</v>
      </c>
      <c r="J457">
        <v>-0.10100000000000001</v>
      </c>
      <c r="K457" s="2"/>
      <c r="L457" s="1"/>
      <c r="M457" s="3"/>
      <c r="P457" s="5"/>
    </row>
    <row r="458" spans="1:16" x14ac:dyDescent="0.3">
      <c r="A458">
        <v>1977</v>
      </c>
      <c r="B458">
        <v>12</v>
      </c>
      <c r="C458" s="1">
        <v>1977.9166666681899</v>
      </c>
      <c r="D458" s="2"/>
      <c r="E458" s="2">
        <v>-9.8494623655933538</v>
      </c>
      <c r="F458" s="2">
        <v>0.56445452011793762</v>
      </c>
      <c r="G458" s="2"/>
      <c r="H458" s="2">
        <v>-5.3613596774191308E-2</v>
      </c>
      <c r="I458">
        <v>-1.1000000000000001</v>
      </c>
      <c r="J458">
        <v>-0.2</v>
      </c>
      <c r="K458" s="2"/>
      <c r="L458" s="1"/>
      <c r="M458" s="3"/>
      <c r="P458" s="5"/>
    </row>
    <row r="459" spans="1:16" x14ac:dyDescent="0.3">
      <c r="A459">
        <v>1977</v>
      </c>
      <c r="B459">
        <v>11</v>
      </c>
      <c r="C459" s="1">
        <v>1977.8333333348601</v>
      </c>
      <c r="D459" s="2"/>
      <c r="E459" s="2">
        <v>345.67204301075435</v>
      </c>
      <c r="F459" s="2">
        <v>0.54084205376342354</v>
      </c>
      <c r="G459" s="2"/>
      <c r="H459" s="2">
        <v>-0.1058712580645107</v>
      </c>
      <c r="I459">
        <v>-1.3</v>
      </c>
      <c r="J459">
        <v>-0.13800000000000001</v>
      </c>
      <c r="K459" s="2"/>
      <c r="L459" s="1"/>
      <c r="M459" s="3"/>
      <c r="P459" s="5"/>
    </row>
    <row r="460" spans="1:16" x14ac:dyDescent="0.3">
      <c r="A460">
        <v>1977</v>
      </c>
      <c r="B460">
        <v>10</v>
      </c>
      <c r="C460" s="1">
        <v>1977.75000000153</v>
      </c>
      <c r="D460" s="2"/>
      <c r="E460" s="2">
        <v>-369.6935483870966</v>
      </c>
      <c r="F460" s="2">
        <v>0.45887943669787745</v>
      </c>
      <c r="G460" s="2"/>
      <c r="H460" s="2">
        <v>-0.36258177419354709</v>
      </c>
      <c r="I460">
        <v>-1</v>
      </c>
      <c r="J460">
        <v>-0.22</v>
      </c>
      <c r="K460" s="2"/>
      <c r="L460" s="1"/>
      <c r="M460" s="3"/>
      <c r="P460" s="5"/>
    </row>
    <row r="461" spans="1:16" x14ac:dyDescent="0.3">
      <c r="A461">
        <v>1977</v>
      </c>
      <c r="B461">
        <v>9</v>
      </c>
      <c r="C461" s="1">
        <v>1977.6666666681999</v>
      </c>
      <c r="D461" s="2"/>
      <c r="E461" s="2">
        <v>-1917.6612903225805</v>
      </c>
      <c r="F461" s="2">
        <v>0.56254343010753516</v>
      </c>
      <c r="G461" s="2"/>
      <c r="H461" s="2">
        <v>-0.44516753225806482</v>
      </c>
      <c r="I461">
        <v>-0.8</v>
      </c>
      <c r="J461">
        <v>-0.22800000000000001</v>
      </c>
      <c r="K461" s="2"/>
      <c r="L461" s="1"/>
      <c r="M461" s="3"/>
      <c r="P461" s="5"/>
    </row>
    <row r="462" spans="1:16" x14ac:dyDescent="0.3">
      <c r="A462">
        <v>1977</v>
      </c>
      <c r="B462">
        <v>8</v>
      </c>
      <c r="C462" s="1">
        <v>1977.5833333348701</v>
      </c>
      <c r="D462" s="2"/>
      <c r="E462" s="2">
        <v>-1063.5967741935483</v>
      </c>
      <c r="F462" s="2">
        <v>-0.29517507284079514</v>
      </c>
      <c r="G462" s="2"/>
      <c r="H462" s="2">
        <v>-0.50313403225807463</v>
      </c>
      <c r="I462">
        <v>-0.8</v>
      </c>
      <c r="J462">
        <v>-0.14099999999999999</v>
      </c>
      <c r="K462" s="2"/>
      <c r="L462" s="1"/>
      <c r="M462" s="3"/>
      <c r="P462" s="5"/>
    </row>
    <row r="463" spans="1:16" x14ac:dyDescent="0.3">
      <c r="A463">
        <v>1977</v>
      </c>
      <c r="B463">
        <v>7</v>
      </c>
      <c r="C463" s="1">
        <v>1977.50000000153</v>
      </c>
      <c r="D463" s="2"/>
      <c r="E463" s="2">
        <v>-1752.5322580645161</v>
      </c>
      <c r="F463" s="2">
        <v>-0.42924116024974879</v>
      </c>
      <c r="G463" s="2"/>
      <c r="H463" s="2">
        <v>-0.58917667741934565</v>
      </c>
      <c r="I463">
        <v>-1.1000000000000001</v>
      </c>
      <c r="J463">
        <v>-0.10100000000000001</v>
      </c>
      <c r="K463" s="2"/>
      <c r="L463" s="1"/>
      <c r="M463" s="3"/>
      <c r="P463" s="5"/>
    </row>
    <row r="464" spans="1:16" x14ac:dyDescent="0.3">
      <c r="A464">
        <v>1977</v>
      </c>
      <c r="B464">
        <v>6</v>
      </c>
      <c r="C464" s="1">
        <v>1977.4166666681999</v>
      </c>
      <c r="D464" s="2"/>
      <c r="E464" s="2">
        <v>-1475.5483870967746</v>
      </c>
      <c r="F464" s="2">
        <v>-0.17568677178346448</v>
      </c>
      <c r="G464" s="2"/>
      <c r="H464" s="2">
        <v>-0.24037214516128813</v>
      </c>
      <c r="I464">
        <v>-0.9</v>
      </c>
      <c r="J464">
        <v>-0.10299999999999999</v>
      </c>
      <c r="K464" s="2"/>
      <c r="L464" s="1"/>
      <c r="M464" s="3"/>
      <c r="P464" s="5"/>
    </row>
    <row r="465" spans="1:16" x14ac:dyDescent="0.3">
      <c r="A465">
        <v>1977</v>
      </c>
      <c r="B465">
        <v>5</v>
      </c>
      <c r="C465" s="1">
        <v>1977.3333333348701</v>
      </c>
      <c r="D465" s="2"/>
      <c r="E465" s="2">
        <v>-2163.8387096774195</v>
      </c>
      <c r="F465" s="2">
        <v>-0.49413509191813532</v>
      </c>
      <c r="G465" s="2"/>
      <c r="H465" s="2">
        <v>-0.36079882258064089</v>
      </c>
      <c r="I465">
        <v>-0.5</v>
      </c>
      <c r="J465">
        <v>-0.16600000000000001</v>
      </c>
      <c r="K465" s="2"/>
      <c r="L465" s="1"/>
      <c r="M465" s="3"/>
      <c r="P465" s="5"/>
    </row>
    <row r="466" spans="1:16" x14ac:dyDescent="0.3">
      <c r="A466">
        <v>1977</v>
      </c>
      <c r="B466">
        <v>4</v>
      </c>
      <c r="C466" s="1">
        <v>1977.25000000154</v>
      </c>
      <c r="D466" s="2"/>
      <c r="E466" s="2">
        <v>-2053.177419354839</v>
      </c>
      <c r="F466" s="2">
        <v>-0.60192228494622668</v>
      </c>
      <c r="G466" s="2"/>
      <c r="H466" s="2">
        <v>-0.34817085483869903</v>
      </c>
      <c r="I466">
        <v>-0.4</v>
      </c>
      <c r="J466">
        <v>-0.21299999999999999</v>
      </c>
      <c r="K466" s="2"/>
      <c r="L466" s="1"/>
      <c r="M466" s="3"/>
      <c r="P466" s="5"/>
    </row>
    <row r="467" spans="1:16" x14ac:dyDescent="0.3">
      <c r="A467">
        <v>1977</v>
      </c>
      <c r="B467">
        <v>3</v>
      </c>
      <c r="C467" s="1">
        <v>1977.1666666682099</v>
      </c>
      <c r="D467" s="2"/>
      <c r="E467" s="2">
        <v>-2195.3709677419356</v>
      </c>
      <c r="F467" s="2">
        <v>-0.64453973985432</v>
      </c>
      <c r="G467" s="2"/>
      <c r="H467" s="2">
        <v>-0.16051866129033243</v>
      </c>
      <c r="I467">
        <v>-0.5</v>
      </c>
      <c r="J467">
        <v>-0.17899999999999999</v>
      </c>
      <c r="K467" s="2"/>
      <c r="L467" s="1"/>
      <c r="M467" s="3"/>
      <c r="P467" s="5"/>
    </row>
    <row r="468" spans="1:16" x14ac:dyDescent="0.3">
      <c r="A468">
        <v>1977</v>
      </c>
      <c r="B468">
        <v>2</v>
      </c>
      <c r="C468" s="1">
        <v>1977.0833333348801</v>
      </c>
      <c r="D468" s="2"/>
      <c r="E468" s="2">
        <v>-2373.7419354838712</v>
      </c>
      <c r="F468" s="2">
        <v>-0.31883913018432253</v>
      </c>
      <c r="G468" s="2"/>
      <c r="H468" s="2">
        <v>-1.9728241935485613E-2</v>
      </c>
      <c r="I468">
        <v>1.2</v>
      </c>
      <c r="J468">
        <v>-0.32900000000000001</v>
      </c>
      <c r="K468" s="2"/>
      <c r="L468" s="1"/>
      <c r="M468" s="3"/>
      <c r="P468" s="5"/>
    </row>
    <row r="469" spans="1:16" x14ac:dyDescent="0.3">
      <c r="A469">
        <v>1977</v>
      </c>
      <c r="B469">
        <v>1</v>
      </c>
      <c r="C469" s="1">
        <v>1977.00000000155</v>
      </c>
      <c r="D469" s="2"/>
      <c r="E469" s="2">
        <v>-3871.7258064516127</v>
      </c>
      <c r="F469" s="2">
        <v>-0.18421064516128993</v>
      </c>
      <c r="G469" s="2"/>
      <c r="H469" s="2">
        <v>-0.22731782258064825</v>
      </c>
      <c r="I469">
        <v>-0.4</v>
      </c>
      <c r="J469">
        <v>-0.38500000000000001</v>
      </c>
      <c r="K469" s="2"/>
      <c r="L469" s="1"/>
      <c r="M469" s="3"/>
      <c r="P469" s="5"/>
    </row>
    <row r="470" spans="1:16" x14ac:dyDescent="0.3">
      <c r="A470">
        <v>1976</v>
      </c>
      <c r="B470">
        <v>12</v>
      </c>
      <c r="C470" s="1">
        <v>1976.9166666682199</v>
      </c>
      <c r="D470" s="2"/>
      <c r="E470" s="2">
        <v>-2972.8494623655934</v>
      </c>
      <c r="F470" s="2">
        <v>-0.23554547988206309</v>
      </c>
      <c r="G470" s="2"/>
      <c r="H470" s="2">
        <v>-0.21600359677419334</v>
      </c>
      <c r="I470">
        <v>-0.3</v>
      </c>
      <c r="J470">
        <v>-0.42799999999999999</v>
      </c>
      <c r="K470" s="2"/>
      <c r="L470" s="1"/>
      <c r="M470" s="3"/>
      <c r="P470" s="5"/>
    </row>
    <row r="471" spans="1:16" x14ac:dyDescent="0.3">
      <c r="A471">
        <v>1976</v>
      </c>
      <c r="B471">
        <v>11</v>
      </c>
      <c r="C471" s="1">
        <v>1976.8333333348901</v>
      </c>
      <c r="D471" s="2"/>
      <c r="E471" s="2">
        <v>-940.32795698924565</v>
      </c>
      <c r="F471" s="2">
        <v>0.64084205376342496</v>
      </c>
      <c r="G471" s="2"/>
      <c r="H471" s="2">
        <v>-4.6714258064511682E-2</v>
      </c>
      <c r="I471">
        <v>0.7</v>
      </c>
      <c r="J471">
        <v>-0.41199999999999998</v>
      </c>
      <c r="K471" s="2"/>
      <c r="L471" s="1"/>
      <c r="M471" s="3"/>
      <c r="P471" s="5"/>
    </row>
    <row r="472" spans="1:16" x14ac:dyDescent="0.3">
      <c r="A472">
        <v>1976</v>
      </c>
      <c r="B472">
        <v>10</v>
      </c>
      <c r="C472" s="1">
        <v>1976.75000000156</v>
      </c>
      <c r="D472" s="2"/>
      <c r="E472" s="2">
        <v>-1434.6935483870966</v>
      </c>
      <c r="F472" s="2">
        <v>-0.14112056330212042</v>
      </c>
      <c r="G472" s="2"/>
      <c r="H472" s="2">
        <v>-0.10444877419354981</v>
      </c>
      <c r="I472">
        <v>0.4</v>
      </c>
      <c r="J472">
        <v>-0.28899999999999998</v>
      </c>
      <c r="K472" s="2"/>
      <c r="L472" s="1"/>
      <c r="M472" s="3"/>
      <c r="P472" s="5"/>
    </row>
    <row r="473" spans="1:16" x14ac:dyDescent="0.3">
      <c r="A473">
        <v>1976</v>
      </c>
      <c r="B473">
        <v>9</v>
      </c>
      <c r="C473" s="1">
        <v>1976.6666666682299</v>
      </c>
      <c r="D473" s="2"/>
      <c r="E473" s="2">
        <v>-3073.6612903225805</v>
      </c>
      <c r="F473" s="2">
        <v>-0.23745656989246555</v>
      </c>
      <c r="G473" s="2"/>
      <c r="H473" s="2">
        <v>-0.64181853225806762</v>
      </c>
      <c r="I473">
        <v>-1.1000000000000001</v>
      </c>
      <c r="J473">
        <v>-0.189</v>
      </c>
      <c r="K473" s="2"/>
      <c r="L473" s="1"/>
      <c r="M473" s="3"/>
      <c r="P473" s="5"/>
    </row>
    <row r="474" spans="1:16" x14ac:dyDescent="0.3">
      <c r="A474">
        <v>1976</v>
      </c>
      <c r="B474">
        <v>8</v>
      </c>
      <c r="C474" s="1">
        <v>1976.5833333349001</v>
      </c>
      <c r="D474" s="2"/>
      <c r="E474" s="2">
        <v>-1853.5967741935483</v>
      </c>
      <c r="F474" s="2">
        <v>-0.29517507284079514</v>
      </c>
      <c r="G474" s="2"/>
      <c r="H474" s="2">
        <v>-0.49421703225807434</v>
      </c>
      <c r="I474">
        <v>-0.8</v>
      </c>
      <c r="J474">
        <v>-0.18099999999999999</v>
      </c>
      <c r="K474" s="2"/>
      <c r="L474" s="1"/>
      <c r="M474" s="3"/>
      <c r="P474" s="5"/>
    </row>
    <row r="475" spans="1:16" x14ac:dyDescent="0.3">
      <c r="A475">
        <v>1976</v>
      </c>
      <c r="B475">
        <v>7</v>
      </c>
      <c r="C475" s="1">
        <v>1976.50000000157</v>
      </c>
      <c r="D475" s="2"/>
      <c r="E475" s="2">
        <v>-616.5322580645161</v>
      </c>
      <c r="F475" s="2">
        <v>-0.62924116024974808</v>
      </c>
      <c r="G475" s="2"/>
      <c r="H475" s="2">
        <v>-0.86688867741934672</v>
      </c>
      <c r="I475">
        <v>-0.9</v>
      </c>
      <c r="J475">
        <v>-0.30299999999999999</v>
      </c>
      <c r="K475" s="2"/>
      <c r="L475" s="1"/>
      <c r="M475" s="3"/>
      <c r="P475" s="5"/>
    </row>
    <row r="476" spans="1:16" x14ac:dyDescent="0.3">
      <c r="A476">
        <v>1976</v>
      </c>
      <c r="B476">
        <v>6</v>
      </c>
      <c r="C476" s="1">
        <v>1976.4166666682399</v>
      </c>
      <c r="D476" s="2"/>
      <c r="E476" s="2">
        <v>55.451612903225396</v>
      </c>
      <c r="F476" s="2">
        <v>-0.97568677178346519</v>
      </c>
      <c r="G476" s="2"/>
      <c r="H476" s="2">
        <v>-0.7416591451612895</v>
      </c>
      <c r="I476">
        <v>0.3</v>
      </c>
      <c r="J476">
        <v>-0.47899999999999998</v>
      </c>
      <c r="K476" s="2"/>
      <c r="L476" s="1"/>
      <c r="M476" s="3"/>
      <c r="P476" s="5"/>
    </row>
    <row r="477" spans="1:16" x14ac:dyDescent="0.3">
      <c r="A477">
        <v>1976</v>
      </c>
      <c r="B477">
        <v>5</v>
      </c>
      <c r="C477" s="1">
        <v>1976.3333333349101</v>
      </c>
      <c r="D477" s="2"/>
      <c r="E477" s="2">
        <v>965.1612903225805</v>
      </c>
      <c r="F477" s="2">
        <v>-0.3941350919181339</v>
      </c>
      <c r="G477" s="2"/>
      <c r="H477" s="2">
        <v>-0.69086082258063897</v>
      </c>
      <c r="I477">
        <v>0.4</v>
      </c>
      <c r="J477">
        <v>-0.48399999999999999</v>
      </c>
      <c r="K477" s="2"/>
      <c r="L477" s="1"/>
      <c r="M477" s="3"/>
      <c r="P477" s="5"/>
    </row>
    <row r="478" spans="1:16" x14ac:dyDescent="0.3">
      <c r="A478">
        <v>1976</v>
      </c>
      <c r="B478">
        <v>4</v>
      </c>
      <c r="C478" s="1">
        <v>1976.25000000158</v>
      </c>
      <c r="D478" s="2"/>
      <c r="E478" s="2">
        <v>979.822580645161</v>
      </c>
      <c r="F478" s="2">
        <v>-1.1019222849462267</v>
      </c>
      <c r="G478" s="2"/>
      <c r="H478" s="2">
        <v>-0.75048985483870112</v>
      </c>
      <c r="I478">
        <v>0.3</v>
      </c>
      <c r="J478">
        <v>-0.42199999999999999</v>
      </c>
      <c r="K478" s="2"/>
      <c r="L478" s="1"/>
      <c r="M478" s="3"/>
      <c r="P478" s="5"/>
    </row>
    <row r="479" spans="1:16" x14ac:dyDescent="0.3">
      <c r="A479">
        <v>1976</v>
      </c>
      <c r="B479">
        <v>3</v>
      </c>
      <c r="C479" s="1">
        <v>1976.1666666682499</v>
      </c>
      <c r="D479" s="2"/>
      <c r="E479" s="2">
        <v>1269.6290322580644</v>
      </c>
      <c r="F479" s="2">
        <v>-1.0445397398543221</v>
      </c>
      <c r="G479" s="2"/>
      <c r="H479" s="2">
        <v>-0.81749166129033313</v>
      </c>
      <c r="I479">
        <v>1.7</v>
      </c>
      <c r="J479">
        <v>-0.49</v>
      </c>
      <c r="K479" s="2"/>
      <c r="L479" s="1"/>
      <c r="M479" s="3"/>
      <c r="P479" s="5"/>
    </row>
    <row r="480" spans="1:16" x14ac:dyDescent="0.3">
      <c r="A480">
        <v>1976</v>
      </c>
      <c r="B480">
        <v>2</v>
      </c>
      <c r="C480" s="1">
        <v>1976.0833333349201</v>
      </c>
      <c r="D480" s="2"/>
      <c r="E480" s="2">
        <v>1559.2580645161288</v>
      </c>
      <c r="F480" s="2">
        <v>-1.3188391301843225</v>
      </c>
      <c r="G480" s="2"/>
      <c r="H480" s="2">
        <v>-0.74944924193548701</v>
      </c>
      <c r="I480">
        <v>1.7</v>
      </c>
      <c r="J480">
        <v>-0.437</v>
      </c>
      <c r="K480" s="2"/>
      <c r="L480" s="1"/>
      <c r="M480" s="3"/>
      <c r="P480" s="5"/>
    </row>
    <row r="481" spans="1:16" x14ac:dyDescent="0.3">
      <c r="A481">
        <v>1976</v>
      </c>
      <c r="B481">
        <v>1</v>
      </c>
      <c r="C481" s="1">
        <v>1976.00000000159</v>
      </c>
      <c r="D481" s="2"/>
      <c r="E481" s="2">
        <v>3431.2741935483873</v>
      </c>
      <c r="F481" s="2">
        <v>-0.88421064516128922</v>
      </c>
      <c r="G481" s="2"/>
      <c r="H481" s="2">
        <v>-0.51668682258064891</v>
      </c>
      <c r="I481">
        <v>1.4</v>
      </c>
      <c r="J481">
        <v>-0.38100000000000001</v>
      </c>
      <c r="K481" s="2"/>
      <c r="L481" s="1"/>
      <c r="M481" s="3"/>
      <c r="P481" s="5"/>
    </row>
    <row r="482" spans="1:16" x14ac:dyDescent="0.3">
      <c r="A482">
        <v>1975</v>
      </c>
      <c r="B482">
        <v>12</v>
      </c>
      <c r="C482" s="1">
        <v>1975.9166666682599</v>
      </c>
      <c r="D482" s="2"/>
      <c r="E482" s="2">
        <v>5454.1505376344066</v>
      </c>
      <c r="F482" s="2">
        <v>-1.1355454798820617</v>
      </c>
      <c r="G482" s="2"/>
      <c r="H482" s="2">
        <v>-0.70191059677419432</v>
      </c>
      <c r="I482">
        <v>2.1</v>
      </c>
      <c r="J482">
        <v>-0.318</v>
      </c>
      <c r="K482" s="2"/>
      <c r="L482" s="1"/>
      <c r="M482" s="3"/>
      <c r="P482" s="5"/>
    </row>
    <row r="483" spans="1:16" x14ac:dyDescent="0.3">
      <c r="A483">
        <v>1975</v>
      </c>
      <c r="B483">
        <v>11</v>
      </c>
      <c r="C483" s="1">
        <v>1975.8333333349301</v>
      </c>
      <c r="D483" s="2"/>
      <c r="E483" s="2">
        <v>5399.6720430107544</v>
      </c>
      <c r="F483" s="2">
        <v>-0.75915794623657362</v>
      </c>
      <c r="G483" s="2"/>
      <c r="H483" s="2">
        <v>-0.68361625806451087</v>
      </c>
      <c r="I483">
        <v>1.2</v>
      </c>
      <c r="J483">
        <v>-0.33700000000000002</v>
      </c>
      <c r="K483" s="2"/>
      <c r="L483" s="1"/>
      <c r="M483" s="3"/>
      <c r="P483" s="5"/>
    </row>
    <row r="484" spans="1:16" x14ac:dyDescent="0.3">
      <c r="A484">
        <v>1975</v>
      </c>
      <c r="B484">
        <v>10</v>
      </c>
      <c r="C484" s="1">
        <v>1975.7500000016</v>
      </c>
      <c r="D484" s="2"/>
      <c r="E484" s="2">
        <v>4054.3064516129034</v>
      </c>
      <c r="F484" s="2">
        <v>-1.2411205633021218</v>
      </c>
      <c r="G484" s="2"/>
      <c r="H484" s="2">
        <v>-0.56183877419354999</v>
      </c>
      <c r="I484">
        <v>1.7</v>
      </c>
      <c r="J484">
        <v>-0.35</v>
      </c>
      <c r="K484" s="2"/>
      <c r="L484" s="1"/>
      <c r="M484" s="3"/>
      <c r="P484" s="5"/>
    </row>
    <row r="485" spans="1:16" x14ac:dyDescent="0.3">
      <c r="A485">
        <v>1975</v>
      </c>
      <c r="B485">
        <v>9</v>
      </c>
      <c r="C485" s="1">
        <v>1975.66666666827</v>
      </c>
      <c r="D485" s="2"/>
      <c r="E485" s="2">
        <v>3049.3387096774195</v>
      </c>
      <c r="F485" s="2">
        <v>-0.73745656989246555</v>
      </c>
      <c r="G485" s="2"/>
      <c r="H485" s="2">
        <v>-0.3513045322580659</v>
      </c>
      <c r="I485">
        <v>2.1</v>
      </c>
      <c r="J485">
        <v>-0.33200000000000002</v>
      </c>
      <c r="K485" s="2"/>
      <c r="L485" s="1"/>
      <c r="M485" s="3"/>
      <c r="P485" s="5"/>
    </row>
    <row r="486" spans="1:16" x14ac:dyDescent="0.3">
      <c r="A486">
        <v>1975</v>
      </c>
      <c r="B486">
        <v>8</v>
      </c>
      <c r="C486" s="1">
        <v>1975.5833333349401</v>
      </c>
      <c r="D486" s="2"/>
      <c r="E486" s="2">
        <v>1745.4032258064517</v>
      </c>
      <c r="F486" s="2">
        <v>-0.99517507284079443</v>
      </c>
      <c r="G486" s="2"/>
      <c r="H486" s="2">
        <v>-0.50943803225807471</v>
      </c>
      <c r="I486">
        <v>2</v>
      </c>
      <c r="J486">
        <v>-0.18099999999999999</v>
      </c>
      <c r="K486" s="2"/>
      <c r="L486" s="1"/>
      <c r="M486" s="3"/>
      <c r="P486" s="5"/>
    </row>
    <row r="487" spans="1:16" x14ac:dyDescent="0.3">
      <c r="A487">
        <v>1975</v>
      </c>
      <c r="B487">
        <v>7</v>
      </c>
      <c r="C487" s="1">
        <v>1975.50000000161</v>
      </c>
      <c r="D487" s="2"/>
      <c r="E487" s="2">
        <v>666.4677419354839</v>
      </c>
      <c r="F487" s="2">
        <v>-0.82924116024975092</v>
      </c>
      <c r="G487" s="2"/>
      <c r="H487" s="2">
        <v>-0.55715467741934788</v>
      </c>
      <c r="I487">
        <v>1.9</v>
      </c>
      <c r="J487">
        <v>-0.26800000000000002</v>
      </c>
      <c r="K487" s="2"/>
      <c r="L487" s="1"/>
      <c r="M487" s="3"/>
      <c r="P487" s="5"/>
    </row>
    <row r="488" spans="1:16" x14ac:dyDescent="0.3">
      <c r="A488">
        <v>1975</v>
      </c>
      <c r="B488">
        <v>6</v>
      </c>
      <c r="C488" s="1">
        <v>1975.41666666828</v>
      </c>
      <c r="D488" s="2"/>
      <c r="E488" s="2">
        <v>-465.5483870967746</v>
      </c>
      <c r="F488" s="2">
        <v>-0.77568677178346235</v>
      </c>
      <c r="G488" s="2"/>
      <c r="H488" s="2">
        <v>-0.37163214516128917</v>
      </c>
      <c r="I488">
        <v>1.3</v>
      </c>
      <c r="J488">
        <v>-0.29099999999999998</v>
      </c>
      <c r="K488" s="2"/>
      <c r="L488" s="1"/>
      <c r="M488" s="3"/>
      <c r="P488" s="5"/>
    </row>
    <row r="489" spans="1:16" x14ac:dyDescent="0.3">
      <c r="A489">
        <v>1975</v>
      </c>
      <c r="B489">
        <v>5</v>
      </c>
      <c r="C489" s="1">
        <v>1975.3333333349501</v>
      </c>
      <c r="D489" s="2"/>
      <c r="E489" s="2">
        <v>-709.8387096774195</v>
      </c>
      <c r="F489" s="2">
        <v>-0.3941350919181339</v>
      </c>
      <c r="G489" s="2"/>
      <c r="H489" s="2">
        <v>-0.76314182258063923</v>
      </c>
      <c r="I489">
        <v>0.6</v>
      </c>
      <c r="J489">
        <v>-0.38400000000000001</v>
      </c>
      <c r="K489" s="2"/>
      <c r="L489" s="1"/>
      <c r="M489" s="3"/>
      <c r="P489" s="5"/>
    </row>
    <row r="490" spans="1:16" x14ac:dyDescent="0.3">
      <c r="A490">
        <v>1975</v>
      </c>
      <c r="B490">
        <v>4</v>
      </c>
      <c r="C490" s="1">
        <v>1975.25000000162</v>
      </c>
      <c r="D490" s="2"/>
      <c r="E490" s="2">
        <v>-764.177419354839</v>
      </c>
      <c r="F490" s="2">
        <v>-0.60192228494622668</v>
      </c>
      <c r="G490" s="2"/>
      <c r="H490" s="2">
        <v>-0.60199085483870007</v>
      </c>
      <c r="I490">
        <v>1.2</v>
      </c>
      <c r="J490">
        <v>-0.34100000000000003</v>
      </c>
      <c r="K490" s="2"/>
      <c r="L490" s="1"/>
      <c r="M490" s="3"/>
      <c r="P490" s="5"/>
    </row>
    <row r="491" spans="1:16" x14ac:dyDescent="0.3">
      <c r="A491">
        <v>1975</v>
      </c>
      <c r="B491">
        <v>3</v>
      </c>
      <c r="C491" s="1">
        <v>1975.16666666829</v>
      </c>
      <c r="D491" s="2"/>
      <c r="E491" s="2">
        <v>747.6290322580644</v>
      </c>
      <c r="F491" s="2">
        <v>-0.64453973985432</v>
      </c>
      <c r="G491" s="2"/>
      <c r="H491" s="2">
        <v>-0.38627766129033247</v>
      </c>
      <c r="I491">
        <v>1.6</v>
      </c>
      <c r="J491">
        <v>-0.30599999999999999</v>
      </c>
      <c r="K491" s="2"/>
      <c r="L491" s="1"/>
      <c r="M491" s="3"/>
      <c r="P491" s="5"/>
    </row>
    <row r="492" spans="1:16" x14ac:dyDescent="0.3">
      <c r="A492">
        <v>1975</v>
      </c>
      <c r="B492">
        <v>2</v>
      </c>
      <c r="C492" s="1">
        <v>1975.0833333349599</v>
      </c>
      <c r="D492" s="2"/>
      <c r="E492" s="2">
        <v>-613.7419354838712</v>
      </c>
      <c r="F492" s="2">
        <v>-0.41883913018432395</v>
      </c>
      <c r="G492" s="2"/>
      <c r="H492" s="2">
        <v>-0.65731624193548654</v>
      </c>
      <c r="I492">
        <v>0.8</v>
      </c>
      <c r="J492">
        <v>-0.33500000000000002</v>
      </c>
      <c r="K492" s="2"/>
      <c r="L492" s="1"/>
      <c r="M492" s="3"/>
      <c r="P492" s="5"/>
    </row>
    <row r="493" spans="1:16" x14ac:dyDescent="0.3">
      <c r="A493">
        <v>1975</v>
      </c>
      <c r="B493">
        <v>1</v>
      </c>
      <c r="C493" s="1">
        <v>1975.00000000163</v>
      </c>
      <c r="D493" s="2"/>
      <c r="E493" s="2">
        <v>11.274193548387302</v>
      </c>
      <c r="F493" s="2">
        <v>-8.4210645161292064E-2</v>
      </c>
      <c r="G493" s="2"/>
      <c r="H493" s="2">
        <v>-0.40384282258064985</v>
      </c>
      <c r="I493">
        <v>-0.5</v>
      </c>
      <c r="J493">
        <v>-0.26900000000000002</v>
      </c>
      <c r="K493" s="2"/>
      <c r="L493" s="1"/>
      <c r="M493" s="3"/>
      <c r="P493" s="5"/>
    </row>
    <row r="494" spans="1:16" x14ac:dyDescent="0.3">
      <c r="A494">
        <v>1974</v>
      </c>
      <c r="B494">
        <v>12</v>
      </c>
      <c r="C494" s="1">
        <v>1974.9166666683</v>
      </c>
      <c r="D494" s="2"/>
      <c r="E494" s="2">
        <v>4240.1505376344066</v>
      </c>
      <c r="F494" s="2">
        <v>0.26445452011793691</v>
      </c>
      <c r="G494" s="2"/>
      <c r="H494" s="2">
        <v>-0.30478259677419217</v>
      </c>
      <c r="I494">
        <v>0.2</v>
      </c>
      <c r="J494">
        <v>-0.35699999999999998</v>
      </c>
      <c r="K494" s="2"/>
      <c r="L494" s="1"/>
      <c r="M494" s="3"/>
      <c r="P494" s="5"/>
    </row>
    <row r="495" spans="1:16" x14ac:dyDescent="0.3">
      <c r="A495">
        <v>1974</v>
      </c>
      <c r="B495">
        <v>11</v>
      </c>
      <c r="C495" s="1">
        <v>1974.8333333349699</v>
      </c>
      <c r="D495" s="2"/>
      <c r="E495" s="2">
        <v>4492.6720430107544</v>
      </c>
      <c r="F495" s="2">
        <v>-0.15915794623657575</v>
      </c>
      <c r="G495" s="2"/>
      <c r="H495" s="2">
        <v>-0.6987912580645137</v>
      </c>
      <c r="I495">
        <v>-0.1</v>
      </c>
      <c r="J495">
        <v>-0.42199999999999999</v>
      </c>
      <c r="K495" s="2"/>
      <c r="L495" s="1"/>
      <c r="M495" s="3"/>
      <c r="P495" s="5"/>
    </row>
    <row r="496" spans="1:16" x14ac:dyDescent="0.3">
      <c r="A496">
        <v>1974</v>
      </c>
      <c r="B496">
        <v>10</v>
      </c>
      <c r="C496" s="1">
        <v>1974.75000000164</v>
      </c>
      <c r="D496" s="2"/>
      <c r="E496" s="2">
        <v>1948.3064516129034</v>
      </c>
      <c r="F496" s="2">
        <v>5.8879436697878873E-2</v>
      </c>
      <c r="G496" s="2"/>
      <c r="H496" s="2">
        <v>-0.50743377419354729</v>
      </c>
      <c r="I496">
        <v>0.9</v>
      </c>
      <c r="J496">
        <v>-0.504</v>
      </c>
      <c r="K496" s="2"/>
      <c r="L496" s="1"/>
      <c r="M496" s="3"/>
      <c r="P496" s="5"/>
    </row>
    <row r="497" spans="1:16" x14ac:dyDescent="0.3">
      <c r="A497">
        <v>1974</v>
      </c>
      <c r="B497">
        <v>9</v>
      </c>
      <c r="C497" s="1">
        <v>1974.66666666831</v>
      </c>
      <c r="D497" s="2"/>
      <c r="E497" s="2">
        <v>-331.6612903225805</v>
      </c>
      <c r="F497" s="2">
        <v>-0.13745656989246413</v>
      </c>
      <c r="G497" s="2"/>
      <c r="H497" s="2">
        <v>-0.23991553225806683</v>
      </c>
      <c r="I497">
        <v>1.1000000000000001</v>
      </c>
      <c r="J497">
        <v>-0.502</v>
      </c>
      <c r="K497" s="2"/>
      <c r="L497" s="1"/>
      <c r="M497" s="3"/>
      <c r="P497" s="5"/>
    </row>
    <row r="498" spans="1:16" x14ac:dyDescent="0.3">
      <c r="A498">
        <v>1974</v>
      </c>
      <c r="B498">
        <v>8</v>
      </c>
      <c r="C498" s="1">
        <v>1974.5833333349799</v>
      </c>
      <c r="D498" s="2"/>
      <c r="E498" s="2">
        <v>-422.5967741935483</v>
      </c>
      <c r="F498" s="2">
        <v>-0.29517507284079514</v>
      </c>
      <c r="G498" s="2"/>
      <c r="H498" s="2">
        <v>-0.54052603225807161</v>
      </c>
      <c r="I498">
        <v>0.8</v>
      </c>
      <c r="J498">
        <v>-0.46400000000000002</v>
      </c>
      <c r="K498" s="2"/>
      <c r="L498" s="1"/>
      <c r="M498" s="3"/>
      <c r="P498" s="5"/>
    </row>
    <row r="499" spans="1:16" x14ac:dyDescent="0.3">
      <c r="A499">
        <v>1974</v>
      </c>
      <c r="B499">
        <v>7</v>
      </c>
      <c r="C499" s="1">
        <v>1974.5000000016501</v>
      </c>
      <c r="D499" s="2"/>
      <c r="E499" s="2">
        <v>-788.5322580645161</v>
      </c>
      <c r="F499" s="2">
        <v>-0.32924116024975092</v>
      </c>
      <c r="G499" s="2"/>
      <c r="H499" s="2">
        <v>-0.653472677419348</v>
      </c>
      <c r="I499">
        <v>1.1000000000000001</v>
      </c>
      <c r="J499">
        <v>-0.51100000000000001</v>
      </c>
      <c r="K499" s="2"/>
      <c r="L499" s="1"/>
      <c r="M499" s="3"/>
      <c r="P499" s="5"/>
    </row>
    <row r="500" spans="1:16" x14ac:dyDescent="0.3">
      <c r="A500">
        <v>1974</v>
      </c>
      <c r="B500">
        <v>6</v>
      </c>
      <c r="C500" s="1">
        <v>1974.41666666832</v>
      </c>
      <c r="D500" s="2"/>
      <c r="E500" s="2">
        <v>-294.5483870967746</v>
      </c>
      <c r="F500" s="2">
        <v>-0.27568677178346235</v>
      </c>
      <c r="G500" s="2"/>
      <c r="H500" s="2">
        <v>-0.50852914516128678</v>
      </c>
      <c r="I500">
        <v>0.4</v>
      </c>
      <c r="J500">
        <v>-0.44400000000000001</v>
      </c>
      <c r="K500" s="2"/>
      <c r="L500" s="1"/>
      <c r="M500" s="3"/>
      <c r="P500" s="5"/>
    </row>
    <row r="501" spans="1:16" x14ac:dyDescent="0.3">
      <c r="A501">
        <v>1974</v>
      </c>
      <c r="B501">
        <v>5</v>
      </c>
      <c r="C501" s="1">
        <v>1974.3333333349899</v>
      </c>
      <c r="D501" s="2"/>
      <c r="E501" s="2">
        <v>726.1612903225805</v>
      </c>
      <c r="F501" s="2">
        <v>0.40586490808186682</v>
      </c>
      <c r="G501" s="2"/>
      <c r="H501" s="2">
        <v>-0.52812582258064111</v>
      </c>
      <c r="I501">
        <v>1</v>
      </c>
      <c r="J501">
        <v>-0.496</v>
      </c>
      <c r="K501" s="2"/>
      <c r="L501" s="1"/>
      <c r="M501" s="3"/>
      <c r="P501" s="5"/>
    </row>
    <row r="502" spans="1:16" x14ac:dyDescent="0.3">
      <c r="A502">
        <v>1974</v>
      </c>
      <c r="B502">
        <v>4</v>
      </c>
      <c r="C502" s="1">
        <v>1974.2500000016601</v>
      </c>
      <c r="D502" s="2"/>
      <c r="E502" s="2">
        <v>1201.822580645161</v>
      </c>
      <c r="F502" s="2">
        <v>-1.9222849462288139E-3</v>
      </c>
      <c r="G502" s="2"/>
      <c r="H502" s="2">
        <v>-0.58121685483870067</v>
      </c>
      <c r="I502">
        <v>0.9</v>
      </c>
      <c r="J502">
        <v>-0.52</v>
      </c>
      <c r="K502" s="2"/>
      <c r="L502" s="1"/>
      <c r="M502" s="3"/>
      <c r="P502" s="5"/>
    </row>
    <row r="503" spans="1:16" x14ac:dyDescent="0.3">
      <c r="A503">
        <v>1974</v>
      </c>
      <c r="B503">
        <v>3</v>
      </c>
      <c r="C503" s="1">
        <v>1974.16666666833</v>
      </c>
      <c r="D503" s="2"/>
      <c r="E503" s="2">
        <v>2300.6290322580644</v>
      </c>
      <c r="F503" s="2">
        <v>0.45546026014567786</v>
      </c>
      <c r="G503" s="2"/>
      <c r="H503" s="2">
        <v>-0.22580666129033133</v>
      </c>
      <c r="I503">
        <v>2.4</v>
      </c>
      <c r="J503">
        <v>-0.39800000000000002</v>
      </c>
      <c r="K503" s="2"/>
      <c r="L503" s="1"/>
      <c r="M503" s="3"/>
      <c r="P503" s="5"/>
    </row>
    <row r="504" spans="1:16" x14ac:dyDescent="0.3">
      <c r="A504">
        <v>1974</v>
      </c>
      <c r="B504">
        <v>2</v>
      </c>
      <c r="C504" s="1">
        <v>1974.0833333349999</v>
      </c>
      <c r="D504" s="2"/>
      <c r="E504" s="2">
        <v>2798.2580645161288</v>
      </c>
      <c r="F504" s="2">
        <v>8.1160869815676051E-2</v>
      </c>
      <c r="G504" s="2"/>
      <c r="H504" s="2">
        <v>-0.54025724193548541</v>
      </c>
      <c r="I504">
        <v>2.1</v>
      </c>
      <c r="J504">
        <v>-0.28000000000000003</v>
      </c>
      <c r="K504" s="2"/>
      <c r="L504" s="1"/>
      <c r="M504" s="3"/>
      <c r="P504" s="5"/>
    </row>
    <row r="505" spans="1:16" x14ac:dyDescent="0.3">
      <c r="A505">
        <v>1974</v>
      </c>
      <c r="B505">
        <v>1</v>
      </c>
      <c r="C505" s="1">
        <v>1974.0000000016701</v>
      </c>
      <c r="D505" s="2"/>
      <c r="E505" s="2">
        <v>3491.2741935483873</v>
      </c>
      <c r="F505" s="2">
        <v>1.5789354838709357E-2</v>
      </c>
      <c r="G505" s="2"/>
      <c r="H505" s="2">
        <v>-0.3847728225806506</v>
      </c>
      <c r="I505">
        <v>2.4</v>
      </c>
      <c r="J505">
        <v>-0.27200000000000002</v>
      </c>
      <c r="K505" s="2"/>
      <c r="L505" s="1"/>
      <c r="M505" s="3"/>
      <c r="P505" s="5"/>
    </row>
    <row r="506" spans="1:16" x14ac:dyDescent="0.3">
      <c r="A506">
        <v>1973</v>
      </c>
      <c r="B506">
        <v>12</v>
      </c>
      <c r="C506" s="1">
        <v>1973.91666666834</v>
      </c>
      <c r="D506" s="2"/>
      <c r="E506" s="2">
        <v>2812.1505376344066</v>
      </c>
      <c r="F506" s="2">
        <v>0.16445452011793904</v>
      </c>
      <c r="G506" s="2"/>
      <c r="H506" s="2">
        <v>-0.31937459677419255</v>
      </c>
      <c r="I506">
        <v>1.8</v>
      </c>
      <c r="J506">
        <v>-0.23400000000000001</v>
      </c>
      <c r="K506" s="2"/>
      <c r="L506" s="1"/>
      <c r="M506" s="3"/>
      <c r="P506" s="5"/>
    </row>
    <row r="507" spans="1:16" x14ac:dyDescent="0.3">
      <c r="A507">
        <v>1973</v>
      </c>
      <c r="B507">
        <v>11</v>
      </c>
      <c r="C507" s="1">
        <v>1973.8333333350099</v>
      </c>
      <c r="D507" s="2"/>
      <c r="E507" s="2">
        <v>2413.6720430107544</v>
      </c>
      <c r="F507" s="2">
        <v>-0.15915794623657575</v>
      </c>
      <c r="G507" s="2"/>
      <c r="H507" s="2">
        <v>-0.19558125806451088</v>
      </c>
      <c r="I507">
        <v>2.6</v>
      </c>
      <c r="J507">
        <v>-0.20599999999999999</v>
      </c>
      <c r="K507" s="2"/>
      <c r="L507" s="1"/>
      <c r="M507" s="3"/>
      <c r="P507" s="5"/>
    </row>
    <row r="508" spans="1:16" x14ac:dyDescent="0.3">
      <c r="A508">
        <v>1973</v>
      </c>
      <c r="B508">
        <v>10</v>
      </c>
      <c r="C508" s="1">
        <v>1973.7500000016801</v>
      </c>
      <c r="D508" s="2"/>
      <c r="E508" s="2">
        <v>2729.3064516129034</v>
      </c>
      <c r="F508" s="2">
        <v>5.8879436697878873E-2</v>
      </c>
      <c r="G508" s="2"/>
      <c r="H508" s="2">
        <v>-8.7717774193549758E-2</v>
      </c>
      <c r="I508">
        <v>0.8</v>
      </c>
      <c r="J508">
        <v>-0.21199999999999999</v>
      </c>
      <c r="K508" s="2"/>
      <c r="L508" s="1"/>
      <c r="M508" s="3"/>
      <c r="P508" s="5"/>
    </row>
    <row r="509" spans="1:16" x14ac:dyDescent="0.3">
      <c r="A509">
        <v>1973</v>
      </c>
      <c r="B509">
        <v>9</v>
      </c>
      <c r="C509" s="1">
        <v>1973.66666666835</v>
      </c>
      <c r="D509" s="2"/>
      <c r="E509" s="2">
        <v>1481.3387096774195</v>
      </c>
      <c r="F509" s="2">
        <v>-0.13745656989246413</v>
      </c>
      <c r="G509" s="2"/>
      <c r="H509" s="2">
        <v>-0.19769453225806544</v>
      </c>
      <c r="I509">
        <v>1.2</v>
      </c>
      <c r="J509">
        <v>-0.128</v>
      </c>
      <c r="K509" s="2"/>
      <c r="L509" s="1"/>
      <c r="M509" s="3"/>
      <c r="P509" s="5"/>
    </row>
    <row r="510" spans="1:16" x14ac:dyDescent="0.3">
      <c r="A510">
        <v>1973</v>
      </c>
      <c r="B510">
        <v>8</v>
      </c>
      <c r="C510" s="1">
        <v>1973.5833333350199</v>
      </c>
      <c r="D510" s="2"/>
      <c r="E510" s="2">
        <v>-29.596774193548299</v>
      </c>
      <c r="F510" s="2">
        <v>-0.29517507284079514</v>
      </c>
      <c r="G510" s="2"/>
      <c r="H510" s="2">
        <v>0.13636896774192664</v>
      </c>
      <c r="I510">
        <v>1.3</v>
      </c>
      <c r="J510">
        <v>-0.129</v>
      </c>
      <c r="K510" s="2"/>
      <c r="L510" s="1"/>
      <c r="M510" s="3"/>
      <c r="P510" s="5"/>
    </row>
    <row r="511" spans="1:16" x14ac:dyDescent="0.3">
      <c r="A511">
        <v>1973</v>
      </c>
      <c r="B511">
        <v>7</v>
      </c>
      <c r="C511" s="1">
        <v>1973.5000000016901</v>
      </c>
      <c r="D511" s="2"/>
      <c r="E511" s="2">
        <v>-1495.5322580645161</v>
      </c>
      <c r="F511" s="2">
        <v>-0.42924116024974879</v>
      </c>
      <c r="G511" s="2"/>
      <c r="H511" s="2">
        <v>3.6597322580654179E-2</v>
      </c>
      <c r="I511">
        <v>0.6</v>
      </c>
      <c r="J511">
        <v>-0.1</v>
      </c>
      <c r="K511" s="2"/>
      <c r="L511" s="1"/>
      <c r="M511" s="3"/>
      <c r="P511" s="5"/>
    </row>
    <row r="512" spans="1:16" x14ac:dyDescent="0.3">
      <c r="A512">
        <v>1973</v>
      </c>
      <c r="B512">
        <v>6</v>
      </c>
      <c r="C512" s="1">
        <v>1973.41666666836</v>
      </c>
      <c r="D512" s="2"/>
      <c r="E512" s="2">
        <v>-2808.5483870967746</v>
      </c>
      <c r="F512" s="2">
        <v>-0.37568677178346377</v>
      </c>
      <c r="G512" s="2"/>
      <c r="H512" s="2">
        <v>-0.19404414516128909</v>
      </c>
      <c r="I512">
        <v>1.1000000000000001</v>
      </c>
      <c r="J512">
        <v>-0.17199999999999999</v>
      </c>
      <c r="K512" s="2"/>
      <c r="L512" s="1"/>
      <c r="M512" s="3"/>
      <c r="P512" s="5"/>
    </row>
    <row r="513" spans="1:16" x14ac:dyDescent="0.3">
      <c r="A513">
        <v>1973</v>
      </c>
      <c r="B513">
        <v>5</v>
      </c>
      <c r="C513" s="1">
        <v>1973.3333333350299</v>
      </c>
      <c r="D513" s="2"/>
      <c r="E513" s="2">
        <v>-2402.8387096774195</v>
      </c>
      <c r="F513" s="2">
        <v>-0.3941350919181339</v>
      </c>
      <c r="G513" s="2"/>
      <c r="H513" s="2">
        <v>0.22449917741936076</v>
      </c>
      <c r="I513">
        <v>0.4</v>
      </c>
      <c r="J513">
        <v>-0.16600000000000001</v>
      </c>
      <c r="K513" s="2"/>
      <c r="L513" s="1"/>
      <c r="M513" s="3"/>
      <c r="P513" s="5"/>
    </row>
    <row r="514" spans="1:16" x14ac:dyDescent="0.3">
      <c r="A514">
        <v>1973</v>
      </c>
      <c r="B514">
        <v>4</v>
      </c>
      <c r="C514" s="1">
        <v>1973.2500000017001</v>
      </c>
      <c r="D514" s="2"/>
      <c r="E514" s="2">
        <v>-2046.177419354839</v>
      </c>
      <c r="F514" s="2">
        <v>-0.10192228494622668</v>
      </c>
      <c r="G514" s="2"/>
      <c r="H514" s="2">
        <v>-1.0632854838700467E-2</v>
      </c>
      <c r="I514">
        <v>0.1</v>
      </c>
      <c r="J514">
        <v>-0.26100000000000001</v>
      </c>
      <c r="K514" s="2"/>
      <c r="L514" s="1"/>
      <c r="M514" s="3"/>
      <c r="P514" s="5"/>
    </row>
    <row r="515" spans="1:16" x14ac:dyDescent="0.3">
      <c r="A515">
        <v>1973</v>
      </c>
      <c r="B515">
        <v>3</v>
      </c>
      <c r="C515" s="1">
        <v>1973.16666666837</v>
      </c>
      <c r="D515" s="2"/>
      <c r="E515" s="2">
        <v>-1844.3709677419356</v>
      </c>
      <c r="F515" s="2">
        <v>1.1554602601456772</v>
      </c>
      <c r="G515" s="2"/>
      <c r="H515" s="2">
        <v>0.30104433870966574</v>
      </c>
      <c r="I515">
        <v>0.7</v>
      </c>
      <c r="J515">
        <v>-0.34100000000000003</v>
      </c>
      <c r="K515" s="2"/>
      <c r="L515" s="1"/>
      <c r="M515" s="3"/>
      <c r="P515" s="5"/>
    </row>
    <row r="516" spans="1:16" x14ac:dyDescent="0.3">
      <c r="A516">
        <v>1973</v>
      </c>
      <c r="B516">
        <v>2</v>
      </c>
      <c r="C516" s="1">
        <v>1973.0833333350399</v>
      </c>
      <c r="D516" s="2"/>
      <c r="E516" s="2">
        <v>-2057.7419354838712</v>
      </c>
      <c r="F516" s="2">
        <v>0.48116086981567463</v>
      </c>
      <c r="G516" s="2"/>
      <c r="H516" s="2">
        <v>0.2782017580645153</v>
      </c>
      <c r="I516">
        <v>-1.4</v>
      </c>
      <c r="J516">
        <v>-0.39</v>
      </c>
      <c r="K516" s="2"/>
      <c r="L516" s="1"/>
      <c r="M516" s="3"/>
      <c r="P516" s="5"/>
    </row>
    <row r="517" spans="1:16" x14ac:dyDescent="0.3">
      <c r="A517">
        <v>1973</v>
      </c>
      <c r="B517">
        <v>1</v>
      </c>
      <c r="C517" s="1">
        <v>1973.0000000017101</v>
      </c>
      <c r="D517" s="2"/>
      <c r="E517" s="2">
        <v>-2843.7258064516127</v>
      </c>
      <c r="F517" s="2">
        <v>1.9157893548387079</v>
      </c>
      <c r="G517" s="2"/>
      <c r="H517" s="2">
        <v>0.21996517741935051</v>
      </c>
      <c r="I517">
        <v>-0.3</v>
      </c>
      <c r="J517">
        <v>-0.37</v>
      </c>
      <c r="K517" s="2"/>
      <c r="L517" s="1"/>
      <c r="M517" s="3"/>
      <c r="P517" s="5"/>
    </row>
    <row r="518" spans="1:16" x14ac:dyDescent="0.3">
      <c r="A518">
        <v>1972</v>
      </c>
      <c r="B518">
        <v>12</v>
      </c>
      <c r="C518" s="1">
        <v>1972.91666666838</v>
      </c>
      <c r="D518" s="2"/>
      <c r="E518" s="2">
        <v>-2365.8494623655934</v>
      </c>
      <c r="F518" s="2">
        <v>2.0644545201179376</v>
      </c>
      <c r="G518" s="2"/>
      <c r="H518" s="2">
        <v>0.13306140322580617</v>
      </c>
      <c r="I518">
        <v>-1.3</v>
      </c>
      <c r="J518">
        <v>-0.34699999999999998</v>
      </c>
      <c r="K518" s="2"/>
      <c r="L518" s="1"/>
      <c r="M518" s="3"/>
      <c r="P518" s="5"/>
    </row>
    <row r="519" spans="1:16" x14ac:dyDescent="0.3">
      <c r="A519">
        <v>1972</v>
      </c>
      <c r="B519">
        <v>11</v>
      </c>
      <c r="C519" s="1">
        <v>1972.8333333350499</v>
      </c>
      <c r="D519" s="2"/>
      <c r="E519" s="2">
        <v>-1946.3279569892456</v>
      </c>
      <c r="F519" s="2">
        <v>1.640842053763425</v>
      </c>
      <c r="G519" s="2"/>
      <c r="H519" s="2">
        <v>0.12576674193548953</v>
      </c>
      <c r="I519">
        <v>-0.3</v>
      </c>
      <c r="J519">
        <v>-0.27400000000000002</v>
      </c>
      <c r="K519" s="2"/>
      <c r="L519" s="1"/>
      <c r="M519" s="3"/>
      <c r="P519" s="5"/>
    </row>
    <row r="520" spans="1:16" x14ac:dyDescent="0.3">
      <c r="A520">
        <v>1972</v>
      </c>
      <c r="B520">
        <v>10</v>
      </c>
      <c r="C520" s="1">
        <v>1972.7500000017201</v>
      </c>
      <c r="D520" s="2"/>
      <c r="E520" s="2">
        <v>-1593.6935483870966</v>
      </c>
      <c r="F520" s="2">
        <v>1.7588794366978782</v>
      </c>
      <c r="G520" s="2"/>
      <c r="H520" s="2">
        <v>-1.5741774193546831E-2</v>
      </c>
      <c r="I520">
        <v>-0.9</v>
      </c>
      <c r="J520">
        <v>-0.28299999999999997</v>
      </c>
      <c r="K520" s="2"/>
      <c r="L520" s="1"/>
      <c r="M520" s="3"/>
      <c r="P520" s="5"/>
    </row>
    <row r="521" spans="1:16" x14ac:dyDescent="0.3">
      <c r="A521">
        <v>1972</v>
      </c>
      <c r="B521">
        <v>9</v>
      </c>
      <c r="C521" s="1">
        <v>1972.66666666839</v>
      </c>
      <c r="D521" s="2"/>
      <c r="E521" s="2">
        <v>-1057.6612903225805</v>
      </c>
      <c r="F521" s="2">
        <v>1.5625434301075352</v>
      </c>
      <c r="G521" s="2"/>
      <c r="H521" s="2">
        <v>-0.87331153225806801</v>
      </c>
      <c r="I521">
        <v>-1.4</v>
      </c>
      <c r="J521">
        <v>-0.29899999999999999</v>
      </c>
      <c r="K521" s="2"/>
      <c r="L521" s="1"/>
      <c r="M521" s="3"/>
      <c r="P521" s="5"/>
    </row>
    <row r="522" spans="1:16" x14ac:dyDescent="0.3">
      <c r="A522">
        <v>1972</v>
      </c>
      <c r="B522">
        <v>8</v>
      </c>
      <c r="C522" s="1">
        <v>1972.5833333350599</v>
      </c>
      <c r="D522" s="2"/>
      <c r="E522" s="2">
        <v>-890.5967741935483</v>
      </c>
      <c r="F522" s="2">
        <v>1.3048249271592063</v>
      </c>
      <c r="G522" s="2"/>
      <c r="H522" s="2">
        <v>-0.35694703225807345</v>
      </c>
      <c r="I522">
        <v>-0.5</v>
      </c>
      <c r="J522">
        <v>-0.38</v>
      </c>
      <c r="K522" s="2"/>
      <c r="L522" s="1"/>
      <c r="M522" s="3"/>
      <c r="P522" s="5"/>
    </row>
    <row r="523" spans="1:16" x14ac:dyDescent="0.3">
      <c r="A523">
        <v>1972</v>
      </c>
      <c r="B523">
        <v>7</v>
      </c>
      <c r="C523" s="1">
        <v>1972.5000000017301</v>
      </c>
      <c r="D523" s="2"/>
      <c r="E523" s="2">
        <v>1489.4677419354839</v>
      </c>
      <c r="F523" s="2">
        <v>0.97075883975024979</v>
      </c>
      <c r="G523" s="2"/>
      <c r="H523" s="2">
        <v>-0.188776677419348</v>
      </c>
      <c r="I523">
        <v>-1.4</v>
      </c>
      <c r="J523">
        <v>-0.372</v>
      </c>
      <c r="K523" s="2"/>
      <c r="L523" s="1"/>
      <c r="M523" s="3"/>
      <c r="P523" s="5"/>
    </row>
    <row r="524" spans="1:16" x14ac:dyDescent="0.3">
      <c r="A524">
        <v>1972</v>
      </c>
      <c r="B524">
        <v>6</v>
      </c>
      <c r="C524" s="1">
        <v>1972.4166666684</v>
      </c>
      <c r="D524" s="2"/>
      <c r="E524" s="2">
        <v>1635.4516129032254</v>
      </c>
      <c r="F524" s="2">
        <v>0.82431322821653552</v>
      </c>
      <c r="G524" s="2"/>
      <c r="H524" s="2">
        <v>-6.3226145161287661E-2</v>
      </c>
      <c r="I524">
        <v>-0.5</v>
      </c>
      <c r="J524">
        <v>-0.48499999999999999</v>
      </c>
      <c r="K524" s="2"/>
      <c r="L524" s="1"/>
      <c r="M524" s="3"/>
      <c r="P524" s="5"/>
    </row>
    <row r="525" spans="1:16" x14ac:dyDescent="0.3">
      <c r="A525">
        <v>1972</v>
      </c>
      <c r="B525">
        <v>5</v>
      </c>
      <c r="C525" s="1">
        <v>1972.3333333350699</v>
      </c>
      <c r="D525" s="2"/>
      <c r="E525" s="2">
        <v>1035.1612903225805</v>
      </c>
      <c r="F525" s="2">
        <v>-0.49413509191813532</v>
      </c>
      <c r="G525" s="2"/>
      <c r="H525" s="2">
        <v>-8.5294822580639362E-2</v>
      </c>
      <c r="I525">
        <v>-1.6</v>
      </c>
      <c r="J525">
        <v>-0.46600000000000003</v>
      </c>
      <c r="K525" s="2"/>
      <c r="L525" s="1"/>
      <c r="M525" s="3"/>
      <c r="P525" s="5"/>
    </row>
    <row r="526" spans="1:16" x14ac:dyDescent="0.3">
      <c r="A526">
        <v>1972</v>
      </c>
      <c r="B526">
        <v>4</v>
      </c>
      <c r="C526" s="1">
        <v>1972.2500000017401</v>
      </c>
      <c r="D526" s="2"/>
      <c r="E526" s="2">
        <v>419.822580645161</v>
      </c>
      <c r="F526" s="2">
        <v>-0.30192228494622952</v>
      </c>
      <c r="G526" s="2"/>
      <c r="H526" s="2">
        <v>-9.0788854838699251E-2</v>
      </c>
      <c r="I526">
        <v>-0.1</v>
      </c>
      <c r="J526">
        <v>-0.32300000000000001</v>
      </c>
      <c r="K526" s="2"/>
      <c r="L526" s="1"/>
      <c r="M526" s="3"/>
      <c r="P526" s="5"/>
    </row>
    <row r="527" spans="1:16" x14ac:dyDescent="0.3">
      <c r="A527">
        <v>1972</v>
      </c>
      <c r="B527">
        <v>3</v>
      </c>
      <c r="C527" s="1">
        <v>1972.16666666841</v>
      </c>
      <c r="D527" s="2"/>
      <c r="E527" s="2">
        <v>198.6290322580644</v>
      </c>
      <c r="F527" s="2">
        <v>-0.24453973985432143</v>
      </c>
      <c r="G527" s="2"/>
      <c r="H527" s="2">
        <v>-5.4330661290332927E-2</v>
      </c>
      <c r="I527">
        <v>0.6</v>
      </c>
      <c r="J527">
        <v>-0.436</v>
      </c>
      <c r="K527" s="2"/>
      <c r="L527" s="1"/>
      <c r="M527" s="3"/>
      <c r="P527" s="5"/>
    </row>
    <row r="528" spans="1:16" x14ac:dyDescent="0.3">
      <c r="A528">
        <v>1972</v>
      </c>
      <c r="B528">
        <v>2</v>
      </c>
      <c r="C528" s="1">
        <v>1972.0833333350799</v>
      </c>
      <c r="D528" s="2"/>
      <c r="E528" s="2">
        <v>1424.2580645161288</v>
      </c>
      <c r="F528" s="2">
        <v>-0.91883913018432395</v>
      </c>
      <c r="G528" s="2"/>
      <c r="H528" s="2">
        <v>-0.14337724193548596</v>
      </c>
      <c r="I528">
        <v>1.1000000000000001</v>
      </c>
      <c r="J528">
        <v>-0.377</v>
      </c>
      <c r="K528" s="2"/>
      <c r="L528" s="1"/>
      <c r="M528" s="3"/>
      <c r="P528" s="5"/>
    </row>
    <row r="529" spans="1:16" x14ac:dyDescent="0.3">
      <c r="A529">
        <v>1972</v>
      </c>
      <c r="B529">
        <v>1</v>
      </c>
      <c r="C529" s="1">
        <v>1972.0000000017501</v>
      </c>
      <c r="D529" s="2"/>
      <c r="E529" s="2">
        <v>219.2741935483873</v>
      </c>
      <c r="F529" s="2">
        <v>-0.48421064516129064</v>
      </c>
      <c r="G529" s="2"/>
      <c r="H529" s="2">
        <v>-0.46173682258065085</v>
      </c>
      <c r="I529">
        <v>0.5</v>
      </c>
      <c r="J529">
        <v>-0.315</v>
      </c>
      <c r="K529" s="2"/>
      <c r="L529" s="1"/>
      <c r="M529" s="3"/>
      <c r="P529" s="5"/>
    </row>
    <row r="530" spans="1:16" x14ac:dyDescent="0.3">
      <c r="A530">
        <v>1971</v>
      </c>
      <c r="B530">
        <v>12</v>
      </c>
      <c r="C530" s="1">
        <v>1971.91666666842</v>
      </c>
      <c r="D530" s="2"/>
      <c r="E530" s="2">
        <v>802.15053763440665</v>
      </c>
      <c r="F530" s="2">
        <v>-0.23554547988206309</v>
      </c>
      <c r="G530" s="2"/>
      <c r="H530" s="2">
        <v>-0.39988759677419239</v>
      </c>
      <c r="I530">
        <v>0.3</v>
      </c>
      <c r="J530">
        <v>-0.30499999999999999</v>
      </c>
      <c r="K530" s="2"/>
      <c r="L530" s="1"/>
      <c r="M530" s="3"/>
      <c r="P530" s="5"/>
    </row>
    <row r="531" spans="1:16" x14ac:dyDescent="0.3">
      <c r="A531">
        <v>1971</v>
      </c>
      <c r="B531">
        <v>11</v>
      </c>
      <c r="C531" s="1">
        <v>1971.8333333350899</v>
      </c>
      <c r="D531" s="2"/>
      <c r="E531" s="2">
        <v>2044.6720430107544</v>
      </c>
      <c r="F531" s="2">
        <v>-0.45915794623657646</v>
      </c>
      <c r="G531" s="2"/>
      <c r="H531" s="2">
        <v>-0.24531725806451021</v>
      </c>
      <c r="I531">
        <v>0.5</v>
      </c>
      <c r="J531">
        <v>-0.24</v>
      </c>
      <c r="K531" s="2"/>
      <c r="L531" s="1"/>
      <c r="M531" s="3"/>
      <c r="P531" s="5"/>
    </row>
    <row r="532" spans="1:16" x14ac:dyDescent="0.3">
      <c r="A532">
        <v>1971</v>
      </c>
      <c r="B532">
        <v>10</v>
      </c>
      <c r="C532" s="1">
        <v>1971.7500000017601</v>
      </c>
      <c r="D532" s="2"/>
      <c r="E532" s="2">
        <v>2670.3064516129034</v>
      </c>
      <c r="F532" s="2">
        <v>-0.14112056330212042</v>
      </c>
      <c r="G532" s="2"/>
      <c r="H532" s="2">
        <v>-0.32777677419354845</v>
      </c>
      <c r="I532">
        <v>1.7</v>
      </c>
      <c r="J532">
        <v>-0.23200000000000001</v>
      </c>
      <c r="K532" s="2"/>
      <c r="L532" s="1"/>
      <c r="M532" s="3"/>
      <c r="P532" s="5"/>
    </row>
    <row r="533" spans="1:16" x14ac:dyDescent="0.3">
      <c r="A533">
        <v>1971</v>
      </c>
      <c r="B533">
        <v>9</v>
      </c>
      <c r="C533" s="1">
        <v>1971.66666666843</v>
      </c>
      <c r="D533" s="2"/>
      <c r="E533" s="2">
        <v>2943.3387096774195</v>
      </c>
      <c r="F533" s="2">
        <v>-0.23745656989246555</v>
      </c>
      <c r="G533" s="2"/>
      <c r="H533" s="2">
        <v>-0.50632253225806778</v>
      </c>
      <c r="I533">
        <v>1.4</v>
      </c>
      <c r="J533">
        <v>-0.36299999999999999</v>
      </c>
      <c r="K533" s="2"/>
      <c r="L533" s="1"/>
      <c r="M533" s="3"/>
      <c r="P533" s="5"/>
    </row>
    <row r="534" spans="1:16" x14ac:dyDescent="0.3">
      <c r="A534">
        <v>1971</v>
      </c>
      <c r="B534">
        <v>8</v>
      </c>
      <c r="C534" s="1">
        <v>1971.5833333351</v>
      </c>
      <c r="D534" s="2"/>
      <c r="E534" s="2">
        <v>2320.4032258064517</v>
      </c>
      <c r="F534" s="2">
        <v>-0.29517507284079514</v>
      </c>
      <c r="G534" s="2"/>
      <c r="H534" s="2">
        <v>-0.47396303225807301</v>
      </c>
      <c r="I534">
        <v>1.5</v>
      </c>
      <c r="J534">
        <v>-0.432</v>
      </c>
      <c r="K534" s="2"/>
      <c r="L534" s="1"/>
      <c r="M534" s="3"/>
      <c r="P534" s="5"/>
    </row>
    <row r="535" spans="1:16" x14ac:dyDescent="0.3">
      <c r="A535">
        <v>1971</v>
      </c>
      <c r="B535">
        <v>7</v>
      </c>
      <c r="C535" s="1">
        <v>1971.5000000017701</v>
      </c>
      <c r="D535" s="2"/>
      <c r="E535" s="2">
        <v>2889.4677419354839</v>
      </c>
      <c r="F535" s="2">
        <v>-0.2292411602497495</v>
      </c>
      <c r="G535" s="2"/>
      <c r="H535" s="2">
        <v>-0.51981667741934601</v>
      </c>
      <c r="I535">
        <v>0.2</v>
      </c>
      <c r="J535">
        <v>-0.34699999999999998</v>
      </c>
      <c r="K535" s="2"/>
      <c r="L535" s="1"/>
      <c r="M535" s="3"/>
      <c r="P535" s="5"/>
    </row>
    <row r="536" spans="1:16" x14ac:dyDescent="0.3">
      <c r="A536">
        <v>1971</v>
      </c>
      <c r="B536">
        <v>6</v>
      </c>
      <c r="C536" s="1">
        <v>1971.41666666844</v>
      </c>
      <c r="D536" s="2"/>
      <c r="E536" s="2">
        <v>3215.4516129032254</v>
      </c>
      <c r="F536" s="2">
        <v>-7.5686771783463058E-2</v>
      </c>
      <c r="G536" s="2"/>
      <c r="H536" s="2">
        <v>-0.51897214516128898</v>
      </c>
      <c r="I536">
        <v>0.4</v>
      </c>
      <c r="J536">
        <v>-0.36</v>
      </c>
      <c r="K536" s="2"/>
      <c r="L536" s="1"/>
      <c r="M536" s="3"/>
      <c r="P536" s="5"/>
    </row>
    <row r="537" spans="1:16" x14ac:dyDescent="0.3">
      <c r="A537">
        <v>1971</v>
      </c>
      <c r="B537">
        <v>5</v>
      </c>
      <c r="C537" s="1">
        <v>1971.33333333511</v>
      </c>
      <c r="D537" s="2"/>
      <c r="E537" s="2">
        <v>3038.1612903225805</v>
      </c>
      <c r="F537" s="2">
        <v>5.8649080818646837E-3</v>
      </c>
      <c r="G537" s="2"/>
      <c r="H537" s="2">
        <v>-0.25181582258063884</v>
      </c>
      <c r="I537">
        <v>0.9</v>
      </c>
      <c r="J537">
        <v>-0.32400000000000001</v>
      </c>
      <c r="K537" s="2"/>
      <c r="L537" s="1"/>
      <c r="M537" s="3"/>
      <c r="P537" s="5"/>
    </row>
    <row r="538" spans="1:16" x14ac:dyDescent="0.3">
      <c r="A538">
        <v>1971</v>
      </c>
      <c r="B538">
        <v>4</v>
      </c>
      <c r="C538" s="1">
        <v>1971.2500000017801</v>
      </c>
      <c r="D538" s="2"/>
      <c r="E538" s="2">
        <v>4030.822580645161</v>
      </c>
      <c r="F538" s="2">
        <v>0.39807771505377332</v>
      </c>
      <c r="G538" s="2"/>
      <c r="H538" s="2">
        <v>-0.26082685483870094</v>
      </c>
      <c r="I538">
        <v>1.7</v>
      </c>
      <c r="J538">
        <v>-0.41</v>
      </c>
      <c r="K538" s="2"/>
      <c r="L538" s="1"/>
      <c r="M538" s="3"/>
      <c r="P538" s="5"/>
    </row>
    <row r="539" spans="1:16" x14ac:dyDescent="0.3">
      <c r="A539">
        <v>1971</v>
      </c>
      <c r="B539">
        <v>3</v>
      </c>
      <c r="C539" s="1">
        <v>1971.16666666845</v>
      </c>
      <c r="D539" s="2"/>
      <c r="E539" s="2">
        <v>3926.6290322580644</v>
      </c>
      <c r="F539" s="2">
        <v>0.85546026014568</v>
      </c>
      <c r="G539" s="2"/>
      <c r="H539" s="2">
        <v>-0.23880566129033198</v>
      </c>
      <c r="I539">
        <v>2.2999999999999998</v>
      </c>
      <c r="J539">
        <v>-0.307</v>
      </c>
      <c r="K539" s="2"/>
      <c r="L539" s="1"/>
      <c r="M539" s="3"/>
      <c r="P539" s="5"/>
    </row>
    <row r="540" spans="1:16" x14ac:dyDescent="0.3">
      <c r="A540">
        <v>1971</v>
      </c>
      <c r="B540">
        <v>2</v>
      </c>
      <c r="C540" s="1">
        <v>1971.08333333512</v>
      </c>
      <c r="D540" s="2"/>
      <c r="E540" s="2">
        <v>4584.2580645161288</v>
      </c>
      <c r="F540" s="2">
        <v>0.68116086981567747</v>
      </c>
      <c r="G540" s="2"/>
      <c r="H540" s="2">
        <v>-0.28843324193548625</v>
      </c>
      <c r="I540">
        <v>2</v>
      </c>
      <c r="J540">
        <v>-0.28899999999999998</v>
      </c>
      <c r="K540" s="2"/>
      <c r="L540" s="1"/>
      <c r="M540" s="3"/>
      <c r="P540" s="5"/>
    </row>
    <row r="541" spans="1:16" x14ac:dyDescent="0.3">
      <c r="A541">
        <v>1971</v>
      </c>
      <c r="B541">
        <v>1</v>
      </c>
      <c r="C541" s="1">
        <v>1971.0000000017901</v>
      </c>
      <c r="D541" s="2"/>
      <c r="E541" s="2">
        <v>3870.2741935483873</v>
      </c>
      <c r="F541" s="2">
        <v>0.81578935483871007</v>
      </c>
      <c r="G541" s="2"/>
      <c r="H541" s="2">
        <v>-0.23302482258064927</v>
      </c>
      <c r="I541">
        <v>0.4</v>
      </c>
      <c r="J541">
        <v>-0.24299999999999999</v>
      </c>
      <c r="K541" s="2"/>
      <c r="L541" s="1"/>
      <c r="M541" s="3"/>
      <c r="P541" s="5"/>
    </row>
    <row r="542" spans="1:16" x14ac:dyDescent="0.3">
      <c r="A542">
        <v>1970</v>
      </c>
      <c r="B542">
        <v>12</v>
      </c>
      <c r="C542" s="1">
        <v>1970.91666666846</v>
      </c>
      <c r="D542" s="2"/>
      <c r="E542" s="2">
        <v>564.15053763440665</v>
      </c>
      <c r="F542" s="2">
        <v>0.56445452011793762</v>
      </c>
      <c r="G542" s="2"/>
      <c r="H542" s="2">
        <v>-0.18372759677419381</v>
      </c>
      <c r="I542">
        <v>1.9</v>
      </c>
      <c r="J542">
        <v>-0.20699999999999999</v>
      </c>
      <c r="K542" s="2"/>
      <c r="L542" s="1"/>
      <c r="M542" s="3"/>
      <c r="P542" s="5"/>
    </row>
    <row r="543" spans="1:16" x14ac:dyDescent="0.3">
      <c r="A543">
        <v>1970</v>
      </c>
      <c r="B543">
        <v>11</v>
      </c>
      <c r="C543" s="1">
        <v>1970.83333333513</v>
      </c>
      <c r="D543" s="2"/>
      <c r="E543" s="2">
        <v>606.67204301075435</v>
      </c>
      <c r="F543" s="2">
        <v>4.0842053763423536E-2</v>
      </c>
      <c r="G543" s="2"/>
      <c r="H543" s="2">
        <v>-2.5313258064510791E-2</v>
      </c>
      <c r="I543">
        <v>1.6</v>
      </c>
      <c r="J543">
        <v>-0.23799999999999999</v>
      </c>
      <c r="K543" s="2"/>
      <c r="L543" s="1"/>
      <c r="M543" s="3"/>
      <c r="P543" s="5"/>
    </row>
    <row r="544" spans="1:16" x14ac:dyDescent="0.3">
      <c r="A544">
        <v>1970</v>
      </c>
      <c r="B544">
        <v>10</v>
      </c>
      <c r="C544" s="1">
        <v>1970.7500000017999</v>
      </c>
      <c r="D544" s="2"/>
      <c r="E544" s="2">
        <v>2417.3064516129034</v>
      </c>
      <c r="F544" s="2">
        <v>0.15887943669788029</v>
      </c>
      <c r="G544" s="2"/>
      <c r="H544" s="2">
        <v>-0.21408377419354707</v>
      </c>
      <c r="I544">
        <v>1</v>
      </c>
      <c r="J544">
        <v>-0.19400000000000001</v>
      </c>
      <c r="K544" s="2"/>
      <c r="L544" s="1"/>
      <c r="M544" s="3"/>
      <c r="P544" s="5"/>
    </row>
    <row r="545" spans="1:16" x14ac:dyDescent="0.3">
      <c r="A545">
        <v>1970</v>
      </c>
      <c r="B545">
        <v>9</v>
      </c>
      <c r="C545" s="1">
        <v>1970.66666666847</v>
      </c>
      <c r="D545" s="2"/>
      <c r="E545" s="2">
        <v>2451.3387096774195</v>
      </c>
      <c r="F545" s="2">
        <v>-0.73745656989246555</v>
      </c>
      <c r="G545" s="2"/>
      <c r="H545" s="2">
        <v>-0.30107853225806736</v>
      </c>
      <c r="I545">
        <v>1.2</v>
      </c>
      <c r="J545">
        <v>-0.13500000000000001</v>
      </c>
      <c r="K545" s="2"/>
      <c r="L545" s="1"/>
      <c r="M545" s="3"/>
      <c r="P545" s="5"/>
    </row>
    <row r="546" spans="1:16" x14ac:dyDescent="0.3">
      <c r="A546">
        <v>1970</v>
      </c>
      <c r="B546">
        <v>8</v>
      </c>
      <c r="C546" s="1">
        <v>1970.58333333514</v>
      </c>
      <c r="D546" s="2"/>
      <c r="E546" s="2">
        <v>1654.4032258064517</v>
      </c>
      <c r="F546" s="2">
        <v>-1.4951750728407944</v>
      </c>
      <c r="G546" s="2"/>
      <c r="H546" s="2">
        <v>-2.7218032258073066E-2</v>
      </c>
      <c r="I546">
        <v>0.6</v>
      </c>
      <c r="J546">
        <v>-0.13800000000000001</v>
      </c>
      <c r="K546" s="2"/>
      <c r="L546" s="1"/>
      <c r="M546" s="3"/>
      <c r="P546" s="5"/>
    </row>
    <row r="547" spans="1:16" x14ac:dyDescent="0.3">
      <c r="A547">
        <v>1970</v>
      </c>
      <c r="B547">
        <v>7</v>
      </c>
      <c r="C547" s="1">
        <v>1970.5000000018099</v>
      </c>
      <c r="D547" s="2"/>
      <c r="E547" s="2">
        <v>730.4677419354839</v>
      </c>
      <c r="F547" s="2">
        <v>-0.32924116024975092</v>
      </c>
      <c r="G547" s="2"/>
      <c r="H547" s="2">
        <v>6.1417322580652467E-2</v>
      </c>
      <c r="I547">
        <v>-0.4</v>
      </c>
      <c r="J547">
        <v>-0.19800000000000001</v>
      </c>
      <c r="K547" s="2"/>
      <c r="L547" s="1"/>
      <c r="M547" s="3"/>
      <c r="P547" s="5"/>
    </row>
    <row r="548" spans="1:16" x14ac:dyDescent="0.3">
      <c r="A548">
        <v>1970</v>
      </c>
      <c r="B548">
        <v>6</v>
      </c>
      <c r="C548" s="1">
        <v>1970.41666666848</v>
      </c>
      <c r="D548" s="2"/>
      <c r="E548" s="2">
        <v>753.4516129032254</v>
      </c>
      <c r="F548" s="2">
        <v>-7.5686771783463058E-2</v>
      </c>
      <c r="G548" s="2"/>
      <c r="H548" s="2">
        <v>-0.18154914516128784</v>
      </c>
      <c r="I548">
        <v>1</v>
      </c>
      <c r="J548">
        <v>-0.18</v>
      </c>
      <c r="K548" s="2"/>
      <c r="L548" s="1"/>
      <c r="M548" s="3"/>
      <c r="P548" s="5"/>
    </row>
    <row r="549" spans="1:16" x14ac:dyDescent="0.3">
      <c r="A549">
        <v>1970</v>
      </c>
      <c r="B549">
        <v>5</v>
      </c>
      <c r="C549" s="1">
        <v>1970.33333333515</v>
      </c>
      <c r="D549" s="2"/>
      <c r="E549" s="2">
        <v>234.1612903225805</v>
      </c>
      <c r="F549" s="2">
        <v>-0.3941350919181339</v>
      </c>
      <c r="G549" s="2"/>
      <c r="H549" s="2">
        <v>-0.24848082258063897</v>
      </c>
      <c r="I549">
        <v>0.4</v>
      </c>
      <c r="J549">
        <v>-4.3999999999999997E-2</v>
      </c>
      <c r="K549" s="2"/>
      <c r="L549" s="1"/>
      <c r="M549" s="3"/>
      <c r="P549" s="5"/>
    </row>
    <row r="550" spans="1:16" x14ac:dyDescent="0.3">
      <c r="A550">
        <v>1970</v>
      </c>
      <c r="B550">
        <v>4</v>
      </c>
      <c r="C550" s="1">
        <v>1970.2500000018199</v>
      </c>
      <c r="D550" s="2"/>
      <c r="E550" s="2">
        <v>-35.177419354839003</v>
      </c>
      <c r="F550" s="2">
        <v>9.8077715053772607E-2</v>
      </c>
      <c r="G550" s="2"/>
      <c r="H550" s="2">
        <v>0.17008814516130144</v>
      </c>
      <c r="I550">
        <v>-0.1</v>
      </c>
      <c r="J550">
        <v>2.1999999999999999E-2</v>
      </c>
      <c r="K550" s="2"/>
      <c r="L550" s="1"/>
      <c r="M550" s="3"/>
      <c r="P550" s="5"/>
    </row>
    <row r="551" spans="1:16" x14ac:dyDescent="0.3">
      <c r="A551">
        <v>1970</v>
      </c>
      <c r="B551">
        <v>3</v>
      </c>
      <c r="C551" s="1">
        <v>1970.1666666684901</v>
      </c>
      <c r="D551" s="2"/>
      <c r="E551" s="2">
        <v>397.6290322580644</v>
      </c>
      <c r="F551" s="2">
        <v>5.5460260145679285E-2</v>
      </c>
      <c r="G551" s="2"/>
      <c r="H551" s="2">
        <v>0.15093033870966721</v>
      </c>
      <c r="I551">
        <v>0.6</v>
      </c>
      <c r="J551">
        <v>2.1999999999999999E-2</v>
      </c>
      <c r="K551" s="2"/>
      <c r="L551" s="1"/>
      <c r="M551" s="3"/>
      <c r="P551" s="5"/>
    </row>
    <row r="552" spans="1:16" x14ac:dyDescent="0.3">
      <c r="A552">
        <v>1970</v>
      </c>
      <c r="B552">
        <v>2</v>
      </c>
      <c r="C552" s="1">
        <v>1970.08333333516</v>
      </c>
      <c r="D552" s="2"/>
      <c r="E552" s="2">
        <v>1237.2580645161288</v>
      </c>
      <c r="F552" s="2">
        <v>8.1160869815676051E-2</v>
      </c>
      <c r="G552" s="2"/>
      <c r="H552" s="2">
        <v>0.40758075806451188</v>
      </c>
      <c r="I552">
        <v>-1</v>
      </c>
      <c r="J552">
        <v>-4.5999999999999999E-2</v>
      </c>
      <c r="K552" s="2"/>
      <c r="L552" s="1"/>
      <c r="M552" s="3"/>
      <c r="P552" s="5"/>
    </row>
    <row r="553" spans="1:16" x14ac:dyDescent="0.3">
      <c r="A553">
        <v>1970</v>
      </c>
      <c r="B553">
        <v>1</v>
      </c>
      <c r="C553" s="1">
        <v>1970.0000000018299</v>
      </c>
      <c r="D553" s="2"/>
      <c r="E553" s="2">
        <v>2137.2741935483873</v>
      </c>
      <c r="F553" s="2">
        <v>-0.38421064516128922</v>
      </c>
      <c r="G553" s="2"/>
      <c r="H553" s="2">
        <v>0.23995817741934999</v>
      </c>
      <c r="I553">
        <v>-1.1000000000000001</v>
      </c>
      <c r="J553">
        <v>-8.0000000000000002E-3</v>
      </c>
      <c r="K553" s="2"/>
      <c r="L553" s="1"/>
      <c r="M553" s="3"/>
      <c r="P553" s="5"/>
    </row>
    <row r="554" spans="1:16" x14ac:dyDescent="0.3">
      <c r="A554">
        <v>1969</v>
      </c>
      <c r="B554">
        <v>12</v>
      </c>
      <c r="C554" s="1">
        <v>1969.9166666685001</v>
      </c>
      <c r="D554" s="2"/>
      <c r="E554" s="2">
        <v>1749.1505376344066</v>
      </c>
      <c r="F554" s="2">
        <v>-0.43554547988206238</v>
      </c>
      <c r="G554" s="2"/>
      <c r="H554" s="2">
        <v>0.26736840322580591</v>
      </c>
      <c r="I554">
        <v>0.4</v>
      </c>
      <c r="J554">
        <v>-2.9000000000000001E-2</v>
      </c>
      <c r="K554" s="2"/>
      <c r="L554" s="1"/>
      <c r="M554" s="3"/>
      <c r="P554" s="5"/>
    </row>
    <row r="555" spans="1:16" x14ac:dyDescent="0.3">
      <c r="A555">
        <v>1969</v>
      </c>
      <c r="B555">
        <v>11</v>
      </c>
      <c r="C555" s="1">
        <v>1969.83333333517</v>
      </c>
      <c r="D555" s="2"/>
      <c r="E555" s="2">
        <v>1177.6720430107544</v>
      </c>
      <c r="F555" s="2">
        <v>-0.85915794623657504</v>
      </c>
      <c r="G555" s="2"/>
      <c r="H555" s="2">
        <v>0.30360874193548781</v>
      </c>
      <c r="I555">
        <v>-0.1</v>
      </c>
      <c r="J555">
        <v>-0.121</v>
      </c>
      <c r="K555" s="2"/>
      <c r="L555" s="1"/>
      <c r="M555" s="3"/>
      <c r="P555" s="5"/>
    </row>
    <row r="556" spans="1:16" x14ac:dyDescent="0.3">
      <c r="A556">
        <v>1969</v>
      </c>
      <c r="B556">
        <v>10</v>
      </c>
      <c r="C556" s="1">
        <v>1969.7500000018399</v>
      </c>
      <c r="D556" s="2"/>
      <c r="E556" s="2">
        <v>560.3064516129034</v>
      </c>
      <c r="F556" s="2">
        <v>-0.74112056330212184</v>
      </c>
      <c r="G556" s="2"/>
      <c r="H556" s="2">
        <v>0.18478722580645268</v>
      </c>
      <c r="I556">
        <v>-0.9</v>
      </c>
      <c r="J556">
        <v>-0.183</v>
      </c>
      <c r="K556" s="2"/>
      <c r="L556" s="1"/>
      <c r="M556" s="3"/>
      <c r="P556" s="5"/>
    </row>
    <row r="557" spans="1:16" x14ac:dyDescent="0.3">
      <c r="A557">
        <v>1969</v>
      </c>
      <c r="B557">
        <v>9</v>
      </c>
      <c r="C557" s="1">
        <v>1969.6666666685101</v>
      </c>
      <c r="D557" s="2"/>
      <c r="E557" s="2">
        <v>-245.6612903225805</v>
      </c>
      <c r="F557" s="2">
        <v>-0.53745656989246626</v>
      </c>
      <c r="G557" s="2"/>
      <c r="H557" s="2">
        <v>0.43635846774193254</v>
      </c>
      <c r="I557">
        <v>-1</v>
      </c>
      <c r="J557">
        <v>-0.104</v>
      </c>
      <c r="K557" s="2"/>
      <c r="L557" s="1"/>
      <c r="M557" s="3"/>
      <c r="P557" s="5"/>
    </row>
    <row r="558" spans="1:16" x14ac:dyDescent="0.3">
      <c r="A558">
        <v>1969</v>
      </c>
      <c r="B558">
        <v>8</v>
      </c>
      <c r="C558" s="1">
        <v>1969.58333333518</v>
      </c>
      <c r="D558" s="2"/>
      <c r="E558" s="2">
        <v>-812.5967741935483</v>
      </c>
      <c r="F558" s="2">
        <v>-0.89517507284079301</v>
      </c>
      <c r="G558" s="2"/>
      <c r="H558" s="2">
        <v>0.2959869677419249</v>
      </c>
      <c r="I558">
        <v>-0.1</v>
      </c>
      <c r="J558">
        <v>-9.8000000000000004E-2</v>
      </c>
      <c r="K558" s="2"/>
      <c r="L558" s="1"/>
      <c r="M558" s="3"/>
      <c r="P558" s="5"/>
    </row>
    <row r="559" spans="1:16" x14ac:dyDescent="0.3">
      <c r="A559">
        <v>1969</v>
      </c>
      <c r="B559">
        <v>7</v>
      </c>
      <c r="C559" s="1">
        <v>1969.5000000018499</v>
      </c>
      <c r="D559" s="2"/>
      <c r="E559" s="2">
        <v>-534.5322580645161</v>
      </c>
      <c r="F559" s="2">
        <v>-0.82924116024975092</v>
      </c>
      <c r="G559" s="2"/>
      <c r="H559" s="2">
        <v>0.66697032258065292</v>
      </c>
      <c r="I559">
        <v>-0.5</v>
      </c>
      <c r="J559">
        <v>9.6000000000000002E-2</v>
      </c>
      <c r="K559" s="2"/>
      <c r="L559" s="1"/>
      <c r="M559" s="3"/>
      <c r="P559" s="5"/>
    </row>
    <row r="560" spans="1:16" x14ac:dyDescent="0.3">
      <c r="A560">
        <v>1969</v>
      </c>
      <c r="B560">
        <v>6</v>
      </c>
      <c r="C560" s="1">
        <v>1969.4166666685201</v>
      </c>
      <c r="D560" s="2"/>
      <c r="E560" s="2">
        <v>346.4516129032254</v>
      </c>
      <c r="F560" s="2">
        <v>-0.67568677178346448</v>
      </c>
      <c r="G560" s="2"/>
      <c r="H560" s="2">
        <v>0.9238378548387125</v>
      </c>
      <c r="I560">
        <v>0.2</v>
      </c>
      <c r="J560">
        <v>3.1E-2</v>
      </c>
      <c r="K560" s="2"/>
      <c r="L560" s="1"/>
      <c r="M560" s="3"/>
      <c r="P560" s="5"/>
    </row>
    <row r="561" spans="1:16" x14ac:dyDescent="0.3">
      <c r="A561">
        <v>1969</v>
      </c>
      <c r="B561">
        <v>5</v>
      </c>
      <c r="C561" s="1">
        <v>1969.33333333519</v>
      </c>
      <c r="D561" s="2"/>
      <c r="E561" s="2">
        <v>754.1612903225805</v>
      </c>
      <c r="F561" s="2">
        <v>0.1058649080818661</v>
      </c>
      <c r="G561" s="2"/>
      <c r="H561" s="2">
        <v>1.0225861774193596</v>
      </c>
      <c r="I561">
        <v>-0.2</v>
      </c>
      <c r="J561">
        <v>1.2999999999999999E-2</v>
      </c>
      <c r="K561" s="2"/>
      <c r="L561" s="1"/>
      <c r="M561" s="3"/>
      <c r="P561" s="5"/>
    </row>
    <row r="562" spans="1:16" x14ac:dyDescent="0.3">
      <c r="A562">
        <v>1969</v>
      </c>
      <c r="B562">
        <v>4</v>
      </c>
      <c r="C562" s="1">
        <v>1969.2500000018599</v>
      </c>
      <c r="D562" s="2"/>
      <c r="E562" s="2">
        <v>183.822580645161</v>
      </c>
      <c r="F562" s="2">
        <v>0.39807771505377332</v>
      </c>
      <c r="G562" s="2"/>
      <c r="H562" s="2">
        <v>0.3431651451613007</v>
      </c>
      <c r="I562">
        <v>-0.4</v>
      </c>
      <c r="J562">
        <v>0.151</v>
      </c>
      <c r="K562" s="2"/>
      <c r="L562" s="1"/>
      <c r="M562" s="3"/>
      <c r="P562" s="5"/>
    </row>
    <row r="563" spans="1:16" x14ac:dyDescent="0.3">
      <c r="A563">
        <v>1969</v>
      </c>
      <c r="B563">
        <v>3</v>
      </c>
      <c r="C563" s="1">
        <v>1969.1666666685301</v>
      </c>
      <c r="D563" s="2"/>
      <c r="E563" s="2">
        <v>-498.3709677419356</v>
      </c>
      <c r="F563" s="2">
        <v>0.65546026014567715</v>
      </c>
      <c r="G563" s="2"/>
      <c r="H563" s="2">
        <v>0.60838133870966615</v>
      </c>
      <c r="I563">
        <v>0.4</v>
      </c>
      <c r="J563">
        <v>0.21</v>
      </c>
      <c r="K563" s="2"/>
      <c r="L563" s="1"/>
      <c r="M563" s="3"/>
      <c r="P563" s="5"/>
    </row>
    <row r="564" spans="1:16" x14ac:dyDescent="0.3">
      <c r="A564">
        <v>1969</v>
      </c>
      <c r="B564">
        <v>2</v>
      </c>
      <c r="C564" s="1">
        <v>1969.0833333352</v>
      </c>
      <c r="D564" s="2"/>
      <c r="E564" s="2">
        <v>-379.7419354838712</v>
      </c>
      <c r="F564" s="2">
        <v>0.38116086981567676</v>
      </c>
      <c r="G564" s="2"/>
      <c r="H564" s="2">
        <v>0.11901675806451451</v>
      </c>
      <c r="I564">
        <v>-0.5</v>
      </c>
      <c r="J564">
        <v>0.107</v>
      </c>
      <c r="K564" s="2"/>
      <c r="L564" s="1"/>
      <c r="M564" s="3"/>
      <c r="P564" s="5"/>
    </row>
    <row r="565" spans="1:16" x14ac:dyDescent="0.3">
      <c r="A565">
        <v>1969</v>
      </c>
      <c r="B565">
        <v>1</v>
      </c>
      <c r="C565" s="1">
        <v>1969.0000000018699</v>
      </c>
      <c r="D565" s="2"/>
      <c r="E565" s="2">
        <v>-709.7258064516127</v>
      </c>
      <c r="F565" s="2">
        <v>0.11578935483871078</v>
      </c>
      <c r="G565" s="2"/>
      <c r="H565" s="2">
        <v>-0.151376822580648</v>
      </c>
      <c r="I565">
        <v>-1.5</v>
      </c>
      <c r="J565">
        <v>-0.06</v>
      </c>
      <c r="K565" s="2"/>
      <c r="L565" s="1"/>
      <c r="M565" s="3"/>
      <c r="P565" s="5"/>
    </row>
    <row r="566" spans="1:16" x14ac:dyDescent="0.3">
      <c r="A566">
        <v>1968</v>
      </c>
      <c r="B566">
        <v>12</v>
      </c>
      <c r="C566" s="1">
        <v>1968.9166666685401</v>
      </c>
      <c r="D566" s="2"/>
      <c r="E566" s="2">
        <v>507.15053763440665</v>
      </c>
      <c r="F566" s="2">
        <v>0.26445452011793691</v>
      </c>
      <c r="G566" s="2"/>
      <c r="H566" s="2">
        <v>0.1672014032258069</v>
      </c>
      <c r="I566">
        <v>0.2</v>
      </c>
      <c r="J566">
        <v>-0.124</v>
      </c>
      <c r="K566" s="2"/>
      <c r="L566" s="1"/>
      <c r="M566" s="3"/>
      <c r="P566" s="5"/>
    </row>
    <row r="567" spans="1:16" x14ac:dyDescent="0.3">
      <c r="A567">
        <v>1968</v>
      </c>
      <c r="B567">
        <v>11</v>
      </c>
      <c r="C567" s="1">
        <v>1968.83333333521</v>
      </c>
      <c r="D567" s="2"/>
      <c r="E567" s="2">
        <v>430.67204301075435</v>
      </c>
      <c r="F567" s="2">
        <v>-0.15915794623657575</v>
      </c>
      <c r="G567" s="2"/>
      <c r="H567" s="2">
        <v>-3.521525806451109E-2</v>
      </c>
      <c r="I567">
        <v>-0.3</v>
      </c>
      <c r="J567">
        <v>-0.105</v>
      </c>
      <c r="K567" s="2"/>
      <c r="L567" s="1"/>
      <c r="M567" s="3"/>
      <c r="P567" s="5"/>
    </row>
    <row r="568" spans="1:16" x14ac:dyDescent="0.3">
      <c r="A568">
        <v>1968</v>
      </c>
      <c r="B568">
        <v>10</v>
      </c>
      <c r="C568" s="1">
        <v>1968.7500000018799</v>
      </c>
      <c r="D568" s="2"/>
      <c r="E568" s="2">
        <v>694.3064516129034</v>
      </c>
      <c r="F568" s="2">
        <v>-0.24112056330212184</v>
      </c>
      <c r="G568" s="2"/>
      <c r="H568" s="2">
        <v>-0.11480977419354943</v>
      </c>
      <c r="I568">
        <v>-0.1</v>
      </c>
      <c r="J568">
        <v>-0.111</v>
      </c>
      <c r="K568" s="2"/>
      <c r="L568" s="1"/>
      <c r="M568" s="3"/>
      <c r="P568" s="5"/>
    </row>
    <row r="569" spans="1:16" x14ac:dyDescent="0.3">
      <c r="A569">
        <v>1968</v>
      </c>
      <c r="B569">
        <v>9</v>
      </c>
      <c r="C569" s="1">
        <v>1968.6666666685501</v>
      </c>
      <c r="D569" s="2"/>
      <c r="E569" s="2">
        <v>899.3387096774195</v>
      </c>
      <c r="F569" s="2">
        <v>-0.43745656989246484</v>
      </c>
      <c r="G569" s="2"/>
      <c r="H569" s="2">
        <v>-0.15318853225806706</v>
      </c>
      <c r="I569">
        <v>-0.3</v>
      </c>
      <c r="J569">
        <v>-0.14699999999999999</v>
      </c>
      <c r="K569" s="2"/>
      <c r="L569" s="1"/>
      <c r="M569" s="3"/>
      <c r="P569" s="5"/>
    </row>
    <row r="570" spans="1:16" x14ac:dyDescent="0.3">
      <c r="A570">
        <v>1968</v>
      </c>
      <c r="B570">
        <v>8</v>
      </c>
      <c r="C570" s="1">
        <v>1968.58333333522</v>
      </c>
      <c r="D570" s="2"/>
      <c r="E570" s="2">
        <v>796.4032258064517</v>
      </c>
      <c r="F570" s="2">
        <v>-0.39517507284079301</v>
      </c>
      <c r="G570" s="2"/>
      <c r="H570" s="2">
        <v>-0.30475803225807496</v>
      </c>
      <c r="I570">
        <v>0.3</v>
      </c>
      <c r="J570">
        <v>-0.21099999999999999</v>
      </c>
      <c r="K570" s="2"/>
      <c r="L570" s="1"/>
      <c r="M570" s="3"/>
      <c r="P570" s="5"/>
    </row>
    <row r="571" spans="1:16" x14ac:dyDescent="0.3">
      <c r="A571">
        <v>1968</v>
      </c>
      <c r="B571">
        <v>7</v>
      </c>
      <c r="C571" s="1">
        <v>1968.5000000018899</v>
      </c>
      <c r="D571" s="2"/>
      <c r="E571" s="2">
        <v>560.4677419354839</v>
      </c>
      <c r="F571" s="2">
        <v>-0.42924116024974879</v>
      </c>
      <c r="G571" s="2"/>
      <c r="H571" s="2">
        <v>-0.21078267741934553</v>
      </c>
      <c r="I571">
        <v>0.7</v>
      </c>
      <c r="J571">
        <v>-0.22700000000000001</v>
      </c>
      <c r="K571" s="2"/>
      <c r="L571" s="1"/>
      <c r="M571" s="3"/>
      <c r="P571" s="5"/>
    </row>
    <row r="572" spans="1:16" x14ac:dyDescent="0.3">
      <c r="A572">
        <v>1968</v>
      </c>
      <c r="B572">
        <v>6</v>
      </c>
      <c r="C572" s="1">
        <v>1968.4166666685601</v>
      </c>
      <c r="D572" s="2"/>
      <c r="E572" s="2">
        <v>-446.5483870967746</v>
      </c>
      <c r="F572" s="2">
        <v>-0.57568677178346306</v>
      </c>
      <c r="G572" s="2"/>
      <c r="H572" s="2">
        <v>-0.22245014516128947</v>
      </c>
      <c r="I572">
        <v>1.1000000000000001</v>
      </c>
      <c r="J572">
        <v>-0.26</v>
      </c>
      <c r="K572" s="2"/>
      <c r="L572" s="1"/>
      <c r="M572" s="3"/>
      <c r="P572" s="5"/>
    </row>
    <row r="573" spans="1:16" x14ac:dyDescent="0.3">
      <c r="A573">
        <v>1968</v>
      </c>
      <c r="B573">
        <v>5</v>
      </c>
      <c r="C573" s="1">
        <v>1968.33333333523</v>
      </c>
      <c r="D573" s="2"/>
      <c r="E573" s="2">
        <v>-602.8387096774195</v>
      </c>
      <c r="F573" s="2">
        <v>-1.4941350919181353</v>
      </c>
      <c r="G573" s="2"/>
      <c r="H573" s="2">
        <v>-0.45386082258064064</v>
      </c>
      <c r="I573">
        <v>1.2</v>
      </c>
      <c r="J573">
        <v>-0.121</v>
      </c>
      <c r="K573" s="2"/>
      <c r="L573" s="1"/>
      <c r="M573" s="3"/>
      <c r="P573" s="5"/>
    </row>
    <row r="574" spans="1:16" x14ac:dyDescent="0.3">
      <c r="A574">
        <v>1968</v>
      </c>
      <c r="B574">
        <v>4</v>
      </c>
      <c r="C574" s="1">
        <v>1968.2500000018999</v>
      </c>
      <c r="D574" s="2"/>
      <c r="E574" s="2">
        <v>-327.177419354839</v>
      </c>
      <c r="F574" s="2">
        <v>-1.4019222849462274</v>
      </c>
      <c r="G574" s="2"/>
      <c r="H574" s="2">
        <v>-0.56299685483870121</v>
      </c>
      <c r="I574">
        <v>0</v>
      </c>
      <c r="J574">
        <v>-0.153</v>
      </c>
      <c r="K574" s="2"/>
      <c r="L574" s="1"/>
      <c r="M574" s="3"/>
      <c r="P574" s="5"/>
    </row>
    <row r="575" spans="1:16" x14ac:dyDescent="0.3">
      <c r="A575">
        <v>1968</v>
      </c>
      <c r="B575">
        <v>3</v>
      </c>
      <c r="C575" s="1">
        <v>1968.1666666685701</v>
      </c>
      <c r="D575" s="2"/>
      <c r="E575" s="2">
        <v>-621.3709677419356</v>
      </c>
      <c r="F575" s="2">
        <v>-0.24453973985432143</v>
      </c>
      <c r="G575" s="2"/>
      <c r="H575" s="2">
        <v>-0.35362766129033218</v>
      </c>
      <c r="I575">
        <v>0.1</v>
      </c>
      <c r="J575">
        <v>-0.20599999999999999</v>
      </c>
      <c r="K575" s="2"/>
      <c r="L575" s="1"/>
      <c r="M575" s="3"/>
      <c r="P575" s="5"/>
    </row>
    <row r="576" spans="1:16" x14ac:dyDescent="0.3">
      <c r="A576">
        <v>1968</v>
      </c>
      <c r="B576">
        <v>2</v>
      </c>
      <c r="C576" s="1">
        <v>1968.08333333524</v>
      </c>
      <c r="D576" s="2"/>
      <c r="E576" s="2">
        <v>-834.7419354838712</v>
      </c>
      <c r="F576" s="2">
        <v>-0.41883913018432395</v>
      </c>
      <c r="G576" s="2"/>
      <c r="H576" s="2">
        <v>-0.54542424193548555</v>
      </c>
      <c r="I576">
        <v>1.3</v>
      </c>
      <c r="J576">
        <v>-0.19500000000000001</v>
      </c>
      <c r="K576" s="2"/>
      <c r="L576" s="1"/>
      <c r="M576" s="3"/>
      <c r="P576" s="5"/>
    </row>
    <row r="577" spans="1:16" x14ac:dyDescent="0.3">
      <c r="A577">
        <v>1968</v>
      </c>
      <c r="B577">
        <v>1</v>
      </c>
      <c r="C577" s="1">
        <v>1968.0000000019099</v>
      </c>
      <c r="D577" s="2"/>
      <c r="E577" s="2">
        <v>-2273.7258064516127</v>
      </c>
      <c r="F577" s="2">
        <v>-0.68421064516128993</v>
      </c>
      <c r="G577" s="2"/>
      <c r="H577" s="2">
        <v>-0.51212182258064942</v>
      </c>
      <c r="I577">
        <v>0.5</v>
      </c>
      <c r="J577">
        <v>-0.24399999999999999</v>
      </c>
      <c r="K577" s="2"/>
      <c r="L577" s="1"/>
      <c r="M577" s="3"/>
      <c r="P577" s="5"/>
    </row>
    <row r="578" spans="1:16" x14ac:dyDescent="0.3">
      <c r="A578">
        <v>1967</v>
      </c>
      <c r="B578">
        <v>12</v>
      </c>
      <c r="C578" s="1">
        <v>1967.9166666685801</v>
      </c>
      <c r="D578" s="2"/>
      <c r="E578" s="2">
        <v>-1686.8494623655934</v>
      </c>
      <c r="F578" s="2">
        <v>-3.5545479882063802E-2</v>
      </c>
      <c r="G578" s="2"/>
      <c r="H578" s="2">
        <v>-0.18812559677419216</v>
      </c>
      <c r="I578">
        <v>-0.6</v>
      </c>
      <c r="J578">
        <v>-0.15</v>
      </c>
      <c r="K578" s="2"/>
      <c r="L578" s="1"/>
      <c r="M578" s="3"/>
      <c r="P578" s="5"/>
    </row>
    <row r="579" spans="1:16" x14ac:dyDescent="0.3">
      <c r="A579">
        <v>1967</v>
      </c>
      <c r="B579">
        <v>11</v>
      </c>
      <c r="C579" s="1">
        <v>1967.83333333525</v>
      </c>
      <c r="D579" s="2"/>
      <c r="E579" s="2">
        <v>-1403.3279569892456</v>
      </c>
      <c r="F579" s="2">
        <v>-0.35915794623657504</v>
      </c>
      <c r="G579" s="2"/>
      <c r="H579" s="2">
        <v>4.9267419354883657E-3</v>
      </c>
      <c r="I579">
        <v>-0.4</v>
      </c>
      <c r="J579">
        <v>-0.23200000000000001</v>
      </c>
      <c r="K579" s="2"/>
      <c r="L579" s="1"/>
      <c r="M579" s="3"/>
      <c r="P579" s="5"/>
    </row>
    <row r="580" spans="1:16" x14ac:dyDescent="0.3">
      <c r="A580">
        <v>1967</v>
      </c>
      <c r="B580">
        <v>10</v>
      </c>
      <c r="C580" s="1">
        <v>1967.7500000019199</v>
      </c>
      <c r="D580" s="2"/>
      <c r="E580" s="2">
        <v>-1513.6935483870966</v>
      </c>
      <c r="F580" s="2">
        <v>-0.24112056330212184</v>
      </c>
      <c r="G580" s="2"/>
      <c r="H580" s="2">
        <v>-0.19584177419354987</v>
      </c>
      <c r="I580">
        <v>0.1</v>
      </c>
      <c r="J580">
        <v>-9.7000000000000003E-2</v>
      </c>
      <c r="K580" s="2"/>
      <c r="L580" s="1"/>
      <c r="M580" s="3"/>
      <c r="P580" s="5"/>
    </row>
    <row r="581" spans="1:16" x14ac:dyDescent="0.3">
      <c r="A581">
        <v>1967</v>
      </c>
      <c r="B581">
        <v>9</v>
      </c>
      <c r="C581" s="1">
        <v>1967.6666666685901</v>
      </c>
      <c r="D581" s="2"/>
      <c r="E581" s="2">
        <v>-601.6612903225805</v>
      </c>
      <c r="F581" s="2">
        <v>-0.23745656989246555</v>
      </c>
      <c r="G581" s="2"/>
      <c r="H581" s="2">
        <v>-0.18578853225806569</v>
      </c>
      <c r="I581">
        <v>0.5</v>
      </c>
      <c r="J581">
        <v>-9.4E-2</v>
      </c>
      <c r="K581" s="2"/>
      <c r="L581" s="1"/>
      <c r="M581" s="3"/>
      <c r="P581" s="5"/>
    </row>
    <row r="582" spans="1:16" x14ac:dyDescent="0.3">
      <c r="A582">
        <v>1967</v>
      </c>
      <c r="B582">
        <v>8</v>
      </c>
      <c r="C582" s="1">
        <v>1967.58333333526</v>
      </c>
      <c r="D582" s="2"/>
      <c r="E582" s="2">
        <v>35.403225806451701</v>
      </c>
      <c r="F582" s="2">
        <v>4.824927159205572E-3</v>
      </c>
      <c r="G582" s="2"/>
      <c r="H582" s="2">
        <v>-0.39449003225807289</v>
      </c>
      <c r="I582">
        <v>0.7</v>
      </c>
      <c r="J582">
        <v>-0.16200000000000001</v>
      </c>
      <c r="K582" s="2"/>
      <c r="L582" s="1"/>
      <c r="M582" s="3"/>
      <c r="P582" s="5"/>
    </row>
    <row r="583" spans="1:16" x14ac:dyDescent="0.3">
      <c r="A583">
        <v>1967</v>
      </c>
      <c r="B583">
        <v>7</v>
      </c>
      <c r="C583" s="1">
        <v>1967.5000000019299</v>
      </c>
      <c r="D583" s="2"/>
      <c r="E583" s="2">
        <v>594.4677419354839</v>
      </c>
      <c r="F583" s="2">
        <v>0.17075883975024908</v>
      </c>
      <c r="G583" s="2"/>
      <c r="H583" s="2">
        <v>-0.23769267741934641</v>
      </c>
      <c r="I583">
        <v>0.2</v>
      </c>
      <c r="J583">
        <v>-0.22700000000000001</v>
      </c>
      <c r="K583" s="2"/>
      <c r="L583" s="1"/>
      <c r="M583" s="3"/>
      <c r="P583" s="5"/>
    </row>
    <row r="584" spans="1:16" x14ac:dyDescent="0.3">
      <c r="A584">
        <v>1967</v>
      </c>
      <c r="B584">
        <v>6</v>
      </c>
      <c r="C584" s="1">
        <v>1967.4166666686001</v>
      </c>
      <c r="D584" s="2"/>
      <c r="E584" s="2">
        <v>-56.548387096774604</v>
      </c>
      <c r="F584" s="2">
        <v>2.431322821653481E-2</v>
      </c>
      <c r="G584" s="2"/>
      <c r="H584" s="2">
        <v>-0.42354514516128816</v>
      </c>
      <c r="I584">
        <v>0.6</v>
      </c>
      <c r="J584">
        <v>-0.25800000000000001</v>
      </c>
      <c r="K584" s="2"/>
      <c r="L584" s="1"/>
      <c r="M584" s="3"/>
      <c r="P584" s="5"/>
    </row>
    <row r="585" spans="1:16" x14ac:dyDescent="0.3">
      <c r="A585">
        <v>1967</v>
      </c>
      <c r="B585">
        <v>5</v>
      </c>
      <c r="C585" s="1">
        <v>1967.33333333527</v>
      </c>
      <c r="D585" s="2"/>
      <c r="E585" s="2">
        <v>-259.8387096774195</v>
      </c>
      <c r="F585" s="2">
        <v>0.1058649080818661</v>
      </c>
      <c r="G585" s="2"/>
      <c r="H585" s="2">
        <v>-0.4888688225806419</v>
      </c>
      <c r="I585">
        <v>0</v>
      </c>
      <c r="J585">
        <v>-0.184</v>
      </c>
      <c r="K585" s="2"/>
      <c r="L585" s="1"/>
      <c r="M585" s="3"/>
      <c r="P585" s="5"/>
    </row>
    <row r="586" spans="1:16" x14ac:dyDescent="0.3">
      <c r="A586">
        <v>1967</v>
      </c>
      <c r="B586">
        <v>4</v>
      </c>
      <c r="C586" s="1">
        <v>1967.25000000194</v>
      </c>
      <c r="D586" s="2"/>
      <c r="E586" s="2">
        <v>-320.177419354839</v>
      </c>
      <c r="F586" s="2">
        <v>0.19807771505377048</v>
      </c>
      <c r="G586" s="2"/>
      <c r="H586" s="2">
        <v>-0.23564285483870151</v>
      </c>
      <c r="I586">
        <v>0</v>
      </c>
      <c r="J586">
        <v>-1.2E-2</v>
      </c>
      <c r="K586" s="2"/>
      <c r="L586" s="1"/>
      <c r="M586" s="3"/>
      <c r="P586" s="5"/>
    </row>
    <row r="587" spans="1:16" x14ac:dyDescent="0.3">
      <c r="A587">
        <v>1967</v>
      </c>
      <c r="B587">
        <v>3</v>
      </c>
      <c r="C587" s="1">
        <v>1967.1666666686101</v>
      </c>
      <c r="D587" s="2"/>
      <c r="E587" s="2">
        <v>456.6290322580644</v>
      </c>
      <c r="F587" s="2">
        <v>0.15546026014567715</v>
      </c>
      <c r="G587" s="2"/>
      <c r="H587" s="2">
        <v>-0.37390666129033434</v>
      </c>
      <c r="I587">
        <v>1.2</v>
      </c>
      <c r="J587">
        <v>-3.1E-2</v>
      </c>
      <c r="K587" s="2"/>
      <c r="L587" s="1"/>
      <c r="M587" s="3"/>
      <c r="P587" s="5"/>
    </row>
    <row r="588" spans="1:16" x14ac:dyDescent="0.3">
      <c r="A588">
        <v>1967</v>
      </c>
      <c r="B588">
        <v>2</v>
      </c>
      <c r="C588" s="1">
        <v>1967.08333333528</v>
      </c>
      <c r="D588" s="2"/>
      <c r="E588" s="2">
        <v>1605.2580645161288</v>
      </c>
      <c r="F588" s="2">
        <v>-0.21883913018432466</v>
      </c>
      <c r="G588" s="2"/>
      <c r="H588" s="2">
        <v>-0.10180324193548529</v>
      </c>
      <c r="I588">
        <v>1.7</v>
      </c>
      <c r="J588">
        <v>9.0999999999999998E-2</v>
      </c>
      <c r="K588" s="2"/>
      <c r="L588" s="1"/>
      <c r="M588" s="3"/>
      <c r="P588" s="5"/>
    </row>
    <row r="589" spans="1:16" x14ac:dyDescent="0.3">
      <c r="A589">
        <v>1967</v>
      </c>
      <c r="B589">
        <v>1</v>
      </c>
      <c r="C589" s="1">
        <v>1967.00000000195</v>
      </c>
      <c r="D589" s="2"/>
      <c r="E589" s="2">
        <v>2938.2741935483873</v>
      </c>
      <c r="F589" s="2">
        <v>-0.58421064516129206</v>
      </c>
      <c r="G589" s="2"/>
      <c r="H589" s="2">
        <v>-0.14462182258064971</v>
      </c>
      <c r="I589">
        <v>1.7</v>
      </c>
      <c r="J589">
        <v>8.4000000000000005E-2</v>
      </c>
      <c r="K589" s="2"/>
      <c r="L589" s="1"/>
      <c r="M589" s="3"/>
      <c r="P589" s="5"/>
    </row>
    <row r="590" spans="1:16" x14ac:dyDescent="0.3">
      <c r="A590">
        <v>1966</v>
      </c>
      <c r="B590">
        <v>12</v>
      </c>
      <c r="C590" s="1">
        <v>1966.9166666686201</v>
      </c>
      <c r="D590" s="2"/>
      <c r="E590" s="2">
        <v>769.15053763440665</v>
      </c>
      <c r="F590" s="2">
        <v>-1.6355454798820617</v>
      </c>
      <c r="G590" s="2"/>
      <c r="H590" s="2">
        <v>-3.6634596774192119E-2</v>
      </c>
      <c r="I590">
        <v>-0.3</v>
      </c>
      <c r="J590">
        <v>8.3000000000000004E-2</v>
      </c>
      <c r="K590" s="2"/>
      <c r="L590" s="1"/>
      <c r="M590" s="3"/>
      <c r="P590" s="5"/>
    </row>
    <row r="591" spans="1:16" x14ac:dyDescent="0.3">
      <c r="A591">
        <v>1966</v>
      </c>
      <c r="B591">
        <v>11</v>
      </c>
      <c r="C591" s="1">
        <v>1966.83333333529</v>
      </c>
      <c r="D591" s="2"/>
      <c r="E591" s="2">
        <v>-316.32795698924565</v>
      </c>
      <c r="F591" s="2">
        <v>-1.1591579462365758</v>
      </c>
      <c r="G591" s="2"/>
      <c r="H591" s="2">
        <v>-1.8612580645118726E-3</v>
      </c>
      <c r="I591">
        <v>0</v>
      </c>
      <c r="J591">
        <v>6.0000000000000001E-3</v>
      </c>
      <c r="K591" s="2"/>
      <c r="L591" s="1"/>
      <c r="M591" s="3"/>
      <c r="P591" s="5"/>
    </row>
    <row r="592" spans="1:16" x14ac:dyDescent="0.3">
      <c r="A592">
        <v>1966</v>
      </c>
      <c r="B592">
        <v>10</v>
      </c>
      <c r="C592" s="1">
        <v>1966.75000000196</v>
      </c>
      <c r="D592" s="2"/>
      <c r="E592" s="2">
        <v>-36.693548387096598</v>
      </c>
      <c r="F592" s="2">
        <v>-0.54112056330212255</v>
      </c>
      <c r="G592" s="2"/>
      <c r="H592" s="2">
        <v>0.14631422580645292</v>
      </c>
      <c r="I592">
        <v>-0.1</v>
      </c>
      <c r="J592">
        <v>1.6E-2</v>
      </c>
      <c r="K592" s="2"/>
      <c r="L592" s="1"/>
      <c r="M592" s="3"/>
      <c r="P592" s="5"/>
    </row>
    <row r="593" spans="1:16" x14ac:dyDescent="0.3">
      <c r="A593">
        <v>1966</v>
      </c>
      <c r="B593">
        <v>9</v>
      </c>
      <c r="C593" s="1">
        <v>1966.6666666686299</v>
      </c>
      <c r="D593" s="2"/>
      <c r="E593" s="2">
        <v>663.3387096774195</v>
      </c>
      <c r="F593" s="2">
        <v>-0.43745656989246484</v>
      </c>
      <c r="G593" s="2"/>
      <c r="H593" s="2">
        <v>-9.4676532258066715E-2</v>
      </c>
      <c r="I593">
        <v>-0.2</v>
      </c>
      <c r="J593">
        <v>3.0000000000000001E-3</v>
      </c>
      <c r="K593" s="2"/>
      <c r="L593" s="1"/>
      <c r="M593" s="3"/>
      <c r="P593" s="5"/>
    </row>
    <row r="594" spans="1:16" x14ac:dyDescent="0.3">
      <c r="A594">
        <v>1966</v>
      </c>
      <c r="B594">
        <v>8</v>
      </c>
      <c r="C594" s="1">
        <v>1966.5833333353</v>
      </c>
      <c r="D594" s="2"/>
      <c r="E594" s="2">
        <v>827.4032258064517</v>
      </c>
      <c r="F594" s="2">
        <v>-0.19517507284079372</v>
      </c>
      <c r="G594" s="2"/>
      <c r="H594" s="2">
        <v>-1.4133032258072831E-2</v>
      </c>
      <c r="I594">
        <v>0.6</v>
      </c>
      <c r="J594">
        <v>-4.1000000000000002E-2</v>
      </c>
      <c r="K594" s="2"/>
      <c r="L594" s="1"/>
      <c r="M594" s="3"/>
      <c r="P594" s="5"/>
    </row>
    <row r="595" spans="1:16" x14ac:dyDescent="0.3">
      <c r="A595">
        <v>1966</v>
      </c>
      <c r="B595">
        <v>7</v>
      </c>
      <c r="C595" s="1">
        <v>1966.50000000197</v>
      </c>
      <c r="D595" s="2"/>
      <c r="E595" s="2">
        <v>614.4677419354839</v>
      </c>
      <c r="F595" s="2">
        <v>-0.12924116024974808</v>
      </c>
      <c r="G595" s="2"/>
      <c r="H595" s="2">
        <v>0.14640332258065314</v>
      </c>
      <c r="I595">
        <v>0.1</v>
      </c>
      <c r="J595">
        <v>-5.2999999999999999E-2</v>
      </c>
      <c r="K595" s="2"/>
      <c r="L595" s="1"/>
      <c r="M595" s="3"/>
      <c r="P595" s="5"/>
    </row>
    <row r="596" spans="1:16" x14ac:dyDescent="0.3">
      <c r="A596">
        <v>1966</v>
      </c>
      <c r="B596">
        <v>6</v>
      </c>
      <c r="C596" s="1">
        <v>1966.4166666686399</v>
      </c>
      <c r="D596" s="2"/>
      <c r="E596" s="2">
        <v>-799.5483870967746</v>
      </c>
      <c r="F596" s="2">
        <v>-0.67568677178346448</v>
      </c>
      <c r="G596" s="2"/>
      <c r="H596" s="2">
        <v>2.0247854838711277E-2</v>
      </c>
      <c r="I596">
        <v>0.3</v>
      </c>
      <c r="J596">
        <v>-4.2000000000000003E-2</v>
      </c>
      <c r="K596" s="2"/>
      <c r="L596" s="1"/>
      <c r="M596" s="3"/>
      <c r="P596" s="5"/>
    </row>
    <row r="597" spans="1:16" x14ac:dyDescent="0.3">
      <c r="A597">
        <v>1966</v>
      </c>
      <c r="B597">
        <v>5</v>
      </c>
      <c r="C597" s="1">
        <v>1966.33333333531</v>
      </c>
      <c r="D597" s="2"/>
      <c r="E597" s="2">
        <v>-1631.8387096774195</v>
      </c>
      <c r="F597" s="2">
        <v>-0.19413509191813461</v>
      </c>
      <c r="G597" s="2"/>
      <c r="H597" s="2">
        <v>-0.14914182258063846</v>
      </c>
      <c r="I597">
        <v>-0.4</v>
      </c>
      <c r="J597">
        <v>4.0000000000000001E-3</v>
      </c>
      <c r="K597" s="2"/>
      <c r="L597" s="1"/>
      <c r="M597" s="3"/>
      <c r="P597" s="5"/>
    </row>
    <row r="598" spans="1:16" x14ac:dyDescent="0.3">
      <c r="A598">
        <v>1966</v>
      </c>
      <c r="B598">
        <v>4</v>
      </c>
      <c r="C598" s="1">
        <v>1966.25000000197</v>
      </c>
      <c r="D598" s="2"/>
      <c r="E598" s="2">
        <v>-1437.177419354839</v>
      </c>
      <c r="F598" s="2">
        <v>0.39807771505377332</v>
      </c>
      <c r="G598" s="2"/>
      <c r="H598" s="2">
        <v>1.3681451613010154E-3</v>
      </c>
      <c r="I598">
        <v>-0.2</v>
      </c>
      <c r="J598">
        <v>4.7E-2</v>
      </c>
      <c r="K598" s="2"/>
      <c r="L598" s="1"/>
      <c r="M598" s="3"/>
      <c r="P598" s="5"/>
    </row>
    <row r="599" spans="1:16" x14ac:dyDescent="0.3">
      <c r="A599">
        <v>1966</v>
      </c>
      <c r="B599">
        <v>3</v>
      </c>
      <c r="C599" s="1">
        <v>1966.1666666686399</v>
      </c>
      <c r="D599" s="2"/>
      <c r="E599" s="2">
        <v>-1033.3709677419356</v>
      </c>
      <c r="F599" s="2">
        <v>-0.54453973985432214</v>
      </c>
      <c r="G599" s="2"/>
      <c r="H599" s="2">
        <v>-0.20879166129033422</v>
      </c>
      <c r="I599">
        <v>-0.9</v>
      </c>
      <c r="J599">
        <v>-7.0000000000000001E-3</v>
      </c>
      <c r="K599" s="2"/>
      <c r="L599" s="1"/>
      <c r="M599" s="3"/>
      <c r="P599" s="5"/>
    </row>
    <row r="600" spans="1:16" x14ac:dyDescent="0.3">
      <c r="A600">
        <v>1966</v>
      </c>
      <c r="B600">
        <v>2</v>
      </c>
      <c r="C600" s="1">
        <v>1966.08333333531</v>
      </c>
      <c r="D600" s="2"/>
      <c r="E600" s="2">
        <v>-364.7419354838712</v>
      </c>
      <c r="F600" s="2">
        <v>0.68116086981567747</v>
      </c>
      <c r="G600" s="2"/>
      <c r="H600" s="2">
        <v>0.29607775806451286</v>
      </c>
      <c r="I600">
        <v>-0.2</v>
      </c>
      <c r="J600">
        <v>1.2999999999999999E-2</v>
      </c>
      <c r="K600" s="2"/>
      <c r="L600" s="1"/>
      <c r="M600" s="3"/>
      <c r="P600" s="5"/>
    </row>
    <row r="601" spans="1:16" x14ac:dyDescent="0.3">
      <c r="A601">
        <v>1966</v>
      </c>
      <c r="B601">
        <v>1</v>
      </c>
      <c r="C601" s="1">
        <v>1966.00000000198</v>
      </c>
      <c r="D601" s="2"/>
      <c r="E601" s="2">
        <v>790.2741935483873</v>
      </c>
      <c r="F601" s="2">
        <v>0.81578935483871007</v>
      </c>
      <c r="G601" s="2"/>
      <c r="H601" s="2">
        <v>0.32852917741935173</v>
      </c>
      <c r="I601">
        <v>-1.3</v>
      </c>
      <c r="J601">
        <v>-7.2999999999999995E-2</v>
      </c>
      <c r="K601" s="2"/>
      <c r="L601" s="1"/>
      <c r="M601" s="3"/>
      <c r="P601" s="5"/>
    </row>
    <row r="602" spans="1:16" x14ac:dyDescent="0.3">
      <c r="A602">
        <v>1965</v>
      </c>
      <c r="B602">
        <v>12</v>
      </c>
      <c r="C602" s="1">
        <v>1965.9166666686499</v>
      </c>
      <c r="D602" s="2"/>
      <c r="E602" s="2">
        <v>-10.849462365593354</v>
      </c>
      <c r="F602" s="2">
        <v>0.16445452011793904</v>
      </c>
      <c r="G602" s="2"/>
      <c r="H602" s="2">
        <v>-8.5998596774192748E-2</v>
      </c>
      <c r="I602">
        <v>0.2</v>
      </c>
      <c r="J602">
        <v>-0.12</v>
      </c>
      <c r="K602" s="2"/>
      <c r="L602" s="1"/>
      <c r="M602" s="3"/>
      <c r="P602" s="5"/>
    </row>
    <row r="603" spans="1:16" x14ac:dyDescent="0.3">
      <c r="A603">
        <v>1965</v>
      </c>
      <c r="B603">
        <v>11</v>
      </c>
      <c r="C603" s="1">
        <v>1965.83333333532</v>
      </c>
      <c r="D603" s="2"/>
      <c r="E603" s="2">
        <v>-1418.3279569892456</v>
      </c>
      <c r="F603" s="2">
        <v>-0.65915794623657575</v>
      </c>
      <c r="G603" s="2"/>
      <c r="H603" s="2">
        <v>-0.21303925806451218</v>
      </c>
      <c r="I603">
        <v>-1.5</v>
      </c>
      <c r="J603">
        <v>-0.27300000000000002</v>
      </c>
      <c r="K603" s="2"/>
      <c r="L603" s="1"/>
      <c r="M603" s="3"/>
      <c r="P603" s="5"/>
    </row>
    <row r="604" spans="1:16" x14ac:dyDescent="0.3">
      <c r="A604">
        <v>1965</v>
      </c>
      <c r="B604">
        <v>10</v>
      </c>
      <c r="C604" s="1">
        <v>1965.75000000199</v>
      </c>
      <c r="D604" s="2"/>
      <c r="E604" s="2">
        <v>-1429.6935483870966</v>
      </c>
      <c r="F604" s="2">
        <v>5.8879436697878873E-2</v>
      </c>
      <c r="G604" s="2"/>
      <c r="H604" s="2">
        <v>-6.3707774193549227E-2</v>
      </c>
      <c r="I604">
        <v>-0.9</v>
      </c>
      <c r="J604">
        <v>-0.245</v>
      </c>
      <c r="K604" s="2"/>
      <c r="L604" s="1"/>
      <c r="M604" s="3"/>
      <c r="P604" s="5"/>
    </row>
    <row r="605" spans="1:16" x14ac:dyDescent="0.3">
      <c r="A605">
        <v>1965</v>
      </c>
      <c r="B605">
        <v>9</v>
      </c>
      <c r="C605" s="1">
        <v>1965.6666666686599</v>
      </c>
      <c r="D605" s="2"/>
      <c r="E605" s="2">
        <v>-1742.6612903225805</v>
      </c>
      <c r="F605" s="2">
        <v>0.16254343010753303</v>
      </c>
      <c r="G605" s="2"/>
      <c r="H605" s="2">
        <v>-0.16331253225806819</v>
      </c>
      <c r="I605">
        <v>-1.3</v>
      </c>
      <c r="J605">
        <v>-0.219</v>
      </c>
      <c r="K605" s="2"/>
      <c r="L605" s="1"/>
      <c r="M605" s="3"/>
      <c r="P605" s="5"/>
    </row>
    <row r="606" spans="1:16" x14ac:dyDescent="0.3">
      <c r="A606">
        <v>1965</v>
      </c>
      <c r="B606">
        <v>8</v>
      </c>
      <c r="C606" s="1">
        <v>1965.5833333353301</v>
      </c>
      <c r="D606" s="2"/>
      <c r="E606" s="2">
        <v>-2207.5967741935483</v>
      </c>
      <c r="F606" s="2">
        <v>-9.5175072840792296E-2</v>
      </c>
      <c r="G606" s="2"/>
      <c r="H606" s="2">
        <v>-0.47086303225807313</v>
      </c>
      <c r="I606">
        <v>-0.7</v>
      </c>
      <c r="J606">
        <v>-0.20699999999999999</v>
      </c>
      <c r="K606" s="2"/>
      <c r="L606" s="1"/>
      <c r="M606" s="3"/>
      <c r="P606" s="5"/>
    </row>
    <row r="607" spans="1:16" x14ac:dyDescent="0.3">
      <c r="A607">
        <v>1965</v>
      </c>
      <c r="B607">
        <v>7</v>
      </c>
      <c r="C607" s="1">
        <v>1965.500000002</v>
      </c>
      <c r="D607" s="2"/>
      <c r="E607" s="2">
        <v>-3176.5322580645161</v>
      </c>
      <c r="F607" s="2">
        <v>0.2707588397502505</v>
      </c>
      <c r="G607" s="2"/>
      <c r="H607" s="2">
        <v>-0.14898767741934549</v>
      </c>
      <c r="I607">
        <v>-1.8</v>
      </c>
      <c r="J607">
        <v>-0.185</v>
      </c>
      <c r="K607" s="2"/>
      <c r="L607" s="1"/>
      <c r="M607" s="3"/>
      <c r="P607" s="5"/>
    </row>
    <row r="608" spans="1:16" x14ac:dyDescent="0.3">
      <c r="A608">
        <v>1965</v>
      </c>
      <c r="B608">
        <v>6</v>
      </c>
      <c r="C608" s="1">
        <v>1965.4166666686699</v>
      </c>
      <c r="D608" s="2"/>
      <c r="E608" s="2">
        <v>-1876.5483870967746</v>
      </c>
      <c r="F608" s="2">
        <v>-0.17568677178346448</v>
      </c>
      <c r="G608" s="2"/>
      <c r="H608" s="2">
        <v>-0.40070514516128952</v>
      </c>
      <c r="I608">
        <v>-0.6</v>
      </c>
      <c r="J608">
        <v>-0.124</v>
      </c>
      <c r="K608" s="2"/>
      <c r="L608" s="1"/>
      <c r="M608" s="3"/>
      <c r="P608" s="5"/>
    </row>
    <row r="609" spans="1:16" x14ac:dyDescent="0.3">
      <c r="A609">
        <v>1965</v>
      </c>
      <c r="B609">
        <v>5</v>
      </c>
      <c r="C609" s="1">
        <v>1965.3333333353401</v>
      </c>
      <c r="D609" s="2"/>
      <c r="E609" s="2">
        <v>-1059.8387096774195</v>
      </c>
      <c r="F609" s="2">
        <v>-0.19413509191813461</v>
      </c>
      <c r="G609" s="2"/>
      <c r="H609" s="2">
        <v>-0.56448782258064156</v>
      </c>
      <c r="I609">
        <v>0.2</v>
      </c>
      <c r="J609">
        <v>-9.6000000000000002E-2</v>
      </c>
      <c r="K609" s="2"/>
      <c r="L609" s="1"/>
      <c r="M609" s="3"/>
      <c r="P609" s="5"/>
    </row>
    <row r="610" spans="1:16" x14ac:dyDescent="0.3">
      <c r="A610">
        <v>1965</v>
      </c>
      <c r="B610">
        <v>4</v>
      </c>
      <c r="C610" s="1">
        <v>1965.25000000201</v>
      </c>
      <c r="D610" s="2"/>
      <c r="E610" s="2">
        <v>-1022.177419354839</v>
      </c>
      <c r="F610" s="2">
        <v>-0.10192228494622668</v>
      </c>
      <c r="G610" s="2"/>
      <c r="H610" s="2">
        <v>-0.57570985483869919</v>
      </c>
      <c r="I610">
        <v>-0.5</v>
      </c>
      <c r="J610">
        <v>-9.4E-2</v>
      </c>
      <c r="K610" s="2"/>
      <c r="L610" s="1"/>
      <c r="M610" s="3"/>
      <c r="P610" s="5"/>
    </row>
    <row r="611" spans="1:16" x14ac:dyDescent="0.3">
      <c r="A611">
        <v>1965</v>
      </c>
      <c r="B611">
        <v>3</v>
      </c>
      <c r="C611" s="1">
        <v>1965.1666666686799</v>
      </c>
      <c r="D611" s="2"/>
      <c r="E611" s="2">
        <v>-1254.3709677419356</v>
      </c>
      <c r="F611" s="2">
        <v>-0.14453973985432</v>
      </c>
      <c r="G611" s="2"/>
      <c r="H611" s="2">
        <v>-0.71537566129033436</v>
      </c>
      <c r="I611">
        <v>0.8</v>
      </c>
      <c r="J611">
        <v>-7.3999999999999996E-2</v>
      </c>
      <c r="K611" s="2"/>
      <c r="L611" s="1"/>
      <c r="M611" s="3"/>
      <c r="P611" s="5"/>
    </row>
    <row r="612" spans="1:16" x14ac:dyDescent="0.3">
      <c r="A612">
        <v>1965</v>
      </c>
      <c r="B612">
        <v>2</v>
      </c>
      <c r="C612" s="1">
        <v>1965.0833333353501</v>
      </c>
      <c r="D612" s="2"/>
      <c r="E612" s="2">
        <v>-1224.7419354838712</v>
      </c>
      <c r="F612" s="2">
        <v>-0.21883913018432466</v>
      </c>
      <c r="G612" s="2"/>
      <c r="H612" s="2">
        <v>-0.76521524193548629</v>
      </c>
      <c r="I612">
        <v>0.4</v>
      </c>
      <c r="J612">
        <v>-0.17399999999999999</v>
      </c>
      <c r="K612" s="2"/>
      <c r="L612" s="1"/>
      <c r="M612" s="3"/>
      <c r="P612" s="5"/>
    </row>
    <row r="613" spans="1:16" x14ac:dyDescent="0.3">
      <c r="A613">
        <v>1965</v>
      </c>
      <c r="B613">
        <v>1</v>
      </c>
      <c r="C613" s="1">
        <v>1965.00000000202</v>
      </c>
      <c r="D613" s="2"/>
      <c r="E613" s="2">
        <v>-1389.7258064516127</v>
      </c>
      <c r="F613" s="2">
        <v>-0.68421064516128993</v>
      </c>
      <c r="G613" s="2"/>
      <c r="H613" s="2">
        <v>-0.69750382258065002</v>
      </c>
      <c r="I613">
        <v>-0.4</v>
      </c>
      <c r="J613">
        <v>-0.19500000000000001</v>
      </c>
      <c r="K613" s="2"/>
      <c r="L613" s="1"/>
      <c r="M613" s="3"/>
      <c r="P613" s="5"/>
    </row>
    <row r="614" spans="1:16" x14ac:dyDescent="0.3">
      <c r="A614">
        <v>1964</v>
      </c>
      <c r="B614">
        <v>12</v>
      </c>
      <c r="C614" s="1">
        <v>1964.9166666686899</v>
      </c>
      <c r="D614" s="2"/>
      <c r="E614" s="2">
        <v>-772.84946236559335</v>
      </c>
      <c r="F614" s="2">
        <v>-0.93554547988206238</v>
      </c>
      <c r="G614" s="2"/>
      <c r="H614" s="2">
        <v>-0.5181585967741924</v>
      </c>
      <c r="I614">
        <v>-0.3</v>
      </c>
      <c r="J614">
        <v>-0.11799999999999999</v>
      </c>
      <c r="K614" s="2"/>
      <c r="L614" s="1"/>
      <c r="M614" s="3"/>
      <c r="P614" s="5"/>
    </row>
    <row r="615" spans="1:16" x14ac:dyDescent="0.3">
      <c r="A615">
        <v>1964</v>
      </c>
      <c r="B615">
        <v>11</v>
      </c>
      <c r="C615" s="1">
        <v>1964.8333333353601</v>
      </c>
      <c r="D615" s="2"/>
      <c r="E615" s="2">
        <v>632.67204301075435</v>
      </c>
      <c r="F615" s="2">
        <v>-0.65915794623657575</v>
      </c>
      <c r="G615" s="2"/>
      <c r="H615" s="2">
        <v>-0.47180725806451207</v>
      </c>
      <c r="I615">
        <v>0.2</v>
      </c>
      <c r="J615">
        <v>-0.16300000000000001</v>
      </c>
      <c r="K615" s="2"/>
      <c r="L615" s="1"/>
      <c r="M615" s="3"/>
      <c r="P615" s="5"/>
    </row>
    <row r="616" spans="1:16" x14ac:dyDescent="0.3">
      <c r="A616">
        <v>1964</v>
      </c>
      <c r="B616">
        <v>10</v>
      </c>
      <c r="C616" s="1">
        <v>1964.75000000203</v>
      </c>
      <c r="D616" s="2"/>
      <c r="E616" s="2">
        <v>1361.3064516129034</v>
      </c>
      <c r="F616" s="2">
        <v>-0.54112056330212255</v>
      </c>
      <c r="G616" s="2"/>
      <c r="H616" s="2">
        <v>-4.6677741935496897E-3</v>
      </c>
      <c r="I616">
        <v>1.3</v>
      </c>
      <c r="J616">
        <v>-0.26800000000000002</v>
      </c>
      <c r="K616" s="2"/>
      <c r="L616" s="1"/>
      <c r="M616" s="3"/>
      <c r="P616" s="5"/>
    </row>
    <row r="617" spans="1:16" x14ac:dyDescent="0.3">
      <c r="A617">
        <v>1964</v>
      </c>
      <c r="B617">
        <v>9</v>
      </c>
      <c r="C617" s="1">
        <v>1964.6666666686999</v>
      </c>
      <c r="D617" s="2"/>
      <c r="E617" s="2">
        <v>2502.3387096774195</v>
      </c>
      <c r="F617" s="2">
        <v>-0.53745656989246626</v>
      </c>
      <c r="G617" s="2"/>
      <c r="H617" s="2">
        <v>-0.23099653225806804</v>
      </c>
      <c r="I617">
        <v>1.3</v>
      </c>
      <c r="J617">
        <v>-0.217</v>
      </c>
      <c r="K617" s="2"/>
      <c r="L617" s="1"/>
      <c r="M617" s="3"/>
      <c r="P617" s="5"/>
    </row>
    <row r="618" spans="1:16" x14ac:dyDescent="0.3">
      <c r="A618">
        <v>1964</v>
      </c>
      <c r="B618">
        <v>8</v>
      </c>
      <c r="C618" s="1">
        <v>1964.5833333353701</v>
      </c>
      <c r="D618" s="2"/>
      <c r="E618" s="2">
        <v>2489.4032258064517</v>
      </c>
      <c r="F618" s="2">
        <v>-0.69517507284079372</v>
      </c>
      <c r="G618" s="2"/>
      <c r="H618" s="2">
        <v>-0.18696603225807351</v>
      </c>
      <c r="I618">
        <v>1.5</v>
      </c>
      <c r="J618">
        <v>-0.23100000000000001</v>
      </c>
      <c r="K618" s="2"/>
      <c r="L618" s="1"/>
      <c r="M618" s="3"/>
      <c r="P618" s="5"/>
    </row>
    <row r="619" spans="1:16" x14ac:dyDescent="0.3">
      <c r="A619">
        <v>1964</v>
      </c>
      <c r="B619">
        <v>7</v>
      </c>
      <c r="C619" s="1">
        <v>1964.50000000204</v>
      </c>
      <c r="D619" s="2"/>
      <c r="E619" s="2">
        <v>1258.4677419354839</v>
      </c>
      <c r="F619" s="2">
        <v>-0.32924116024975092</v>
      </c>
      <c r="G619" s="2"/>
      <c r="H619" s="2">
        <v>3.0643225806521457E-3</v>
      </c>
      <c r="I619">
        <v>0.6</v>
      </c>
      <c r="J619">
        <v>-0.14099999999999999</v>
      </c>
      <c r="K619" s="2"/>
      <c r="L619" s="1"/>
      <c r="M619" s="3"/>
      <c r="P619" s="5"/>
    </row>
    <row r="620" spans="1:16" x14ac:dyDescent="0.3">
      <c r="A620">
        <v>1964</v>
      </c>
      <c r="B620">
        <v>6</v>
      </c>
      <c r="C620" s="1">
        <v>1964.4166666687099</v>
      </c>
      <c r="D620" s="2"/>
      <c r="E620" s="2">
        <v>-547.5483870967746</v>
      </c>
      <c r="F620" s="2">
        <v>-0.27568677178346235</v>
      </c>
      <c r="G620" s="2"/>
      <c r="H620" s="2">
        <v>-0.50941414516128702</v>
      </c>
      <c r="I620">
        <v>0.8</v>
      </c>
      <c r="J620">
        <v>7.0000000000000001E-3</v>
      </c>
      <c r="K620" s="2"/>
      <c r="L620" s="1"/>
      <c r="M620" s="3"/>
      <c r="P620" s="5"/>
    </row>
    <row r="621" spans="1:16" x14ac:dyDescent="0.3">
      <c r="A621">
        <v>1964</v>
      </c>
      <c r="B621">
        <v>5</v>
      </c>
      <c r="C621" s="1">
        <v>1964.3333333353801</v>
      </c>
      <c r="D621" s="2"/>
      <c r="E621" s="2">
        <v>-1306.8387096774195</v>
      </c>
      <c r="F621" s="2">
        <v>5.8649080818646837E-3</v>
      </c>
      <c r="G621" s="2"/>
      <c r="H621" s="2">
        <v>-0.31657882258064163</v>
      </c>
      <c r="I621">
        <v>0.2</v>
      </c>
      <c r="J621">
        <v>4.3999999999999997E-2</v>
      </c>
      <c r="K621" s="2"/>
      <c r="L621" s="1"/>
      <c r="M621" s="3"/>
      <c r="P621" s="5"/>
    </row>
    <row r="622" spans="1:16" x14ac:dyDescent="0.3">
      <c r="A622">
        <v>1964</v>
      </c>
      <c r="B622">
        <v>4</v>
      </c>
      <c r="C622" s="1">
        <v>1964.25000000205</v>
      </c>
      <c r="D622" s="2"/>
      <c r="E622" s="2">
        <v>-881.177419354839</v>
      </c>
      <c r="F622" s="2">
        <v>0.2980777150537719</v>
      </c>
      <c r="G622" s="2"/>
      <c r="H622" s="2">
        <v>5.1985145161300039E-2</v>
      </c>
      <c r="I622">
        <v>1.1000000000000001</v>
      </c>
      <c r="J622">
        <v>-0.14299999999999999</v>
      </c>
      <c r="K622" s="2"/>
      <c r="L622" s="1"/>
      <c r="M622" s="3"/>
      <c r="P622" s="5"/>
    </row>
    <row r="623" spans="1:16" x14ac:dyDescent="0.3">
      <c r="A623">
        <v>1964</v>
      </c>
      <c r="B623">
        <v>3</v>
      </c>
      <c r="C623" s="1">
        <v>1964.1666666687199</v>
      </c>
      <c r="D623" s="2"/>
      <c r="E623" s="2">
        <v>-1369.3709677419356</v>
      </c>
      <c r="F623" s="2">
        <v>-0.24453973985432143</v>
      </c>
      <c r="G623" s="2"/>
      <c r="H623" s="2">
        <v>-6.5965661290331212E-2</v>
      </c>
      <c r="I623">
        <v>1.1000000000000001</v>
      </c>
      <c r="J623">
        <v>4.2000000000000003E-2</v>
      </c>
      <c r="K623" s="2"/>
      <c r="L623" s="1"/>
      <c r="M623" s="3"/>
      <c r="P623" s="5"/>
    </row>
    <row r="624" spans="1:16" x14ac:dyDescent="0.3">
      <c r="A624">
        <v>1964</v>
      </c>
      <c r="B624">
        <v>2</v>
      </c>
      <c r="C624" s="1">
        <v>1964.0833333353901</v>
      </c>
      <c r="D624" s="2"/>
      <c r="E624" s="2">
        <v>-1694.7419354838712</v>
      </c>
      <c r="F624" s="2">
        <v>0.18116086981567747</v>
      </c>
      <c r="G624" s="2"/>
      <c r="H624" s="2">
        <v>0.15695375806451395</v>
      </c>
      <c r="I624">
        <v>0</v>
      </c>
      <c r="J624">
        <v>2.4E-2</v>
      </c>
      <c r="K624" s="2"/>
      <c r="L624" s="1"/>
      <c r="M624" s="3"/>
      <c r="P624" s="5"/>
    </row>
    <row r="625" spans="1:16" x14ac:dyDescent="0.3">
      <c r="A625">
        <v>1964</v>
      </c>
      <c r="B625">
        <v>1</v>
      </c>
      <c r="C625" s="1">
        <v>1964.00000000206</v>
      </c>
      <c r="D625" s="2"/>
      <c r="E625" s="2">
        <v>-1696.7258064516127</v>
      </c>
      <c r="F625" s="2">
        <v>-0.18421064516128993</v>
      </c>
      <c r="G625" s="2"/>
      <c r="H625" s="2">
        <v>0.17617417741935171</v>
      </c>
      <c r="I625">
        <v>-0.4</v>
      </c>
      <c r="J625">
        <v>-7.1999999999999995E-2</v>
      </c>
      <c r="K625" s="2"/>
      <c r="L625" s="1"/>
      <c r="M625" s="3"/>
      <c r="P625" s="5"/>
    </row>
    <row r="626" spans="1:16" x14ac:dyDescent="0.3">
      <c r="A626">
        <v>1963</v>
      </c>
      <c r="B626">
        <v>12</v>
      </c>
      <c r="C626" s="1">
        <v>1963.9166666687299</v>
      </c>
      <c r="D626" s="2"/>
      <c r="E626" s="2">
        <v>-697.84946236559335</v>
      </c>
      <c r="F626" s="2">
        <v>6.4454520117937619E-2</v>
      </c>
      <c r="G626" s="2"/>
      <c r="H626" s="2">
        <v>0.35949640322580834</v>
      </c>
      <c r="I626">
        <v>-1.2</v>
      </c>
      <c r="J626">
        <v>-5.7000000000000002E-2</v>
      </c>
      <c r="K626" s="2"/>
      <c r="L626" s="1"/>
      <c r="M626" s="3"/>
      <c r="P626" s="5"/>
    </row>
    <row r="627" spans="1:16" x14ac:dyDescent="0.3">
      <c r="A627">
        <v>1963</v>
      </c>
      <c r="B627">
        <v>11</v>
      </c>
      <c r="C627" s="1">
        <v>1963.8333333354001</v>
      </c>
      <c r="D627" s="2"/>
      <c r="E627" s="2">
        <v>-943.32795698924565</v>
      </c>
      <c r="F627" s="2">
        <v>-0.35915794623657504</v>
      </c>
      <c r="G627" s="2"/>
      <c r="H627" s="2">
        <v>0.23492674193548879</v>
      </c>
      <c r="I627">
        <v>-0.8</v>
      </c>
      <c r="J627">
        <v>-5.3999999999999999E-2</v>
      </c>
      <c r="K627" s="2"/>
      <c r="L627" s="1"/>
      <c r="M627" s="3"/>
      <c r="P627" s="5"/>
    </row>
    <row r="628" spans="1:16" x14ac:dyDescent="0.3">
      <c r="A628">
        <v>1963</v>
      </c>
      <c r="B628">
        <v>10</v>
      </c>
      <c r="C628" s="1">
        <v>1963.75000000207</v>
      </c>
      <c r="D628" s="2"/>
      <c r="E628" s="2">
        <v>-853.6935483870966</v>
      </c>
      <c r="F628" s="2">
        <v>-0.14112056330212042</v>
      </c>
      <c r="G628" s="2"/>
      <c r="H628" s="2">
        <v>0.14153022580645214</v>
      </c>
      <c r="I628">
        <v>-1.2</v>
      </c>
      <c r="J628">
        <v>-6.8000000000000005E-2</v>
      </c>
      <c r="K628" s="2"/>
      <c r="L628" s="1"/>
      <c r="M628" s="3"/>
      <c r="P628" s="5"/>
    </row>
    <row r="629" spans="1:16" x14ac:dyDescent="0.3">
      <c r="A629">
        <v>1963</v>
      </c>
      <c r="B629">
        <v>9</v>
      </c>
      <c r="C629" s="1">
        <v>1963.6666666687399</v>
      </c>
      <c r="D629" s="2"/>
      <c r="E629" s="2">
        <v>-190.6612903225805</v>
      </c>
      <c r="F629" s="2">
        <v>-0.43745656989246484</v>
      </c>
      <c r="G629" s="2"/>
      <c r="H629" s="2">
        <v>7.167846774193265E-2</v>
      </c>
      <c r="I629">
        <v>-0.6</v>
      </c>
      <c r="J629">
        <v>-0.19900000000000001</v>
      </c>
      <c r="K629" s="2"/>
      <c r="L629" s="1"/>
      <c r="M629" s="3"/>
      <c r="P629" s="5"/>
    </row>
    <row r="630" spans="1:16" x14ac:dyDescent="0.3">
      <c r="A630">
        <v>1963</v>
      </c>
      <c r="B630">
        <v>8</v>
      </c>
      <c r="C630" s="1">
        <v>1963.5833333354101</v>
      </c>
      <c r="D630" s="2"/>
      <c r="E630" s="2">
        <v>816.4032258064517</v>
      </c>
      <c r="F630" s="2">
        <v>-0.39517507284079301</v>
      </c>
      <c r="G630" s="2"/>
      <c r="H630" s="2">
        <v>0.12852496774192801</v>
      </c>
      <c r="I630">
        <v>0</v>
      </c>
      <c r="J630">
        <v>-7.0000000000000007E-2</v>
      </c>
      <c r="K630" s="2"/>
      <c r="L630" s="1"/>
      <c r="M630" s="3"/>
      <c r="P630" s="5"/>
    </row>
    <row r="631" spans="1:16" x14ac:dyDescent="0.3">
      <c r="A631">
        <v>1963</v>
      </c>
      <c r="B631">
        <v>7</v>
      </c>
      <c r="C631" s="1">
        <v>1963.50000000208</v>
      </c>
      <c r="D631" s="2"/>
      <c r="E631" s="2">
        <v>884.4677419354839</v>
      </c>
      <c r="F631" s="2">
        <v>-0.42924116024974879</v>
      </c>
      <c r="G631" s="2"/>
      <c r="H631" s="2">
        <v>-5.1912677419348796E-2</v>
      </c>
      <c r="I631">
        <v>-0.1</v>
      </c>
      <c r="J631">
        <v>-3.3000000000000002E-2</v>
      </c>
      <c r="K631" s="2"/>
      <c r="L631" s="1"/>
      <c r="M631" s="3"/>
      <c r="P631" s="5"/>
    </row>
    <row r="632" spans="1:16" x14ac:dyDescent="0.3">
      <c r="A632">
        <v>1963</v>
      </c>
      <c r="B632">
        <v>6</v>
      </c>
      <c r="C632" s="1">
        <v>1963.4166666687499</v>
      </c>
      <c r="D632" s="2"/>
      <c r="E632" s="2">
        <v>1142.4516129032254</v>
      </c>
      <c r="F632" s="2">
        <v>-0.67568677178346448</v>
      </c>
      <c r="G632" s="2"/>
      <c r="H632" s="2">
        <v>-3.5217145161286822E-2</v>
      </c>
      <c r="I632">
        <v>-0.5</v>
      </c>
      <c r="J632">
        <v>-4.3999999999999997E-2</v>
      </c>
      <c r="K632" s="2"/>
      <c r="L632" s="1"/>
      <c r="M632" s="3"/>
      <c r="P632" s="5"/>
    </row>
    <row r="633" spans="1:16" x14ac:dyDescent="0.3">
      <c r="A633">
        <v>1963</v>
      </c>
      <c r="B633">
        <v>5</v>
      </c>
      <c r="C633" s="1">
        <v>1963.3333333354201</v>
      </c>
      <c r="D633" s="2"/>
      <c r="E633" s="2">
        <v>1349.1612903225805</v>
      </c>
      <c r="F633" s="2">
        <v>-0.3941350919181339</v>
      </c>
      <c r="G633" s="2"/>
      <c r="H633" s="2">
        <v>-0.19332982258064035</v>
      </c>
      <c r="I633">
        <v>0.4</v>
      </c>
      <c r="J633">
        <v>-8.2000000000000003E-2</v>
      </c>
      <c r="K633" s="2"/>
      <c r="L633" s="1"/>
      <c r="M633" s="3"/>
      <c r="P633" s="5"/>
    </row>
    <row r="634" spans="1:16" x14ac:dyDescent="0.3">
      <c r="A634">
        <v>1963</v>
      </c>
      <c r="B634">
        <v>4</v>
      </c>
      <c r="C634" s="1">
        <v>1963.25000000209</v>
      </c>
      <c r="D634" s="2"/>
      <c r="E634" s="2">
        <v>1366.822580645161</v>
      </c>
      <c r="F634" s="2">
        <v>0.19807771505377048</v>
      </c>
      <c r="G634" s="2"/>
      <c r="H634" s="2">
        <v>0.19037514516130116</v>
      </c>
      <c r="I634">
        <v>0.8</v>
      </c>
      <c r="J634">
        <v>0.107</v>
      </c>
      <c r="K634" s="2"/>
      <c r="L634" s="1"/>
      <c r="M634" s="3"/>
      <c r="P634" s="5"/>
    </row>
    <row r="635" spans="1:16" x14ac:dyDescent="0.3">
      <c r="A635">
        <v>1963</v>
      </c>
      <c r="B635">
        <v>3</v>
      </c>
      <c r="C635" s="1">
        <v>1963.1666666687599</v>
      </c>
      <c r="D635" s="2"/>
      <c r="E635" s="2">
        <v>483.6290322580644</v>
      </c>
      <c r="F635" s="2">
        <v>0.95546026014567786</v>
      </c>
      <c r="G635" s="2"/>
      <c r="H635" s="2">
        <v>0.20355033870966821</v>
      </c>
      <c r="I635">
        <v>1.1000000000000001</v>
      </c>
      <c r="J635">
        <v>0.13700000000000001</v>
      </c>
      <c r="K635" s="2"/>
      <c r="L635" s="1"/>
      <c r="M635" s="3"/>
      <c r="P635" s="5"/>
    </row>
    <row r="636" spans="1:16" x14ac:dyDescent="0.3">
      <c r="A636">
        <v>1963</v>
      </c>
      <c r="B636">
        <v>2</v>
      </c>
      <c r="C636" s="1">
        <v>1963.0833333354301</v>
      </c>
      <c r="D636" s="2"/>
      <c r="E636" s="2">
        <v>-0.74193548387120245</v>
      </c>
      <c r="F636" s="2">
        <v>1.0811608698156761</v>
      </c>
      <c r="G636" s="2"/>
      <c r="H636" s="2">
        <v>0.21932175806451326</v>
      </c>
      <c r="I636">
        <v>0.6</v>
      </c>
      <c r="J636">
        <v>0.16900000000000001</v>
      </c>
      <c r="K636" s="2"/>
      <c r="L636" s="1"/>
      <c r="M636" s="3"/>
      <c r="P636" s="5"/>
    </row>
    <row r="637" spans="1:16" x14ac:dyDescent="0.3">
      <c r="A637">
        <v>1963</v>
      </c>
      <c r="B637">
        <v>1</v>
      </c>
      <c r="C637" s="1">
        <v>1963.0000000021</v>
      </c>
      <c r="D637" s="2"/>
      <c r="E637" s="2">
        <v>-955.7258064516127</v>
      </c>
      <c r="F637" s="2">
        <v>1.3157893548387101</v>
      </c>
      <c r="G637" s="2"/>
      <c r="H637" s="2">
        <v>0.14018417741934996</v>
      </c>
      <c r="I637">
        <v>1</v>
      </c>
      <c r="J637">
        <v>0.16</v>
      </c>
      <c r="K637" s="2"/>
      <c r="L637" s="1"/>
      <c r="M637" s="3"/>
      <c r="P637" s="5"/>
    </row>
    <row r="638" spans="1:16" x14ac:dyDescent="0.3">
      <c r="A638">
        <v>1962</v>
      </c>
      <c r="B638">
        <v>12</v>
      </c>
      <c r="C638" s="1">
        <v>1962.9166666687699</v>
      </c>
      <c r="D638" s="2"/>
      <c r="E638" s="2">
        <v>-470.84946236559335</v>
      </c>
      <c r="F638" s="2">
        <v>0.16445452011793904</v>
      </c>
      <c r="G638" s="2"/>
      <c r="H638" s="2">
        <v>0.28164240322580625</v>
      </c>
      <c r="I638">
        <v>0.2</v>
      </c>
      <c r="J638">
        <v>0.193</v>
      </c>
      <c r="K638" s="2"/>
      <c r="L638" s="1"/>
      <c r="M638" s="3"/>
      <c r="P638" s="5"/>
    </row>
    <row r="639" spans="1:16" x14ac:dyDescent="0.3">
      <c r="A639">
        <v>1962</v>
      </c>
      <c r="B639">
        <v>11</v>
      </c>
      <c r="C639" s="1">
        <v>1962.8333333354401</v>
      </c>
      <c r="D639" s="2"/>
      <c r="E639" s="2">
        <v>-2.3279569892456493</v>
      </c>
      <c r="F639" s="2">
        <v>0.54084205376342354</v>
      </c>
      <c r="G639" s="2"/>
      <c r="H639" s="2">
        <v>-0.12343525806451083</v>
      </c>
      <c r="I639">
        <v>0.3</v>
      </c>
      <c r="J639">
        <v>4.9000000000000002E-2</v>
      </c>
      <c r="K639" s="2"/>
      <c r="L639" s="1"/>
      <c r="M639" s="3"/>
      <c r="P639" s="5"/>
    </row>
    <row r="640" spans="1:16" x14ac:dyDescent="0.3">
      <c r="A640">
        <v>1962</v>
      </c>
      <c r="B640">
        <v>10</v>
      </c>
      <c r="C640" s="1">
        <v>1962.75000000211</v>
      </c>
      <c r="D640" s="2"/>
      <c r="E640" s="2">
        <v>535.3064516129034</v>
      </c>
      <c r="F640" s="2">
        <v>0.65887943669788029</v>
      </c>
      <c r="G640" s="2"/>
      <c r="H640" s="2">
        <v>-1.0681774193546545E-2</v>
      </c>
      <c r="I640">
        <v>1</v>
      </c>
      <c r="J640">
        <v>6.9000000000000006E-2</v>
      </c>
      <c r="K640" s="2"/>
      <c r="L640" s="1"/>
      <c r="M640" s="3"/>
      <c r="P640" s="5"/>
    </row>
    <row r="641" spans="1:16" x14ac:dyDescent="0.3">
      <c r="A641">
        <v>1962</v>
      </c>
      <c r="B641">
        <v>9</v>
      </c>
      <c r="C641" s="1">
        <v>1962.66666666878</v>
      </c>
      <c r="D641" s="2"/>
      <c r="E641" s="2">
        <v>1584.3387096774195</v>
      </c>
      <c r="F641" s="2">
        <v>6.2543430107535158E-2</v>
      </c>
      <c r="G641" s="2"/>
      <c r="H641" s="2">
        <v>1.4572467741935213E-2</v>
      </c>
      <c r="I641">
        <v>0.4</v>
      </c>
      <c r="J641">
        <v>7.0000000000000001E-3</v>
      </c>
      <c r="K641" s="2"/>
      <c r="L641" s="1"/>
      <c r="M641" s="3"/>
      <c r="P641" s="5"/>
    </row>
    <row r="642" spans="1:16" x14ac:dyDescent="0.3">
      <c r="A642">
        <v>1962</v>
      </c>
      <c r="B642">
        <v>8</v>
      </c>
      <c r="C642" s="1">
        <v>1962.5833333354501</v>
      </c>
      <c r="D642" s="2"/>
      <c r="E642" s="2">
        <v>2269.4032258064517</v>
      </c>
      <c r="F642" s="2">
        <v>-9.5175072840792296E-2</v>
      </c>
      <c r="G642" s="2"/>
      <c r="H642" s="2">
        <v>0.21492196774192607</v>
      </c>
      <c r="I642">
        <v>0.6</v>
      </c>
      <c r="J642">
        <v>-0.06</v>
      </c>
      <c r="K642" s="2"/>
      <c r="L642" s="1"/>
      <c r="M642" s="3"/>
      <c r="P642" s="5"/>
    </row>
    <row r="643" spans="1:16" x14ac:dyDescent="0.3">
      <c r="A643">
        <v>1962</v>
      </c>
      <c r="B643">
        <v>7</v>
      </c>
      <c r="C643" s="1">
        <v>1962.50000000212</v>
      </c>
      <c r="D643" s="2"/>
      <c r="E643" s="2">
        <v>2012.4677419354839</v>
      </c>
      <c r="F643" s="2">
        <v>-2.9241160249750209E-2</v>
      </c>
      <c r="G643" s="2"/>
      <c r="H643" s="2">
        <v>-4.7026677419346186E-2</v>
      </c>
      <c r="I643">
        <v>0.1</v>
      </c>
      <c r="J643">
        <v>-5.0000000000000001E-3</v>
      </c>
      <c r="K643" s="2"/>
      <c r="L643" s="1"/>
      <c r="M643" s="3"/>
      <c r="P643" s="5"/>
    </row>
    <row r="644" spans="1:16" x14ac:dyDescent="0.3">
      <c r="A644">
        <v>1962</v>
      </c>
      <c r="B644">
        <v>6</v>
      </c>
      <c r="C644" s="1">
        <v>1962.41666666879</v>
      </c>
      <c r="D644" s="2"/>
      <c r="E644" s="2">
        <v>959.4516129032254</v>
      </c>
      <c r="F644" s="2">
        <v>-1.1756867717834645</v>
      </c>
      <c r="G644" s="2"/>
      <c r="H644" s="2">
        <v>-0.1055941451612874</v>
      </c>
      <c r="I644">
        <v>0.7</v>
      </c>
      <c r="J644">
        <v>-6.8000000000000005E-2</v>
      </c>
      <c r="K644" s="2"/>
      <c r="L644" s="1"/>
      <c r="M644" s="3"/>
      <c r="P644" s="5"/>
    </row>
    <row r="645" spans="1:16" x14ac:dyDescent="0.3">
      <c r="A645">
        <v>1962</v>
      </c>
      <c r="B645">
        <v>5</v>
      </c>
      <c r="C645" s="1">
        <v>1962.3333333354601</v>
      </c>
      <c r="D645" s="2"/>
      <c r="E645" s="2">
        <v>318.1612903225805</v>
      </c>
      <c r="F645" s="2">
        <v>0.80586490808186539</v>
      </c>
      <c r="G645" s="2"/>
      <c r="H645" s="2">
        <v>-0.34775382258063914</v>
      </c>
      <c r="I645">
        <v>1.1000000000000001</v>
      </c>
      <c r="J645">
        <v>2.5999999999999999E-2</v>
      </c>
      <c r="K645" s="2"/>
      <c r="L645" s="1"/>
      <c r="M645" s="3"/>
      <c r="P645" s="5"/>
    </row>
    <row r="646" spans="1:16" x14ac:dyDescent="0.3">
      <c r="A646">
        <v>1962</v>
      </c>
      <c r="B646">
        <v>4</v>
      </c>
      <c r="C646" s="1">
        <v>1962.25000000213</v>
      </c>
      <c r="D646" s="2"/>
      <c r="E646" s="2">
        <v>-178.177419354839</v>
      </c>
      <c r="F646" s="2">
        <v>-0.10192228494622668</v>
      </c>
      <c r="G646" s="2"/>
      <c r="H646" s="2">
        <v>-8.0246854838701864E-2</v>
      </c>
      <c r="I646">
        <v>0.2</v>
      </c>
      <c r="J646">
        <v>9.0999999999999998E-2</v>
      </c>
      <c r="K646" s="2"/>
      <c r="L646" s="1"/>
      <c r="M646" s="3"/>
      <c r="P646" s="5"/>
    </row>
    <row r="647" spans="1:16" x14ac:dyDescent="0.3">
      <c r="A647">
        <v>1962</v>
      </c>
      <c r="B647">
        <v>3</v>
      </c>
      <c r="C647" s="1">
        <v>1962.1666666688</v>
      </c>
      <c r="D647" s="2"/>
      <c r="E647" s="2">
        <v>-117.3709677419356</v>
      </c>
      <c r="F647" s="2">
        <v>0.55546026014567929</v>
      </c>
      <c r="G647" s="2"/>
      <c r="H647" s="2">
        <v>0.27934633870966863</v>
      </c>
      <c r="I647">
        <v>0.1</v>
      </c>
      <c r="J647">
        <v>0.16900000000000001</v>
      </c>
      <c r="K647" s="2"/>
      <c r="L647" s="1"/>
      <c r="M647" s="3"/>
      <c r="P647" s="5"/>
    </row>
    <row r="648" spans="1:16" x14ac:dyDescent="0.3">
      <c r="A648">
        <v>1962</v>
      </c>
      <c r="B648">
        <v>2</v>
      </c>
      <c r="C648" s="1">
        <v>1962.0833333354699</v>
      </c>
      <c r="D648" s="2"/>
      <c r="E648" s="2">
        <v>-391.7419354838712</v>
      </c>
      <c r="F648" s="2">
        <v>8.1160869815676051E-2</v>
      </c>
      <c r="G648" s="2"/>
      <c r="H648" s="2">
        <v>-5.1136241935488158E-2</v>
      </c>
      <c r="I648">
        <v>-0.3</v>
      </c>
      <c r="J648">
        <v>0.155</v>
      </c>
      <c r="K648" s="2"/>
      <c r="L648" s="1"/>
      <c r="M648" s="3"/>
      <c r="P648" s="5"/>
    </row>
    <row r="649" spans="1:16" x14ac:dyDescent="0.3">
      <c r="A649">
        <v>1962</v>
      </c>
      <c r="B649">
        <v>1</v>
      </c>
      <c r="C649" s="1">
        <v>1962.00000000214</v>
      </c>
      <c r="D649" s="2"/>
      <c r="E649" s="2">
        <v>137.2741935483873</v>
      </c>
      <c r="F649" s="2">
        <v>-0.48421064516129064</v>
      </c>
      <c r="G649" s="2"/>
      <c r="H649" s="2">
        <v>0.15229817741935037</v>
      </c>
      <c r="I649">
        <v>2</v>
      </c>
      <c r="J649">
        <v>0.152</v>
      </c>
      <c r="K649" s="2"/>
      <c r="L649" s="1"/>
      <c r="M649" s="3"/>
      <c r="P649" s="5"/>
    </row>
    <row r="650" spans="1:16" x14ac:dyDescent="0.3">
      <c r="A650">
        <v>1961</v>
      </c>
      <c r="B650">
        <v>12</v>
      </c>
      <c r="C650" s="1">
        <v>1961.91666666881</v>
      </c>
      <c r="D650" s="2"/>
      <c r="E650" s="2">
        <v>902.15053763440665</v>
      </c>
      <c r="F650" s="2">
        <v>-0.83554547988206096</v>
      </c>
      <c r="G650" s="2"/>
      <c r="H650" s="2">
        <v>0.20152640322580595</v>
      </c>
      <c r="I650">
        <v>1.5</v>
      </c>
      <c r="J650">
        <v>0.217</v>
      </c>
      <c r="K650" s="2"/>
      <c r="L650" s="1"/>
      <c r="M650" s="3"/>
      <c r="P650" s="5"/>
    </row>
    <row r="651" spans="1:16" x14ac:dyDescent="0.3">
      <c r="A651">
        <v>1961</v>
      </c>
      <c r="B651">
        <v>11</v>
      </c>
      <c r="C651" s="1">
        <v>1961.8333333354799</v>
      </c>
      <c r="D651" s="2"/>
      <c r="E651" s="2">
        <v>-284.32795698924565</v>
      </c>
      <c r="F651" s="2">
        <v>-1.9591579462365765</v>
      </c>
      <c r="G651" s="2"/>
      <c r="H651" s="2">
        <v>-0.17508325806451097</v>
      </c>
      <c r="I651">
        <v>0.5</v>
      </c>
      <c r="J651">
        <v>7.0999999999999994E-2</v>
      </c>
      <c r="K651" s="2"/>
      <c r="L651" s="1"/>
      <c r="M651" s="3"/>
      <c r="P651" s="5"/>
    </row>
    <row r="652" spans="1:16" x14ac:dyDescent="0.3">
      <c r="A652">
        <v>1961</v>
      </c>
      <c r="B652">
        <v>10</v>
      </c>
      <c r="C652" s="1">
        <v>1961.75000000215</v>
      </c>
      <c r="D652" s="2"/>
      <c r="E652" s="2">
        <v>-1154.6935483870966</v>
      </c>
      <c r="F652" s="2">
        <v>5.8879436697878873E-2</v>
      </c>
      <c r="G652" s="2"/>
      <c r="H652" s="2">
        <v>-6.1132774193549011E-2</v>
      </c>
      <c r="I652">
        <v>-0.3</v>
      </c>
      <c r="J652">
        <v>3.2000000000000001E-2</v>
      </c>
      <c r="K652" s="2"/>
      <c r="L652" s="1"/>
      <c r="M652" s="3"/>
      <c r="P652" s="5"/>
    </row>
    <row r="653" spans="1:16" x14ac:dyDescent="0.3">
      <c r="A653">
        <v>1961</v>
      </c>
      <c r="B653">
        <v>9</v>
      </c>
      <c r="C653" s="1">
        <v>1961.66666666882</v>
      </c>
      <c r="D653" s="2"/>
      <c r="E653" s="2">
        <v>-850.6612903225805</v>
      </c>
      <c r="F653" s="2">
        <v>-0.13745656989246413</v>
      </c>
      <c r="G653" s="2"/>
      <c r="H653" s="2">
        <v>-0.11461653225806501</v>
      </c>
      <c r="I653">
        <v>0.1</v>
      </c>
      <c r="J653">
        <v>6.0000000000000001E-3</v>
      </c>
      <c r="K653" s="2"/>
      <c r="L653" s="1"/>
      <c r="M653" s="3"/>
      <c r="P653" s="5"/>
    </row>
    <row r="654" spans="1:16" x14ac:dyDescent="0.3">
      <c r="A654">
        <v>1961</v>
      </c>
      <c r="B654">
        <v>8</v>
      </c>
      <c r="C654" s="1">
        <v>1961.5833333354899</v>
      </c>
      <c r="D654" s="2"/>
      <c r="E654" s="2">
        <v>-1574.5967741935483</v>
      </c>
      <c r="F654" s="2">
        <v>0.10482492715920699</v>
      </c>
      <c r="G654" s="2"/>
      <c r="H654" s="2">
        <v>0.16637696774192534</v>
      </c>
      <c r="I654">
        <v>0.2</v>
      </c>
      <c r="J654">
        <v>3.9E-2</v>
      </c>
      <c r="K654" s="2"/>
      <c r="L654" s="1"/>
      <c r="M654" s="3"/>
      <c r="P654" s="5"/>
    </row>
    <row r="655" spans="1:16" x14ac:dyDescent="0.3">
      <c r="A655">
        <v>1961</v>
      </c>
      <c r="B655">
        <v>7</v>
      </c>
      <c r="C655" s="1">
        <v>1961.50000000216</v>
      </c>
      <c r="D655" s="2"/>
      <c r="E655" s="2">
        <v>-1920.5322580645161</v>
      </c>
      <c r="F655" s="2">
        <v>-2.9241160249750209E-2</v>
      </c>
      <c r="G655" s="2"/>
      <c r="H655" s="2">
        <v>-0.21764067741934667</v>
      </c>
      <c r="I655">
        <v>0.2</v>
      </c>
      <c r="J655">
        <v>-1.4999999999999999E-2</v>
      </c>
      <c r="K655" s="2"/>
      <c r="L655" s="1"/>
      <c r="M655" s="3"/>
      <c r="P655" s="5"/>
    </row>
    <row r="656" spans="1:16" x14ac:dyDescent="0.3">
      <c r="A656">
        <v>1961</v>
      </c>
      <c r="B656">
        <v>6</v>
      </c>
      <c r="C656" s="1">
        <v>1961.41666666883</v>
      </c>
      <c r="D656" s="2"/>
      <c r="E656" s="2">
        <v>-2479.5483870967746</v>
      </c>
      <c r="F656" s="2">
        <v>0.42431322821653694</v>
      </c>
      <c r="G656" s="2"/>
      <c r="H656" s="2">
        <v>-0.41846814516128816</v>
      </c>
      <c r="I656">
        <v>0.1</v>
      </c>
      <c r="J656">
        <v>3.5999999999999997E-2</v>
      </c>
      <c r="K656" s="2"/>
      <c r="L656" s="1"/>
      <c r="M656" s="3"/>
      <c r="P656" s="5"/>
    </row>
    <row r="657" spans="1:16" x14ac:dyDescent="0.3">
      <c r="A657">
        <v>1961</v>
      </c>
      <c r="B657">
        <v>5</v>
      </c>
      <c r="C657" s="1">
        <v>1961.3333333354999</v>
      </c>
      <c r="D657" s="2"/>
      <c r="E657" s="2">
        <v>-1229.8387096774195</v>
      </c>
      <c r="F657" s="2">
        <v>-0.19413509191813461</v>
      </c>
      <c r="G657" s="2"/>
      <c r="H657" s="2">
        <v>-0.12431382258063906</v>
      </c>
      <c r="I657">
        <v>0.3</v>
      </c>
      <c r="J657">
        <v>0.19700000000000001</v>
      </c>
      <c r="K657" s="2"/>
      <c r="L657" s="1"/>
      <c r="M657" s="3"/>
      <c r="P657" s="5"/>
    </row>
    <row r="658" spans="1:16" x14ac:dyDescent="0.3">
      <c r="A658">
        <v>1961</v>
      </c>
      <c r="B658">
        <v>4</v>
      </c>
      <c r="C658" s="1">
        <v>1961.2500000021701</v>
      </c>
      <c r="D658" s="2"/>
      <c r="E658" s="2">
        <v>-599.177419354839</v>
      </c>
      <c r="F658" s="2">
        <v>-0.50192228494622881</v>
      </c>
      <c r="G658" s="2"/>
      <c r="H658" s="2">
        <v>0.18761714516130112</v>
      </c>
      <c r="I658">
        <v>0.8</v>
      </c>
      <c r="J658">
        <v>0.23</v>
      </c>
      <c r="K658" s="2"/>
      <c r="L658" s="1"/>
      <c r="M658" s="3"/>
      <c r="P658" s="5"/>
    </row>
    <row r="659" spans="1:16" x14ac:dyDescent="0.3">
      <c r="A659">
        <v>1961</v>
      </c>
      <c r="B659">
        <v>3</v>
      </c>
      <c r="C659" s="1">
        <v>1961.16666666884</v>
      </c>
      <c r="D659" s="2"/>
      <c r="E659" s="2">
        <v>-1050.3709677419356</v>
      </c>
      <c r="F659" s="2">
        <v>-1.3445397398543228</v>
      </c>
      <c r="G659" s="2"/>
      <c r="H659" s="2">
        <v>0.37989433870966849</v>
      </c>
      <c r="I659">
        <v>-1.8</v>
      </c>
      <c r="J659">
        <v>0.152</v>
      </c>
      <c r="K659" s="2"/>
      <c r="L659" s="1"/>
      <c r="M659" s="3"/>
      <c r="P659" s="5"/>
    </row>
    <row r="660" spans="1:16" x14ac:dyDescent="0.3">
      <c r="A660">
        <v>1961</v>
      </c>
      <c r="B660">
        <v>2</v>
      </c>
      <c r="C660" s="1">
        <v>1961.0833333355099</v>
      </c>
      <c r="D660" s="2"/>
      <c r="E660" s="2">
        <v>-175.7419354838712</v>
      </c>
      <c r="F660" s="2">
        <v>-0.71883913018432466</v>
      </c>
      <c r="G660" s="2"/>
      <c r="H660" s="2">
        <v>7.7607758064512922E-2</v>
      </c>
      <c r="I660">
        <v>0.9</v>
      </c>
      <c r="J660">
        <v>8.5000000000000006E-2</v>
      </c>
      <c r="K660" s="2"/>
      <c r="L660" s="1"/>
      <c r="M660" s="3"/>
      <c r="P660" s="5"/>
    </row>
    <row r="661" spans="1:16" x14ac:dyDescent="0.3">
      <c r="A661">
        <v>1961</v>
      </c>
      <c r="B661">
        <v>1</v>
      </c>
      <c r="C661" s="1">
        <v>1961.0000000021801</v>
      </c>
      <c r="D661" s="2"/>
      <c r="E661" s="2">
        <v>492.2741935483873</v>
      </c>
      <c r="F661" s="2">
        <v>-8.4210645161292064E-2</v>
      </c>
      <c r="G661" s="2"/>
      <c r="H661" s="2">
        <v>0.17664117741935215</v>
      </c>
      <c r="I661">
        <v>-0.3</v>
      </c>
      <c r="J661">
        <v>6.4000000000000001E-2</v>
      </c>
      <c r="K661" s="2"/>
      <c r="L661" s="1"/>
      <c r="M661" s="3"/>
      <c r="P661" s="5"/>
    </row>
    <row r="662" spans="1:16" x14ac:dyDescent="0.3">
      <c r="A662">
        <v>1960</v>
      </c>
      <c r="B662">
        <v>12</v>
      </c>
      <c r="C662" s="1">
        <v>1960.91666666885</v>
      </c>
      <c r="D662" s="2"/>
      <c r="E662" s="2">
        <v>421.15053763440665</v>
      </c>
      <c r="F662" s="2">
        <v>-0.23554547988206309</v>
      </c>
      <c r="G662" s="2"/>
      <c r="H662" s="2">
        <v>-5.5914596774194081E-2</v>
      </c>
      <c r="I662">
        <v>0.8</v>
      </c>
      <c r="J662">
        <v>0.14099999999999999</v>
      </c>
      <c r="K662" s="2"/>
      <c r="L662" s="1"/>
      <c r="M662" s="3"/>
      <c r="P662" s="5"/>
    </row>
    <row r="663" spans="1:16" x14ac:dyDescent="0.3">
      <c r="A663">
        <v>1960</v>
      </c>
      <c r="B663">
        <v>11</v>
      </c>
      <c r="C663" s="1">
        <v>1960.8333333355199</v>
      </c>
      <c r="D663" s="2"/>
      <c r="E663" s="2">
        <v>-603.32795698924565</v>
      </c>
      <c r="F663" s="2">
        <v>-0.15915794623657575</v>
      </c>
      <c r="G663" s="2"/>
      <c r="H663" s="2">
        <v>-7.429258064512112E-3</v>
      </c>
      <c r="I663">
        <v>0.5</v>
      </c>
      <c r="J663">
        <v>0.254</v>
      </c>
      <c r="K663" s="2"/>
      <c r="L663" s="1"/>
      <c r="M663" s="3"/>
      <c r="P663" s="5"/>
    </row>
    <row r="664" spans="1:16" x14ac:dyDescent="0.3">
      <c r="A664">
        <v>1960</v>
      </c>
      <c r="B664">
        <v>10</v>
      </c>
      <c r="C664" s="1">
        <v>1960.7500000021901</v>
      </c>
      <c r="D664" s="2"/>
      <c r="E664" s="2">
        <v>-1059.6935483870966</v>
      </c>
      <c r="F664" s="2">
        <v>0.15887943669788029</v>
      </c>
      <c r="G664" s="2"/>
      <c r="H664" s="2">
        <v>0.10450322580645022</v>
      </c>
      <c r="I664">
        <v>0.1</v>
      </c>
      <c r="J664">
        <v>0.3</v>
      </c>
      <c r="K664" s="2"/>
      <c r="L664" s="1"/>
      <c r="M664" s="3"/>
      <c r="P664" s="5"/>
    </row>
    <row r="665" spans="1:16" x14ac:dyDescent="0.3">
      <c r="A665">
        <v>1960</v>
      </c>
      <c r="B665">
        <v>9</v>
      </c>
      <c r="C665" s="1">
        <v>1960.66666666886</v>
      </c>
      <c r="D665" s="2"/>
      <c r="E665" s="2">
        <v>165.3387096774195</v>
      </c>
      <c r="F665" s="2">
        <v>0.16254343010753303</v>
      </c>
      <c r="G665" s="2"/>
      <c r="H665" s="2">
        <v>0.26681346774193315</v>
      </c>
      <c r="I665">
        <v>0.7</v>
      </c>
      <c r="J665">
        <v>0.214</v>
      </c>
      <c r="K665" s="2"/>
      <c r="L665" s="1"/>
      <c r="M665" s="3"/>
      <c r="P665" s="5"/>
    </row>
    <row r="666" spans="1:16" x14ac:dyDescent="0.3">
      <c r="A666">
        <v>1960</v>
      </c>
      <c r="B666">
        <v>8</v>
      </c>
      <c r="C666" s="1">
        <v>1960.5833333355299</v>
      </c>
      <c r="D666" s="2"/>
      <c r="E666" s="2">
        <v>-289.5967741935483</v>
      </c>
      <c r="F666" s="2">
        <v>0.20482492715920486</v>
      </c>
      <c r="G666" s="2"/>
      <c r="H666" s="2">
        <v>0.11828196774192534</v>
      </c>
      <c r="I666">
        <v>0.8</v>
      </c>
      <c r="J666">
        <v>0.33900000000000002</v>
      </c>
      <c r="K666" s="2"/>
      <c r="L666" s="1"/>
      <c r="M666" s="3"/>
      <c r="P666" s="5"/>
    </row>
    <row r="667" spans="1:16" x14ac:dyDescent="0.3">
      <c r="A667">
        <v>1960</v>
      </c>
      <c r="B667">
        <v>7</v>
      </c>
      <c r="C667" s="1">
        <v>1960.5000000022001</v>
      </c>
      <c r="D667" s="2"/>
      <c r="E667" s="2">
        <v>-164.5322580645161</v>
      </c>
      <c r="F667" s="2">
        <v>0.2707588397502505</v>
      </c>
      <c r="G667" s="2"/>
      <c r="H667" s="2">
        <v>0.22066232258065455</v>
      </c>
      <c r="I667">
        <v>0.5</v>
      </c>
      <c r="J667">
        <v>0.27400000000000002</v>
      </c>
      <c r="K667" s="2"/>
      <c r="L667" s="1"/>
      <c r="M667" s="3"/>
      <c r="P667" s="5"/>
    </row>
    <row r="668" spans="1:16" x14ac:dyDescent="0.3">
      <c r="A668">
        <v>1960</v>
      </c>
      <c r="B668">
        <v>6</v>
      </c>
      <c r="C668" s="1">
        <v>1960.41666666887</v>
      </c>
      <c r="D668" s="2"/>
      <c r="E668" s="2">
        <v>-374.5483870967746</v>
      </c>
      <c r="F668" s="2">
        <v>2.431322821653481E-2</v>
      </c>
      <c r="G668" s="2"/>
      <c r="H668" s="2">
        <v>0.51566485483871105</v>
      </c>
      <c r="I668">
        <v>0.1</v>
      </c>
      <c r="J668">
        <v>0.32200000000000001</v>
      </c>
      <c r="K668" s="2"/>
      <c r="L668" s="1"/>
      <c r="M668" s="3"/>
      <c r="P668" s="5"/>
    </row>
    <row r="669" spans="1:16" x14ac:dyDescent="0.3">
      <c r="A669">
        <v>1960</v>
      </c>
      <c r="B669">
        <v>5</v>
      </c>
      <c r="C669" s="1">
        <v>1960.3333333355399</v>
      </c>
      <c r="D669" s="2"/>
      <c r="E669" s="2">
        <v>-5.8387096774195015</v>
      </c>
      <c r="F669" s="2">
        <v>0.40586490808186682</v>
      </c>
      <c r="G669" s="2"/>
      <c r="H669" s="2">
        <v>0.5020131774193608</v>
      </c>
      <c r="I669">
        <v>0.5</v>
      </c>
      <c r="J669">
        <v>0.30599999999999999</v>
      </c>
      <c r="K669" s="2"/>
      <c r="L669" s="1"/>
      <c r="M669" s="3"/>
      <c r="P669" s="5"/>
    </row>
    <row r="670" spans="1:16" x14ac:dyDescent="0.3">
      <c r="A670">
        <v>1960</v>
      </c>
      <c r="B670">
        <v>4</v>
      </c>
      <c r="C670" s="1">
        <v>1960.2500000022101</v>
      </c>
      <c r="D670" s="2"/>
      <c r="E670" s="2">
        <v>-281.177419354839</v>
      </c>
      <c r="F670" s="2">
        <v>0.7980777150537719</v>
      </c>
      <c r="G670" s="2"/>
      <c r="H670" s="2">
        <v>0.17808314516129897</v>
      </c>
      <c r="I670">
        <v>0.8</v>
      </c>
      <c r="J670">
        <v>0.1</v>
      </c>
      <c r="K670" s="2"/>
      <c r="L670" s="1"/>
      <c r="M670" s="3"/>
      <c r="P670" s="5"/>
    </row>
    <row r="671" spans="1:16" x14ac:dyDescent="0.3">
      <c r="A671">
        <v>1960</v>
      </c>
      <c r="B671">
        <v>3</v>
      </c>
      <c r="C671" s="1">
        <v>1960.16666666888</v>
      </c>
      <c r="D671" s="2"/>
      <c r="E671" s="2">
        <v>-426.3709677419356</v>
      </c>
      <c r="F671" s="2">
        <v>-0.44453973985432071</v>
      </c>
      <c r="G671" s="2"/>
      <c r="H671" s="2">
        <v>0.421339338709668</v>
      </c>
      <c r="I671">
        <v>1</v>
      </c>
      <c r="J671">
        <v>9.1999999999999998E-2</v>
      </c>
      <c r="K671" s="2"/>
      <c r="L671" s="1"/>
      <c r="M671" s="3"/>
      <c r="P671" s="5"/>
    </row>
    <row r="672" spans="1:16" x14ac:dyDescent="0.3">
      <c r="A672">
        <v>1960</v>
      </c>
      <c r="B672">
        <v>2</v>
      </c>
      <c r="C672" s="1">
        <v>1960.0833333355499</v>
      </c>
      <c r="D672" s="2"/>
      <c r="E672" s="2">
        <v>314.2580645161288</v>
      </c>
      <c r="F672" s="2">
        <v>0.68116086981567747</v>
      </c>
      <c r="G672" s="2"/>
      <c r="H672" s="2">
        <v>0.70386875806451243</v>
      </c>
      <c r="I672">
        <v>0.1</v>
      </c>
      <c r="J672">
        <v>0.22</v>
      </c>
      <c r="K672" s="2"/>
      <c r="L672" s="1"/>
      <c r="M672" s="3"/>
      <c r="P672" s="5"/>
    </row>
    <row r="673" spans="1:16" x14ac:dyDescent="0.3">
      <c r="A673">
        <v>1960</v>
      </c>
      <c r="B673">
        <v>1</v>
      </c>
      <c r="C673" s="1">
        <v>1960.0000000022201</v>
      </c>
      <c r="D673" s="2"/>
      <c r="E673" s="2">
        <v>-242.7258064516127</v>
      </c>
      <c r="F673" s="2">
        <v>-0.38421064516128922</v>
      </c>
      <c r="G673" s="2"/>
      <c r="H673" s="2">
        <v>0.22562817741934893</v>
      </c>
      <c r="I673">
        <v>0.1</v>
      </c>
      <c r="J673">
        <v>0.18</v>
      </c>
      <c r="K673" s="2"/>
      <c r="L673" s="1"/>
      <c r="M673" s="3"/>
      <c r="P673" s="5"/>
    </row>
    <row r="674" spans="1:16" x14ac:dyDescent="0.3">
      <c r="A674">
        <v>1959</v>
      </c>
      <c r="B674">
        <v>12</v>
      </c>
      <c r="C674" s="1">
        <v>1959.91666666889</v>
      </c>
      <c r="D674" s="2"/>
      <c r="E674" s="2">
        <v>-992.84946236559335</v>
      </c>
      <c r="F674" s="2">
        <v>0.16445452011793904</v>
      </c>
      <c r="G674" s="2"/>
      <c r="H674" s="2">
        <v>0.17356640322580574</v>
      </c>
      <c r="I674">
        <v>0.9</v>
      </c>
      <c r="J674">
        <v>0.113</v>
      </c>
      <c r="K674" s="2"/>
      <c r="L674" s="1"/>
      <c r="M674" s="3"/>
      <c r="P674" s="5"/>
    </row>
    <row r="675" spans="1:16" x14ac:dyDescent="0.3">
      <c r="A675">
        <v>1959</v>
      </c>
      <c r="B675">
        <v>11</v>
      </c>
      <c r="C675" s="1">
        <v>1959.8333333355599</v>
      </c>
      <c r="D675" s="2"/>
      <c r="E675" s="2">
        <v>-853.32795698924565</v>
      </c>
      <c r="F675" s="2">
        <v>4.0842053763423536E-2</v>
      </c>
      <c r="G675" s="2"/>
      <c r="H675" s="2">
        <v>-7.2315258064513444E-2</v>
      </c>
      <c r="I675">
        <v>0.9</v>
      </c>
      <c r="J675">
        <v>5.3999999999999999E-2</v>
      </c>
      <c r="K675" s="2"/>
      <c r="L675" s="1"/>
      <c r="M675" s="3"/>
      <c r="P675" s="5"/>
    </row>
    <row r="676" spans="1:16" x14ac:dyDescent="0.3">
      <c r="A676">
        <v>1959</v>
      </c>
      <c r="B676">
        <v>10</v>
      </c>
      <c r="C676" s="1">
        <v>1959.7500000022301</v>
      </c>
      <c r="D676" s="2"/>
      <c r="E676" s="2">
        <v>-1355.6935483870966</v>
      </c>
      <c r="F676" s="2">
        <v>5.8879436697878873E-2</v>
      </c>
      <c r="G676" s="2"/>
      <c r="H676" s="2">
        <v>-0.21326677419354922</v>
      </c>
      <c r="I676">
        <v>0.5</v>
      </c>
      <c r="J676">
        <v>0.11600000000000001</v>
      </c>
      <c r="K676" s="2"/>
      <c r="L676" s="1"/>
      <c r="M676" s="3"/>
      <c r="P676" s="5"/>
    </row>
    <row r="677" spans="1:16" x14ac:dyDescent="0.3">
      <c r="A677">
        <v>1959</v>
      </c>
      <c r="B677">
        <v>9</v>
      </c>
      <c r="C677" s="1">
        <v>1959.6666666689</v>
      </c>
      <c r="D677" s="2"/>
      <c r="E677" s="2">
        <v>-1429.6612903225805</v>
      </c>
      <c r="F677" s="2">
        <v>0.16254343010753303</v>
      </c>
      <c r="G677" s="2"/>
      <c r="H677" s="2">
        <v>-0.20696753225806575</v>
      </c>
      <c r="I677">
        <v>0</v>
      </c>
      <c r="J677">
        <v>0.129</v>
      </c>
      <c r="K677" s="2"/>
      <c r="L677" s="1"/>
      <c r="M677" s="3"/>
      <c r="P677" s="5"/>
    </row>
    <row r="678" spans="1:16" x14ac:dyDescent="0.3">
      <c r="A678">
        <v>1959</v>
      </c>
      <c r="B678">
        <v>8</v>
      </c>
      <c r="C678" s="1">
        <v>1959.5833333355699</v>
      </c>
      <c r="D678" s="2"/>
      <c r="E678" s="2">
        <v>-1350.5967741935483</v>
      </c>
      <c r="F678" s="2">
        <v>4.824927159205572E-3</v>
      </c>
      <c r="G678" s="2"/>
      <c r="H678" s="2">
        <v>-0.36198303225807393</v>
      </c>
      <c r="I678">
        <v>-0.1</v>
      </c>
      <c r="J678">
        <v>1.6E-2</v>
      </c>
      <c r="K678" s="2"/>
      <c r="L678" s="1"/>
      <c r="M678" s="3"/>
      <c r="P678" s="5"/>
    </row>
    <row r="679" spans="1:16" x14ac:dyDescent="0.3">
      <c r="A679">
        <v>1959</v>
      </c>
      <c r="B679">
        <v>7</v>
      </c>
      <c r="C679" s="1">
        <v>1959.5000000022401</v>
      </c>
      <c r="D679" s="2"/>
      <c r="E679" s="2">
        <v>-1117.5322580645161</v>
      </c>
      <c r="F679" s="2">
        <v>-0.2292411602497495</v>
      </c>
      <c r="G679" s="2"/>
      <c r="H679" s="2">
        <v>-0.14296467741934649</v>
      </c>
      <c r="I679">
        <v>-0.3</v>
      </c>
      <c r="J679">
        <v>-2.8000000000000001E-2</v>
      </c>
      <c r="K679" s="2"/>
      <c r="L679" s="1"/>
      <c r="M679" s="3"/>
      <c r="P679" s="5"/>
    </row>
    <row r="680" spans="1:16" x14ac:dyDescent="0.3">
      <c r="A680">
        <v>1959</v>
      </c>
      <c r="B680">
        <v>6</v>
      </c>
      <c r="C680" s="1">
        <v>1959.41666666891</v>
      </c>
      <c r="D680" s="2"/>
      <c r="E680" s="2">
        <v>-1449.5483870967746</v>
      </c>
      <c r="F680" s="2">
        <v>-0.17568677178346448</v>
      </c>
      <c r="G680" s="2"/>
      <c r="H680" s="2">
        <v>-0.23525214516129012</v>
      </c>
      <c r="I680">
        <v>-0.1</v>
      </c>
      <c r="J680">
        <v>-5.6000000000000001E-2</v>
      </c>
      <c r="K680" s="2"/>
      <c r="L680" s="1"/>
      <c r="M680" s="3"/>
      <c r="P680" s="5"/>
    </row>
    <row r="681" spans="1:16" x14ac:dyDescent="0.3">
      <c r="A681">
        <v>1959</v>
      </c>
      <c r="B681">
        <v>5</v>
      </c>
      <c r="C681" s="1">
        <v>1959.3333333355799</v>
      </c>
      <c r="D681" s="2"/>
      <c r="E681" s="2">
        <v>-1103.8387096774195</v>
      </c>
      <c r="F681" s="2">
        <v>-0.3941350919181339</v>
      </c>
      <c r="G681" s="2"/>
      <c r="H681" s="2">
        <v>-0.40466982258064021</v>
      </c>
      <c r="I681">
        <v>0.5</v>
      </c>
      <c r="J681">
        <v>1.0999999999999999E-2</v>
      </c>
      <c r="K681" s="2"/>
      <c r="L681" s="1"/>
      <c r="M681" s="3"/>
      <c r="P681" s="5"/>
    </row>
    <row r="682" spans="1:16" x14ac:dyDescent="0.3">
      <c r="A682">
        <v>1959</v>
      </c>
      <c r="B682">
        <v>4</v>
      </c>
      <c r="C682" s="1">
        <v>1959.2500000022501</v>
      </c>
      <c r="D682" s="2"/>
      <c r="E682" s="2">
        <v>-1908.177419354839</v>
      </c>
      <c r="F682" s="2">
        <v>-0.50192228494622881</v>
      </c>
      <c r="G682" s="2"/>
      <c r="H682" s="2">
        <v>-6.4225854838699803E-2</v>
      </c>
      <c r="I682">
        <v>0.4</v>
      </c>
      <c r="J682">
        <v>0</v>
      </c>
      <c r="K682" s="2"/>
      <c r="L682" s="1"/>
      <c r="M682" s="3"/>
      <c r="P682" s="5"/>
    </row>
    <row r="683" spans="1:16" x14ac:dyDescent="0.3">
      <c r="A683">
        <v>1959</v>
      </c>
      <c r="B683">
        <v>3</v>
      </c>
      <c r="C683" s="1">
        <v>1959.16666666892</v>
      </c>
      <c r="D683" s="2"/>
      <c r="E683" s="2">
        <v>-1849.3709677419356</v>
      </c>
      <c r="F683" s="2">
        <v>-0.74453973985432143</v>
      </c>
      <c r="G683" s="2"/>
      <c r="H683" s="2">
        <v>-0.25681866129033182</v>
      </c>
      <c r="I683">
        <v>1.3</v>
      </c>
      <c r="J683">
        <v>-2.3E-2</v>
      </c>
      <c r="K683" s="2"/>
      <c r="L683" s="1"/>
      <c r="M683" s="3"/>
      <c r="P683" s="5"/>
    </row>
    <row r="684" spans="1:16" x14ac:dyDescent="0.3">
      <c r="A684">
        <v>1959</v>
      </c>
      <c r="B684">
        <v>2</v>
      </c>
      <c r="C684" s="1">
        <v>1959.0833333355899</v>
      </c>
      <c r="D684" s="2"/>
      <c r="E684" s="2">
        <v>-2355.7419354838712</v>
      </c>
      <c r="F684" s="2">
        <v>-1.4188391301843239</v>
      </c>
      <c r="G684" s="2"/>
      <c r="H684" s="2">
        <v>-0.10147524193548563</v>
      </c>
      <c r="I684">
        <v>-1.4</v>
      </c>
      <c r="J684">
        <v>0.11799999999999999</v>
      </c>
      <c r="K684" s="2"/>
      <c r="L684" s="1"/>
      <c r="M684" s="3"/>
      <c r="P684" s="5"/>
    </row>
    <row r="685" spans="1:16" x14ac:dyDescent="0.3">
      <c r="A685">
        <v>1959</v>
      </c>
      <c r="B685">
        <v>1</v>
      </c>
      <c r="C685" s="1">
        <v>1959.0000000022601</v>
      </c>
      <c r="D685" s="2"/>
      <c r="E685" s="2">
        <v>-3549.7258064516127</v>
      </c>
      <c r="F685" s="2">
        <v>-0.58421064516129206</v>
      </c>
      <c r="G685" s="2"/>
      <c r="H685" s="2">
        <v>-1.7867822580647896E-2</v>
      </c>
      <c r="I685">
        <v>-0.9</v>
      </c>
      <c r="J685">
        <v>0.104</v>
      </c>
      <c r="K685" s="2"/>
      <c r="L685" s="1"/>
      <c r="M685" s="3"/>
      <c r="P685" s="5"/>
    </row>
    <row r="686" spans="1:16" x14ac:dyDescent="0.3">
      <c r="A686">
        <v>1958</v>
      </c>
      <c r="B686">
        <v>12</v>
      </c>
      <c r="C686" s="1">
        <v>1958.91666666893</v>
      </c>
      <c r="D686" s="2"/>
      <c r="E686" s="2">
        <v>-4356.8494623655934</v>
      </c>
      <c r="F686" s="2">
        <v>-0.23554547988206309</v>
      </c>
      <c r="G686" s="2"/>
      <c r="H686" s="2">
        <v>0.10636840322580809</v>
      </c>
      <c r="I686">
        <v>-0.6</v>
      </c>
      <c r="J686">
        <v>0.223</v>
      </c>
      <c r="K686" s="2"/>
      <c r="L686" s="1"/>
      <c r="M686" s="3"/>
      <c r="P686" s="5"/>
    </row>
    <row r="687" spans="1:16" x14ac:dyDescent="0.3">
      <c r="A687">
        <v>1958</v>
      </c>
      <c r="B687">
        <v>11</v>
      </c>
      <c r="C687" s="1">
        <v>1958.8333333355999</v>
      </c>
      <c r="D687" s="2"/>
      <c r="E687" s="2">
        <v>-2774.3279569892456</v>
      </c>
      <c r="F687" s="2">
        <v>0.64084205376342496</v>
      </c>
      <c r="G687" s="2"/>
      <c r="H687" s="2">
        <v>8.5956741935486747E-2</v>
      </c>
      <c r="I687">
        <v>-0.4</v>
      </c>
      <c r="J687">
        <v>0.189</v>
      </c>
      <c r="K687" s="2"/>
      <c r="L687" s="1"/>
      <c r="M687" s="3"/>
      <c r="P687" s="5"/>
    </row>
    <row r="688" spans="1:16" x14ac:dyDescent="0.3">
      <c r="A688">
        <v>1958</v>
      </c>
      <c r="B688">
        <v>10</v>
      </c>
      <c r="C688" s="1">
        <v>1958.7500000022701</v>
      </c>
      <c r="D688" s="2"/>
      <c r="E688" s="2">
        <v>-2981.6935483870966</v>
      </c>
      <c r="F688" s="2">
        <v>0.85887943669787958</v>
      </c>
      <c r="G688" s="2"/>
      <c r="H688" s="2">
        <v>0.24279122580645307</v>
      </c>
      <c r="I688">
        <v>0.1</v>
      </c>
      <c r="J688">
        <v>0.156</v>
      </c>
      <c r="K688" s="2"/>
      <c r="L688" s="1"/>
      <c r="M688" s="3"/>
      <c r="P688" s="5"/>
    </row>
    <row r="689" spans="1:16" x14ac:dyDescent="0.3">
      <c r="A689">
        <v>1958</v>
      </c>
      <c r="B689">
        <v>9</v>
      </c>
      <c r="C689" s="1">
        <v>1958.66666666894</v>
      </c>
      <c r="D689" s="2"/>
      <c r="E689" s="2">
        <v>-2628.6612903225805</v>
      </c>
      <c r="F689" s="2">
        <v>0.96254343010753374</v>
      </c>
      <c r="G689" s="2"/>
      <c r="H689" s="2">
        <v>0.32536746774193404</v>
      </c>
      <c r="I689">
        <v>-0.3</v>
      </c>
      <c r="J689">
        <v>0.216</v>
      </c>
      <c r="K689" s="2"/>
      <c r="L689" s="1"/>
      <c r="M689" s="3"/>
      <c r="P689" s="5"/>
    </row>
    <row r="690" spans="1:16" x14ac:dyDescent="0.3">
      <c r="A690">
        <v>1958</v>
      </c>
      <c r="B690">
        <v>8</v>
      </c>
      <c r="C690" s="1">
        <v>1958.58333333561</v>
      </c>
      <c r="D690" s="2"/>
      <c r="E690" s="2">
        <v>-1839.5967741935483</v>
      </c>
      <c r="F690" s="2">
        <v>0.50482492715920557</v>
      </c>
      <c r="G690" s="2"/>
      <c r="H690" s="2">
        <v>0.34637796774192608</v>
      </c>
      <c r="I690">
        <v>0.9</v>
      </c>
      <c r="J690">
        <v>0.16500000000000001</v>
      </c>
      <c r="K690" s="2"/>
      <c r="L690" s="1"/>
      <c r="M690" s="3"/>
      <c r="P690" s="5"/>
    </row>
    <row r="691" spans="1:16" x14ac:dyDescent="0.3">
      <c r="A691">
        <v>1958</v>
      </c>
      <c r="B691">
        <v>7</v>
      </c>
      <c r="C691" s="1">
        <v>1958.5000000022801</v>
      </c>
      <c r="D691" s="2"/>
      <c r="E691" s="2">
        <v>-3293.5322580645161</v>
      </c>
      <c r="F691" s="2">
        <v>0.7707588397502505</v>
      </c>
      <c r="G691" s="2"/>
      <c r="H691" s="2">
        <v>0.43835332258065307</v>
      </c>
      <c r="I691">
        <v>0.4</v>
      </c>
      <c r="J691">
        <v>0.16800000000000001</v>
      </c>
      <c r="K691" s="2"/>
      <c r="L691" s="1"/>
      <c r="M691" s="3"/>
      <c r="P691" s="5"/>
    </row>
    <row r="692" spans="1:16" x14ac:dyDescent="0.3">
      <c r="A692">
        <v>1958</v>
      </c>
      <c r="B692">
        <v>6</v>
      </c>
      <c r="C692" s="1">
        <v>1958.41666666895</v>
      </c>
      <c r="D692" s="2"/>
      <c r="E692" s="2">
        <v>-1809.5483870967746</v>
      </c>
      <c r="F692" s="2">
        <v>0.72431322821653765</v>
      </c>
      <c r="G692" s="2"/>
      <c r="H692" s="2">
        <v>1.0496558548387114</v>
      </c>
      <c r="I692">
        <v>0.3</v>
      </c>
      <c r="J692">
        <v>0.22500000000000001</v>
      </c>
      <c r="K692" s="2"/>
      <c r="L692" s="1"/>
      <c r="M692" s="3"/>
      <c r="P692" s="5"/>
    </row>
    <row r="693" spans="1:16" x14ac:dyDescent="0.3">
      <c r="A693">
        <v>1958</v>
      </c>
      <c r="B693">
        <v>5</v>
      </c>
      <c r="C693" s="1">
        <v>1958.33333333562</v>
      </c>
      <c r="D693" s="2"/>
      <c r="E693" s="2">
        <v>-1263.8387096774195</v>
      </c>
      <c r="F693" s="2">
        <v>0.30586490808186539</v>
      </c>
      <c r="G693" s="2"/>
      <c r="H693" s="2">
        <v>0.82158617741935913</v>
      </c>
      <c r="I693">
        <v>-0.5</v>
      </c>
      <c r="J693">
        <v>0.20499999999999999</v>
      </c>
      <c r="K693" s="2"/>
      <c r="L693" s="1"/>
      <c r="M693" s="3"/>
      <c r="P693" s="5"/>
    </row>
    <row r="694" spans="1:16" x14ac:dyDescent="0.3">
      <c r="A694">
        <v>1958</v>
      </c>
      <c r="B694">
        <v>4</v>
      </c>
      <c r="C694" s="1">
        <v>1958.2500000022901</v>
      </c>
      <c r="D694" s="2"/>
      <c r="E694" s="2">
        <v>-1565.177419354839</v>
      </c>
      <c r="F694" s="2">
        <v>0.69807771505377048</v>
      </c>
      <c r="G694" s="2"/>
      <c r="H694" s="2">
        <v>0.66186614516130149</v>
      </c>
      <c r="I694">
        <v>0.4</v>
      </c>
      <c r="J694">
        <v>0.35</v>
      </c>
      <c r="K694" s="2"/>
      <c r="L694" s="1"/>
      <c r="M694" s="3"/>
      <c r="P694" s="5"/>
    </row>
    <row r="695" spans="1:16" x14ac:dyDescent="0.3">
      <c r="A695">
        <v>1958</v>
      </c>
      <c r="B695">
        <v>3</v>
      </c>
      <c r="C695" s="1">
        <v>1958.16666666896</v>
      </c>
      <c r="D695" s="2"/>
      <c r="E695" s="2">
        <v>-1621.3709677419356</v>
      </c>
      <c r="F695" s="2">
        <v>0.65546026014567715</v>
      </c>
      <c r="G695" s="2"/>
      <c r="H695" s="2">
        <v>0.77228533870966842</v>
      </c>
      <c r="I695">
        <v>0.3</v>
      </c>
      <c r="J695">
        <v>0.34799999999999998</v>
      </c>
      <c r="K695" s="2"/>
      <c r="L695" s="1"/>
      <c r="M695" s="3"/>
      <c r="P695" s="5"/>
    </row>
    <row r="696" spans="1:16" x14ac:dyDescent="0.3">
      <c r="A696">
        <v>1958</v>
      </c>
      <c r="B696">
        <v>2</v>
      </c>
      <c r="C696" s="1">
        <v>1958.08333333563</v>
      </c>
      <c r="D696" s="2"/>
      <c r="E696" s="2">
        <v>-1842.7419354838712</v>
      </c>
      <c r="F696" s="2">
        <v>0.28116086981567534</v>
      </c>
      <c r="G696" s="2"/>
      <c r="H696" s="2">
        <v>0.59457775806451352</v>
      </c>
      <c r="I696">
        <v>-0.5</v>
      </c>
      <c r="J696">
        <v>0.193</v>
      </c>
      <c r="K696" s="2"/>
      <c r="L696" s="1"/>
      <c r="M696" s="3"/>
      <c r="P696" s="5"/>
    </row>
    <row r="697" spans="1:16" x14ac:dyDescent="0.3">
      <c r="A697">
        <v>1958</v>
      </c>
      <c r="B697">
        <v>1</v>
      </c>
      <c r="C697" s="1">
        <v>1958.0000000023001</v>
      </c>
      <c r="D697" s="2"/>
      <c r="E697" s="2">
        <v>-3347.7258064516127</v>
      </c>
      <c r="F697" s="2">
        <v>0.51578935483870936</v>
      </c>
      <c r="G697" s="2"/>
      <c r="H697" s="2">
        <v>0.59264917741935008</v>
      </c>
      <c r="I697">
        <v>-1.9</v>
      </c>
      <c r="J697">
        <v>5.2999999999999999E-2</v>
      </c>
      <c r="K697" s="2"/>
      <c r="L697" s="1"/>
      <c r="M697" s="3"/>
      <c r="P697" s="5"/>
    </row>
    <row r="698" spans="1:16" x14ac:dyDescent="0.3">
      <c r="A698">
        <v>1957</v>
      </c>
      <c r="B698">
        <v>12</v>
      </c>
      <c r="C698" s="1">
        <v>1957.91666666897</v>
      </c>
      <c r="D698" s="2"/>
      <c r="E698" s="2">
        <v>-3511.8494623655934</v>
      </c>
      <c r="F698" s="2">
        <v>0.56445452011793762</v>
      </c>
      <c r="G698" s="2"/>
      <c r="H698" s="2">
        <v>-2.6691596774192305E-2</v>
      </c>
      <c r="I698">
        <v>-0.3</v>
      </c>
      <c r="J698">
        <v>8.3000000000000004E-2</v>
      </c>
      <c r="K698" s="2"/>
      <c r="L698" s="1"/>
      <c r="M698" s="3"/>
      <c r="P698" s="5"/>
    </row>
    <row r="699" spans="1:16" x14ac:dyDescent="0.3">
      <c r="A699">
        <v>1957</v>
      </c>
      <c r="B699">
        <v>11</v>
      </c>
      <c r="C699" s="1">
        <v>1957.83333333564</v>
      </c>
      <c r="D699" s="2"/>
      <c r="E699" s="2">
        <v>-2815.3279569892456</v>
      </c>
      <c r="F699" s="2">
        <v>0.74084205376342638</v>
      </c>
      <c r="G699" s="2"/>
      <c r="H699" s="2">
        <v>5.045674193548777E-2</v>
      </c>
      <c r="I699">
        <v>-1</v>
      </c>
      <c r="J699">
        <v>8.7999999999999995E-2</v>
      </c>
      <c r="K699" s="2"/>
      <c r="L699" s="1"/>
      <c r="M699" s="3"/>
      <c r="P699" s="5"/>
    </row>
    <row r="700" spans="1:16" x14ac:dyDescent="0.3">
      <c r="A700">
        <v>1957</v>
      </c>
      <c r="B700">
        <v>10</v>
      </c>
      <c r="C700" s="1">
        <v>1957.7500000023099</v>
      </c>
      <c r="D700" s="2"/>
      <c r="E700" s="2">
        <v>-2360.6935483870966</v>
      </c>
      <c r="F700" s="2">
        <v>0.45887943669787745</v>
      </c>
      <c r="G700" s="2"/>
      <c r="H700" s="2">
        <v>0.37390022580645166</v>
      </c>
      <c r="I700">
        <v>0</v>
      </c>
      <c r="J700">
        <v>0.153</v>
      </c>
      <c r="K700" s="2"/>
      <c r="L700" s="1"/>
      <c r="M700" s="3"/>
      <c r="P700" s="5"/>
    </row>
    <row r="701" spans="1:16" x14ac:dyDescent="0.3">
      <c r="A701">
        <v>1957</v>
      </c>
      <c r="B701">
        <v>9</v>
      </c>
      <c r="C701" s="1">
        <v>1957.66666666898</v>
      </c>
      <c r="D701" s="2"/>
      <c r="E701" s="2">
        <v>-2511.6612903225805</v>
      </c>
      <c r="F701" s="2">
        <v>0.66254343010753303</v>
      </c>
      <c r="G701" s="2"/>
      <c r="H701" s="2">
        <v>2.6834677419351749E-3</v>
      </c>
      <c r="I701">
        <v>-0.9</v>
      </c>
      <c r="J701">
        <v>0.22500000000000001</v>
      </c>
      <c r="K701" s="2"/>
      <c r="L701" s="1"/>
      <c r="M701" s="3"/>
      <c r="P701" s="5"/>
    </row>
    <row r="702" spans="1:16" x14ac:dyDescent="0.3">
      <c r="A702">
        <v>1957</v>
      </c>
      <c r="B702">
        <v>8</v>
      </c>
      <c r="C702" s="1">
        <v>1957.58333333565</v>
      </c>
      <c r="D702" s="2"/>
      <c r="E702" s="2">
        <v>-2129.5967741935483</v>
      </c>
      <c r="F702" s="2">
        <v>0.9048249271592077</v>
      </c>
      <c r="G702" s="2"/>
      <c r="H702" s="2">
        <v>9.4912967741926479E-2</v>
      </c>
      <c r="I702">
        <v>-0.5</v>
      </c>
      <c r="J702">
        <v>0.20599999999999999</v>
      </c>
      <c r="K702" s="2"/>
      <c r="L702" s="1"/>
      <c r="M702" s="3"/>
      <c r="P702" s="5"/>
    </row>
    <row r="703" spans="1:16" x14ac:dyDescent="0.3">
      <c r="A703">
        <v>1957</v>
      </c>
      <c r="B703">
        <v>7</v>
      </c>
      <c r="C703" s="1">
        <v>1957.5000000023199</v>
      </c>
      <c r="D703" s="2"/>
      <c r="E703" s="2">
        <v>-1664.5322580645161</v>
      </c>
      <c r="F703" s="2">
        <v>0.57075883975025121</v>
      </c>
      <c r="G703" s="2"/>
      <c r="H703" s="2">
        <v>4.9103225806526041E-3</v>
      </c>
      <c r="I703">
        <v>0.2</v>
      </c>
      <c r="J703">
        <v>4.3999999999999997E-2</v>
      </c>
      <c r="K703" s="2"/>
      <c r="L703" s="1"/>
      <c r="M703" s="3"/>
      <c r="P703" s="5"/>
    </row>
    <row r="704" spans="1:16" x14ac:dyDescent="0.3">
      <c r="A704">
        <v>1957</v>
      </c>
      <c r="B704">
        <v>6</v>
      </c>
      <c r="C704" s="1">
        <v>1957.41666666899</v>
      </c>
      <c r="D704" s="2"/>
      <c r="E704" s="2">
        <v>-355.5483870967746</v>
      </c>
      <c r="F704" s="2">
        <v>0.22431322821653765</v>
      </c>
      <c r="G704" s="2"/>
      <c r="H704" s="2">
        <v>-0.18708414516128968</v>
      </c>
      <c r="I704">
        <v>0.2</v>
      </c>
      <c r="J704">
        <v>-8.0000000000000002E-3</v>
      </c>
      <c r="K704" s="2"/>
      <c r="L704" s="1"/>
      <c r="M704" s="3"/>
      <c r="P704" s="5"/>
    </row>
    <row r="705" spans="1:16" x14ac:dyDescent="0.3">
      <c r="A705">
        <v>1957</v>
      </c>
      <c r="B705">
        <v>5</v>
      </c>
      <c r="C705" s="1">
        <v>1957.33333333566</v>
      </c>
      <c r="D705" s="2"/>
      <c r="E705" s="2">
        <v>-1110.8387096774195</v>
      </c>
      <c r="F705" s="2">
        <v>0.20586490808186397</v>
      </c>
      <c r="G705" s="2"/>
      <c r="H705" s="2">
        <v>-0.57697382258064067</v>
      </c>
      <c r="I705">
        <v>-0.7</v>
      </c>
      <c r="J705">
        <v>-0.11700000000000001</v>
      </c>
      <c r="K705" s="2"/>
      <c r="L705" s="1"/>
      <c r="M705" s="3"/>
      <c r="P705" s="5"/>
    </row>
    <row r="706" spans="1:16" x14ac:dyDescent="0.3">
      <c r="A706">
        <v>1957</v>
      </c>
      <c r="B706">
        <v>4</v>
      </c>
      <c r="C706" s="1">
        <v>1957.2500000023299</v>
      </c>
      <c r="D706" s="2"/>
      <c r="E706" s="2">
        <v>-669.177419354839</v>
      </c>
      <c r="F706" s="2">
        <v>-1.1019222849462267</v>
      </c>
      <c r="G706" s="2"/>
      <c r="H706" s="2">
        <v>-0.63378285483869945</v>
      </c>
      <c r="I706">
        <v>0.2</v>
      </c>
      <c r="J706">
        <v>-7.0000000000000007E-2</v>
      </c>
      <c r="K706" s="2"/>
      <c r="L706" s="1"/>
      <c r="M706" s="3"/>
      <c r="P706" s="5"/>
    </row>
    <row r="707" spans="1:16" x14ac:dyDescent="0.3">
      <c r="A707">
        <v>1957</v>
      </c>
      <c r="B707">
        <v>3</v>
      </c>
      <c r="C707" s="1">
        <v>1957.1666666690001</v>
      </c>
      <c r="D707" s="2"/>
      <c r="E707" s="2">
        <v>-310.3709677419356</v>
      </c>
      <c r="F707" s="2">
        <v>0.35546026014568</v>
      </c>
      <c r="G707" s="2"/>
      <c r="H707" s="2">
        <v>-2.8394661290331413E-2</v>
      </c>
      <c r="I707">
        <v>0.2</v>
      </c>
      <c r="J707">
        <v>-1.4999999999999999E-2</v>
      </c>
      <c r="K707" s="2"/>
      <c r="L707" s="1"/>
      <c r="M707" s="3"/>
      <c r="P707" s="5"/>
    </row>
    <row r="708" spans="1:16" x14ac:dyDescent="0.3">
      <c r="A708">
        <v>1957</v>
      </c>
      <c r="B708">
        <v>2</v>
      </c>
      <c r="C708" s="1">
        <v>1957.08333333567</v>
      </c>
      <c r="D708" s="2"/>
      <c r="E708" s="2">
        <v>-280.7419354838712</v>
      </c>
      <c r="F708" s="2">
        <v>-0.81883913018432253</v>
      </c>
      <c r="G708" s="2"/>
      <c r="H708" s="2">
        <v>-1.151059241935485</v>
      </c>
      <c r="I708">
        <v>-0.1</v>
      </c>
      <c r="J708">
        <v>-0.10199999999999999</v>
      </c>
      <c r="K708" s="2"/>
      <c r="L708" s="1"/>
      <c r="M708" s="3"/>
      <c r="P708" s="5"/>
    </row>
    <row r="709" spans="1:16" x14ac:dyDescent="0.3">
      <c r="A709">
        <v>1957</v>
      </c>
      <c r="B709">
        <v>1</v>
      </c>
      <c r="C709" s="1">
        <v>1957.0000000023399</v>
      </c>
      <c r="D709" s="2"/>
      <c r="E709" s="2">
        <v>1185.2741935483873</v>
      </c>
      <c r="F709" s="2">
        <v>1.2157893548387086</v>
      </c>
      <c r="G709" s="2"/>
      <c r="H709" s="2">
        <v>-0.42507882258064811</v>
      </c>
      <c r="I709">
        <v>0.6</v>
      </c>
      <c r="J709">
        <v>-7.6999999999999999E-2</v>
      </c>
      <c r="K709" s="2"/>
      <c r="L709" s="1"/>
      <c r="M709" s="3"/>
      <c r="P709" s="5"/>
    </row>
    <row r="710" spans="1:16" x14ac:dyDescent="0.3">
      <c r="A710">
        <v>1956</v>
      </c>
      <c r="B710">
        <v>12</v>
      </c>
      <c r="C710" s="1">
        <v>1956.9166666690101</v>
      </c>
      <c r="D710" s="2"/>
      <c r="E710" s="10">
        <v>-1200.8494623655934</v>
      </c>
      <c r="F710" s="2">
        <v>-0.5355454798820638</v>
      </c>
      <c r="G710" s="2"/>
      <c r="H710" s="2">
        <v>-0.17429559677419348</v>
      </c>
      <c r="I710">
        <v>1.1000000000000001</v>
      </c>
      <c r="J710">
        <v>2.3E-2</v>
      </c>
      <c r="K710" s="2"/>
      <c r="L710" s="1"/>
      <c r="M710" s="3"/>
      <c r="P710" s="5"/>
    </row>
    <row r="711" spans="1:16" x14ac:dyDescent="0.3">
      <c r="A711">
        <v>1956</v>
      </c>
      <c r="B711">
        <v>11</v>
      </c>
      <c r="C711" s="1">
        <v>1956.83333333568</v>
      </c>
      <c r="D711" s="2"/>
      <c r="E711" s="10">
        <v>-734.32795698924565</v>
      </c>
      <c r="F711" s="2">
        <v>-0.45915794623657646</v>
      </c>
      <c r="G711" s="2"/>
      <c r="H711" s="2">
        <v>-0.26529825806451157</v>
      </c>
      <c r="I711">
        <v>0.2</v>
      </c>
      <c r="J711">
        <v>-8.3000000000000004E-2</v>
      </c>
      <c r="K711" s="2"/>
      <c r="L711" s="1"/>
      <c r="M711" s="3"/>
      <c r="P711" s="5"/>
    </row>
    <row r="712" spans="1:16" x14ac:dyDescent="0.3">
      <c r="A712">
        <v>1956</v>
      </c>
      <c r="B712">
        <v>10</v>
      </c>
      <c r="C712" s="1">
        <v>1956.7500000023499</v>
      </c>
      <c r="D712" s="2"/>
      <c r="E712" s="2">
        <v>1132.3064516129034</v>
      </c>
      <c r="F712" s="2">
        <v>-1.0411205633021225</v>
      </c>
      <c r="G712" s="2"/>
      <c r="H712" s="2">
        <v>-0.36561877419354971</v>
      </c>
      <c r="I712">
        <v>1.8</v>
      </c>
      <c r="J712">
        <v>-3.9E-2</v>
      </c>
      <c r="K712" s="2"/>
      <c r="L712" s="1"/>
      <c r="M712" s="3"/>
      <c r="P712" s="5"/>
    </row>
    <row r="713" spans="1:16" x14ac:dyDescent="0.3">
      <c r="A713">
        <v>1956</v>
      </c>
      <c r="B713">
        <v>9</v>
      </c>
      <c r="C713" s="1">
        <v>1956.6666666690201</v>
      </c>
      <c r="D713" s="2"/>
      <c r="E713" s="2">
        <v>832.3387096774195</v>
      </c>
      <c r="F713" s="2">
        <v>-0.23745656989246555</v>
      </c>
      <c r="G713" s="2"/>
      <c r="H713" s="2">
        <v>-0.45658653225806489</v>
      </c>
      <c r="I713">
        <v>0.1</v>
      </c>
      <c r="J713">
        <v>-8.5000000000000006E-2</v>
      </c>
      <c r="K713" s="2"/>
      <c r="L713" s="1"/>
      <c r="M713" s="3"/>
      <c r="P713" s="5"/>
    </row>
    <row r="714" spans="1:16" x14ac:dyDescent="0.3">
      <c r="A714">
        <v>1956</v>
      </c>
      <c r="B714">
        <v>8</v>
      </c>
      <c r="C714" s="1">
        <v>1956.58333333569</v>
      </c>
      <c r="D714" s="2"/>
      <c r="E714" s="2">
        <v>846.4032258064517</v>
      </c>
      <c r="F714" s="2">
        <v>-0.69517507284079372</v>
      </c>
      <c r="G714" s="2"/>
      <c r="H714" s="2">
        <v>-0.49540703225807192</v>
      </c>
      <c r="I714">
        <v>1.2</v>
      </c>
      <c r="J714">
        <v>-9.4E-2</v>
      </c>
      <c r="K714" s="2"/>
      <c r="L714" s="1"/>
      <c r="M714" s="3"/>
      <c r="P714" s="5"/>
    </row>
    <row r="715" spans="1:16" x14ac:dyDescent="0.3">
      <c r="A715">
        <v>1956</v>
      </c>
      <c r="B715">
        <v>7</v>
      </c>
      <c r="C715" s="1">
        <v>1956.5000000023599</v>
      </c>
      <c r="D715" s="2"/>
      <c r="E715" s="2">
        <v>1847.4677419354839</v>
      </c>
      <c r="F715" s="2">
        <v>-0.12924116024974808</v>
      </c>
      <c r="G715" s="2"/>
      <c r="H715" s="2">
        <v>-0.4761986774193474</v>
      </c>
      <c r="I715">
        <v>1.1000000000000001</v>
      </c>
      <c r="J715">
        <v>-8.5999999999999993E-2</v>
      </c>
      <c r="K715" s="2"/>
      <c r="L715" s="1"/>
      <c r="M715" s="3"/>
      <c r="P715" s="5"/>
    </row>
    <row r="716" spans="1:16" x14ac:dyDescent="0.3">
      <c r="A716">
        <v>1956</v>
      </c>
      <c r="B716">
        <v>6</v>
      </c>
      <c r="C716" s="1">
        <v>1956.4166666690301</v>
      </c>
      <c r="D716" s="2"/>
      <c r="E716" s="2">
        <v>1244.4516129032254</v>
      </c>
      <c r="F716" s="2">
        <v>-0.57568677178346306</v>
      </c>
      <c r="G716" s="2"/>
      <c r="H716" s="2">
        <v>-0.2860941451612895</v>
      </c>
      <c r="I716">
        <v>1.1000000000000001</v>
      </c>
      <c r="J716">
        <v>-0.26</v>
      </c>
      <c r="K716" s="2"/>
      <c r="L716" s="1"/>
      <c r="M716" s="3"/>
      <c r="P716" s="5"/>
    </row>
    <row r="717" spans="1:16" x14ac:dyDescent="0.3">
      <c r="A717">
        <v>1956</v>
      </c>
      <c r="B717">
        <v>5</v>
      </c>
      <c r="C717" s="1">
        <v>1956.3333333357</v>
      </c>
      <c r="D717" s="2"/>
      <c r="E717" s="2">
        <v>332.1612903225805</v>
      </c>
      <c r="F717" s="2">
        <v>-0.49413509191813532</v>
      </c>
      <c r="G717" s="2"/>
      <c r="H717" s="2">
        <v>-0.56156182258063936</v>
      </c>
      <c r="I717">
        <v>1.4</v>
      </c>
      <c r="J717">
        <v>-5.3999999999999999E-2</v>
      </c>
      <c r="K717" s="2"/>
      <c r="L717" s="1"/>
      <c r="M717" s="3"/>
      <c r="P717" s="5"/>
    </row>
    <row r="718" spans="1:16" x14ac:dyDescent="0.3">
      <c r="A718">
        <v>1956</v>
      </c>
      <c r="B718">
        <v>4</v>
      </c>
      <c r="C718" s="1">
        <v>1956.2500000023699</v>
      </c>
      <c r="D718" s="2"/>
      <c r="E718" s="2">
        <v>1514.822580645161</v>
      </c>
      <c r="F718" s="2">
        <v>-0.10192228494622668</v>
      </c>
      <c r="G718" s="2"/>
      <c r="H718" s="2">
        <v>-0.13967685483870085</v>
      </c>
      <c r="I718">
        <v>0.9</v>
      </c>
      <c r="J718">
        <v>6.7000000000000004E-2</v>
      </c>
      <c r="K718" s="2"/>
      <c r="L718" s="1"/>
      <c r="M718" s="3"/>
      <c r="P718" s="5"/>
    </row>
    <row r="719" spans="1:16" x14ac:dyDescent="0.3">
      <c r="A719">
        <v>1956</v>
      </c>
      <c r="B719">
        <v>3</v>
      </c>
      <c r="C719" s="1">
        <v>1956.1666666690401</v>
      </c>
      <c r="D719" s="2"/>
      <c r="E719" s="2">
        <v>2927.6290322580644</v>
      </c>
      <c r="F719" s="2">
        <v>-0.54453973985432214</v>
      </c>
      <c r="G719" s="2"/>
      <c r="H719" s="2">
        <v>-0.43788866129033366</v>
      </c>
      <c r="I719">
        <v>1.3</v>
      </c>
      <c r="J719">
        <v>1.7999999999999999E-2</v>
      </c>
      <c r="K719" s="2"/>
      <c r="L719" s="1"/>
      <c r="M719" s="3"/>
      <c r="P719" s="5"/>
    </row>
    <row r="720" spans="1:16" x14ac:dyDescent="0.3">
      <c r="A720">
        <v>1956</v>
      </c>
      <c r="B720">
        <v>2</v>
      </c>
      <c r="C720" s="1">
        <v>1956.08333333571</v>
      </c>
      <c r="D720" s="2"/>
      <c r="E720" s="2">
        <v>3690.2580645161288</v>
      </c>
      <c r="F720" s="2">
        <v>-0.31883913018432253</v>
      </c>
      <c r="G720" s="2"/>
      <c r="H720" s="2">
        <v>-0.26855924193548475</v>
      </c>
      <c r="I720">
        <v>1.6</v>
      </c>
      <c r="J720">
        <v>9.8000000000000004E-2</v>
      </c>
      <c r="K720" s="2"/>
      <c r="L720" s="1"/>
      <c r="M720" s="3"/>
      <c r="P720" s="5"/>
    </row>
    <row r="721" spans="1:16" x14ac:dyDescent="0.3">
      <c r="A721">
        <v>1956</v>
      </c>
      <c r="B721">
        <v>1</v>
      </c>
      <c r="C721" s="1">
        <v>1956.0000000023799</v>
      </c>
      <c r="D721" s="2"/>
      <c r="E721" s="2">
        <v>3680.2741935483873</v>
      </c>
      <c r="F721" s="2">
        <v>-0.58421064516129206</v>
      </c>
      <c r="G721" s="2"/>
      <c r="H721" s="2">
        <v>-0.29344582258065088</v>
      </c>
      <c r="I721">
        <v>1.3</v>
      </c>
      <c r="J721">
        <v>0.19</v>
      </c>
      <c r="K721" s="2"/>
      <c r="L721" s="1"/>
      <c r="M721" s="3"/>
      <c r="P721" s="5"/>
    </row>
    <row r="722" spans="1:16" x14ac:dyDescent="0.3">
      <c r="A722">
        <v>1955</v>
      </c>
      <c r="B722">
        <v>12</v>
      </c>
      <c r="C722" s="1">
        <v>1955.9166666690501</v>
      </c>
      <c r="D722" s="2"/>
      <c r="E722" s="10">
        <v>744.15053763440665</v>
      </c>
      <c r="F722" s="2">
        <v>0.16445452011793904</v>
      </c>
      <c r="G722" s="2"/>
      <c r="H722" s="2">
        <v>-0.32787759677419359</v>
      </c>
      <c r="I722">
        <v>1</v>
      </c>
      <c r="J722">
        <v>0.26</v>
      </c>
      <c r="K722" s="2"/>
      <c r="L722" s="1"/>
      <c r="M722" s="3"/>
      <c r="P722" s="5"/>
    </row>
    <row r="723" spans="1:16" x14ac:dyDescent="0.3">
      <c r="A723">
        <v>1955</v>
      </c>
      <c r="B723">
        <v>11</v>
      </c>
      <c r="C723" s="1">
        <v>1955.83333333572</v>
      </c>
      <c r="D723" s="2"/>
      <c r="E723" s="10">
        <v>660.67204301075435</v>
      </c>
      <c r="F723" s="2">
        <v>4.0842053763423536E-2</v>
      </c>
      <c r="G723" s="2"/>
      <c r="H723" s="2">
        <v>-0.12801725806451358</v>
      </c>
      <c r="I723">
        <v>1.2</v>
      </c>
      <c r="J723">
        <v>0.39</v>
      </c>
      <c r="K723" s="2"/>
      <c r="L723" s="1"/>
      <c r="M723" s="3"/>
      <c r="P723" s="5"/>
    </row>
    <row r="724" spans="1:16" x14ac:dyDescent="0.3">
      <c r="A724">
        <v>1955</v>
      </c>
      <c r="B724">
        <v>10</v>
      </c>
      <c r="C724" s="1">
        <v>1955.7500000023899</v>
      </c>
      <c r="D724" s="2"/>
      <c r="E724" s="2">
        <v>1977.3064516129034</v>
      </c>
      <c r="F724" s="2">
        <v>-0.44112056330212113</v>
      </c>
      <c r="G724" s="2"/>
      <c r="H724" s="2">
        <v>3.975422580645116E-2</v>
      </c>
      <c r="I724">
        <v>1.5</v>
      </c>
      <c r="J724">
        <v>0.28299999999999997</v>
      </c>
      <c r="K724" s="2"/>
      <c r="L724" s="1"/>
      <c r="M724" s="3"/>
      <c r="P724" s="5"/>
    </row>
    <row r="725" spans="1:16" x14ac:dyDescent="0.3">
      <c r="A725">
        <v>1955</v>
      </c>
      <c r="B725">
        <v>9</v>
      </c>
      <c r="C725" s="1">
        <v>1955.6666666690601</v>
      </c>
      <c r="D725" s="2"/>
      <c r="E725" s="2">
        <v>2514.3387096774195</v>
      </c>
      <c r="F725" s="2">
        <v>6.2543430107535158E-2</v>
      </c>
      <c r="G725" s="2"/>
      <c r="H725" s="2">
        <v>0.10933346774193353</v>
      </c>
      <c r="I725">
        <v>1.3</v>
      </c>
      <c r="J725">
        <v>0.20699999999999999</v>
      </c>
      <c r="K725" s="2"/>
      <c r="L725" s="1"/>
      <c r="M725" s="3"/>
      <c r="P725" s="5"/>
    </row>
    <row r="726" spans="1:16" x14ac:dyDescent="0.3">
      <c r="A726">
        <v>1955</v>
      </c>
      <c r="B726">
        <v>8</v>
      </c>
      <c r="C726" s="1">
        <v>1955.58333333573</v>
      </c>
      <c r="D726" s="2"/>
      <c r="E726" s="2">
        <v>2805.4032258064517</v>
      </c>
      <c r="F726" s="2">
        <v>0.4048249271592077</v>
      </c>
      <c r="G726" s="2"/>
      <c r="H726" s="2">
        <v>-5.2929032258074216E-2</v>
      </c>
      <c r="I726">
        <v>1.5</v>
      </c>
      <c r="J726">
        <v>0.17899999999999999</v>
      </c>
      <c r="K726" s="2"/>
      <c r="L726" s="1"/>
      <c r="M726" s="3"/>
      <c r="P726" s="5"/>
    </row>
    <row r="727" spans="1:16" x14ac:dyDescent="0.3">
      <c r="A727">
        <v>1955</v>
      </c>
      <c r="B727">
        <v>7</v>
      </c>
      <c r="C727" s="1">
        <v>1955.5000000023999</v>
      </c>
      <c r="D727" s="2"/>
      <c r="E727" s="2">
        <v>2100.4677419354839</v>
      </c>
      <c r="F727" s="2">
        <v>-2.9241160249750209E-2</v>
      </c>
      <c r="G727" s="2"/>
      <c r="H727" s="2">
        <v>-0.27789067741934659</v>
      </c>
      <c r="I727">
        <v>1.6</v>
      </c>
      <c r="J727">
        <v>0.27200000000000002</v>
      </c>
      <c r="K727" s="2"/>
      <c r="L727" s="1"/>
      <c r="M727" s="3"/>
      <c r="P727" s="5"/>
    </row>
    <row r="728" spans="1:16" x14ac:dyDescent="0.3">
      <c r="A728">
        <v>1955</v>
      </c>
      <c r="B728">
        <v>6</v>
      </c>
      <c r="C728" s="1">
        <v>1955.4166666690701</v>
      </c>
      <c r="D728" s="2"/>
      <c r="E728" s="2">
        <v>1190.4516129032254</v>
      </c>
      <c r="F728" s="2">
        <v>-0.37568677178346377</v>
      </c>
      <c r="G728" s="2"/>
      <c r="H728" s="2">
        <v>-0.44257514516128893</v>
      </c>
      <c r="I728">
        <v>1.3</v>
      </c>
      <c r="J728">
        <v>0.19800000000000001</v>
      </c>
      <c r="K728" s="2"/>
      <c r="L728" s="1"/>
      <c r="M728" s="3"/>
      <c r="P728" s="5"/>
    </row>
    <row r="729" spans="1:16" x14ac:dyDescent="0.3">
      <c r="A729">
        <v>1955</v>
      </c>
      <c r="B729">
        <v>5</v>
      </c>
      <c r="C729" s="1">
        <v>1955.33333333574</v>
      </c>
      <c r="D729" s="2"/>
      <c r="E729" s="2">
        <v>1418.1612903225805</v>
      </c>
      <c r="F729" s="2">
        <v>-9.4135091918133185E-2</v>
      </c>
      <c r="G729" s="2"/>
      <c r="H729" s="2">
        <v>-0.24812782258063848</v>
      </c>
      <c r="I729">
        <v>1</v>
      </c>
      <c r="J729">
        <v>0.18</v>
      </c>
      <c r="K729" s="2"/>
      <c r="L729" s="1"/>
      <c r="M729" s="3"/>
      <c r="P729" s="5"/>
    </row>
    <row r="730" spans="1:16" x14ac:dyDescent="0.3">
      <c r="A730">
        <v>1955</v>
      </c>
      <c r="B730">
        <v>4</v>
      </c>
      <c r="C730" s="1">
        <v>1955.2500000024099</v>
      </c>
      <c r="D730" s="2"/>
      <c r="E730" s="2">
        <v>1473.822580645161</v>
      </c>
      <c r="F730" s="2">
        <v>-0.50192228494622881</v>
      </c>
      <c r="G730" s="2"/>
      <c r="H730" s="2">
        <v>-0.33063385483870178</v>
      </c>
      <c r="I730">
        <v>-0.1</v>
      </c>
      <c r="J730">
        <v>9.9000000000000005E-2</v>
      </c>
      <c r="K730" s="2"/>
      <c r="L730" s="1"/>
      <c r="M730" s="3"/>
      <c r="P730" s="5"/>
    </row>
    <row r="731" spans="1:16" x14ac:dyDescent="0.3">
      <c r="A731">
        <v>1955</v>
      </c>
      <c r="B731">
        <v>3</v>
      </c>
      <c r="C731" s="1">
        <v>1955.1666666690801</v>
      </c>
      <c r="D731" s="2"/>
      <c r="E731" s="2">
        <v>386.6290322580644</v>
      </c>
      <c r="F731" s="2">
        <v>-0.94453973985432071</v>
      </c>
      <c r="G731" s="2"/>
      <c r="H731" s="2">
        <v>-0.59384466129033342</v>
      </c>
      <c r="I731">
        <v>0.6</v>
      </c>
      <c r="J731">
        <v>4.4999999999999998E-2</v>
      </c>
      <c r="K731" s="2"/>
      <c r="L731" s="1"/>
      <c r="M731" s="3"/>
      <c r="P731" s="5"/>
    </row>
    <row r="732" spans="1:16" x14ac:dyDescent="0.3">
      <c r="A732">
        <v>1955</v>
      </c>
      <c r="B732">
        <v>2</v>
      </c>
      <c r="C732" s="1">
        <v>1955.08333333575</v>
      </c>
      <c r="D732" s="2"/>
      <c r="E732" s="2">
        <v>479.2580645161288</v>
      </c>
      <c r="F732" s="2">
        <v>0.18116086981567747</v>
      </c>
      <c r="G732" s="2"/>
      <c r="H732" s="2">
        <v>-0.18741824193548595</v>
      </c>
      <c r="I732">
        <v>1.9</v>
      </c>
      <c r="J732">
        <v>4.3999999999999997E-2</v>
      </c>
      <c r="K732" s="2"/>
      <c r="L732" s="1"/>
      <c r="M732" s="3"/>
      <c r="P732" s="5"/>
    </row>
    <row r="733" spans="1:16" x14ac:dyDescent="0.3">
      <c r="A733">
        <v>1955</v>
      </c>
      <c r="B733">
        <v>1</v>
      </c>
      <c r="C733" s="1">
        <v>1955.0000000024099</v>
      </c>
      <c r="D733" s="2"/>
      <c r="E733" s="2">
        <v>2454.2741935483873</v>
      </c>
      <c r="F733" s="2">
        <v>-8.4210645161292064E-2</v>
      </c>
      <c r="G733" s="2"/>
      <c r="H733" s="2">
        <v>-4.9365822580650587E-2</v>
      </c>
      <c r="I733">
        <v>-0.5</v>
      </c>
      <c r="J733">
        <v>0.08</v>
      </c>
      <c r="K733" s="2"/>
      <c r="L733" s="1"/>
      <c r="M733" s="3"/>
      <c r="P733" s="5"/>
    </row>
    <row r="734" spans="1:16" x14ac:dyDescent="0.3">
      <c r="A734">
        <v>1954</v>
      </c>
      <c r="B734">
        <v>12</v>
      </c>
      <c r="C734" s="1">
        <v>1954.9166666690801</v>
      </c>
      <c r="D734" s="2"/>
      <c r="E734" s="2">
        <v>1539.1505376344066</v>
      </c>
      <c r="F734" s="2">
        <v>-0.13554547988206167</v>
      </c>
      <c r="G734" s="2"/>
      <c r="H734" s="2">
        <v>-0.31127859677419423</v>
      </c>
      <c r="I734">
        <v>1.4</v>
      </c>
      <c r="J734">
        <v>-4.7E-2</v>
      </c>
      <c r="K734" s="2"/>
      <c r="M734" s="3"/>
      <c r="P734" s="5"/>
    </row>
    <row r="735" spans="1:16" x14ac:dyDescent="0.3">
      <c r="A735">
        <v>1954</v>
      </c>
      <c r="B735">
        <v>11</v>
      </c>
      <c r="C735" s="1">
        <v>1954.83333333575</v>
      </c>
      <c r="D735" s="2"/>
      <c r="E735" s="2">
        <v>1006.6720430107544</v>
      </c>
      <c r="F735" s="2">
        <v>-5.9157946236574332E-2</v>
      </c>
      <c r="G735" s="2"/>
      <c r="H735" s="2">
        <v>-0.29265325806451159</v>
      </c>
      <c r="I735">
        <v>0.1</v>
      </c>
      <c r="J735">
        <v>-2.3E-2</v>
      </c>
      <c r="K735" s="2"/>
      <c r="M735" s="3"/>
      <c r="P735" s="5"/>
    </row>
    <row r="736" spans="1:16" x14ac:dyDescent="0.3">
      <c r="A736">
        <v>1954</v>
      </c>
      <c r="B736">
        <v>10</v>
      </c>
      <c r="C736" s="1">
        <v>1954.7500000024199</v>
      </c>
      <c r="D736" s="2"/>
      <c r="E736" s="2">
        <v>891.3064516129034</v>
      </c>
      <c r="F736" s="2">
        <v>-0.14112056330212042</v>
      </c>
      <c r="G736" s="2"/>
      <c r="H736" s="2">
        <v>-0.32682677419354889</v>
      </c>
      <c r="I736">
        <v>0.3</v>
      </c>
      <c r="J736">
        <v>-2.8000000000000001E-2</v>
      </c>
      <c r="K736" s="2"/>
      <c r="M736" s="3"/>
      <c r="P736" s="5"/>
    </row>
    <row r="737" spans="1:16" x14ac:dyDescent="0.3">
      <c r="A737">
        <v>1954</v>
      </c>
      <c r="B737">
        <v>9</v>
      </c>
      <c r="C737" s="1">
        <v>1954.6666666690901</v>
      </c>
      <c r="D737" s="2"/>
      <c r="E737" s="2">
        <v>1535.3387096774195</v>
      </c>
      <c r="F737" s="2">
        <v>0.26254343010753445</v>
      </c>
      <c r="G737" s="2"/>
      <c r="H737" s="2">
        <v>2.4348467741933888E-2</v>
      </c>
      <c r="I737">
        <v>0.2</v>
      </c>
      <c r="J737">
        <v>-7.0000000000000001E-3</v>
      </c>
      <c r="K737" s="2"/>
      <c r="M737" s="3"/>
      <c r="P737" s="5"/>
    </row>
    <row r="738" spans="1:16" x14ac:dyDescent="0.3">
      <c r="A738">
        <v>1954</v>
      </c>
      <c r="B738">
        <v>8</v>
      </c>
      <c r="C738" s="1">
        <v>1954.58333333576</v>
      </c>
      <c r="D738" s="2"/>
      <c r="E738" s="2">
        <v>2966.4032258064517</v>
      </c>
      <c r="F738" s="2">
        <v>0.50482492715920557</v>
      </c>
      <c r="G738" s="2"/>
      <c r="H738" s="2">
        <v>-0.16145303225807339</v>
      </c>
      <c r="I738">
        <v>1.1000000000000001</v>
      </c>
      <c r="J738">
        <v>-0.01</v>
      </c>
      <c r="K738" s="2"/>
      <c r="M738" s="3"/>
      <c r="P738" s="5"/>
    </row>
    <row r="739" spans="1:16" x14ac:dyDescent="0.3">
      <c r="A739">
        <v>1954</v>
      </c>
      <c r="B739">
        <v>7</v>
      </c>
      <c r="C739" s="1">
        <v>1954.5000000024299</v>
      </c>
      <c r="D739" s="2"/>
      <c r="E739" s="2">
        <v>1659.4677419354839</v>
      </c>
      <c r="F739" s="2">
        <v>0.57075883975025121</v>
      </c>
      <c r="G739" s="2"/>
      <c r="H739" s="2">
        <v>-0.12283567741934576</v>
      </c>
      <c r="I739">
        <v>0.4</v>
      </c>
      <c r="J739">
        <v>-4.1000000000000002E-2</v>
      </c>
      <c r="K739" s="2"/>
      <c r="M739" s="3"/>
      <c r="P739" s="5"/>
    </row>
    <row r="740" spans="1:16" x14ac:dyDescent="0.3">
      <c r="A740">
        <v>1954</v>
      </c>
      <c r="B740">
        <v>6</v>
      </c>
      <c r="C740" s="1">
        <v>1954.4166666691001</v>
      </c>
      <c r="D740" s="2"/>
      <c r="E740" s="2">
        <v>-359.5483870967746</v>
      </c>
      <c r="F740" s="2">
        <v>0.32431322821653552</v>
      </c>
      <c r="G740" s="2"/>
      <c r="H740" s="2">
        <v>-2.3655145161288971E-2</v>
      </c>
      <c r="I740">
        <v>0.1</v>
      </c>
      <c r="J740">
        <v>0.10299999999999999</v>
      </c>
      <c r="K740" s="2"/>
      <c r="M740" s="3"/>
      <c r="P740" s="5"/>
    </row>
    <row r="741" spans="1:16" x14ac:dyDescent="0.3">
      <c r="A741">
        <v>1954</v>
      </c>
      <c r="B741">
        <v>5</v>
      </c>
      <c r="C741" s="1">
        <v>1954.33333333577</v>
      </c>
      <c r="D741" s="2"/>
      <c r="E741" s="2">
        <v>-247.8387096774195</v>
      </c>
      <c r="F741" s="2">
        <v>0.1058649080818661</v>
      </c>
      <c r="G741" s="2"/>
      <c r="H741" s="2">
        <v>-1.7252822580640981E-2</v>
      </c>
      <c r="I741">
        <v>0.5</v>
      </c>
      <c r="J741">
        <v>7.3999999999999996E-2</v>
      </c>
      <c r="K741" s="2"/>
      <c r="M741" s="3"/>
      <c r="P741" s="5"/>
    </row>
    <row r="742" spans="1:16" x14ac:dyDescent="0.3">
      <c r="A742">
        <v>1954</v>
      </c>
      <c r="B742">
        <v>4</v>
      </c>
      <c r="C742" s="1">
        <v>1954.2500000024399</v>
      </c>
      <c r="D742" s="2"/>
      <c r="E742" s="2">
        <v>-561.177419354839</v>
      </c>
      <c r="F742" s="2">
        <v>9.8077715053772607E-2</v>
      </c>
      <c r="G742" s="2"/>
      <c r="H742" s="2">
        <v>3.9616145161300409E-2</v>
      </c>
      <c r="I742">
        <v>0.6</v>
      </c>
      <c r="J742">
        <v>-8.9999999999999993E-3</v>
      </c>
      <c r="K742" s="2"/>
      <c r="M742" s="3"/>
      <c r="P742" s="5"/>
    </row>
    <row r="743" spans="1:16" x14ac:dyDescent="0.3">
      <c r="A743">
        <v>1954</v>
      </c>
      <c r="B743">
        <v>3</v>
      </c>
      <c r="C743" s="1">
        <v>1954.1666666691101</v>
      </c>
      <c r="D743" s="2"/>
      <c r="E743" s="2">
        <v>-614.3709677419356</v>
      </c>
      <c r="F743" s="2">
        <v>0.15546026014567715</v>
      </c>
      <c r="G743" s="2"/>
      <c r="H743" s="2">
        <v>9.8881338709666977E-2</v>
      </c>
      <c r="I743">
        <v>0.3</v>
      </c>
      <c r="J743">
        <v>0.105</v>
      </c>
      <c r="K743" s="2"/>
      <c r="M743" s="3"/>
      <c r="P743" s="5"/>
    </row>
    <row r="744" spans="1:16" x14ac:dyDescent="0.3">
      <c r="A744">
        <v>1954</v>
      </c>
      <c r="B744">
        <v>2</v>
      </c>
      <c r="C744" s="1">
        <v>1954.08333333578</v>
      </c>
      <c r="D744" s="2"/>
      <c r="E744" s="2">
        <v>-640.7419354838712</v>
      </c>
      <c r="F744" s="2">
        <v>-0.31883913018432253</v>
      </c>
      <c r="G744" s="2"/>
      <c r="H744" s="2">
        <v>-0.11722224193548669</v>
      </c>
      <c r="I744">
        <v>-0.3</v>
      </c>
      <c r="J744">
        <v>9.9000000000000005E-2</v>
      </c>
      <c r="K744" s="2"/>
      <c r="M744" s="3"/>
      <c r="P744" s="5"/>
    </row>
    <row r="745" spans="1:16" x14ac:dyDescent="0.3">
      <c r="A745">
        <v>1954</v>
      </c>
      <c r="B745">
        <v>1</v>
      </c>
      <c r="C745" s="1">
        <v>1954.00000000245</v>
      </c>
      <c r="D745" s="2"/>
      <c r="E745" s="2">
        <v>-32.725806451612698</v>
      </c>
      <c r="F745" s="2">
        <v>-0.68421064516128993</v>
      </c>
      <c r="G745" s="2"/>
      <c r="H745" s="2">
        <v>0.12165117741935205</v>
      </c>
      <c r="I745">
        <v>0.7</v>
      </c>
      <c r="J745">
        <v>0.23100000000000001</v>
      </c>
      <c r="K745" s="2"/>
      <c r="M745" s="3"/>
      <c r="P745" s="5"/>
    </row>
    <row r="746" spans="1:16" x14ac:dyDescent="0.3">
      <c r="C746" s="1"/>
      <c r="D746" s="1"/>
      <c r="E746" s="1"/>
    </row>
    <row r="747" spans="1:16" x14ac:dyDescent="0.3">
      <c r="C747" s="1"/>
      <c r="D747" s="1"/>
      <c r="E747" s="1"/>
    </row>
    <row r="748" spans="1:16" x14ac:dyDescent="0.3">
      <c r="C748" s="1"/>
      <c r="D748" s="1"/>
      <c r="E748" s="1"/>
    </row>
    <row r="749" spans="1:16" x14ac:dyDescent="0.3">
      <c r="C749" s="1"/>
      <c r="D749" s="1"/>
      <c r="E749" s="1"/>
    </row>
    <row r="750" spans="1:16" x14ac:dyDescent="0.3">
      <c r="C750" s="1"/>
      <c r="D750" s="1"/>
      <c r="E750" s="1"/>
    </row>
    <row r="751" spans="1:16" x14ac:dyDescent="0.3">
      <c r="C751" s="1"/>
      <c r="D751" s="1"/>
      <c r="E751" s="1"/>
    </row>
    <row r="752" spans="1:16" x14ac:dyDescent="0.3">
      <c r="C752" s="1"/>
      <c r="D752" s="1"/>
      <c r="E752" s="1"/>
    </row>
    <row r="753" spans="3:5" x14ac:dyDescent="0.3">
      <c r="C753" s="1"/>
      <c r="D753" s="1"/>
      <c r="E753" s="1"/>
    </row>
    <row r="754" spans="3:5" x14ac:dyDescent="0.3">
      <c r="C754" s="1"/>
      <c r="D754" s="1"/>
      <c r="E754" s="1"/>
    </row>
    <row r="755" spans="3:5" x14ac:dyDescent="0.3">
      <c r="C755" s="1"/>
      <c r="D755" s="1"/>
      <c r="E755" s="1"/>
    </row>
    <row r="756" spans="3:5" x14ac:dyDescent="0.3">
      <c r="C756" s="1"/>
      <c r="D756" s="1"/>
      <c r="E756" s="1"/>
    </row>
    <row r="757" spans="3:5" x14ac:dyDescent="0.3">
      <c r="C757" s="1"/>
      <c r="D757" s="1"/>
      <c r="E757" s="1"/>
    </row>
    <row r="758" spans="3:5" x14ac:dyDescent="0.3">
      <c r="C758" s="1"/>
      <c r="D758" s="1"/>
      <c r="E758" s="1"/>
    </row>
    <row r="759" spans="3:5" x14ac:dyDescent="0.3">
      <c r="C759" s="1"/>
      <c r="D759" s="1"/>
      <c r="E759" s="1"/>
    </row>
    <row r="760" spans="3:5" x14ac:dyDescent="0.3">
      <c r="C760" s="1"/>
      <c r="D760" s="1"/>
      <c r="E760" s="1"/>
    </row>
    <row r="761" spans="3:5" x14ac:dyDescent="0.3">
      <c r="C761" s="1"/>
      <c r="D761" s="1"/>
      <c r="E761" s="1"/>
    </row>
    <row r="762" spans="3:5" x14ac:dyDescent="0.3">
      <c r="C762" s="1"/>
      <c r="D762" s="1"/>
      <c r="E762" s="1"/>
    </row>
    <row r="763" spans="3:5" x14ac:dyDescent="0.3">
      <c r="C763" s="1"/>
      <c r="D763" s="1"/>
      <c r="E763" s="1"/>
    </row>
    <row r="764" spans="3:5" x14ac:dyDescent="0.3">
      <c r="C764" s="1"/>
      <c r="D764" s="1"/>
      <c r="E764" s="1"/>
    </row>
    <row r="765" spans="3:5" x14ac:dyDescent="0.3">
      <c r="C765" s="1"/>
      <c r="D765" s="1"/>
      <c r="E765" s="1"/>
    </row>
    <row r="766" spans="3:5" x14ac:dyDescent="0.3">
      <c r="C766" s="1"/>
      <c r="D766" s="1"/>
      <c r="E766" s="1"/>
    </row>
    <row r="767" spans="3:5" x14ac:dyDescent="0.3">
      <c r="C767" s="1"/>
      <c r="D767" s="1"/>
      <c r="E767" s="1"/>
    </row>
    <row r="768" spans="3:5" x14ac:dyDescent="0.3">
      <c r="C768" s="1"/>
      <c r="D768" s="1"/>
      <c r="E768" s="1"/>
    </row>
    <row r="769" spans="3:5" x14ac:dyDescent="0.3">
      <c r="C769" s="1"/>
      <c r="D769" s="1"/>
      <c r="E769" s="1"/>
    </row>
    <row r="770" spans="3:5" x14ac:dyDescent="0.3">
      <c r="C770" s="1"/>
      <c r="D770" s="1"/>
      <c r="E770" s="1"/>
    </row>
    <row r="771" spans="3:5" x14ac:dyDescent="0.3">
      <c r="C771" s="1"/>
      <c r="D771" s="1"/>
      <c r="E771" s="1"/>
    </row>
    <row r="772" spans="3:5" x14ac:dyDescent="0.3">
      <c r="C772" s="1"/>
      <c r="D772" s="1"/>
      <c r="E772" s="1"/>
    </row>
    <row r="773" spans="3:5" x14ac:dyDescent="0.3">
      <c r="C773" s="1"/>
      <c r="D773" s="1"/>
      <c r="E773" s="1"/>
    </row>
    <row r="774" spans="3:5" x14ac:dyDescent="0.3">
      <c r="C774" s="1"/>
      <c r="D774" s="1"/>
      <c r="E774" s="1"/>
    </row>
    <row r="775" spans="3:5" x14ac:dyDescent="0.3">
      <c r="C775" s="1"/>
      <c r="D775" s="1"/>
      <c r="E775" s="1"/>
    </row>
    <row r="776" spans="3:5" x14ac:dyDescent="0.3">
      <c r="C776" s="1"/>
      <c r="D776" s="1"/>
      <c r="E776" s="1"/>
    </row>
    <row r="777" spans="3:5" x14ac:dyDescent="0.3">
      <c r="C777" s="1"/>
      <c r="D777" s="1"/>
      <c r="E777" s="1"/>
    </row>
    <row r="778" spans="3:5" x14ac:dyDescent="0.3">
      <c r="C778" s="1"/>
      <c r="D778" s="1"/>
      <c r="E778" s="1"/>
    </row>
    <row r="779" spans="3:5" x14ac:dyDescent="0.3">
      <c r="C779" s="1"/>
      <c r="D779" s="1"/>
      <c r="E779" s="1"/>
    </row>
    <row r="780" spans="3:5" x14ac:dyDescent="0.3">
      <c r="C780" s="1"/>
      <c r="D780" s="1"/>
      <c r="E780" s="1"/>
    </row>
    <row r="781" spans="3:5" x14ac:dyDescent="0.3">
      <c r="C781" s="1"/>
      <c r="D781" s="1"/>
      <c r="E781" s="1"/>
    </row>
    <row r="782" spans="3:5" x14ac:dyDescent="0.3">
      <c r="C782" s="1"/>
      <c r="D782" s="1"/>
      <c r="E782" s="1"/>
    </row>
    <row r="783" spans="3:5" x14ac:dyDescent="0.3">
      <c r="C783" s="1"/>
      <c r="D783" s="1"/>
      <c r="E783" s="1"/>
    </row>
    <row r="784" spans="3:5" x14ac:dyDescent="0.3">
      <c r="C784" s="1"/>
      <c r="D784" s="1"/>
      <c r="E784" s="1"/>
    </row>
    <row r="785" spans="3:5" x14ac:dyDescent="0.3">
      <c r="C785" s="1"/>
      <c r="D785" s="1"/>
      <c r="E785" s="1"/>
    </row>
    <row r="786" spans="3:5" x14ac:dyDescent="0.3">
      <c r="C786" s="1"/>
      <c r="D786" s="1"/>
      <c r="E786" s="1"/>
    </row>
    <row r="787" spans="3:5" x14ac:dyDescent="0.3">
      <c r="C787" s="1"/>
      <c r="D787" s="1"/>
      <c r="E787" s="1"/>
    </row>
    <row r="788" spans="3:5" x14ac:dyDescent="0.3">
      <c r="C788" s="1"/>
      <c r="D788" s="1"/>
      <c r="E788" s="1"/>
    </row>
    <row r="789" spans="3:5" x14ac:dyDescent="0.3">
      <c r="C789" s="1"/>
      <c r="D789" s="1"/>
      <c r="E789" s="1"/>
    </row>
    <row r="790" spans="3:5" x14ac:dyDescent="0.3">
      <c r="C790" s="1"/>
      <c r="D790" s="1"/>
      <c r="E790" s="1"/>
    </row>
    <row r="791" spans="3:5" x14ac:dyDescent="0.3">
      <c r="C791" s="1"/>
      <c r="D791" s="1"/>
      <c r="E791" s="1"/>
    </row>
    <row r="792" spans="3:5" x14ac:dyDescent="0.3">
      <c r="C792" s="1"/>
      <c r="D792" s="1"/>
      <c r="E792" s="1"/>
    </row>
    <row r="793" spans="3:5" x14ac:dyDescent="0.3">
      <c r="C793" s="1"/>
      <c r="D793" s="1"/>
      <c r="E793" s="1"/>
    </row>
    <row r="794" spans="3:5" x14ac:dyDescent="0.3">
      <c r="C794" s="1"/>
      <c r="D794" s="1"/>
      <c r="E794" s="1"/>
    </row>
    <row r="795" spans="3:5" x14ac:dyDescent="0.3">
      <c r="C795" s="1"/>
      <c r="D795" s="1"/>
      <c r="E795" s="1"/>
    </row>
    <row r="796" spans="3:5" x14ac:dyDescent="0.3">
      <c r="C796" s="1"/>
      <c r="D796" s="1"/>
      <c r="E796" s="1"/>
    </row>
    <row r="797" spans="3:5" x14ac:dyDescent="0.3">
      <c r="C797" s="1"/>
      <c r="D797" s="1"/>
      <c r="E797" s="1"/>
    </row>
    <row r="798" spans="3:5" x14ac:dyDescent="0.3">
      <c r="C798" s="1"/>
      <c r="D798" s="1"/>
      <c r="E798" s="1"/>
    </row>
    <row r="799" spans="3:5" x14ac:dyDescent="0.3">
      <c r="C799" s="1"/>
      <c r="D799" s="1"/>
      <c r="E799" s="1"/>
    </row>
    <row r="800" spans="3:5" x14ac:dyDescent="0.3">
      <c r="C800" s="1"/>
      <c r="D800" s="1"/>
      <c r="E800" s="1"/>
    </row>
    <row r="801" spans="3:5" x14ac:dyDescent="0.3">
      <c r="C801" s="1"/>
      <c r="D801" s="1"/>
      <c r="E801" s="1"/>
    </row>
    <row r="802" spans="3:5" x14ac:dyDescent="0.3">
      <c r="C802" s="1"/>
      <c r="D802" s="1"/>
      <c r="E802" s="1"/>
    </row>
    <row r="803" spans="3:5" x14ac:dyDescent="0.3">
      <c r="C803" s="1"/>
      <c r="D803" s="1"/>
      <c r="E803" s="1"/>
    </row>
    <row r="804" spans="3:5" x14ac:dyDescent="0.3">
      <c r="C804" s="1"/>
      <c r="D804" s="1"/>
      <c r="E804" s="1"/>
    </row>
    <row r="805" spans="3:5" x14ac:dyDescent="0.3">
      <c r="C805" s="1"/>
      <c r="D805" s="1"/>
      <c r="E805" s="1"/>
    </row>
    <row r="806" spans="3:5" x14ac:dyDescent="0.3">
      <c r="C806" s="1"/>
      <c r="D806" s="1"/>
      <c r="E806" s="1"/>
    </row>
    <row r="807" spans="3:5" x14ac:dyDescent="0.3">
      <c r="C807" s="1"/>
      <c r="D807" s="1"/>
      <c r="E807" s="1"/>
    </row>
    <row r="808" spans="3:5" x14ac:dyDescent="0.3">
      <c r="C808" s="1"/>
      <c r="D808" s="1"/>
      <c r="E808" s="1"/>
    </row>
    <row r="809" spans="3:5" x14ac:dyDescent="0.3">
      <c r="C809" s="1"/>
      <c r="D809" s="1"/>
      <c r="E809" s="1"/>
    </row>
    <row r="810" spans="3:5" x14ac:dyDescent="0.3">
      <c r="C810" s="1"/>
      <c r="D810" s="1"/>
      <c r="E810" s="1"/>
    </row>
    <row r="811" spans="3:5" x14ac:dyDescent="0.3">
      <c r="C811" s="1"/>
      <c r="D811" s="1"/>
      <c r="E811" s="1"/>
    </row>
    <row r="812" spans="3:5" x14ac:dyDescent="0.3">
      <c r="C812" s="1"/>
      <c r="D812" s="1"/>
      <c r="E812" s="1"/>
    </row>
    <row r="813" spans="3:5" x14ac:dyDescent="0.3">
      <c r="C813" s="1"/>
      <c r="D813" s="1"/>
      <c r="E813" s="1"/>
    </row>
    <row r="814" spans="3:5" x14ac:dyDescent="0.3">
      <c r="C814" s="1"/>
      <c r="D814" s="1"/>
      <c r="E814" s="1"/>
    </row>
    <row r="815" spans="3:5" x14ac:dyDescent="0.3">
      <c r="C815" s="1"/>
      <c r="D815" s="1"/>
      <c r="E815" s="1"/>
    </row>
    <row r="816" spans="3:5" x14ac:dyDescent="0.3">
      <c r="C816" s="1"/>
      <c r="D816" s="1"/>
      <c r="E816" s="1"/>
    </row>
    <row r="817" spans="3:5" x14ac:dyDescent="0.3">
      <c r="C817" s="1"/>
      <c r="D817" s="1"/>
      <c r="E817" s="1"/>
    </row>
    <row r="818" spans="3:5" x14ac:dyDescent="0.3">
      <c r="C818" s="1"/>
      <c r="D818" s="1"/>
      <c r="E818" s="1"/>
    </row>
    <row r="819" spans="3:5" x14ac:dyDescent="0.3">
      <c r="C819" s="1"/>
      <c r="D819" s="1"/>
      <c r="E819" s="1"/>
    </row>
    <row r="820" spans="3:5" x14ac:dyDescent="0.3">
      <c r="C820" s="1"/>
      <c r="D820" s="1"/>
      <c r="E820" s="1"/>
    </row>
    <row r="821" spans="3:5" x14ac:dyDescent="0.3">
      <c r="C821" s="1"/>
      <c r="D821" s="1"/>
      <c r="E821" s="1"/>
    </row>
    <row r="822" spans="3:5" x14ac:dyDescent="0.3">
      <c r="C822" s="1"/>
      <c r="D822" s="1"/>
      <c r="E822" s="1"/>
    </row>
    <row r="823" spans="3:5" x14ac:dyDescent="0.3">
      <c r="C823" s="1"/>
      <c r="D823" s="1"/>
      <c r="E823" s="1"/>
    </row>
    <row r="824" spans="3:5" x14ac:dyDescent="0.3">
      <c r="C824" s="1"/>
      <c r="D824" s="1"/>
      <c r="E824" s="1"/>
    </row>
    <row r="825" spans="3:5" x14ac:dyDescent="0.3">
      <c r="C825" s="1"/>
      <c r="D825" s="1"/>
      <c r="E825" s="1"/>
    </row>
    <row r="826" spans="3:5" x14ac:dyDescent="0.3">
      <c r="C826" s="1"/>
      <c r="D826" s="1"/>
      <c r="E826" s="1"/>
    </row>
    <row r="827" spans="3:5" x14ac:dyDescent="0.3">
      <c r="C827" s="1"/>
      <c r="D827" s="1"/>
      <c r="E827" s="1"/>
    </row>
    <row r="828" spans="3:5" x14ac:dyDescent="0.3">
      <c r="C828" s="1"/>
      <c r="D828" s="1"/>
      <c r="E828" s="1"/>
    </row>
    <row r="829" spans="3:5" x14ac:dyDescent="0.3">
      <c r="C829" s="1"/>
      <c r="D829" s="1"/>
      <c r="E829" s="1"/>
    </row>
    <row r="830" spans="3:5" x14ac:dyDescent="0.3">
      <c r="C830" s="1"/>
      <c r="D830" s="1"/>
      <c r="E830" s="1"/>
    </row>
    <row r="831" spans="3:5" x14ac:dyDescent="0.3">
      <c r="C831" s="1"/>
      <c r="D831" s="1"/>
      <c r="E831" s="1"/>
    </row>
    <row r="832" spans="3:5" x14ac:dyDescent="0.3">
      <c r="C832" s="1"/>
      <c r="D832" s="1"/>
      <c r="E832" s="1"/>
    </row>
    <row r="833" spans="3:5" x14ac:dyDescent="0.3">
      <c r="C833" s="1"/>
      <c r="D833" s="1"/>
      <c r="E833" s="1"/>
    </row>
    <row r="834" spans="3:5" x14ac:dyDescent="0.3">
      <c r="C834" s="1"/>
      <c r="D834" s="1"/>
      <c r="E834" s="1"/>
    </row>
    <row r="835" spans="3:5" x14ac:dyDescent="0.3">
      <c r="C835" s="1"/>
      <c r="D835" s="1"/>
      <c r="E835" s="1"/>
    </row>
    <row r="836" spans="3:5" x14ac:dyDescent="0.3">
      <c r="C836" s="1"/>
      <c r="D836" s="1"/>
      <c r="E836" s="1"/>
    </row>
    <row r="837" spans="3:5" x14ac:dyDescent="0.3">
      <c r="C837" s="1"/>
      <c r="D837" s="1"/>
      <c r="E837" s="1"/>
    </row>
    <row r="838" spans="3:5" x14ac:dyDescent="0.3">
      <c r="C838" s="1"/>
      <c r="D838" s="1"/>
      <c r="E838" s="1"/>
    </row>
    <row r="839" spans="3:5" x14ac:dyDescent="0.3">
      <c r="C839" s="1"/>
      <c r="D839" s="1"/>
      <c r="E839" s="1"/>
    </row>
    <row r="840" spans="3:5" x14ac:dyDescent="0.3">
      <c r="C840" s="1"/>
      <c r="D840" s="1"/>
      <c r="E840" s="1"/>
    </row>
    <row r="841" spans="3:5" x14ac:dyDescent="0.3">
      <c r="C841" s="1"/>
      <c r="D841" s="1"/>
      <c r="E841" s="1"/>
    </row>
    <row r="842" spans="3:5" x14ac:dyDescent="0.3">
      <c r="C842" s="1"/>
      <c r="D842" s="1"/>
      <c r="E842" s="1"/>
    </row>
    <row r="843" spans="3:5" x14ac:dyDescent="0.3">
      <c r="C843" s="1"/>
      <c r="D843" s="1"/>
      <c r="E843" s="1"/>
    </row>
    <row r="844" spans="3:5" x14ac:dyDescent="0.3">
      <c r="C844" s="1"/>
      <c r="D844" s="1"/>
      <c r="E844" s="1"/>
    </row>
    <row r="845" spans="3:5" x14ac:dyDescent="0.3">
      <c r="C845" s="1"/>
      <c r="D845" s="1"/>
      <c r="E845" s="1"/>
    </row>
    <row r="846" spans="3:5" x14ac:dyDescent="0.3">
      <c r="C846" s="1"/>
      <c r="D846" s="1"/>
      <c r="E846" s="1"/>
    </row>
    <row r="847" spans="3:5" x14ac:dyDescent="0.3">
      <c r="C847" s="1"/>
      <c r="D847" s="1"/>
      <c r="E847" s="1"/>
    </row>
    <row r="848" spans="3:5" x14ac:dyDescent="0.3">
      <c r="C848" s="1"/>
      <c r="D848" s="1"/>
      <c r="E848" s="1"/>
    </row>
    <row r="849" spans="3:5" x14ac:dyDescent="0.3">
      <c r="C849" s="1"/>
      <c r="D849" s="1"/>
      <c r="E849" s="1"/>
    </row>
    <row r="850" spans="3:5" x14ac:dyDescent="0.3">
      <c r="C850" s="1"/>
      <c r="D850" s="1"/>
      <c r="E850" s="1"/>
    </row>
    <row r="851" spans="3:5" x14ac:dyDescent="0.3">
      <c r="C851" s="1"/>
      <c r="D851" s="1"/>
      <c r="E851" s="1"/>
    </row>
    <row r="852" spans="3:5" x14ac:dyDescent="0.3">
      <c r="C852" s="1"/>
      <c r="D852" s="1"/>
      <c r="E852" s="1"/>
    </row>
    <row r="853" spans="3:5" x14ac:dyDescent="0.3">
      <c r="C853" s="1"/>
      <c r="D853" s="1"/>
      <c r="E853" s="1"/>
    </row>
    <row r="854" spans="3:5" x14ac:dyDescent="0.3">
      <c r="C854" s="1"/>
      <c r="D854" s="1"/>
      <c r="E854" s="1"/>
    </row>
    <row r="855" spans="3:5" x14ac:dyDescent="0.3">
      <c r="C855" s="1"/>
      <c r="D855" s="1"/>
      <c r="E855" s="1"/>
    </row>
    <row r="856" spans="3:5" x14ac:dyDescent="0.3">
      <c r="C856" s="1"/>
      <c r="D856" s="1"/>
      <c r="E856" s="1"/>
    </row>
    <row r="857" spans="3:5" x14ac:dyDescent="0.3">
      <c r="C857" s="1"/>
      <c r="D857" s="1"/>
      <c r="E857" s="1"/>
    </row>
    <row r="858" spans="3:5" x14ac:dyDescent="0.3">
      <c r="C858" s="1"/>
      <c r="D858" s="1"/>
      <c r="E858" s="1"/>
    </row>
    <row r="859" spans="3:5" x14ac:dyDescent="0.3">
      <c r="C859" s="1"/>
      <c r="D859" s="1"/>
      <c r="E859" s="1"/>
    </row>
    <row r="860" spans="3:5" x14ac:dyDescent="0.3">
      <c r="C860" s="1"/>
      <c r="D860" s="1"/>
      <c r="E860" s="1"/>
    </row>
    <row r="861" spans="3:5" x14ac:dyDescent="0.3">
      <c r="C861" s="1"/>
      <c r="D861" s="1"/>
      <c r="E861" s="1"/>
    </row>
    <row r="862" spans="3:5" x14ac:dyDescent="0.3">
      <c r="C862" s="1"/>
      <c r="D862" s="1"/>
      <c r="E862" s="1"/>
    </row>
    <row r="863" spans="3:5" x14ac:dyDescent="0.3">
      <c r="C863" s="1"/>
      <c r="D863" s="1"/>
      <c r="E863" s="1"/>
    </row>
    <row r="864" spans="3:5" x14ac:dyDescent="0.3">
      <c r="C864" s="1"/>
      <c r="D864" s="1"/>
      <c r="E864" s="1"/>
    </row>
    <row r="865" spans="3:5" x14ac:dyDescent="0.3">
      <c r="C865" s="1"/>
      <c r="D865" s="1"/>
      <c r="E865" s="1"/>
    </row>
    <row r="866" spans="3:5" x14ac:dyDescent="0.3">
      <c r="C866" s="1"/>
      <c r="D866" s="1"/>
      <c r="E866" s="1"/>
    </row>
    <row r="867" spans="3:5" x14ac:dyDescent="0.3">
      <c r="C867" s="1"/>
      <c r="D867" s="1"/>
      <c r="E867" s="1"/>
    </row>
    <row r="868" spans="3:5" x14ac:dyDescent="0.3">
      <c r="C868" s="1"/>
      <c r="D868" s="1"/>
      <c r="E868" s="1"/>
    </row>
    <row r="869" spans="3:5" x14ac:dyDescent="0.3">
      <c r="C869" s="1"/>
      <c r="D869" s="1"/>
      <c r="E869" s="1"/>
    </row>
    <row r="870" spans="3:5" x14ac:dyDescent="0.3">
      <c r="C870" s="1"/>
      <c r="D870" s="1"/>
      <c r="E870" s="1"/>
    </row>
    <row r="871" spans="3:5" x14ac:dyDescent="0.3">
      <c r="C871" s="1"/>
      <c r="D871" s="1"/>
      <c r="E871" s="1"/>
    </row>
    <row r="872" spans="3:5" x14ac:dyDescent="0.3">
      <c r="C872" s="1"/>
      <c r="D872" s="1"/>
      <c r="E872" s="1"/>
    </row>
    <row r="873" spans="3:5" x14ac:dyDescent="0.3">
      <c r="C873" s="1"/>
      <c r="D873" s="1"/>
      <c r="E873" s="1"/>
    </row>
    <row r="874" spans="3:5" x14ac:dyDescent="0.3">
      <c r="C874" s="1"/>
      <c r="D874" s="1"/>
      <c r="E874" s="1"/>
    </row>
    <row r="875" spans="3:5" x14ac:dyDescent="0.3">
      <c r="C875" s="1"/>
      <c r="D875" s="1"/>
      <c r="E875" s="1"/>
    </row>
    <row r="876" spans="3:5" x14ac:dyDescent="0.3">
      <c r="C876" s="1"/>
      <c r="D876" s="1"/>
      <c r="E876" s="1"/>
    </row>
    <row r="877" spans="3:5" x14ac:dyDescent="0.3">
      <c r="C877" s="1"/>
      <c r="D877" s="1"/>
      <c r="E877" s="1"/>
    </row>
    <row r="878" spans="3:5" x14ac:dyDescent="0.3">
      <c r="C878" s="1"/>
      <c r="D878" s="1"/>
      <c r="E878" s="1"/>
    </row>
    <row r="879" spans="3:5" x14ac:dyDescent="0.3">
      <c r="C879" s="1"/>
      <c r="D879" s="1"/>
      <c r="E879" s="1"/>
    </row>
    <row r="880" spans="3:5" x14ac:dyDescent="0.3">
      <c r="C880" s="1"/>
      <c r="D880" s="1"/>
      <c r="E880" s="1"/>
    </row>
    <row r="881" spans="3:5" x14ac:dyDescent="0.3">
      <c r="C881" s="1"/>
      <c r="D881" s="1"/>
      <c r="E881" s="1"/>
    </row>
    <row r="882" spans="3:5" x14ac:dyDescent="0.3">
      <c r="C882" s="1"/>
      <c r="D882" s="1"/>
      <c r="E882" s="1"/>
    </row>
    <row r="883" spans="3:5" x14ac:dyDescent="0.3">
      <c r="C883" s="1"/>
      <c r="D883" s="1"/>
      <c r="E883" s="1"/>
    </row>
    <row r="884" spans="3:5" x14ac:dyDescent="0.3">
      <c r="C884" s="1"/>
      <c r="D884" s="1"/>
      <c r="E884" s="1"/>
    </row>
    <row r="885" spans="3:5" x14ac:dyDescent="0.3">
      <c r="C885" s="1"/>
      <c r="D885" s="1"/>
      <c r="E885" s="1"/>
    </row>
    <row r="886" spans="3:5" x14ac:dyDescent="0.3">
      <c r="C886" s="1"/>
      <c r="D886" s="1"/>
      <c r="E886" s="1"/>
    </row>
    <row r="887" spans="3:5" x14ac:dyDescent="0.3">
      <c r="C887" s="1"/>
      <c r="D887" s="1"/>
      <c r="E887" s="1"/>
    </row>
    <row r="888" spans="3:5" x14ac:dyDescent="0.3">
      <c r="C888" s="1"/>
      <c r="D888" s="1"/>
      <c r="E888" s="1"/>
    </row>
    <row r="889" spans="3:5" x14ac:dyDescent="0.3">
      <c r="C889" s="1"/>
      <c r="D889" s="1"/>
      <c r="E889" s="1"/>
    </row>
    <row r="890" spans="3:5" x14ac:dyDescent="0.3">
      <c r="C890" s="1"/>
      <c r="D890" s="1"/>
      <c r="E890" s="1"/>
    </row>
    <row r="891" spans="3:5" x14ac:dyDescent="0.3">
      <c r="C891" s="1"/>
      <c r="D891" s="1"/>
      <c r="E891" s="1"/>
    </row>
    <row r="892" spans="3:5" x14ac:dyDescent="0.3">
      <c r="C892" s="1"/>
      <c r="D892" s="1"/>
      <c r="E892" s="1"/>
    </row>
    <row r="893" spans="3:5" x14ac:dyDescent="0.3">
      <c r="C893" s="1"/>
      <c r="D893" s="1"/>
      <c r="E893" s="1"/>
    </row>
    <row r="894" spans="3:5" x14ac:dyDescent="0.3">
      <c r="C894" s="1"/>
      <c r="D894" s="1"/>
      <c r="E894" s="1"/>
    </row>
    <row r="895" spans="3:5" x14ac:dyDescent="0.3">
      <c r="C895" s="1"/>
      <c r="D895" s="1"/>
      <c r="E895" s="1"/>
    </row>
    <row r="896" spans="3:5" x14ac:dyDescent="0.3">
      <c r="C896" s="1"/>
      <c r="D896" s="1"/>
      <c r="E896" s="1"/>
    </row>
    <row r="897" spans="3:5" x14ac:dyDescent="0.3">
      <c r="C897" s="1"/>
      <c r="D897" s="1"/>
      <c r="E897" s="1"/>
    </row>
    <row r="898" spans="3:5" x14ac:dyDescent="0.3">
      <c r="C898" s="1"/>
      <c r="D898" s="1"/>
      <c r="E898" s="1"/>
    </row>
    <row r="899" spans="3:5" x14ac:dyDescent="0.3">
      <c r="C899" s="1"/>
      <c r="D899" s="1"/>
      <c r="E899" s="1"/>
    </row>
    <row r="900" spans="3:5" x14ac:dyDescent="0.3">
      <c r="C900" s="1"/>
      <c r="D900" s="1"/>
      <c r="E900" s="1"/>
    </row>
    <row r="901" spans="3:5" x14ac:dyDescent="0.3">
      <c r="C901" s="1"/>
      <c r="D901" s="1"/>
      <c r="E901" s="1"/>
    </row>
    <row r="902" spans="3:5" x14ac:dyDescent="0.3">
      <c r="C902" s="1"/>
      <c r="D902" s="1"/>
      <c r="E902" s="1"/>
    </row>
    <row r="903" spans="3:5" x14ac:dyDescent="0.3">
      <c r="C903" s="1"/>
      <c r="D903" s="1"/>
      <c r="E903" s="1"/>
    </row>
    <row r="904" spans="3:5" x14ac:dyDescent="0.3">
      <c r="C904" s="1"/>
      <c r="D904" s="1"/>
      <c r="E904" s="1"/>
    </row>
    <row r="905" spans="3:5" x14ac:dyDescent="0.3">
      <c r="C905" s="1"/>
      <c r="D905" s="1"/>
      <c r="E905" s="1"/>
    </row>
    <row r="906" spans="3:5" x14ac:dyDescent="0.3">
      <c r="C906" s="1"/>
      <c r="D906" s="1"/>
      <c r="E906" s="1"/>
    </row>
    <row r="907" spans="3:5" x14ac:dyDescent="0.3">
      <c r="C907" s="1"/>
      <c r="D907" s="1"/>
      <c r="E907" s="1"/>
    </row>
    <row r="908" spans="3:5" x14ac:dyDescent="0.3">
      <c r="C908" s="1"/>
      <c r="D908" s="1"/>
      <c r="E908" s="1"/>
    </row>
    <row r="909" spans="3:5" x14ac:dyDescent="0.3">
      <c r="C909" s="1"/>
      <c r="D909" s="1"/>
      <c r="E909" s="1"/>
    </row>
    <row r="910" spans="3:5" x14ac:dyDescent="0.3">
      <c r="C910" s="1"/>
      <c r="D910" s="1"/>
      <c r="E910" s="1"/>
    </row>
    <row r="911" spans="3:5" x14ac:dyDescent="0.3">
      <c r="C911" s="1"/>
      <c r="D911" s="1"/>
      <c r="E911" s="1"/>
    </row>
    <row r="912" spans="3:5" x14ac:dyDescent="0.3">
      <c r="C912" s="1"/>
      <c r="D912" s="1"/>
      <c r="E912" s="1"/>
    </row>
    <row r="913" spans="3:5" x14ac:dyDescent="0.3">
      <c r="C913" s="1"/>
      <c r="D913" s="1"/>
      <c r="E913" s="1"/>
    </row>
    <row r="914" spans="3:5" x14ac:dyDescent="0.3">
      <c r="C914" s="1"/>
      <c r="D914" s="1"/>
      <c r="E914" s="1"/>
    </row>
    <row r="915" spans="3:5" x14ac:dyDescent="0.3">
      <c r="C915" s="1"/>
      <c r="D915" s="1"/>
      <c r="E915" s="1"/>
    </row>
    <row r="916" spans="3:5" x14ac:dyDescent="0.3">
      <c r="C916" s="1"/>
      <c r="D916" s="1"/>
      <c r="E916" s="1"/>
    </row>
    <row r="917" spans="3:5" x14ac:dyDescent="0.3">
      <c r="C917" s="1"/>
      <c r="D917" s="1"/>
      <c r="E917" s="1"/>
    </row>
    <row r="918" spans="3:5" x14ac:dyDescent="0.3">
      <c r="C918" s="1"/>
      <c r="D918" s="1"/>
      <c r="E918" s="1"/>
    </row>
    <row r="919" spans="3:5" x14ac:dyDescent="0.3">
      <c r="C919" s="1"/>
      <c r="D919" s="1"/>
      <c r="E919" s="1"/>
    </row>
    <row r="920" spans="3:5" x14ac:dyDescent="0.3">
      <c r="C920" s="1"/>
      <c r="D920" s="1"/>
      <c r="E920" s="1"/>
    </row>
    <row r="921" spans="3:5" x14ac:dyDescent="0.3">
      <c r="C921" s="1"/>
      <c r="D921" s="1"/>
      <c r="E921" s="1"/>
    </row>
    <row r="922" spans="3:5" x14ac:dyDescent="0.3">
      <c r="C922" s="1"/>
      <c r="D922" s="1"/>
      <c r="E922" s="1"/>
    </row>
    <row r="923" spans="3:5" x14ac:dyDescent="0.3">
      <c r="C923" s="1"/>
      <c r="D923" s="1"/>
      <c r="E923" s="1"/>
    </row>
    <row r="924" spans="3:5" x14ac:dyDescent="0.3">
      <c r="C924" s="1"/>
      <c r="D924" s="1"/>
      <c r="E924" s="1"/>
    </row>
    <row r="925" spans="3:5" x14ac:dyDescent="0.3">
      <c r="C925" s="1"/>
      <c r="D925" s="1"/>
      <c r="E925" s="1"/>
    </row>
    <row r="926" spans="3:5" x14ac:dyDescent="0.3">
      <c r="C926" s="1"/>
      <c r="D926" s="1"/>
      <c r="E926" s="1"/>
    </row>
    <row r="927" spans="3:5" x14ac:dyDescent="0.3">
      <c r="C927" s="1"/>
      <c r="D927" s="1"/>
      <c r="E927" s="1"/>
    </row>
    <row r="928" spans="3:5" x14ac:dyDescent="0.3">
      <c r="C928" s="1"/>
      <c r="D928" s="1"/>
      <c r="E928" s="1"/>
    </row>
    <row r="929" spans="3:5" x14ac:dyDescent="0.3">
      <c r="C929" s="1"/>
      <c r="D929" s="1"/>
      <c r="E929" s="1"/>
    </row>
    <row r="930" spans="3:5" x14ac:dyDescent="0.3">
      <c r="C930" s="1"/>
      <c r="D930" s="1"/>
      <c r="E930" s="1"/>
    </row>
    <row r="931" spans="3:5" x14ac:dyDescent="0.3">
      <c r="C931" s="1"/>
      <c r="D931" s="1"/>
      <c r="E931" s="1"/>
    </row>
    <row r="932" spans="3:5" x14ac:dyDescent="0.3">
      <c r="C932" s="1"/>
      <c r="D932" s="1"/>
      <c r="E932" s="1"/>
    </row>
    <row r="933" spans="3:5" x14ac:dyDescent="0.3">
      <c r="C933" s="1"/>
      <c r="D933" s="1"/>
      <c r="E933" s="1"/>
    </row>
    <row r="934" spans="3:5" x14ac:dyDescent="0.3">
      <c r="C934" s="1"/>
      <c r="D934" s="1"/>
      <c r="E934" s="1"/>
    </row>
    <row r="935" spans="3:5" x14ac:dyDescent="0.3">
      <c r="C935" s="1"/>
      <c r="D935" s="1"/>
      <c r="E935" s="1"/>
    </row>
    <row r="936" spans="3:5" x14ac:dyDescent="0.3">
      <c r="C936" s="1"/>
      <c r="D936" s="1"/>
      <c r="E936" s="1"/>
    </row>
    <row r="937" spans="3:5" x14ac:dyDescent="0.3">
      <c r="C937" s="1"/>
      <c r="D937" s="1"/>
      <c r="E937" s="1"/>
    </row>
    <row r="938" spans="3:5" x14ac:dyDescent="0.3">
      <c r="C938" s="1"/>
      <c r="D938" s="1"/>
      <c r="E938" s="1"/>
    </row>
    <row r="939" spans="3:5" x14ac:dyDescent="0.3">
      <c r="C939" s="1"/>
      <c r="D939" s="1"/>
      <c r="E939" s="1"/>
    </row>
    <row r="940" spans="3:5" x14ac:dyDescent="0.3">
      <c r="C940" s="1"/>
      <c r="D940" s="1"/>
      <c r="E940" s="1"/>
    </row>
    <row r="941" spans="3:5" x14ac:dyDescent="0.3">
      <c r="C941" s="1"/>
      <c r="D941" s="1"/>
      <c r="E941" s="1"/>
    </row>
    <row r="942" spans="3:5" x14ac:dyDescent="0.3">
      <c r="C942" s="1"/>
      <c r="D942" s="1"/>
      <c r="E942" s="1"/>
    </row>
    <row r="943" spans="3:5" x14ac:dyDescent="0.3">
      <c r="C943" s="1"/>
      <c r="D943" s="1"/>
      <c r="E943" s="1"/>
    </row>
    <row r="944" spans="3:5" x14ac:dyDescent="0.3">
      <c r="C944" s="1"/>
      <c r="D944" s="1"/>
      <c r="E944" s="1"/>
    </row>
    <row r="945" spans="3:5" x14ac:dyDescent="0.3">
      <c r="C945" s="1"/>
      <c r="D945" s="1"/>
      <c r="E945" s="1"/>
    </row>
    <row r="946" spans="3:5" x14ac:dyDescent="0.3">
      <c r="C946" s="1"/>
      <c r="D946" s="1"/>
      <c r="E946" s="1"/>
    </row>
    <row r="947" spans="3:5" x14ac:dyDescent="0.3">
      <c r="C947" s="1"/>
      <c r="D947" s="1"/>
      <c r="E947" s="1"/>
    </row>
    <row r="948" spans="3:5" x14ac:dyDescent="0.3">
      <c r="C948" s="1"/>
      <c r="D948" s="1"/>
      <c r="E948" s="1"/>
    </row>
    <row r="949" spans="3:5" x14ac:dyDescent="0.3">
      <c r="C949" s="1"/>
      <c r="D949" s="1"/>
      <c r="E949" s="1"/>
    </row>
    <row r="950" spans="3:5" x14ac:dyDescent="0.3">
      <c r="C950" s="1"/>
      <c r="D950" s="1"/>
      <c r="E950" s="1"/>
    </row>
    <row r="951" spans="3:5" x14ac:dyDescent="0.3">
      <c r="C951" s="1"/>
      <c r="D951" s="1"/>
      <c r="E951" s="1"/>
    </row>
    <row r="952" spans="3:5" x14ac:dyDescent="0.3">
      <c r="C952" s="1"/>
      <c r="D952" s="1"/>
      <c r="E952" s="1"/>
    </row>
    <row r="953" spans="3:5" x14ac:dyDescent="0.3">
      <c r="C953" s="1"/>
      <c r="D953" s="1"/>
      <c r="E953" s="1"/>
    </row>
    <row r="954" spans="3:5" x14ac:dyDescent="0.3">
      <c r="C954" s="1"/>
      <c r="D954" s="1"/>
      <c r="E954" s="1"/>
    </row>
    <row r="955" spans="3:5" x14ac:dyDescent="0.3">
      <c r="C955" s="1"/>
      <c r="D955" s="1"/>
      <c r="E955" s="1"/>
    </row>
    <row r="956" spans="3:5" x14ac:dyDescent="0.3">
      <c r="C956" s="1"/>
      <c r="D956" s="1"/>
      <c r="E956" s="1"/>
    </row>
    <row r="957" spans="3:5" x14ac:dyDescent="0.3">
      <c r="C957" s="1"/>
      <c r="D957" s="1"/>
      <c r="E957" s="1"/>
    </row>
    <row r="958" spans="3:5" x14ac:dyDescent="0.3">
      <c r="C958" s="1"/>
      <c r="D958" s="1"/>
      <c r="E958" s="1"/>
    </row>
    <row r="959" spans="3:5" x14ac:dyDescent="0.3">
      <c r="C959" s="1"/>
      <c r="D959" s="1"/>
      <c r="E959" s="1"/>
    </row>
    <row r="960" spans="3:5" x14ac:dyDescent="0.3">
      <c r="C960" s="1"/>
      <c r="D960" s="1"/>
      <c r="E960" s="1"/>
    </row>
    <row r="961" spans="3:5" x14ac:dyDescent="0.3">
      <c r="C961" s="1"/>
      <c r="D961" s="1"/>
      <c r="E961" s="1"/>
    </row>
    <row r="962" spans="3:5" x14ac:dyDescent="0.3">
      <c r="C962" s="1"/>
      <c r="D962" s="1"/>
      <c r="E962" s="1"/>
    </row>
    <row r="963" spans="3:5" x14ac:dyDescent="0.3">
      <c r="C963" s="1"/>
      <c r="D963" s="1"/>
      <c r="E963" s="1"/>
    </row>
    <row r="964" spans="3:5" x14ac:dyDescent="0.3">
      <c r="C964" s="1"/>
      <c r="D964" s="1"/>
      <c r="E964" s="1"/>
    </row>
    <row r="965" spans="3:5" x14ac:dyDescent="0.3">
      <c r="C965" s="1"/>
      <c r="D965" s="1"/>
      <c r="E965" s="1"/>
    </row>
    <row r="966" spans="3:5" x14ac:dyDescent="0.3">
      <c r="C966" s="1"/>
      <c r="D966" s="1"/>
      <c r="E966" s="1"/>
    </row>
    <row r="967" spans="3:5" x14ac:dyDescent="0.3">
      <c r="C967" s="1"/>
      <c r="D967" s="1"/>
      <c r="E967" s="1"/>
    </row>
    <row r="968" spans="3:5" x14ac:dyDescent="0.3">
      <c r="C968" s="1"/>
      <c r="D968" s="1"/>
      <c r="E968" s="1"/>
    </row>
    <row r="969" spans="3:5" x14ac:dyDescent="0.3">
      <c r="C969" s="1"/>
      <c r="D969" s="1"/>
      <c r="E969" s="1"/>
    </row>
    <row r="970" spans="3:5" x14ac:dyDescent="0.3">
      <c r="C970" s="1"/>
      <c r="D970" s="1"/>
      <c r="E970" s="1"/>
    </row>
    <row r="971" spans="3:5" x14ac:dyDescent="0.3">
      <c r="C971" s="1"/>
      <c r="D971" s="1"/>
      <c r="E971" s="1"/>
    </row>
    <row r="972" spans="3:5" x14ac:dyDescent="0.3">
      <c r="C972" s="1"/>
      <c r="D972" s="1"/>
      <c r="E972" s="1"/>
    </row>
    <row r="973" spans="3:5" x14ac:dyDescent="0.3">
      <c r="C973" s="1"/>
      <c r="D973" s="1"/>
      <c r="E973" s="1"/>
    </row>
    <row r="974" spans="3:5" x14ac:dyDescent="0.3">
      <c r="C974" s="1"/>
      <c r="D974" s="1"/>
      <c r="E974" s="1"/>
    </row>
    <row r="975" spans="3:5" x14ac:dyDescent="0.3">
      <c r="C975" s="1"/>
      <c r="D975" s="1"/>
      <c r="E975" s="1"/>
    </row>
    <row r="976" spans="3:5" x14ac:dyDescent="0.3">
      <c r="C976" s="1"/>
      <c r="D976" s="1"/>
      <c r="E976" s="1"/>
    </row>
    <row r="977" spans="3:5" x14ac:dyDescent="0.3">
      <c r="C977" s="1"/>
      <c r="D977" s="1"/>
      <c r="E977" s="1"/>
    </row>
    <row r="978" spans="3:5" x14ac:dyDescent="0.3">
      <c r="C978" s="1"/>
      <c r="D978" s="1"/>
      <c r="E978" s="1"/>
    </row>
    <row r="979" spans="3:5" x14ac:dyDescent="0.3">
      <c r="C979" s="1"/>
      <c r="D979" s="1"/>
      <c r="E979" s="1"/>
    </row>
    <row r="980" spans="3:5" x14ac:dyDescent="0.3">
      <c r="C980" s="1"/>
      <c r="D980" s="1"/>
      <c r="E980" s="1"/>
    </row>
    <row r="981" spans="3:5" x14ac:dyDescent="0.3">
      <c r="C981" s="1"/>
      <c r="D981" s="1"/>
      <c r="E981" s="1"/>
    </row>
    <row r="982" spans="3:5" x14ac:dyDescent="0.3">
      <c r="C982" s="1"/>
      <c r="D982" s="1"/>
      <c r="E982" s="1"/>
    </row>
    <row r="983" spans="3:5" x14ac:dyDescent="0.3">
      <c r="C983" s="1"/>
      <c r="D983" s="1"/>
      <c r="E983" s="1"/>
    </row>
    <row r="984" spans="3:5" x14ac:dyDescent="0.3">
      <c r="C984" s="1"/>
      <c r="D984" s="1"/>
      <c r="E984" s="1"/>
    </row>
    <row r="985" spans="3:5" x14ac:dyDescent="0.3">
      <c r="C985" s="1"/>
      <c r="D985" s="1"/>
      <c r="E985" s="1"/>
    </row>
    <row r="986" spans="3:5" x14ac:dyDescent="0.3">
      <c r="C986" s="1"/>
      <c r="D986" s="1"/>
      <c r="E986" s="1"/>
    </row>
    <row r="987" spans="3:5" x14ac:dyDescent="0.3">
      <c r="C987" s="1"/>
      <c r="D987" s="1"/>
      <c r="E987" s="1"/>
    </row>
    <row r="988" spans="3:5" x14ac:dyDescent="0.3">
      <c r="C988" s="1"/>
      <c r="D988" s="1"/>
      <c r="E988" s="1"/>
    </row>
    <row r="989" spans="3:5" x14ac:dyDescent="0.3">
      <c r="C989" s="1"/>
      <c r="D989" s="1"/>
      <c r="E989" s="1"/>
    </row>
    <row r="990" spans="3:5" x14ac:dyDescent="0.3">
      <c r="C990" s="1"/>
      <c r="D990" s="1"/>
      <c r="E990" s="1"/>
    </row>
    <row r="991" spans="3:5" x14ac:dyDescent="0.3">
      <c r="C991" s="1"/>
      <c r="D991" s="1"/>
      <c r="E991" s="1"/>
    </row>
    <row r="992" spans="3:5" x14ac:dyDescent="0.3">
      <c r="C992" s="1"/>
      <c r="D992" s="1"/>
      <c r="E992" s="1"/>
    </row>
    <row r="993" spans="3:5" x14ac:dyDescent="0.3">
      <c r="C993" s="1"/>
      <c r="D993" s="1"/>
      <c r="E993" s="1"/>
    </row>
    <row r="994" spans="3:5" x14ac:dyDescent="0.3">
      <c r="C994" s="1"/>
      <c r="D994" s="1"/>
      <c r="E994" s="1"/>
    </row>
    <row r="995" spans="3:5" x14ac:dyDescent="0.3">
      <c r="C995" s="1"/>
      <c r="D995" s="1"/>
      <c r="E995" s="1"/>
    </row>
    <row r="996" spans="3:5" x14ac:dyDescent="0.3">
      <c r="C996" s="1"/>
      <c r="D996" s="1"/>
      <c r="E996" s="1"/>
    </row>
    <row r="997" spans="3:5" x14ac:dyDescent="0.3">
      <c r="C997" s="1"/>
      <c r="D997" s="1"/>
      <c r="E997" s="1"/>
    </row>
    <row r="998" spans="3:5" x14ac:dyDescent="0.3">
      <c r="C998" s="1"/>
      <c r="D998" s="1"/>
      <c r="E998" s="1"/>
    </row>
    <row r="999" spans="3:5" x14ac:dyDescent="0.3">
      <c r="C999" s="1"/>
      <c r="D999" s="1"/>
      <c r="E999" s="1"/>
    </row>
    <row r="1000" spans="3:5" x14ac:dyDescent="0.3">
      <c r="C1000" s="1"/>
      <c r="D1000" s="1"/>
      <c r="E1000" s="1"/>
    </row>
    <row r="1001" spans="3:5" x14ac:dyDescent="0.3">
      <c r="C1001" s="1"/>
      <c r="D1001" s="1"/>
      <c r="E1001" s="1"/>
    </row>
    <row r="1002" spans="3:5" x14ac:dyDescent="0.3">
      <c r="C1002" s="1"/>
      <c r="D1002" s="1"/>
      <c r="E1002" s="1"/>
    </row>
    <row r="1003" spans="3:5" x14ac:dyDescent="0.3">
      <c r="C1003" s="1"/>
      <c r="D1003" s="1"/>
      <c r="E1003" s="1"/>
    </row>
    <row r="1004" spans="3:5" x14ac:dyDescent="0.3">
      <c r="C1004" s="1"/>
      <c r="D1004" s="1"/>
      <c r="E1004" s="1"/>
    </row>
    <row r="1005" spans="3:5" x14ac:dyDescent="0.3">
      <c r="C1005" s="1"/>
      <c r="D1005" s="1"/>
      <c r="E1005" s="1"/>
    </row>
    <row r="1006" spans="3:5" x14ac:dyDescent="0.3">
      <c r="C1006" s="1"/>
      <c r="D1006" s="1"/>
      <c r="E1006" s="1"/>
    </row>
    <row r="1007" spans="3:5" x14ac:dyDescent="0.3">
      <c r="C1007" s="1"/>
      <c r="D1007" s="1"/>
      <c r="E1007" s="1"/>
    </row>
    <row r="1008" spans="3:5" x14ac:dyDescent="0.3">
      <c r="C1008" s="1"/>
      <c r="D1008" s="1"/>
      <c r="E1008" s="1"/>
    </row>
    <row r="1009" spans="3:5" x14ac:dyDescent="0.3">
      <c r="C1009" s="1"/>
      <c r="D1009" s="1"/>
      <c r="E1009" s="1"/>
    </row>
    <row r="1010" spans="3:5" x14ac:dyDescent="0.3">
      <c r="C1010" s="1"/>
      <c r="D1010" s="1"/>
      <c r="E1010" s="1"/>
    </row>
    <row r="1011" spans="3:5" x14ac:dyDescent="0.3">
      <c r="C1011" s="1"/>
      <c r="D1011" s="1"/>
      <c r="E1011" s="1"/>
    </row>
    <row r="1012" spans="3:5" x14ac:dyDescent="0.3">
      <c r="C1012" s="1"/>
      <c r="D1012" s="1"/>
      <c r="E1012" s="1"/>
    </row>
    <row r="1013" spans="3:5" x14ac:dyDescent="0.3">
      <c r="C1013" s="1"/>
      <c r="D1013" s="1"/>
      <c r="E1013" s="1"/>
    </row>
    <row r="1014" spans="3:5" x14ac:dyDescent="0.3">
      <c r="C1014" s="1"/>
      <c r="D1014" s="1"/>
      <c r="E1014" s="1"/>
    </row>
    <row r="1015" spans="3:5" x14ac:dyDescent="0.3">
      <c r="C1015" s="1"/>
      <c r="D1015" s="1"/>
      <c r="E1015" s="1"/>
    </row>
    <row r="1016" spans="3:5" x14ac:dyDescent="0.3">
      <c r="C1016" s="1"/>
      <c r="D1016" s="1"/>
      <c r="E1016" s="1"/>
    </row>
    <row r="1017" spans="3:5" x14ac:dyDescent="0.3">
      <c r="C1017" s="1"/>
      <c r="D1017" s="1"/>
      <c r="E1017" s="1"/>
    </row>
    <row r="1018" spans="3:5" x14ac:dyDescent="0.3">
      <c r="C1018" s="1"/>
      <c r="D1018" s="1"/>
      <c r="E1018" s="1"/>
    </row>
    <row r="1019" spans="3:5" x14ac:dyDescent="0.3">
      <c r="C1019" s="1"/>
      <c r="D1019" s="1"/>
      <c r="E1019" s="1"/>
    </row>
    <row r="1020" spans="3:5" x14ac:dyDescent="0.3">
      <c r="C1020" s="1"/>
      <c r="D1020" s="1"/>
      <c r="E1020" s="1"/>
    </row>
    <row r="1021" spans="3:5" x14ac:dyDescent="0.3">
      <c r="C1021" s="1"/>
      <c r="D1021" s="1"/>
      <c r="E1021" s="1"/>
    </row>
    <row r="1022" spans="3:5" x14ac:dyDescent="0.3">
      <c r="C1022" s="1"/>
      <c r="D1022" s="1"/>
      <c r="E1022" s="1"/>
    </row>
    <row r="1023" spans="3:5" x14ac:dyDescent="0.3">
      <c r="C1023" s="1"/>
      <c r="D1023" s="1"/>
      <c r="E1023" s="1"/>
    </row>
    <row r="1024" spans="3:5" x14ac:dyDescent="0.3">
      <c r="C1024" s="1"/>
      <c r="D1024" s="1"/>
      <c r="E1024" s="1"/>
    </row>
    <row r="1025" spans="3:5" x14ac:dyDescent="0.3">
      <c r="C1025" s="1"/>
      <c r="D1025" s="1"/>
      <c r="E1025" s="1"/>
    </row>
    <row r="1026" spans="3:5" x14ac:dyDescent="0.3">
      <c r="C1026" s="1"/>
      <c r="D1026" s="1"/>
      <c r="E1026" s="1"/>
    </row>
    <row r="1027" spans="3:5" x14ac:dyDescent="0.3">
      <c r="C1027" s="1"/>
      <c r="D1027" s="1"/>
      <c r="E1027" s="1"/>
    </row>
    <row r="1028" spans="3:5" x14ac:dyDescent="0.3">
      <c r="C1028" s="1"/>
      <c r="D1028" s="1"/>
      <c r="E1028" s="1"/>
    </row>
    <row r="1029" spans="3:5" x14ac:dyDescent="0.3">
      <c r="C1029" s="1"/>
      <c r="D1029" s="1"/>
      <c r="E1029" s="1"/>
    </row>
    <row r="1030" spans="3:5" x14ac:dyDescent="0.3">
      <c r="C1030" s="1"/>
      <c r="D1030" s="1"/>
      <c r="E1030" s="1"/>
    </row>
    <row r="1031" spans="3:5" x14ac:dyDescent="0.3">
      <c r="C1031" s="1"/>
      <c r="D1031" s="1"/>
      <c r="E1031" s="1"/>
    </row>
    <row r="1032" spans="3:5" x14ac:dyDescent="0.3">
      <c r="C1032" s="1"/>
      <c r="D1032" s="1"/>
      <c r="E1032" s="1"/>
    </row>
    <row r="1033" spans="3:5" x14ac:dyDescent="0.3">
      <c r="C1033" s="1"/>
      <c r="D1033" s="1"/>
      <c r="E1033" s="1"/>
    </row>
    <row r="1034" spans="3:5" x14ac:dyDescent="0.3">
      <c r="C1034" s="1"/>
      <c r="D1034" s="1"/>
      <c r="E1034" s="1"/>
    </row>
    <row r="1035" spans="3:5" x14ac:dyDescent="0.3">
      <c r="C1035" s="1"/>
      <c r="D1035" s="1"/>
      <c r="E1035" s="1"/>
    </row>
    <row r="1036" spans="3:5" x14ac:dyDescent="0.3">
      <c r="C1036" s="1"/>
      <c r="D1036" s="1"/>
      <c r="E1036" s="1"/>
    </row>
    <row r="1037" spans="3:5" x14ac:dyDescent="0.3">
      <c r="C1037" s="1"/>
      <c r="D1037" s="1"/>
      <c r="E1037" s="1"/>
    </row>
    <row r="1038" spans="3:5" x14ac:dyDescent="0.3">
      <c r="C1038" s="1"/>
      <c r="D1038" s="1"/>
      <c r="E1038" s="1"/>
    </row>
    <row r="1039" spans="3:5" x14ac:dyDescent="0.3">
      <c r="C1039" s="1"/>
      <c r="D1039" s="1"/>
      <c r="E1039" s="1"/>
    </row>
    <row r="1040" spans="3:5" x14ac:dyDescent="0.3">
      <c r="C1040" s="1"/>
      <c r="D1040" s="1"/>
      <c r="E1040" s="1"/>
    </row>
    <row r="1041" spans="3:5" x14ac:dyDescent="0.3">
      <c r="C1041" s="1"/>
      <c r="D1041" s="1"/>
      <c r="E1041" s="1"/>
    </row>
    <row r="1042" spans="3:5" x14ac:dyDescent="0.3">
      <c r="C1042" s="1"/>
      <c r="D1042" s="1"/>
      <c r="E1042" s="1"/>
    </row>
    <row r="1043" spans="3:5" x14ac:dyDescent="0.3">
      <c r="C1043" s="1"/>
      <c r="D1043" s="1"/>
      <c r="E1043" s="1"/>
    </row>
    <row r="1044" spans="3:5" x14ac:dyDescent="0.3">
      <c r="C1044" s="1"/>
      <c r="D1044" s="1"/>
      <c r="E1044" s="1"/>
    </row>
    <row r="1045" spans="3:5" x14ac:dyDescent="0.3">
      <c r="C1045" s="1"/>
      <c r="D1045" s="1"/>
      <c r="E1045" s="1"/>
    </row>
    <row r="1046" spans="3:5" x14ac:dyDescent="0.3">
      <c r="C1046" s="1"/>
      <c r="D1046" s="1"/>
      <c r="E1046" s="1"/>
    </row>
    <row r="1047" spans="3:5" x14ac:dyDescent="0.3">
      <c r="C1047" s="1"/>
      <c r="D1047" s="1"/>
      <c r="E1047" s="1"/>
    </row>
    <row r="1048" spans="3:5" x14ac:dyDescent="0.3">
      <c r="C1048" s="1"/>
      <c r="D1048" s="1"/>
      <c r="E1048" s="1"/>
    </row>
    <row r="1049" spans="3:5" x14ac:dyDescent="0.3">
      <c r="C1049" s="1"/>
      <c r="D1049" s="1"/>
      <c r="E1049" s="1"/>
    </row>
    <row r="1050" spans="3:5" x14ac:dyDescent="0.3">
      <c r="C1050" s="1"/>
      <c r="D1050" s="1"/>
      <c r="E1050" s="1"/>
    </row>
    <row r="1051" spans="3:5" x14ac:dyDescent="0.3">
      <c r="C1051" s="1"/>
      <c r="D1051" s="1"/>
      <c r="E1051" s="1"/>
    </row>
    <row r="1052" spans="3:5" x14ac:dyDescent="0.3">
      <c r="C1052" s="1"/>
      <c r="D1052" s="1"/>
      <c r="E1052" s="1"/>
    </row>
    <row r="1053" spans="3:5" x14ac:dyDescent="0.3">
      <c r="C1053" s="1"/>
      <c r="D1053" s="1"/>
      <c r="E1053" s="1"/>
    </row>
    <row r="1054" spans="3:5" x14ac:dyDescent="0.3">
      <c r="C1054" s="1"/>
      <c r="D1054" s="1"/>
      <c r="E1054" s="1"/>
    </row>
    <row r="1055" spans="3:5" x14ac:dyDescent="0.3">
      <c r="C1055" s="1"/>
      <c r="D1055" s="1"/>
      <c r="E1055" s="1"/>
    </row>
    <row r="1056" spans="3:5" x14ac:dyDescent="0.3">
      <c r="C1056" s="1"/>
      <c r="D1056" s="1"/>
      <c r="E1056" s="1"/>
    </row>
    <row r="1057" spans="3:5" x14ac:dyDescent="0.3">
      <c r="C1057" s="1"/>
      <c r="D1057" s="1"/>
      <c r="E1057" s="1"/>
    </row>
    <row r="1058" spans="3:5" x14ac:dyDescent="0.3">
      <c r="C1058" s="1"/>
      <c r="D1058" s="1"/>
      <c r="E1058" s="1"/>
    </row>
    <row r="1059" spans="3:5" x14ac:dyDescent="0.3">
      <c r="C1059" s="1"/>
      <c r="D1059" s="1"/>
      <c r="E1059" s="1"/>
    </row>
    <row r="1060" spans="3:5" x14ac:dyDescent="0.3">
      <c r="C1060" s="1"/>
      <c r="D1060" s="1"/>
      <c r="E1060" s="1"/>
    </row>
    <row r="1061" spans="3:5" x14ac:dyDescent="0.3">
      <c r="C1061" s="1"/>
      <c r="D1061" s="1"/>
      <c r="E1061" s="1"/>
    </row>
    <row r="1062" spans="3:5" x14ac:dyDescent="0.3">
      <c r="C1062" s="1"/>
      <c r="D1062" s="1"/>
      <c r="E1062" s="1"/>
    </row>
    <row r="1063" spans="3:5" x14ac:dyDescent="0.3">
      <c r="C1063" s="1"/>
      <c r="D1063" s="1"/>
      <c r="E1063" s="1"/>
    </row>
    <row r="1064" spans="3:5" x14ac:dyDescent="0.3">
      <c r="C1064" s="1"/>
      <c r="D1064" s="1"/>
      <c r="E1064" s="1"/>
    </row>
    <row r="1065" spans="3:5" x14ac:dyDescent="0.3">
      <c r="C1065" s="1"/>
      <c r="D1065" s="1"/>
      <c r="E1065" s="1"/>
    </row>
    <row r="1066" spans="3:5" x14ac:dyDescent="0.3">
      <c r="C1066" s="1"/>
      <c r="D1066" s="1"/>
      <c r="E1066" s="1"/>
    </row>
    <row r="1067" spans="3:5" x14ac:dyDescent="0.3">
      <c r="C1067" s="1"/>
      <c r="D1067" s="1"/>
      <c r="E1067" s="1"/>
    </row>
    <row r="1068" spans="3:5" x14ac:dyDescent="0.3">
      <c r="C1068" s="1"/>
      <c r="D1068" s="1"/>
      <c r="E1068" s="1"/>
    </row>
    <row r="1069" spans="3:5" x14ac:dyDescent="0.3">
      <c r="C1069" s="1"/>
      <c r="D1069" s="1"/>
      <c r="E1069" s="1"/>
    </row>
    <row r="1070" spans="3:5" x14ac:dyDescent="0.3">
      <c r="C1070" s="1"/>
      <c r="D1070" s="1"/>
      <c r="E1070" s="1"/>
    </row>
    <row r="1071" spans="3:5" x14ac:dyDescent="0.3">
      <c r="C1071" s="1"/>
      <c r="D1071" s="1"/>
      <c r="E1071" s="1"/>
    </row>
    <row r="1072" spans="3:5" x14ac:dyDescent="0.3">
      <c r="C1072" s="1"/>
      <c r="D1072" s="1"/>
      <c r="E1072" s="1"/>
    </row>
    <row r="1073" spans="3:5" x14ac:dyDescent="0.3">
      <c r="C1073" s="1"/>
      <c r="D1073" s="1"/>
      <c r="E1073" s="1"/>
    </row>
    <row r="1074" spans="3:5" x14ac:dyDescent="0.3">
      <c r="C1074" s="1"/>
      <c r="D1074" s="1"/>
      <c r="E1074" s="1"/>
    </row>
    <row r="1075" spans="3:5" x14ac:dyDescent="0.3">
      <c r="C1075" s="1"/>
      <c r="D1075" s="1"/>
      <c r="E1075" s="1"/>
    </row>
    <row r="1076" spans="3:5" x14ac:dyDescent="0.3">
      <c r="C1076" s="1"/>
      <c r="D1076" s="1"/>
      <c r="E1076" s="1"/>
    </row>
    <row r="1077" spans="3:5" x14ac:dyDescent="0.3">
      <c r="C1077" s="1"/>
      <c r="D1077" s="1"/>
      <c r="E1077" s="1"/>
    </row>
    <row r="1078" spans="3:5" x14ac:dyDescent="0.3">
      <c r="C1078" s="1"/>
      <c r="D1078" s="1"/>
      <c r="E1078" s="1"/>
    </row>
    <row r="1079" spans="3:5" x14ac:dyDescent="0.3">
      <c r="C1079" s="1"/>
      <c r="D1079" s="1"/>
      <c r="E1079" s="1"/>
    </row>
    <row r="1080" spans="3:5" x14ac:dyDescent="0.3">
      <c r="C1080" s="1"/>
      <c r="D1080" s="1"/>
      <c r="E1080" s="1"/>
    </row>
    <row r="1081" spans="3:5" x14ac:dyDescent="0.3">
      <c r="C1081" s="1"/>
      <c r="D1081" s="1"/>
      <c r="E1081" s="1"/>
    </row>
    <row r="1082" spans="3:5" x14ac:dyDescent="0.3">
      <c r="C1082" s="1"/>
      <c r="D1082" s="1"/>
      <c r="E1082" s="1"/>
    </row>
    <row r="1083" spans="3:5" x14ac:dyDescent="0.3">
      <c r="C1083" s="1"/>
      <c r="D1083" s="1"/>
      <c r="E1083" s="1"/>
    </row>
    <row r="1084" spans="3:5" x14ac:dyDescent="0.3">
      <c r="C1084" s="1"/>
      <c r="D1084" s="1"/>
      <c r="E1084" s="1"/>
    </row>
    <row r="1085" spans="3:5" x14ac:dyDescent="0.3">
      <c r="C1085" s="1"/>
      <c r="D1085" s="1"/>
      <c r="E1085" s="1"/>
    </row>
    <row r="1086" spans="3:5" x14ac:dyDescent="0.3">
      <c r="C1086" s="1"/>
      <c r="D1086" s="1"/>
      <c r="E1086" s="1"/>
    </row>
    <row r="1087" spans="3:5" x14ac:dyDescent="0.3">
      <c r="C1087" s="1"/>
      <c r="D1087" s="1"/>
      <c r="E1087" s="1"/>
    </row>
    <row r="1088" spans="3:5" x14ac:dyDescent="0.3">
      <c r="C1088" s="1"/>
      <c r="D1088" s="1"/>
      <c r="E1088" s="1"/>
    </row>
    <row r="1089" spans="3:5" x14ac:dyDescent="0.3">
      <c r="C1089" s="1"/>
      <c r="D1089" s="1"/>
      <c r="E1089" s="1"/>
    </row>
    <row r="1090" spans="3:5" x14ac:dyDescent="0.3">
      <c r="C1090" s="1"/>
      <c r="D1090" s="1"/>
      <c r="E1090" s="1"/>
    </row>
    <row r="1091" spans="3:5" x14ac:dyDescent="0.3">
      <c r="C1091" s="1"/>
      <c r="D1091" s="1"/>
      <c r="E1091" s="1"/>
    </row>
    <row r="1092" spans="3:5" x14ac:dyDescent="0.3">
      <c r="C1092" s="1"/>
      <c r="D1092" s="1"/>
      <c r="E1092" s="1"/>
    </row>
    <row r="1093" spans="3:5" x14ac:dyDescent="0.3">
      <c r="C1093" s="1"/>
      <c r="D1093" s="1"/>
      <c r="E1093" s="1"/>
    </row>
    <row r="1094" spans="3:5" x14ac:dyDescent="0.3">
      <c r="C1094" s="1"/>
      <c r="D1094" s="1"/>
      <c r="E1094" s="1"/>
    </row>
    <row r="1095" spans="3:5" x14ac:dyDescent="0.3">
      <c r="C1095" s="1"/>
      <c r="D1095" s="1"/>
      <c r="E1095" s="1"/>
    </row>
    <row r="1096" spans="3:5" x14ac:dyDescent="0.3">
      <c r="C1096" s="1"/>
      <c r="D1096" s="1"/>
      <c r="E1096" s="1"/>
    </row>
    <row r="1097" spans="3:5" x14ac:dyDescent="0.3">
      <c r="C1097" s="1"/>
      <c r="D1097" s="1"/>
      <c r="E1097" s="1"/>
    </row>
    <row r="1098" spans="3:5" x14ac:dyDescent="0.3">
      <c r="C1098" s="1"/>
      <c r="D1098" s="1"/>
      <c r="E1098" s="1"/>
    </row>
    <row r="1099" spans="3:5" x14ac:dyDescent="0.3">
      <c r="C1099" s="1"/>
      <c r="D1099" s="1"/>
      <c r="E1099" s="1"/>
    </row>
    <row r="1100" spans="3:5" x14ac:dyDescent="0.3">
      <c r="C1100" s="1"/>
      <c r="D1100" s="1"/>
      <c r="E1100" s="1"/>
    </row>
    <row r="1101" spans="3:5" x14ac:dyDescent="0.3">
      <c r="C1101" s="1"/>
      <c r="D1101" s="1"/>
      <c r="E1101" s="1"/>
    </row>
    <row r="1102" spans="3:5" x14ac:dyDescent="0.3">
      <c r="C1102" s="1"/>
      <c r="D1102" s="1"/>
      <c r="E1102" s="1"/>
    </row>
    <row r="1103" spans="3:5" x14ac:dyDescent="0.3">
      <c r="C1103" s="1"/>
      <c r="D1103" s="1"/>
      <c r="E1103" s="1"/>
    </row>
    <row r="1104" spans="3:5" x14ac:dyDescent="0.3">
      <c r="C1104" s="1"/>
      <c r="D1104" s="1"/>
      <c r="E1104" s="1"/>
    </row>
    <row r="1105" spans="3:5" x14ac:dyDescent="0.3">
      <c r="C1105" s="1"/>
      <c r="D1105" s="1"/>
      <c r="E1105" s="1"/>
    </row>
    <row r="1106" spans="3:5" x14ac:dyDescent="0.3">
      <c r="C1106" s="1"/>
      <c r="D1106" s="1"/>
      <c r="E1106" s="1"/>
    </row>
    <row r="1107" spans="3:5" x14ac:dyDescent="0.3">
      <c r="C1107" s="1"/>
      <c r="D1107" s="1"/>
      <c r="E1107" s="1"/>
    </row>
    <row r="1108" spans="3:5" x14ac:dyDescent="0.3">
      <c r="C1108" s="1"/>
      <c r="D1108" s="1"/>
      <c r="E1108" s="1"/>
    </row>
    <row r="1109" spans="3:5" x14ac:dyDescent="0.3">
      <c r="C1109" s="1"/>
      <c r="D1109" s="1"/>
      <c r="E1109" s="1"/>
    </row>
    <row r="1110" spans="3:5" x14ac:dyDescent="0.3">
      <c r="C1110" s="1"/>
      <c r="D1110" s="1"/>
      <c r="E1110" s="1"/>
    </row>
    <row r="1111" spans="3:5" x14ac:dyDescent="0.3">
      <c r="C1111" s="1"/>
      <c r="D1111" s="1"/>
      <c r="E1111" s="1"/>
    </row>
    <row r="1112" spans="3:5" x14ac:dyDescent="0.3">
      <c r="C1112" s="1"/>
      <c r="D1112" s="1"/>
      <c r="E1112" s="1"/>
    </row>
    <row r="1113" spans="3:5" x14ac:dyDescent="0.3">
      <c r="C1113" s="1"/>
      <c r="D1113" s="1"/>
      <c r="E1113" s="1"/>
    </row>
    <row r="1114" spans="3:5" x14ac:dyDescent="0.3">
      <c r="C1114" s="1"/>
      <c r="D1114" s="1"/>
      <c r="E1114" s="1"/>
    </row>
    <row r="1115" spans="3:5" x14ac:dyDescent="0.3">
      <c r="C1115" s="1"/>
      <c r="D1115" s="1"/>
      <c r="E1115" s="1"/>
    </row>
    <row r="1116" spans="3:5" x14ac:dyDescent="0.3">
      <c r="C1116" s="1"/>
      <c r="D1116" s="1"/>
      <c r="E1116" s="1"/>
    </row>
    <row r="1117" spans="3:5" x14ac:dyDescent="0.3">
      <c r="C1117" s="1"/>
      <c r="D1117" s="1"/>
      <c r="E1117" s="1"/>
    </row>
    <row r="1118" spans="3:5" x14ac:dyDescent="0.3">
      <c r="C1118" s="1"/>
      <c r="D1118" s="1"/>
      <c r="E1118" s="1"/>
    </row>
    <row r="1119" spans="3:5" x14ac:dyDescent="0.3">
      <c r="C1119" s="1"/>
      <c r="D1119" s="1"/>
      <c r="E1119" s="1"/>
    </row>
    <row r="1120" spans="3:5" x14ac:dyDescent="0.3">
      <c r="C1120" s="1"/>
      <c r="D1120" s="1"/>
      <c r="E1120" s="1"/>
    </row>
    <row r="1121" spans="3:5" x14ac:dyDescent="0.3">
      <c r="C1121" s="1"/>
      <c r="D1121" s="1"/>
      <c r="E1121" s="1"/>
    </row>
    <row r="1122" spans="3:5" x14ac:dyDescent="0.3">
      <c r="C1122" s="1"/>
      <c r="D1122" s="1"/>
      <c r="E1122" s="1"/>
    </row>
    <row r="1123" spans="3:5" x14ac:dyDescent="0.3">
      <c r="C1123" s="1"/>
      <c r="D1123" s="1"/>
      <c r="E1123" s="1"/>
    </row>
    <row r="1124" spans="3:5" x14ac:dyDescent="0.3">
      <c r="C1124" s="1"/>
      <c r="D1124" s="1"/>
      <c r="E1124" s="1"/>
    </row>
    <row r="1125" spans="3:5" x14ac:dyDescent="0.3">
      <c r="C1125" s="1"/>
      <c r="D1125" s="1"/>
      <c r="E1125" s="1"/>
    </row>
    <row r="1126" spans="3:5" x14ac:dyDescent="0.3">
      <c r="C1126" s="1"/>
      <c r="D1126" s="1"/>
      <c r="E1126" s="1"/>
    </row>
    <row r="1127" spans="3:5" x14ac:dyDescent="0.3">
      <c r="C1127" s="1"/>
      <c r="D1127" s="1"/>
      <c r="E1127" s="1"/>
    </row>
    <row r="1128" spans="3:5" x14ac:dyDescent="0.3">
      <c r="C1128" s="1"/>
      <c r="D1128" s="1"/>
      <c r="E1128" s="1"/>
    </row>
    <row r="1129" spans="3:5" x14ac:dyDescent="0.3">
      <c r="C1129" s="1"/>
      <c r="D1129" s="1"/>
      <c r="E1129" s="1"/>
    </row>
    <row r="1130" spans="3:5" x14ac:dyDescent="0.3">
      <c r="C1130" s="1"/>
      <c r="D1130" s="1"/>
      <c r="E1130" s="1"/>
    </row>
    <row r="1131" spans="3:5" x14ac:dyDescent="0.3">
      <c r="C1131" s="1"/>
      <c r="D1131" s="1"/>
      <c r="E1131" s="1"/>
    </row>
    <row r="1132" spans="3:5" x14ac:dyDescent="0.3">
      <c r="C1132" s="1"/>
      <c r="D1132" s="1"/>
      <c r="E1132" s="1"/>
    </row>
    <row r="1133" spans="3:5" x14ac:dyDescent="0.3">
      <c r="C1133" s="1"/>
      <c r="D1133" s="1"/>
      <c r="E1133" s="1"/>
    </row>
    <row r="1134" spans="3:5" x14ac:dyDescent="0.3">
      <c r="C1134" s="1"/>
      <c r="D1134" s="1"/>
      <c r="E1134" s="1"/>
    </row>
    <row r="1135" spans="3:5" x14ac:dyDescent="0.3">
      <c r="C1135" s="1"/>
      <c r="D1135" s="1"/>
      <c r="E1135" s="1"/>
    </row>
    <row r="1136" spans="3:5" x14ac:dyDescent="0.3">
      <c r="C1136" s="1"/>
      <c r="D1136" s="1"/>
      <c r="E1136" s="1"/>
    </row>
    <row r="1137" spans="3:5" x14ac:dyDescent="0.3">
      <c r="C1137" s="1"/>
      <c r="D1137" s="1"/>
      <c r="E1137" s="1"/>
    </row>
    <row r="1138" spans="3:5" x14ac:dyDescent="0.3">
      <c r="C1138" s="1"/>
      <c r="D1138" s="1"/>
      <c r="E1138" s="1"/>
    </row>
    <row r="1139" spans="3:5" x14ac:dyDescent="0.3">
      <c r="C1139" s="1"/>
      <c r="D1139" s="1"/>
      <c r="E1139" s="1"/>
    </row>
    <row r="1140" spans="3:5" x14ac:dyDescent="0.3">
      <c r="C1140" s="1"/>
      <c r="D1140" s="1"/>
      <c r="E1140" s="1"/>
    </row>
    <row r="1141" spans="3:5" x14ac:dyDescent="0.3">
      <c r="C1141" s="1"/>
      <c r="D1141" s="1"/>
      <c r="E1141" s="1"/>
    </row>
    <row r="1142" spans="3:5" x14ac:dyDescent="0.3">
      <c r="C1142" s="1"/>
      <c r="D1142" s="1"/>
      <c r="E1142" s="1"/>
    </row>
    <row r="1143" spans="3:5" x14ac:dyDescent="0.3">
      <c r="C1143" s="1"/>
      <c r="D1143" s="1"/>
      <c r="E1143" s="1"/>
    </row>
    <row r="1144" spans="3:5" x14ac:dyDescent="0.3">
      <c r="C1144" s="1"/>
      <c r="D1144" s="1"/>
      <c r="E1144" s="1"/>
    </row>
    <row r="1145" spans="3:5" x14ac:dyDescent="0.3">
      <c r="C1145" s="1"/>
      <c r="D1145" s="1"/>
      <c r="E1145" s="1"/>
    </row>
    <row r="1146" spans="3:5" x14ac:dyDescent="0.3">
      <c r="C1146" s="1"/>
      <c r="D1146" s="1"/>
      <c r="E1146" s="1"/>
    </row>
    <row r="1147" spans="3:5" x14ac:dyDescent="0.3">
      <c r="C1147" s="1"/>
      <c r="D1147" s="1"/>
      <c r="E1147" s="1"/>
    </row>
    <row r="1148" spans="3:5" x14ac:dyDescent="0.3">
      <c r="C1148" s="1"/>
      <c r="D1148" s="1"/>
      <c r="E1148" s="1"/>
    </row>
    <row r="1149" spans="3:5" x14ac:dyDescent="0.3">
      <c r="C1149" s="1"/>
      <c r="D1149" s="1"/>
      <c r="E1149" s="1"/>
    </row>
    <row r="1150" spans="3:5" x14ac:dyDescent="0.3">
      <c r="C1150" s="1"/>
      <c r="D1150" s="1"/>
      <c r="E1150" s="1"/>
    </row>
    <row r="1151" spans="3:5" x14ac:dyDescent="0.3">
      <c r="C1151" s="1"/>
      <c r="D1151" s="1"/>
      <c r="E1151" s="1"/>
    </row>
    <row r="1152" spans="3:5" x14ac:dyDescent="0.3">
      <c r="C1152" s="1"/>
      <c r="D1152" s="1"/>
      <c r="E1152" s="1"/>
    </row>
    <row r="1153" spans="3:5" x14ac:dyDescent="0.3">
      <c r="C1153" s="1"/>
      <c r="D1153" s="1"/>
      <c r="E1153" s="1"/>
    </row>
    <row r="1154" spans="3:5" x14ac:dyDescent="0.3">
      <c r="C1154" s="1"/>
      <c r="D1154" s="1"/>
      <c r="E1154" s="1"/>
    </row>
    <row r="1155" spans="3:5" x14ac:dyDescent="0.3">
      <c r="C1155" s="1"/>
      <c r="D1155" s="1"/>
      <c r="E1155" s="1"/>
    </row>
    <row r="1156" spans="3:5" x14ac:dyDescent="0.3">
      <c r="C1156" s="1"/>
      <c r="D1156" s="1"/>
      <c r="E1156" s="1"/>
    </row>
    <row r="1157" spans="3:5" x14ac:dyDescent="0.3">
      <c r="C1157" s="1"/>
      <c r="D1157" s="1"/>
      <c r="E1157" s="1"/>
    </row>
    <row r="1158" spans="3:5" x14ac:dyDescent="0.3">
      <c r="C1158" s="1"/>
      <c r="D1158" s="1"/>
      <c r="E1158" s="1"/>
    </row>
    <row r="1159" spans="3:5" x14ac:dyDescent="0.3">
      <c r="C1159" s="1"/>
      <c r="D1159" s="1"/>
      <c r="E1159" s="1"/>
    </row>
    <row r="1160" spans="3:5" x14ac:dyDescent="0.3">
      <c r="C1160" s="1"/>
      <c r="D1160" s="1"/>
      <c r="E1160" s="1"/>
    </row>
    <row r="1161" spans="3:5" x14ac:dyDescent="0.3">
      <c r="C1161" s="1"/>
      <c r="D1161" s="1"/>
      <c r="E1161" s="1"/>
    </row>
    <row r="1162" spans="3:5" x14ac:dyDescent="0.3">
      <c r="C1162" s="1"/>
      <c r="D1162" s="1"/>
      <c r="E1162" s="1"/>
    </row>
    <row r="1163" spans="3:5" x14ac:dyDescent="0.3">
      <c r="C1163" s="1"/>
      <c r="D1163" s="1"/>
      <c r="E1163" s="1"/>
    </row>
    <row r="1164" spans="3:5" x14ac:dyDescent="0.3">
      <c r="C1164" s="1"/>
      <c r="D1164" s="1"/>
      <c r="E1164" s="1"/>
    </row>
    <row r="1165" spans="3:5" x14ac:dyDescent="0.3">
      <c r="C1165" s="1"/>
      <c r="D1165" s="1"/>
      <c r="E1165" s="1"/>
    </row>
    <row r="1166" spans="3:5" x14ac:dyDescent="0.3">
      <c r="C1166" s="1"/>
      <c r="D1166" s="1"/>
      <c r="E1166" s="1"/>
    </row>
    <row r="1167" spans="3:5" x14ac:dyDescent="0.3">
      <c r="C1167" s="1"/>
      <c r="D1167" s="1"/>
      <c r="E1167" s="1"/>
    </row>
    <row r="1168" spans="3:5" x14ac:dyDescent="0.3">
      <c r="C1168" s="1"/>
      <c r="D1168" s="1"/>
      <c r="E1168" s="1"/>
    </row>
    <row r="1169" spans="3:5" x14ac:dyDescent="0.3">
      <c r="C1169" s="1"/>
      <c r="D1169" s="1"/>
      <c r="E1169" s="1"/>
    </row>
    <row r="1170" spans="3:5" x14ac:dyDescent="0.3">
      <c r="C1170" s="1"/>
      <c r="D1170" s="1"/>
      <c r="E1170" s="1"/>
    </row>
    <row r="1171" spans="3:5" x14ac:dyDescent="0.3">
      <c r="C1171" s="1"/>
      <c r="D1171" s="1"/>
      <c r="E1171" s="1"/>
    </row>
    <row r="1172" spans="3:5" x14ac:dyDescent="0.3">
      <c r="C1172" s="1"/>
      <c r="D1172" s="1"/>
      <c r="E1172" s="1"/>
    </row>
    <row r="1173" spans="3:5" x14ac:dyDescent="0.3">
      <c r="C1173" s="1"/>
      <c r="D1173" s="1"/>
      <c r="E1173" s="1"/>
    </row>
    <row r="1174" spans="3:5" x14ac:dyDescent="0.3">
      <c r="C1174" s="1"/>
      <c r="D1174" s="1"/>
      <c r="E1174" s="1"/>
    </row>
    <row r="1175" spans="3:5" x14ac:dyDescent="0.3">
      <c r="C1175" s="1"/>
      <c r="D1175" s="1"/>
      <c r="E1175" s="1"/>
    </row>
    <row r="1176" spans="3:5" x14ac:dyDescent="0.3">
      <c r="C1176" s="1"/>
      <c r="D1176" s="1"/>
      <c r="E1176" s="1"/>
    </row>
    <row r="1177" spans="3:5" x14ac:dyDescent="0.3">
      <c r="C1177" s="1"/>
      <c r="D1177" s="1"/>
      <c r="E1177" s="1"/>
    </row>
    <row r="1178" spans="3:5" x14ac:dyDescent="0.3">
      <c r="C1178" s="1"/>
      <c r="D1178" s="1"/>
      <c r="E1178" s="1"/>
    </row>
    <row r="1179" spans="3:5" x14ac:dyDescent="0.3">
      <c r="C1179" s="1"/>
      <c r="D1179" s="1"/>
      <c r="E1179" s="1"/>
    </row>
    <row r="1180" spans="3:5" x14ac:dyDescent="0.3">
      <c r="C1180" s="1"/>
      <c r="D1180" s="1"/>
      <c r="E1180" s="1"/>
    </row>
    <row r="1181" spans="3:5" x14ac:dyDescent="0.3">
      <c r="C1181" s="1"/>
      <c r="D1181" s="1"/>
      <c r="E1181" s="1"/>
    </row>
    <row r="1182" spans="3:5" x14ac:dyDescent="0.3">
      <c r="C1182" s="1"/>
      <c r="D1182" s="1"/>
      <c r="E1182" s="1"/>
    </row>
    <row r="1183" spans="3:5" x14ac:dyDescent="0.3">
      <c r="C1183" s="1"/>
      <c r="D1183" s="1"/>
      <c r="E1183" s="1"/>
    </row>
    <row r="1184" spans="3:5" x14ac:dyDescent="0.3">
      <c r="C1184" s="1"/>
      <c r="D1184" s="1"/>
      <c r="E1184" s="1"/>
    </row>
    <row r="1185" spans="3:5" x14ac:dyDescent="0.3">
      <c r="C1185" s="1"/>
      <c r="D1185" s="1"/>
      <c r="E1185" s="1"/>
    </row>
    <row r="1186" spans="3:5" x14ac:dyDescent="0.3">
      <c r="C1186" s="1"/>
      <c r="D1186" s="1"/>
      <c r="E1186" s="1"/>
    </row>
    <row r="1187" spans="3:5" x14ac:dyDescent="0.3">
      <c r="C1187" s="1"/>
      <c r="D1187" s="1"/>
      <c r="E1187" s="1"/>
    </row>
    <row r="1188" spans="3:5" x14ac:dyDescent="0.3">
      <c r="C1188" s="1"/>
      <c r="D1188" s="1"/>
      <c r="E1188" s="1"/>
    </row>
    <row r="1189" spans="3:5" x14ac:dyDescent="0.3">
      <c r="C1189" s="1"/>
      <c r="D1189" s="1"/>
      <c r="E1189" s="1"/>
    </row>
    <row r="1190" spans="3:5" x14ac:dyDescent="0.3">
      <c r="C1190" s="1"/>
      <c r="D1190" s="1"/>
      <c r="E1190" s="1"/>
    </row>
    <row r="1191" spans="3:5" x14ac:dyDescent="0.3">
      <c r="C1191" s="1"/>
      <c r="D1191" s="1"/>
      <c r="E1191" s="1"/>
    </row>
    <row r="1192" spans="3:5" x14ac:dyDescent="0.3">
      <c r="C1192" s="1"/>
      <c r="D1192" s="1"/>
      <c r="E1192" s="1"/>
    </row>
    <row r="1193" spans="3:5" x14ac:dyDescent="0.3">
      <c r="C1193" s="1"/>
      <c r="D1193" s="1"/>
      <c r="E1193" s="1"/>
    </row>
    <row r="1194" spans="3:5" x14ac:dyDescent="0.3">
      <c r="C1194" s="1"/>
      <c r="D1194" s="1"/>
      <c r="E1194" s="1"/>
    </row>
    <row r="1195" spans="3:5" x14ac:dyDescent="0.3">
      <c r="C1195" s="1"/>
      <c r="D1195" s="1"/>
      <c r="E1195" s="1"/>
    </row>
    <row r="1196" spans="3:5" x14ac:dyDescent="0.3">
      <c r="C1196" s="1"/>
      <c r="D1196" s="1"/>
      <c r="E1196" s="1"/>
    </row>
    <row r="1197" spans="3:5" x14ac:dyDescent="0.3">
      <c r="C1197" s="1"/>
      <c r="D1197" s="1"/>
      <c r="E1197" s="1"/>
    </row>
    <row r="1198" spans="3:5" x14ac:dyDescent="0.3">
      <c r="C1198" s="1"/>
      <c r="D1198" s="1"/>
      <c r="E1198" s="1"/>
    </row>
    <row r="1199" spans="3:5" x14ac:dyDescent="0.3">
      <c r="C1199" s="1"/>
      <c r="D1199" s="1"/>
      <c r="E1199" s="1"/>
    </row>
    <row r="1200" spans="3:5" x14ac:dyDescent="0.3">
      <c r="C1200" s="1"/>
      <c r="D1200" s="1"/>
      <c r="E1200" s="1"/>
    </row>
    <row r="1201" spans="3:5" x14ac:dyDescent="0.3">
      <c r="C1201" s="1"/>
      <c r="D1201" s="1"/>
      <c r="E1201" s="1"/>
    </row>
    <row r="1202" spans="3:5" x14ac:dyDescent="0.3">
      <c r="C1202" s="1"/>
      <c r="D1202" s="1"/>
      <c r="E1202" s="1"/>
    </row>
    <row r="1203" spans="3:5" x14ac:dyDescent="0.3">
      <c r="C1203" s="1"/>
      <c r="D1203" s="1"/>
      <c r="E1203" s="1"/>
    </row>
    <row r="1204" spans="3:5" x14ac:dyDescent="0.3">
      <c r="C1204" s="1"/>
      <c r="D1204" s="1"/>
      <c r="E1204" s="1"/>
    </row>
    <row r="1205" spans="3:5" x14ac:dyDescent="0.3">
      <c r="C1205" s="1"/>
      <c r="D1205" s="1"/>
      <c r="E1205" s="1"/>
    </row>
    <row r="1206" spans="3:5" x14ac:dyDescent="0.3">
      <c r="C1206" s="1"/>
      <c r="D1206" s="1"/>
      <c r="E1206" s="1"/>
    </row>
    <row r="1207" spans="3:5" x14ac:dyDescent="0.3">
      <c r="C1207" s="1"/>
      <c r="D1207" s="1"/>
      <c r="E1207" s="1"/>
    </row>
    <row r="1208" spans="3:5" x14ac:dyDescent="0.3">
      <c r="C1208" s="1"/>
      <c r="D1208" s="1"/>
      <c r="E1208" s="1"/>
    </row>
    <row r="1209" spans="3:5" x14ac:dyDescent="0.3">
      <c r="C1209" s="1"/>
      <c r="D1209" s="1"/>
      <c r="E1209" s="1"/>
    </row>
    <row r="1210" spans="3:5" x14ac:dyDescent="0.3">
      <c r="C1210" s="1"/>
      <c r="D1210" s="1"/>
      <c r="E1210" s="1"/>
    </row>
    <row r="1211" spans="3:5" x14ac:dyDescent="0.3">
      <c r="C1211" s="1"/>
      <c r="D1211" s="1"/>
      <c r="E1211" s="1"/>
    </row>
    <row r="1212" spans="3:5" x14ac:dyDescent="0.3">
      <c r="C1212" s="1"/>
      <c r="D1212" s="1"/>
      <c r="E1212" s="1"/>
    </row>
    <row r="1213" spans="3:5" x14ac:dyDescent="0.3">
      <c r="C1213" s="1"/>
      <c r="D1213" s="1"/>
      <c r="E1213" s="1"/>
    </row>
    <row r="1214" spans="3:5" x14ac:dyDescent="0.3">
      <c r="C1214" s="1"/>
      <c r="D1214" s="1"/>
      <c r="E1214" s="1"/>
    </row>
    <row r="1215" spans="3:5" x14ac:dyDescent="0.3">
      <c r="C1215" s="1"/>
      <c r="D1215" s="1"/>
      <c r="E1215" s="1"/>
    </row>
    <row r="1216" spans="3:5" x14ac:dyDescent="0.3">
      <c r="C1216" s="1"/>
      <c r="D1216" s="1"/>
      <c r="E1216" s="1"/>
    </row>
    <row r="1217" spans="3:5" x14ac:dyDescent="0.3">
      <c r="C1217" s="1"/>
      <c r="D1217" s="1"/>
      <c r="E1217" s="1"/>
    </row>
    <row r="1218" spans="3:5" x14ac:dyDescent="0.3">
      <c r="C1218" s="1"/>
      <c r="D1218" s="1"/>
      <c r="E1218" s="1"/>
    </row>
    <row r="1219" spans="3:5" x14ac:dyDescent="0.3">
      <c r="C1219" s="1"/>
      <c r="D1219" s="1"/>
      <c r="E1219" s="1"/>
    </row>
    <row r="1220" spans="3:5" x14ac:dyDescent="0.3">
      <c r="C1220" s="1"/>
      <c r="D1220" s="1"/>
      <c r="E1220" s="1"/>
    </row>
    <row r="1221" spans="3:5" x14ac:dyDescent="0.3">
      <c r="C1221" s="1"/>
      <c r="D1221" s="1"/>
      <c r="E1221" s="1"/>
    </row>
    <row r="1222" spans="3:5" x14ac:dyDescent="0.3">
      <c r="C1222" s="1"/>
      <c r="D1222" s="1"/>
      <c r="E1222" s="1"/>
    </row>
    <row r="1223" spans="3:5" x14ac:dyDescent="0.3">
      <c r="C1223" s="1"/>
      <c r="D1223" s="1"/>
      <c r="E1223" s="1"/>
    </row>
    <row r="1224" spans="3:5" x14ac:dyDescent="0.3">
      <c r="C1224" s="1"/>
      <c r="D1224" s="1"/>
      <c r="E1224" s="1"/>
    </row>
    <row r="1225" spans="3:5" x14ac:dyDescent="0.3">
      <c r="C1225" s="1"/>
      <c r="D1225" s="1"/>
      <c r="E1225" s="1"/>
    </row>
    <row r="1226" spans="3:5" x14ac:dyDescent="0.3">
      <c r="C1226" s="1"/>
      <c r="D1226" s="1"/>
      <c r="E1226" s="1"/>
    </row>
    <row r="1227" spans="3:5" x14ac:dyDescent="0.3">
      <c r="C1227" s="1"/>
      <c r="D1227" s="1"/>
      <c r="E1227" s="1"/>
    </row>
    <row r="1228" spans="3:5" x14ac:dyDescent="0.3">
      <c r="C1228" s="1"/>
      <c r="D1228" s="1"/>
      <c r="E1228" s="1"/>
    </row>
    <row r="1229" spans="3:5" x14ac:dyDescent="0.3">
      <c r="C1229" s="1"/>
      <c r="D1229" s="1"/>
      <c r="E1229" s="1"/>
    </row>
    <row r="1230" spans="3:5" x14ac:dyDescent="0.3">
      <c r="C1230" s="1"/>
      <c r="D1230" s="1"/>
      <c r="E1230" s="1"/>
    </row>
    <row r="1231" spans="3:5" x14ac:dyDescent="0.3">
      <c r="C1231" s="1"/>
      <c r="D1231" s="1"/>
      <c r="E1231" s="1"/>
    </row>
    <row r="1232" spans="3:5" x14ac:dyDescent="0.3">
      <c r="C1232" s="1"/>
      <c r="D1232" s="1"/>
      <c r="E1232" s="1"/>
    </row>
    <row r="1233" spans="3:5" x14ac:dyDescent="0.3">
      <c r="C1233" s="1"/>
      <c r="D1233" s="1"/>
      <c r="E1233" s="1"/>
    </row>
    <row r="1234" spans="3:5" x14ac:dyDescent="0.3">
      <c r="C1234" s="1"/>
      <c r="D1234" s="1"/>
      <c r="E1234" s="1"/>
    </row>
    <row r="1235" spans="3:5" x14ac:dyDescent="0.3">
      <c r="C1235" s="1"/>
      <c r="D1235" s="1"/>
      <c r="E1235" s="1"/>
    </row>
    <row r="1236" spans="3:5" x14ac:dyDescent="0.3">
      <c r="C1236" s="1"/>
      <c r="D1236" s="1"/>
      <c r="E1236" s="1"/>
    </row>
    <row r="1237" spans="3:5" x14ac:dyDescent="0.3">
      <c r="C1237" s="1"/>
      <c r="D1237" s="1"/>
      <c r="E1237" s="1"/>
    </row>
    <row r="1238" spans="3:5" x14ac:dyDescent="0.3">
      <c r="C1238" s="1"/>
      <c r="D1238" s="1"/>
      <c r="E1238" s="1"/>
    </row>
    <row r="1239" spans="3:5" x14ac:dyDescent="0.3">
      <c r="C1239" s="1"/>
      <c r="D1239" s="1"/>
      <c r="E1239" s="1"/>
    </row>
    <row r="1240" spans="3:5" x14ac:dyDescent="0.3">
      <c r="C1240" s="1"/>
      <c r="D1240" s="1"/>
      <c r="E1240" s="1"/>
    </row>
    <row r="1241" spans="3:5" x14ac:dyDescent="0.3">
      <c r="C1241" s="1"/>
      <c r="D1241" s="1"/>
      <c r="E1241" s="1"/>
    </row>
    <row r="1242" spans="3:5" x14ac:dyDescent="0.3">
      <c r="C1242" s="1"/>
      <c r="D1242" s="1"/>
      <c r="E1242" s="1"/>
    </row>
    <row r="1243" spans="3:5" x14ac:dyDescent="0.3">
      <c r="C1243" s="1"/>
      <c r="D1243" s="1"/>
      <c r="E1243" s="1"/>
    </row>
    <row r="1244" spans="3:5" x14ac:dyDescent="0.3">
      <c r="C1244" s="1"/>
      <c r="D1244" s="1"/>
      <c r="E1244" s="1"/>
    </row>
    <row r="1245" spans="3:5" x14ac:dyDescent="0.3">
      <c r="C1245" s="1"/>
      <c r="D1245" s="1"/>
      <c r="E1245" s="1"/>
    </row>
    <row r="1246" spans="3:5" x14ac:dyDescent="0.3">
      <c r="C1246" s="1"/>
      <c r="D1246" s="1"/>
      <c r="E1246" s="1"/>
    </row>
    <row r="1247" spans="3:5" x14ac:dyDescent="0.3">
      <c r="C1247" s="1"/>
      <c r="D1247" s="1"/>
      <c r="E1247" s="1"/>
    </row>
    <row r="1248" spans="3:5" x14ac:dyDescent="0.3">
      <c r="C1248" s="1"/>
      <c r="D1248" s="1"/>
      <c r="E1248" s="1"/>
    </row>
    <row r="1249" spans="3:5" x14ac:dyDescent="0.3">
      <c r="C1249" s="1"/>
      <c r="D1249" s="1"/>
      <c r="E1249" s="1"/>
    </row>
    <row r="1250" spans="3:5" x14ac:dyDescent="0.3">
      <c r="C1250" s="1"/>
      <c r="D1250" s="1"/>
      <c r="E1250" s="1"/>
    </row>
    <row r="1251" spans="3:5" x14ac:dyDescent="0.3">
      <c r="C1251" s="1"/>
      <c r="D1251" s="1"/>
      <c r="E1251" s="1"/>
    </row>
    <row r="1252" spans="3:5" x14ac:dyDescent="0.3">
      <c r="C1252" s="1"/>
      <c r="D1252" s="1"/>
      <c r="E1252" s="1"/>
    </row>
    <row r="1253" spans="3:5" x14ac:dyDescent="0.3">
      <c r="C1253" s="1"/>
      <c r="D1253" s="1"/>
      <c r="E1253" s="1"/>
    </row>
    <row r="1254" spans="3:5" x14ac:dyDescent="0.3">
      <c r="C1254" s="1"/>
      <c r="D1254" s="1"/>
      <c r="E1254" s="1"/>
    </row>
    <row r="1255" spans="3:5" x14ac:dyDescent="0.3">
      <c r="C1255" s="1"/>
      <c r="D1255" s="1"/>
      <c r="E1255" s="1"/>
    </row>
    <row r="1256" spans="3:5" x14ac:dyDescent="0.3">
      <c r="C1256" s="1"/>
      <c r="D1256" s="1"/>
      <c r="E1256" s="1"/>
    </row>
    <row r="1257" spans="3:5" x14ac:dyDescent="0.3">
      <c r="C1257" s="1"/>
      <c r="D1257" s="1"/>
      <c r="E1257" s="1"/>
    </row>
    <row r="1258" spans="3:5" x14ac:dyDescent="0.3">
      <c r="C1258" s="1"/>
      <c r="D1258" s="1"/>
      <c r="E1258" s="1"/>
    </row>
    <row r="1259" spans="3:5" x14ac:dyDescent="0.3">
      <c r="C1259" s="1"/>
      <c r="D1259" s="1"/>
      <c r="E1259" s="1"/>
    </row>
    <row r="1260" spans="3:5" x14ac:dyDescent="0.3">
      <c r="C1260" s="1"/>
      <c r="D1260" s="1"/>
      <c r="E1260" s="1"/>
    </row>
    <row r="1261" spans="3:5" x14ac:dyDescent="0.3">
      <c r="C1261" s="1"/>
      <c r="D1261" s="1"/>
      <c r="E1261" s="1"/>
    </row>
    <row r="1262" spans="3:5" x14ac:dyDescent="0.3">
      <c r="C1262" s="1"/>
      <c r="D1262" s="1"/>
      <c r="E1262" s="1"/>
    </row>
    <row r="1263" spans="3:5" x14ac:dyDescent="0.3">
      <c r="C1263" s="1"/>
      <c r="D1263" s="1"/>
      <c r="E1263" s="1"/>
    </row>
    <row r="1264" spans="3:5" x14ac:dyDescent="0.3">
      <c r="C1264" s="1"/>
      <c r="D1264" s="1"/>
      <c r="E1264" s="1"/>
    </row>
    <row r="1265" spans="3:5" x14ac:dyDescent="0.3">
      <c r="C1265" s="1"/>
      <c r="D1265" s="1"/>
      <c r="E1265" s="1"/>
    </row>
    <row r="1266" spans="3:5" x14ac:dyDescent="0.3">
      <c r="C1266" s="1"/>
      <c r="D1266" s="1"/>
      <c r="E1266" s="1"/>
    </row>
    <row r="1267" spans="3:5" x14ac:dyDescent="0.3">
      <c r="C1267" s="1"/>
      <c r="D1267" s="1"/>
      <c r="E1267" s="1"/>
    </row>
    <row r="1268" spans="3:5" x14ac:dyDescent="0.3">
      <c r="C1268" s="1"/>
      <c r="D1268" s="1"/>
      <c r="E1268" s="1"/>
    </row>
    <row r="1269" spans="3:5" x14ac:dyDescent="0.3">
      <c r="C1269" s="1"/>
      <c r="D1269" s="1"/>
      <c r="E1269" s="1"/>
    </row>
    <row r="1270" spans="3:5" x14ac:dyDescent="0.3">
      <c r="C1270" s="1"/>
      <c r="D1270" s="1"/>
      <c r="E1270" s="1"/>
    </row>
    <row r="1271" spans="3:5" x14ac:dyDescent="0.3">
      <c r="C1271" s="1"/>
      <c r="D1271" s="1"/>
      <c r="E1271" s="1"/>
    </row>
    <row r="1272" spans="3:5" x14ac:dyDescent="0.3">
      <c r="C1272" s="1"/>
      <c r="D1272" s="1"/>
      <c r="E1272" s="1"/>
    </row>
    <row r="1273" spans="3:5" x14ac:dyDescent="0.3">
      <c r="C1273" s="1"/>
      <c r="D1273" s="1"/>
      <c r="E1273" s="1"/>
    </row>
    <row r="1274" spans="3:5" x14ac:dyDescent="0.3">
      <c r="C1274" s="1"/>
      <c r="D1274" s="1"/>
      <c r="E1274" s="1"/>
    </row>
    <row r="1275" spans="3:5" x14ac:dyDescent="0.3">
      <c r="C1275" s="1"/>
      <c r="D1275" s="1"/>
      <c r="E1275" s="1"/>
    </row>
    <row r="1276" spans="3:5" x14ac:dyDescent="0.3">
      <c r="C1276" s="1"/>
      <c r="D1276" s="1"/>
      <c r="E1276" s="1"/>
    </row>
    <row r="1277" spans="3:5" x14ac:dyDescent="0.3">
      <c r="C1277" s="1"/>
      <c r="D1277" s="1"/>
      <c r="E1277" s="1"/>
    </row>
    <row r="1278" spans="3:5" x14ac:dyDescent="0.3">
      <c r="C1278" s="1"/>
      <c r="D1278" s="1"/>
      <c r="E1278" s="1"/>
    </row>
    <row r="1279" spans="3:5" x14ac:dyDescent="0.3">
      <c r="C1279" s="1"/>
      <c r="D1279" s="1"/>
      <c r="E1279" s="1"/>
    </row>
    <row r="1280" spans="3:5" x14ac:dyDescent="0.3">
      <c r="C1280" s="1"/>
      <c r="D1280" s="1"/>
      <c r="E1280" s="1"/>
    </row>
    <row r="1281" spans="3:5" x14ac:dyDescent="0.3">
      <c r="C1281" s="1"/>
      <c r="D1281" s="1"/>
      <c r="E1281" s="1"/>
    </row>
    <row r="1282" spans="3:5" x14ac:dyDescent="0.3">
      <c r="C1282" s="1"/>
      <c r="D1282" s="1"/>
      <c r="E1282" s="1"/>
    </row>
    <row r="1283" spans="3:5" x14ac:dyDescent="0.3">
      <c r="C1283" s="1"/>
      <c r="D1283" s="1"/>
      <c r="E1283" s="1"/>
    </row>
    <row r="1284" spans="3:5" x14ac:dyDescent="0.3">
      <c r="C1284" s="1"/>
      <c r="D1284" s="1"/>
      <c r="E1284" s="1"/>
    </row>
    <row r="1285" spans="3:5" x14ac:dyDescent="0.3">
      <c r="C1285" s="1"/>
      <c r="D1285" s="1"/>
      <c r="E1285" s="1"/>
    </row>
    <row r="1286" spans="3:5" x14ac:dyDescent="0.3">
      <c r="C1286" s="1"/>
      <c r="D1286" s="1"/>
      <c r="E1286" s="1"/>
    </row>
    <row r="1287" spans="3:5" x14ac:dyDescent="0.3">
      <c r="C1287" s="1"/>
      <c r="D1287" s="1"/>
      <c r="E1287" s="1"/>
    </row>
    <row r="1288" spans="3:5" x14ac:dyDescent="0.3">
      <c r="C1288" s="1"/>
      <c r="D1288" s="1"/>
      <c r="E1288" s="1"/>
    </row>
    <row r="1289" spans="3:5" x14ac:dyDescent="0.3">
      <c r="C1289" s="1"/>
      <c r="D1289" s="1"/>
      <c r="E1289" s="1"/>
    </row>
    <row r="1290" spans="3:5" x14ac:dyDescent="0.3">
      <c r="C1290" s="1"/>
      <c r="D1290" s="1"/>
      <c r="E1290" s="1"/>
    </row>
    <row r="1291" spans="3:5" x14ac:dyDescent="0.3">
      <c r="C1291" s="1"/>
      <c r="D1291" s="1"/>
      <c r="E1291" s="1"/>
    </row>
    <row r="1292" spans="3:5" x14ac:dyDescent="0.3">
      <c r="C1292" s="1"/>
      <c r="D1292" s="1"/>
      <c r="E1292" s="1"/>
    </row>
    <row r="1293" spans="3:5" x14ac:dyDescent="0.3">
      <c r="C1293" s="1"/>
      <c r="D1293" s="1"/>
      <c r="E1293" s="1"/>
    </row>
    <row r="1294" spans="3:5" x14ac:dyDescent="0.3">
      <c r="C1294" s="1"/>
      <c r="D1294" s="1"/>
      <c r="E1294" s="1"/>
    </row>
    <row r="1295" spans="3:5" x14ac:dyDescent="0.3">
      <c r="C1295" s="1"/>
      <c r="D1295" s="1"/>
      <c r="E1295" s="1"/>
    </row>
    <row r="1296" spans="3:5" x14ac:dyDescent="0.3">
      <c r="C1296" s="1"/>
      <c r="D1296" s="1"/>
      <c r="E1296" s="1"/>
    </row>
    <row r="1297" spans="3:5" x14ac:dyDescent="0.3">
      <c r="C1297" s="1"/>
      <c r="D1297" s="1"/>
      <c r="E1297" s="1"/>
    </row>
    <row r="1298" spans="3:5" x14ac:dyDescent="0.3">
      <c r="C1298" s="1"/>
      <c r="D1298" s="1"/>
      <c r="E1298" s="1"/>
    </row>
    <row r="1299" spans="3:5" x14ac:dyDescent="0.3">
      <c r="C1299" s="1"/>
      <c r="D1299" s="1"/>
      <c r="E1299" s="1"/>
    </row>
    <row r="1300" spans="3:5" x14ac:dyDescent="0.3">
      <c r="C1300" s="1"/>
      <c r="D1300" s="1"/>
      <c r="E1300" s="1"/>
    </row>
    <row r="1301" spans="3:5" x14ac:dyDescent="0.3">
      <c r="C1301" s="1"/>
      <c r="D1301" s="1"/>
      <c r="E1301" s="1"/>
    </row>
    <row r="1302" spans="3:5" x14ac:dyDescent="0.3">
      <c r="C1302" s="1"/>
      <c r="D1302" s="1"/>
      <c r="E1302" s="1"/>
    </row>
    <row r="1303" spans="3:5" x14ac:dyDescent="0.3">
      <c r="C1303" s="1"/>
      <c r="D1303" s="1"/>
      <c r="E1303" s="1"/>
    </row>
    <row r="1304" spans="3:5" x14ac:dyDescent="0.3">
      <c r="C1304" s="1"/>
      <c r="D1304" s="1"/>
      <c r="E1304" s="1"/>
    </row>
    <row r="1305" spans="3:5" x14ac:dyDescent="0.3">
      <c r="C1305" s="1"/>
      <c r="D1305" s="1"/>
      <c r="E1305" s="1"/>
    </row>
    <row r="1306" spans="3:5" x14ac:dyDescent="0.3">
      <c r="C1306" s="1"/>
      <c r="D1306" s="1"/>
      <c r="E1306" s="1"/>
    </row>
    <row r="1307" spans="3:5" x14ac:dyDescent="0.3">
      <c r="C1307" s="1"/>
      <c r="D1307" s="1"/>
      <c r="E1307" s="1"/>
    </row>
    <row r="1308" spans="3:5" x14ac:dyDescent="0.3">
      <c r="C1308" s="1"/>
      <c r="D1308" s="1"/>
      <c r="E1308" s="1"/>
    </row>
    <row r="1309" spans="3:5" x14ac:dyDescent="0.3">
      <c r="C1309" s="1"/>
      <c r="D1309" s="1"/>
      <c r="E1309" s="1"/>
    </row>
    <row r="1310" spans="3:5" x14ac:dyDescent="0.3">
      <c r="C1310" s="1"/>
      <c r="D1310" s="1"/>
      <c r="E1310" s="1"/>
    </row>
    <row r="1311" spans="3:5" x14ac:dyDescent="0.3">
      <c r="C1311" s="1"/>
      <c r="D1311" s="1"/>
      <c r="E1311" s="1"/>
    </row>
    <row r="1312" spans="3:5" x14ac:dyDescent="0.3">
      <c r="C1312" s="1"/>
      <c r="D1312" s="1"/>
      <c r="E1312" s="1"/>
    </row>
    <row r="1313" spans="3:5" x14ac:dyDescent="0.3">
      <c r="C1313" s="1"/>
      <c r="D1313" s="1"/>
      <c r="E1313" s="1"/>
    </row>
    <row r="1314" spans="3:5" x14ac:dyDescent="0.3">
      <c r="C1314" s="1"/>
      <c r="D1314" s="1"/>
      <c r="E1314" s="1"/>
    </row>
    <row r="1315" spans="3:5" x14ac:dyDescent="0.3">
      <c r="C1315" s="1"/>
      <c r="D1315" s="1"/>
      <c r="E1315" s="1"/>
    </row>
    <row r="1316" spans="3:5" x14ac:dyDescent="0.3">
      <c r="C1316" s="1"/>
      <c r="D1316" s="1"/>
      <c r="E1316" s="1"/>
    </row>
    <row r="1317" spans="3:5" x14ac:dyDescent="0.3">
      <c r="C1317" s="1"/>
      <c r="D1317" s="1"/>
      <c r="E1317" s="1"/>
    </row>
    <row r="1318" spans="3:5" x14ac:dyDescent="0.3">
      <c r="C1318" s="1"/>
      <c r="D1318" s="1"/>
      <c r="E1318" s="1"/>
    </row>
    <row r="1319" spans="3:5" x14ac:dyDescent="0.3">
      <c r="C1319" s="1"/>
      <c r="D1319" s="1"/>
      <c r="E1319" s="1"/>
    </row>
    <row r="1320" spans="3:5" x14ac:dyDescent="0.3">
      <c r="C1320" s="1"/>
      <c r="D1320" s="1"/>
      <c r="E1320" s="1"/>
    </row>
    <row r="1321" spans="3:5" x14ac:dyDescent="0.3">
      <c r="C1321" s="1"/>
      <c r="D1321" s="1"/>
      <c r="E1321" s="1"/>
    </row>
    <row r="1322" spans="3:5" x14ac:dyDescent="0.3">
      <c r="C1322" s="1"/>
      <c r="D1322" s="1"/>
      <c r="E1322" s="1"/>
    </row>
    <row r="1323" spans="3:5" x14ac:dyDescent="0.3">
      <c r="C1323" s="1"/>
      <c r="D1323" s="1"/>
      <c r="E1323" s="1"/>
    </row>
    <row r="1324" spans="3:5" x14ac:dyDescent="0.3">
      <c r="C1324" s="1"/>
      <c r="D1324" s="1"/>
      <c r="E1324" s="1"/>
    </row>
    <row r="1325" spans="3:5" x14ac:dyDescent="0.3">
      <c r="C1325" s="1"/>
      <c r="D1325" s="1"/>
      <c r="E1325" s="1"/>
    </row>
    <row r="1326" spans="3:5" x14ac:dyDescent="0.3">
      <c r="C1326" s="1"/>
      <c r="D1326" s="1"/>
      <c r="E1326" s="1"/>
    </row>
    <row r="1327" spans="3:5" x14ac:dyDescent="0.3">
      <c r="C1327" s="1"/>
      <c r="D1327" s="1"/>
      <c r="E1327" s="1"/>
    </row>
    <row r="1328" spans="3:5" x14ac:dyDescent="0.3">
      <c r="C1328" s="1"/>
      <c r="D1328" s="1"/>
      <c r="E1328" s="1"/>
    </row>
    <row r="1329" spans="3:5" x14ac:dyDescent="0.3">
      <c r="C1329" s="1"/>
      <c r="D1329" s="1"/>
      <c r="E1329" s="1"/>
    </row>
    <row r="1330" spans="3:5" x14ac:dyDescent="0.3">
      <c r="C1330" s="1"/>
      <c r="D1330" s="1"/>
      <c r="E1330" s="1"/>
    </row>
    <row r="1331" spans="3:5" x14ac:dyDescent="0.3">
      <c r="C1331" s="1"/>
      <c r="D1331" s="1"/>
      <c r="E1331" s="1"/>
    </row>
    <row r="1332" spans="3:5" x14ac:dyDescent="0.3">
      <c r="C1332" s="1"/>
      <c r="D1332" s="1"/>
      <c r="E1332" s="1"/>
    </row>
    <row r="1333" spans="3:5" x14ac:dyDescent="0.3">
      <c r="C1333" s="1"/>
      <c r="D1333" s="1"/>
      <c r="E1333" s="1"/>
    </row>
    <row r="1334" spans="3:5" x14ac:dyDescent="0.3">
      <c r="C1334" s="1"/>
      <c r="D1334" s="1"/>
      <c r="E1334" s="1"/>
    </row>
    <row r="1335" spans="3:5" x14ac:dyDescent="0.3">
      <c r="C1335" s="1"/>
      <c r="D1335" s="1"/>
      <c r="E1335" s="1"/>
    </row>
    <row r="1336" spans="3:5" x14ac:dyDescent="0.3">
      <c r="C1336" s="1"/>
      <c r="D1336" s="1"/>
      <c r="E1336" s="1"/>
    </row>
    <row r="1337" spans="3:5" x14ac:dyDescent="0.3">
      <c r="C1337" s="1"/>
      <c r="D1337" s="1"/>
      <c r="E1337" s="1"/>
    </row>
    <row r="1338" spans="3:5" x14ac:dyDescent="0.3">
      <c r="C1338" s="1"/>
      <c r="D1338" s="1"/>
      <c r="E1338" s="1"/>
    </row>
    <row r="1339" spans="3:5" x14ac:dyDescent="0.3">
      <c r="C1339" s="1"/>
      <c r="D1339" s="1"/>
      <c r="E1339" s="1"/>
    </row>
    <row r="1340" spans="3:5" x14ac:dyDescent="0.3">
      <c r="C1340" s="1"/>
      <c r="D1340" s="1"/>
      <c r="E1340" s="1"/>
    </row>
    <row r="1341" spans="3:5" x14ac:dyDescent="0.3">
      <c r="C1341" s="1"/>
      <c r="D1341" s="1"/>
      <c r="E1341" s="1"/>
    </row>
    <row r="1342" spans="3:5" x14ac:dyDescent="0.3">
      <c r="C1342" s="1"/>
      <c r="D1342" s="1"/>
      <c r="E1342" s="1"/>
    </row>
    <row r="1343" spans="3:5" x14ac:dyDescent="0.3">
      <c r="C1343" s="1"/>
      <c r="D1343" s="1"/>
      <c r="E1343" s="1"/>
    </row>
    <row r="1344" spans="3:5" x14ac:dyDescent="0.3">
      <c r="C1344" s="1"/>
      <c r="D1344" s="1"/>
      <c r="E1344" s="1"/>
    </row>
    <row r="1345" spans="3:5" x14ac:dyDescent="0.3">
      <c r="C1345" s="1"/>
      <c r="D1345" s="1"/>
      <c r="E1345" s="1"/>
    </row>
    <row r="1346" spans="3:5" x14ac:dyDescent="0.3">
      <c r="C1346" s="1"/>
      <c r="D1346" s="1"/>
      <c r="E1346" s="1"/>
    </row>
    <row r="1347" spans="3:5" x14ac:dyDescent="0.3">
      <c r="C1347" s="1"/>
      <c r="D1347" s="1"/>
      <c r="E1347" s="1"/>
    </row>
    <row r="1348" spans="3:5" x14ac:dyDescent="0.3">
      <c r="C1348" s="1"/>
      <c r="D1348" s="1"/>
      <c r="E1348" s="1"/>
    </row>
    <row r="1349" spans="3:5" x14ac:dyDescent="0.3">
      <c r="C1349" s="1"/>
      <c r="D1349" s="1"/>
      <c r="E1349" s="1"/>
    </row>
    <row r="1350" spans="3:5" x14ac:dyDescent="0.3">
      <c r="C1350" s="1"/>
      <c r="D1350" s="1"/>
      <c r="E1350" s="1"/>
    </row>
    <row r="1351" spans="3:5" x14ac:dyDescent="0.3">
      <c r="C1351" s="1"/>
      <c r="D1351" s="1"/>
      <c r="E1351" s="1"/>
    </row>
    <row r="1352" spans="3:5" x14ac:dyDescent="0.3">
      <c r="C1352" s="1"/>
      <c r="D1352" s="1"/>
      <c r="E1352" s="1"/>
    </row>
    <row r="1353" spans="3:5" x14ac:dyDescent="0.3">
      <c r="C1353" s="1"/>
      <c r="D1353" s="1"/>
      <c r="E1353" s="1"/>
    </row>
    <row r="1354" spans="3:5" x14ac:dyDescent="0.3">
      <c r="C1354" s="1"/>
      <c r="D1354" s="1"/>
      <c r="E1354" s="1"/>
    </row>
    <row r="1355" spans="3:5" x14ac:dyDescent="0.3">
      <c r="C1355" s="1"/>
      <c r="D1355" s="1"/>
      <c r="E1355" s="1"/>
    </row>
    <row r="1356" spans="3:5" x14ac:dyDescent="0.3">
      <c r="C1356" s="1"/>
      <c r="D1356" s="1"/>
      <c r="E1356" s="1"/>
    </row>
    <row r="1357" spans="3:5" x14ac:dyDescent="0.3">
      <c r="C1357" s="1"/>
      <c r="D1357" s="1"/>
      <c r="E1357" s="1"/>
    </row>
    <row r="1358" spans="3:5" x14ac:dyDescent="0.3">
      <c r="C1358" s="1"/>
      <c r="D1358" s="1"/>
      <c r="E1358" s="1"/>
    </row>
    <row r="1359" spans="3:5" x14ac:dyDescent="0.3">
      <c r="C1359" s="1"/>
      <c r="D1359" s="1"/>
      <c r="E1359" s="1"/>
    </row>
    <row r="1360" spans="3:5" x14ac:dyDescent="0.3">
      <c r="C1360" s="1"/>
      <c r="D1360" s="1"/>
      <c r="E1360" s="1"/>
    </row>
    <row r="1361" spans="3:5" x14ac:dyDescent="0.3">
      <c r="C1361" s="1"/>
      <c r="D1361" s="1"/>
      <c r="E1361" s="1"/>
    </row>
    <row r="1362" spans="3:5" x14ac:dyDescent="0.3">
      <c r="C1362" s="1"/>
      <c r="D1362" s="1"/>
      <c r="E1362" s="1"/>
    </row>
    <row r="1363" spans="3:5" x14ac:dyDescent="0.3">
      <c r="C1363" s="1"/>
      <c r="D1363" s="1"/>
      <c r="E1363" s="1"/>
    </row>
    <row r="1364" spans="3:5" x14ac:dyDescent="0.3">
      <c r="C1364" s="1"/>
      <c r="D1364" s="1"/>
      <c r="E1364" s="1"/>
    </row>
    <row r="1365" spans="3:5" x14ac:dyDescent="0.3">
      <c r="C1365" s="1"/>
      <c r="D1365" s="1"/>
      <c r="E1365" s="1"/>
    </row>
    <row r="1366" spans="3:5" x14ac:dyDescent="0.3">
      <c r="C1366" s="1"/>
      <c r="D1366" s="1"/>
      <c r="E1366" s="1"/>
    </row>
    <row r="1367" spans="3:5" x14ac:dyDescent="0.3">
      <c r="C1367" s="1"/>
      <c r="D1367" s="1"/>
      <c r="E1367" s="1"/>
    </row>
    <row r="1368" spans="3:5" x14ac:dyDescent="0.3">
      <c r="C1368" s="1"/>
      <c r="D1368" s="1"/>
      <c r="E1368" s="1"/>
    </row>
    <row r="1369" spans="3:5" x14ac:dyDescent="0.3">
      <c r="C1369" s="1"/>
      <c r="D1369" s="1"/>
      <c r="E1369" s="1"/>
    </row>
    <row r="1370" spans="3:5" x14ac:dyDescent="0.3">
      <c r="C1370" s="1"/>
      <c r="D1370" s="1"/>
      <c r="E1370" s="1"/>
    </row>
    <row r="1371" spans="3:5" x14ac:dyDescent="0.3">
      <c r="C1371" s="1"/>
      <c r="D1371" s="1"/>
      <c r="E1371" s="1"/>
    </row>
    <row r="1372" spans="3:5" x14ac:dyDescent="0.3">
      <c r="C1372" s="1"/>
      <c r="D1372" s="1"/>
      <c r="E1372" s="1"/>
    </row>
    <row r="1373" spans="3:5" x14ac:dyDescent="0.3">
      <c r="C1373" s="1"/>
      <c r="D1373" s="1"/>
      <c r="E1373" s="1"/>
    </row>
    <row r="1374" spans="3:5" x14ac:dyDescent="0.3">
      <c r="C1374" s="1"/>
      <c r="D1374" s="1"/>
      <c r="E1374" s="1"/>
    </row>
    <row r="1375" spans="3:5" x14ac:dyDescent="0.3">
      <c r="C1375" s="1"/>
      <c r="D1375" s="1"/>
      <c r="E1375" s="1"/>
    </row>
    <row r="1376" spans="3:5" x14ac:dyDescent="0.3">
      <c r="C1376" s="1"/>
      <c r="D1376" s="1"/>
      <c r="E1376" s="1"/>
    </row>
    <row r="1377" spans="3:5" x14ac:dyDescent="0.3">
      <c r="C1377" s="1"/>
      <c r="D1377" s="1"/>
      <c r="E1377" s="1"/>
    </row>
    <row r="1378" spans="3:5" x14ac:dyDescent="0.3">
      <c r="C1378" s="1"/>
      <c r="D1378" s="1"/>
      <c r="E1378" s="1"/>
    </row>
    <row r="1379" spans="3:5" x14ac:dyDescent="0.3">
      <c r="C1379" s="1"/>
      <c r="D1379" s="1"/>
      <c r="E1379" s="1"/>
    </row>
    <row r="1380" spans="3:5" x14ac:dyDescent="0.3">
      <c r="C1380" s="1"/>
      <c r="D1380" s="1"/>
      <c r="E1380" s="1"/>
    </row>
    <row r="1381" spans="3:5" x14ac:dyDescent="0.3">
      <c r="C1381" s="1"/>
      <c r="D1381" s="1"/>
      <c r="E1381" s="1"/>
    </row>
    <row r="1382" spans="3:5" x14ac:dyDescent="0.3">
      <c r="C1382" s="1"/>
      <c r="D1382" s="1"/>
      <c r="E1382" s="1"/>
    </row>
    <row r="1383" spans="3:5" x14ac:dyDescent="0.3">
      <c r="C1383" s="1"/>
      <c r="D1383" s="1"/>
      <c r="E1383" s="1"/>
    </row>
    <row r="1384" spans="3:5" x14ac:dyDescent="0.3">
      <c r="C1384" s="1"/>
      <c r="D1384" s="1"/>
      <c r="E1384" s="1"/>
    </row>
    <row r="1385" spans="3:5" x14ac:dyDescent="0.3">
      <c r="C1385" s="1"/>
      <c r="D1385" s="1"/>
      <c r="E1385" s="1"/>
    </row>
    <row r="1386" spans="3:5" x14ac:dyDescent="0.3">
      <c r="C1386" s="1"/>
      <c r="D1386" s="1"/>
      <c r="E1386" s="1"/>
    </row>
    <row r="1387" spans="3:5" x14ac:dyDescent="0.3">
      <c r="C1387" s="1"/>
      <c r="D1387" s="1"/>
      <c r="E1387" s="1"/>
    </row>
    <row r="1388" spans="3:5" x14ac:dyDescent="0.3">
      <c r="C1388" s="1"/>
      <c r="D1388" s="1"/>
      <c r="E1388" s="1"/>
    </row>
    <row r="1389" spans="3:5" x14ac:dyDescent="0.3">
      <c r="C1389" s="1"/>
      <c r="D1389" s="1"/>
      <c r="E1389" s="1"/>
    </row>
    <row r="1390" spans="3:5" x14ac:dyDescent="0.3">
      <c r="C1390" s="1"/>
      <c r="D1390" s="1"/>
      <c r="E1390" s="1"/>
    </row>
    <row r="1391" spans="3:5" x14ac:dyDescent="0.3">
      <c r="C1391" s="1"/>
      <c r="D1391" s="1"/>
      <c r="E1391" s="1"/>
    </row>
    <row r="1392" spans="3:5" x14ac:dyDescent="0.3">
      <c r="C1392" s="1"/>
      <c r="D1392" s="1"/>
      <c r="E1392" s="1"/>
    </row>
    <row r="1393" spans="3:5" x14ac:dyDescent="0.3">
      <c r="C1393" s="1"/>
      <c r="D1393" s="1"/>
      <c r="E1393" s="1"/>
    </row>
    <row r="1394" spans="3:5" x14ac:dyDescent="0.3">
      <c r="C1394" s="1"/>
      <c r="D1394" s="1"/>
      <c r="E1394" s="1"/>
    </row>
    <row r="1395" spans="3:5" x14ac:dyDescent="0.3">
      <c r="C1395" s="1"/>
      <c r="D1395" s="1"/>
      <c r="E1395" s="1"/>
    </row>
    <row r="1396" spans="3:5" x14ac:dyDescent="0.3">
      <c r="C1396" s="1"/>
      <c r="D1396" s="1"/>
      <c r="E1396" s="1"/>
    </row>
    <row r="1397" spans="3:5" x14ac:dyDescent="0.3">
      <c r="C1397" s="1"/>
      <c r="D1397" s="1"/>
      <c r="E1397" s="1"/>
    </row>
    <row r="1398" spans="3:5" x14ac:dyDescent="0.3">
      <c r="C1398" s="1"/>
      <c r="D1398" s="1"/>
      <c r="E1398" s="1"/>
    </row>
    <row r="1399" spans="3:5" x14ac:dyDescent="0.3">
      <c r="C1399" s="1"/>
      <c r="D1399" s="1"/>
      <c r="E1399" s="1"/>
    </row>
    <row r="1400" spans="3:5" x14ac:dyDescent="0.3">
      <c r="C1400" s="1"/>
      <c r="D1400" s="1"/>
      <c r="E1400" s="1"/>
    </row>
    <row r="1401" spans="3:5" x14ac:dyDescent="0.3">
      <c r="C1401" s="1"/>
      <c r="D1401" s="1"/>
      <c r="E1401" s="1"/>
    </row>
    <row r="1402" spans="3:5" x14ac:dyDescent="0.3">
      <c r="C1402" s="1"/>
      <c r="D1402" s="1"/>
      <c r="E1402" s="1"/>
    </row>
    <row r="1403" spans="3:5" x14ac:dyDescent="0.3">
      <c r="C1403" s="1"/>
      <c r="D1403" s="1"/>
      <c r="E1403" s="1"/>
    </row>
    <row r="1404" spans="3:5" x14ac:dyDescent="0.3">
      <c r="C1404" s="1"/>
      <c r="D1404" s="1"/>
      <c r="E1404" s="1"/>
    </row>
    <row r="1405" spans="3:5" x14ac:dyDescent="0.3">
      <c r="C1405" s="1"/>
      <c r="D1405" s="1"/>
      <c r="E1405" s="1"/>
    </row>
    <row r="1406" spans="3:5" x14ac:dyDescent="0.3">
      <c r="C1406" s="1"/>
      <c r="D1406" s="1"/>
      <c r="E1406" s="1"/>
    </row>
    <row r="1407" spans="3:5" x14ac:dyDescent="0.3">
      <c r="C1407" s="1"/>
      <c r="D1407" s="1"/>
      <c r="E1407" s="1"/>
    </row>
    <row r="1408" spans="3:5" x14ac:dyDescent="0.3">
      <c r="C1408" s="1"/>
      <c r="D1408" s="1"/>
      <c r="E1408" s="1"/>
    </row>
    <row r="1409" spans="3:5" x14ac:dyDescent="0.3">
      <c r="C1409" s="1"/>
      <c r="D1409" s="1"/>
      <c r="E1409" s="1"/>
    </row>
    <row r="1410" spans="3:5" x14ac:dyDescent="0.3">
      <c r="C1410" s="1"/>
      <c r="D1410" s="1"/>
      <c r="E1410" s="1"/>
    </row>
    <row r="1411" spans="3:5" x14ac:dyDescent="0.3">
      <c r="C1411" s="1"/>
      <c r="D1411" s="1"/>
      <c r="E1411" s="1"/>
    </row>
    <row r="1412" spans="3:5" x14ac:dyDescent="0.3">
      <c r="C1412" s="1"/>
      <c r="D1412" s="1"/>
      <c r="E1412" s="1"/>
    </row>
    <row r="1413" spans="3:5" x14ac:dyDescent="0.3">
      <c r="C1413" s="1"/>
      <c r="D1413" s="1"/>
      <c r="E1413" s="1"/>
    </row>
    <row r="1414" spans="3:5" x14ac:dyDescent="0.3">
      <c r="C1414" s="1"/>
      <c r="D1414" s="1"/>
      <c r="E1414" s="1"/>
    </row>
    <row r="1415" spans="3:5" x14ac:dyDescent="0.3">
      <c r="C1415" s="1"/>
      <c r="D1415" s="1"/>
      <c r="E1415" s="1"/>
    </row>
    <row r="1416" spans="3:5" x14ac:dyDescent="0.3">
      <c r="C1416" s="1"/>
      <c r="D1416" s="1"/>
      <c r="E1416" s="1"/>
    </row>
    <row r="1417" spans="3:5" x14ac:dyDescent="0.3">
      <c r="C1417" s="1"/>
      <c r="D1417" s="1"/>
      <c r="E1417" s="1"/>
    </row>
    <row r="1418" spans="3:5" x14ac:dyDescent="0.3">
      <c r="C1418" s="1"/>
      <c r="D1418" s="1"/>
      <c r="E1418" s="1"/>
    </row>
    <row r="1419" spans="3:5" x14ac:dyDescent="0.3">
      <c r="C1419" s="1"/>
      <c r="D1419" s="1"/>
      <c r="E1419" s="1"/>
    </row>
    <row r="1420" spans="3:5" x14ac:dyDescent="0.3">
      <c r="C1420" s="1"/>
      <c r="D1420" s="1"/>
      <c r="E1420" s="1"/>
    </row>
    <row r="1421" spans="3:5" x14ac:dyDescent="0.3">
      <c r="C1421" s="1"/>
      <c r="D1421" s="1"/>
      <c r="E1421" s="1"/>
    </row>
    <row r="1422" spans="3:5" x14ac:dyDescent="0.3">
      <c r="C1422" s="1"/>
      <c r="D1422" s="1"/>
      <c r="E1422" s="1"/>
    </row>
    <row r="1423" spans="3:5" x14ac:dyDescent="0.3">
      <c r="C1423" s="1"/>
      <c r="D1423" s="1"/>
      <c r="E1423" s="1"/>
    </row>
    <row r="1424" spans="3:5" x14ac:dyDescent="0.3">
      <c r="C1424" s="1"/>
      <c r="D1424" s="1"/>
      <c r="E1424" s="1"/>
    </row>
    <row r="1425" spans="3:5" x14ac:dyDescent="0.3">
      <c r="C1425" s="1"/>
      <c r="D1425" s="1"/>
      <c r="E1425" s="1"/>
    </row>
    <row r="1426" spans="3:5" x14ac:dyDescent="0.3">
      <c r="C1426" s="1"/>
      <c r="D1426" s="1"/>
      <c r="E1426" s="1"/>
    </row>
    <row r="1427" spans="3:5" x14ac:dyDescent="0.3">
      <c r="C1427" s="1"/>
      <c r="D1427" s="1"/>
      <c r="E1427" s="1"/>
    </row>
    <row r="1428" spans="3:5" x14ac:dyDescent="0.3">
      <c r="C1428" s="1"/>
      <c r="D1428" s="1"/>
      <c r="E1428" s="1"/>
    </row>
    <row r="1429" spans="3:5" x14ac:dyDescent="0.3">
      <c r="C1429" s="1"/>
      <c r="D1429" s="1"/>
      <c r="E1429" s="1"/>
    </row>
    <row r="1430" spans="3:5" x14ac:dyDescent="0.3">
      <c r="C1430" s="1"/>
      <c r="D1430" s="1"/>
      <c r="E1430" s="1"/>
    </row>
    <row r="1431" spans="3:5" x14ac:dyDescent="0.3">
      <c r="C1431" s="1"/>
      <c r="D1431" s="1"/>
      <c r="E1431" s="1"/>
    </row>
    <row r="1432" spans="3:5" x14ac:dyDescent="0.3">
      <c r="C1432" s="1"/>
      <c r="D1432" s="1"/>
      <c r="E1432" s="1"/>
    </row>
    <row r="1433" spans="3:5" x14ac:dyDescent="0.3">
      <c r="C1433" s="1"/>
      <c r="D1433" s="1"/>
      <c r="E1433" s="1"/>
    </row>
    <row r="1434" spans="3:5" x14ac:dyDescent="0.3">
      <c r="C1434" s="1"/>
      <c r="D1434" s="1"/>
      <c r="E1434" s="1"/>
    </row>
    <row r="1435" spans="3:5" x14ac:dyDescent="0.3">
      <c r="C1435" s="1"/>
      <c r="D1435" s="1"/>
      <c r="E1435" s="1"/>
    </row>
    <row r="1436" spans="3:5" x14ac:dyDescent="0.3">
      <c r="C1436" s="1"/>
      <c r="D1436" s="1"/>
      <c r="E1436" s="1"/>
    </row>
    <row r="1437" spans="3:5" x14ac:dyDescent="0.3">
      <c r="C1437" s="1"/>
      <c r="D1437" s="1"/>
      <c r="E1437" s="1"/>
    </row>
    <row r="1438" spans="3:5" x14ac:dyDescent="0.3">
      <c r="C1438" s="1"/>
      <c r="D1438" s="1"/>
      <c r="E1438" s="1"/>
    </row>
    <row r="1439" spans="3:5" x14ac:dyDescent="0.3">
      <c r="C1439" s="1"/>
      <c r="D1439" s="1"/>
      <c r="E1439" s="1"/>
    </row>
    <row r="1440" spans="3:5" x14ac:dyDescent="0.3">
      <c r="C1440" s="1"/>
      <c r="D1440" s="1"/>
      <c r="E1440" s="1"/>
    </row>
    <row r="1441" spans="3:5" x14ac:dyDescent="0.3">
      <c r="C1441" s="1"/>
      <c r="D1441" s="1"/>
      <c r="E1441" s="1"/>
    </row>
    <row r="1442" spans="3:5" x14ac:dyDescent="0.3">
      <c r="C1442" s="1"/>
      <c r="D1442" s="1"/>
      <c r="E1442" s="1"/>
    </row>
    <row r="1443" spans="3:5" x14ac:dyDescent="0.3">
      <c r="C1443" s="1"/>
      <c r="D1443" s="1"/>
      <c r="E1443" s="1"/>
    </row>
    <row r="1444" spans="3:5" x14ac:dyDescent="0.3">
      <c r="C1444" s="1"/>
      <c r="D1444" s="1"/>
      <c r="E1444" s="1"/>
    </row>
    <row r="1445" spans="3:5" x14ac:dyDescent="0.3">
      <c r="C1445" s="1"/>
      <c r="D1445" s="1"/>
      <c r="E1445" s="1"/>
    </row>
    <row r="1446" spans="3:5" x14ac:dyDescent="0.3">
      <c r="C1446" s="1"/>
      <c r="D1446" s="1"/>
      <c r="E1446" s="1"/>
    </row>
    <row r="1447" spans="3:5" x14ac:dyDescent="0.3">
      <c r="C1447" s="1"/>
      <c r="D1447" s="1"/>
      <c r="E1447" s="1"/>
    </row>
    <row r="1448" spans="3:5" x14ac:dyDescent="0.3">
      <c r="C1448" s="1"/>
      <c r="D1448" s="1"/>
      <c r="E1448" s="1"/>
    </row>
    <row r="1449" spans="3:5" x14ac:dyDescent="0.3">
      <c r="C1449" s="1"/>
      <c r="D1449" s="1"/>
      <c r="E1449" s="1"/>
    </row>
    <row r="1450" spans="3:5" x14ac:dyDescent="0.3">
      <c r="C1450" s="1"/>
      <c r="D1450" s="1"/>
      <c r="E1450" s="1"/>
    </row>
    <row r="1451" spans="3:5" x14ac:dyDescent="0.3">
      <c r="C1451" s="1"/>
      <c r="D1451" s="1"/>
      <c r="E1451" s="1"/>
    </row>
    <row r="1452" spans="3:5" x14ac:dyDescent="0.3">
      <c r="C1452" s="1"/>
      <c r="D1452" s="1"/>
      <c r="E1452" s="1"/>
    </row>
    <row r="1453" spans="3:5" x14ac:dyDescent="0.3">
      <c r="C1453" s="1"/>
      <c r="D1453" s="1"/>
      <c r="E1453" s="1"/>
    </row>
    <row r="1454" spans="3:5" x14ac:dyDescent="0.3">
      <c r="C1454" s="1"/>
      <c r="D1454" s="1"/>
      <c r="E1454" s="1"/>
    </row>
    <row r="1455" spans="3:5" x14ac:dyDescent="0.3">
      <c r="C1455" s="1"/>
      <c r="D1455" s="1"/>
      <c r="E1455" s="1"/>
    </row>
    <row r="1456" spans="3:5" x14ac:dyDescent="0.3">
      <c r="C1456" s="1"/>
      <c r="D1456" s="1"/>
      <c r="E1456" s="1"/>
    </row>
    <row r="1457" spans="3:5" x14ac:dyDescent="0.3">
      <c r="C1457" s="1"/>
      <c r="D1457" s="1"/>
      <c r="E1457" s="1"/>
    </row>
    <row r="1458" spans="3:5" x14ac:dyDescent="0.3">
      <c r="C1458" s="1"/>
      <c r="D1458" s="1"/>
      <c r="E1458" s="1"/>
    </row>
    <row r="1459" spans="3:5" x14ac:dyDescent="0.3">
      <c r="C1459" s="1"/>
      <c r="D1459" s="1"/>
      <c r="E1459" s="1"/>
    </row>
    <row r="1460" spans="3:5" x14ac:dyDescent="0.3">
      <c r="C1460" s="1"/>
      <c r="D1460" s="1"/>
      <c r="E1460" s="1"/>
    </row>
    <row r="1461" spans="3:5" x14ac:dyDescent="0.3">
      <c r="C1461" s="1"/>
      <c r="D1461" s="1"/>
      <c r="E1461" s="1"/>
    </row>
    <row r="1462" spans="3:5" x14ac:dyDescent="0.3">
      <c r="C1462" s="1"/>
      <c r="D1462" s="1"/>
      <c r="E1462" s="1"/>
    </row>
    <row r="1463" spans="3:5" x14ac:dyDescent="0.3">
      <c r="C1463" s="1"/>
      <c r="D1463" s="1"/>
      <c r="E1463" s="1"/>
    </row>
    <row r="1464" spans="3:5" x14ac:dyDescent="0.3">
      <c r="C1464" s="1"/>
      <c r="D1464" s="1"/>
      <c r="E1464" s="1"/>
    </row>
    <row r="1465" spans="3:5" x14ac:dyDescent="0.3">
      <c r="C1465" s="1"/>
      <c r="D1465" s="1"/>
      <c r="E1465" s="1"/>
    </row>
    <row r="1466" spans="3:5" x14ac:dyDescent="0.3">
      <c r="C1466" s="1"/>
      <c r="D1466" s="1"/>
      <c r="E1466" s="1"/>
    </row>
    <row r="1467" spans="3:5" x14ac:dyDescent="0.3">
      <c r="C1467" s="1"/>
      <c r="D1467" s="1"/>
      <c r="E1467" s="1"/>
    </row>
    <row r="1468" spans="3:5" x14ac:dyDescent="0.3">
      <c r="C1468" s="1"/>
      <c r="D1468" s="1"/>
      <c r="E1468" s="1"/>
    </row>
    <row r="1469" spans="3:5" x14ac:dyDescent="0.3">
      <c r="C1469" s="1"/>
      <c r="D1469" s="1"/>
      <c r="E1469" s="1"/>
    </row>
    <row r="1470" spans="3:5" x14ac:dyDescent="0.3">
      <c r="C1470" s="1"/>
      <c r="D1470" s="1"/>
      <c r="E1470" s="1"/>
    </row>
    <row r="1471" spans="3:5" x14ac:dyDescent="0.3">
      <c r="C1471" s="1"/>
      <c r="D1471" s="1"/>
      <c r="E1471" s="1"/>
    </row>
    <row r="1472" spans="3:5" x14ac:dyDescent="0.3">
      <c r="C1472" s="1"/>
      <c r="D1472" s="1"/>
      <c r="E1472" s="1"/>
    </row>
    <row r="1473" spans="3:5" x14ac:dyDescent="0.3">
      <c r="C1473" s="1"/>
      <c r="D1473" s="1"/>
      <c r="E1473" s="1"/>
    </row>
    <row r="1474" spans="3:5" x14ac:dyDescent="0.3">
      <c r="C1474" s="1"/>
      <c r="D1474" s="1"/>
      <c r="E1474" s="1"/>
    </row>
    <row r="1475" spans="3:5" x14ac:dyDescent="0.3">
      <c r="C1475" s="1"/>
      <c r="D1475" s="1"/>
      <c r="E1475" s="1"/>
    </row>
    <row r="1476" spans="3:5" x14ac:dyDescent="0.3">
      <c r="C1476" s="1"/>
      <c r="D1476" s="1"/>
      <c r="E1476" s="1"/>
    </row>
    <row r="1477" spans="3:5" x14ac:dyDescent="0.3">
      <c r="C1477" s="1"/>
      <c r="D1477" s="1"/>
      <c r="E1477" s="1"/>
    </row>
    <row r="1478" spans="3:5" x14ac:dyDescent="0.3">
      <c r="C1478" s="1"/>
      <c r="D1478" s="1"/>
      <c r="E1478" s="1"/>
    </row>
    <row r="1479" spans="3:5" x14ac:dyDescent="0.3">
      <c r="C1479" s="1"/>
      <c r="D1479" s="1"/>
      <c r="E1479" s="1"/>
    </row>
    <row r="1480" spans="3:5" x14ac:dyDescent="0.3">
      <c r="C1480" s="1"/>
      <c r="D1480" s="1"/>
      <c r="E1480" s="1"/>
    </row>
    <row r="1481" spans="3:5" x14ac:dyDescent="0.3">
      <c r="C1481" s="1"/>
      <c r="D1481" s="1"/>
      <c r="E1481" s="1"/>
    </row>
    <row r="1482" spans="3:5" x14ac:dyDescent="0.3">
      <c r="C1482" s="1"/>
      <c r="D1482" s="1"/>
      <c r="E1482" s="1"/>
    </row>
    <row r="1483" spans="3:5" x14ac:dyDescent="0.3">
      <c r="C1483" s="1"/>
      <c r="D1483" s="1"/>
      <c r="E1483" s="1"/>
    </row>
    <row r="1484" spans="3:5" x14ac:dyDescent="0.3">
      <c r="C1484" s="1"/>
      <c r="D1484" s="1"/>
      <c r="E1484" s="1"/>
    </row>
    <row r="1485" spans="3:5" x14ac:dyDescent="0.3">
      <c r="C1485" s="1"/>
      <c r="D1485" s="1"/>
      <c r="E1485" s="1"/>
    </row>
    <row r="1486" spans="3:5" x14ac:dyDescent="0.3">
      <c r="C1486" s="1"/>
      <c r="D1486" s="1"/>
      <c r="E1486" s="1"/>
    </row>
    <row r="1487" spans="3:5" x14ac:dyDescent="0.3">
      <c r="C1487" s="1"/>
      <c r="D1487" s="1"/>
      <c r="E1487" s="1"/>
    </row>
    <row r="1488" spans="3:5" x14ac:dyDescent="0.3">
      <c r="C1488" s="1"/>
      <c r="D1488" s="1"/>
      <c r="E1488" s="1"/>
    </row>
    <row r="1489" spans="3:5" x14ac:dyDescent="0.3">
      <c r="C1489" s="1"/>
      <c r="D1489" s="1"/>
      <c r="E1489" s="1"/>
    </row>
    <row r="1490" spans="3:5" x14ac:dyDescent="0.3">
      <c r="C1490" s="1"/>
      <c r="D1490" s="1"/>
      <c r="E1490" s="1"/>
    </row>
    <row r="1491" spans="3:5" x14ac:dyDescent="0.3">
      <c r="C1491" s="1"/>
      <c r="D1491" s="1"/>
      <c r="E1491" s="1"/>
    </row>
    <row r="1492" spans="3:5" x14ac:dyDescent="0.3">
      <c r="C1492" s="1"/>
      <c r="D1492" s="1"/>
      <c r="E1492" s="1"/>
    </row>
    <row r="1493" spans="3:5" x14ac:dyDescent="0.3">
      <c r="C1493" s="1"/>
      <c r="D1493" s="1"/>
      <c r="E1493" s="1"/>
    </row>
    <row r="1494" spans="3:5" x14ac:dyDescent="0.3">
      <c r="C1494" s="1"/>
      <c r="D1494" s="1"/>
      <c r="E1494" s="1"/>
    </row>
    <row r="1495" spans="3:5" x14ac:dyDescent="0.3">
      <c r="C1495" s="1"/>
      <c r="D1495" s="1"/>
      <c r="E1495" s="1"/>
    </row>
    <row r="1496" spans="3:5" x14ac:dyDescent="0.3">
      <c r="C1496" s="1"/>
      <c r="D1496" s="1"/>
      <c r="E1496" s="1"/>
    </row>
    <row r="1497" spans="3:5" x14ac:dyDescent="0.3">
      <c r="C1497" s="1"/>
      <c r="D1497" s="1"/>
      <c r="E1497" s="1"/>
    </row>
    <row r="1498" spans="3:5" x14ac:dyDescent="0.3">
      <c r="C1498" s="1"/>
      <c r="D1498" s="1"/>
      <c r="E1498" s="1"/>
    </row>
    <row r="1499" spans="3:5" x14ac:dyDescent="0.3">
      <c r="C1499" s="1"/>
      <c r="D1499" s="1"/>
      <c r="E1499" s="1"/>
    </row>
    <row r="1500" spans="3:5" x14ac:dyDescent="0.3">
      <c r="C1500" s="1"/>
      <c r="D1500" s="1"/>
      <c r="E1500" s="1"/>
    </row>
    <row r="1501" spans="3:5" x14ac:dyDescent="0.3">
      <c r="C1501" s="1"/>
      <c r="D1501" s="1"/>
      <c r="E1501" s="1"/>
    </row>
    <row r="1502" spans="3:5" x14ac:dyDescent="0.3">
      <c r="C1502" s="1"/>
      <c r="D1502" s="1"/>
      <c r="E1502" s="1"/>
    </row>
    <row r="1503" spans="3:5" x14ac:dyDescent="0.3">
      <c r="C1503" s="1"/>
      <c r="D1503" s="1"/>
      <c r="E1503" s="1"/>
    </row>
    <row r="1504" spans="3:5" x14ac:dyDescent="0.3">
      <c r="C1504" s="1"/>
      <c r="D1504" s="1"/>
      <c r="E1504" s="1"/>
    </row>
    <row r="1505" spans="3:5" x14ac:dyDescent="0.3">
      <c r="C1505" s="1"/>
      <c r="D1505" s="1"/>
      <c r="E1505" s="1"/>
    </row>
    <row r="1506" spans="3:5" x14ac:dyDescent="0.3">
      <c r="C1506" s="1"/>
      <c r="D1506" s="1"/>
      <c r="E1506" s="1"/>
    </row>
    <row r="1507" spans="3:5" x14ac:dyDescent="0.3">
      <c r="C1507" s="1"/>
      <c r="D1507" s="1"/>
      <c r="E1507" s="1"/>
    </row>
    <row r="1508" spans="3:5" x14ac:dyDescent="0.3">
      <c r="C1508" s="1"/>
      <c r="D1508" s="1"/>
      <c r="E1508" s="1"/>
    </row>
    <row r="1509" spans="3:5" x14ac:dyDescent="0.3">
      <c r="C1509" s="1"/>
      <c r="D1509" s="1"/>
      <c r="E1509" s="1"/>
    </row>
    <row r="1510" spans="3:5" x14ac:dyDescent="0.3">
      <c r="C1510" s="1"/>
      <c r="D1510" s="1"/>
      <c r="E1510" s="1"/>
    </row>
    <row r="1511" spans="3:5" x14ac:dyDescent="0.3">
      <c r="C1511" s="1"/>
      <c r="D1511" s="1"/>
      <c r="E1511" s="1"/>
    </row>
    <row r="1512" spans="3:5" x14ac:dyDescent="0.3">
      <c r="C1512" s="1"/>
      <c r="D1512" s="1"/>
      <c r="E1512" s="1"/>
    </row>
    <row r="1513" spans="3:5" x14ac:dyDescent="0.3">
      <c r="C1513" s="1"/>
      <c r="D1513" s="1"/>
      <c r="E1513" s="1"/>
    </row>
    <row r="1514" spans="3:5" x14ac:dyDescent="0.3">
      <c r="C1514" s="1"/>
      <c r="D1514" s="1"/>
      <c r="E1514" s="1"/>
    </row>
    <row r="1515" spans="3:5" x14ac:dyDescent="0.3">
      <c r="C1515" s="1"/>
      <c r="D1515" s="1"/>
      <c r="E1515" s="1"/>
    </row>
    <row r="1516" spans="3:5" x14ac:dyDescent="0.3">
      <c r="C1516" s="1"/>
      <c r="D1516" s="1"/>
      <c r="E1516" s="1"/>
    </row>
    <row r="1517" spans="3:5" x14ac:dyDescent="0.3">
      <c r="C1517" s="1"/>
      <c r="D1517" s="1"/>
      <c r="E1517" s="1"/>
    </row>
    <row r="1518" spans="3:5" x14ac:dyDescent="0.3">
      <c r="C1518" s="1"/>
      <c r="D1518" s="1"/>
      <c r="E1518" s="1"/>
    </row>
    <row r="1519" spans="3:5" x14ac:dyDescent="0.3">
      <c r="C1519" s="1"/>
      <c r="D1519" s="1"/>
      <c r="E1519" s="1"/>
    </row>
    <row r="1520" spans="3:5" x14ac:dyDescent="0.3">
      <c r="C1520" s="1"/>
      <c r="D1520" s="1"/>
      <c r="E1520" s="1"/>
    </row>
    <row r="1521" spans="3:5" x14ac:dyDescent="0.3">
      <c r="C1521" s="1"/>
      <c r="D1521" s="1"/>
      <c r="E1521" s="1"/>
    </row>
    <row r="1522" spans="3:5" x14ac:dyDescent="0.3">
      <c r="C1522" s="1"/>
      <c r="D1522" s="1"/>
      <c r="E1522" s="1"/>
    </row>
    <row r="1523" spans="3:5" x14ac:dyDescent="0.3">
      <c r="C1523" s="1"/>
      <c r="D1523" s="1"/>
      <c r="E1523" s="1"/>
    </row>
    <row r="1524" spans="3:5" x14ac:dyDescent="0.3">
      <c r="C1524" s="1"/>
      <c r="D1524" s="1"/>
      <c r="E1524" s="1"/>
    </row>
    <row r="1525" spans="3:5" x14ac:dyDescent="0.3">
      <c r="C1525" s="1"/>
      <c r="D1525" s="1"/>
      <c r="E1525" s="1"/>
    </row>
    <row r="1526" spans="3:5" x14ac:dyDescent="0.3">
      <c r="C1526" s="1"/>
      <c r="D1526" s="1"/>
      <c r="E1526" s="1"/>
    </row>
    <row r="1527" spans="3:5" x14ac:dyDescent="0.3">
      <c r="C1527" s="1"/>
      <c r="D1527" s="1"/>
      <c r="E1527" s="1"/>
    </row>
    <row r="1528" spans="3:5" x14ac:dyDescent="0.3">
      <c r="C1528" s="1"/>
      <c r="D1528" s="1"/>
      <c r="E1528" s="1"/>
    </row>
    <row r="1529" spans="3:5" x14ac:dyDescent="0.3">
      <c r="C1529" s="1"/>
      <c r="D1529" s="1"/>
      <c r="E1529" s="1"/>
    </row>
    <row r="1530" spans="3:5" x14ac:dyDescent="0.3">
      <c r="C1530" s="1"/>
      <c r="D1530" s="1"/>
      <c r="E1530" s="1"/>
    </row>
    <row r="1531" spans="3:5" x14ac:dyDescent="0.3">
      <c r="C1531" s="1"/>
      <c r="D1531" s="1"/>
      <c r="E1531" s="1"/>
    </row>
    <row r="1532" spans="3:5" x14ac:dyDescent="0.3">
      <c r="C1532" s="1"/>
      <c r="D1532" s="1"/>
      <c r="E1532" s="1"/>
    </row>
    <row r="1533" spans="3:5" x14ac:dyDescent="0.3">
      <c r="C1533" s="1"/>
      <c r="D1533" s="1"/>
      <c r="E1533" s="1"/>
    </row>
    <row r="1534" spans="3:5" x14ac:dyDescent="0.3">
      <c r="C1534" s="1"/>
      <c r="D1534" s="1"/>
      <c r="E1534" s="1"/>
    </row>
    <row r="1535" spans="3:5" x14ac:dyDescent="0.3">
      <c r="C1535" s="1"/>
      <c r="D1535" s="1"/>
      <c r="E1535" s="1"/>
    </row>
    <row r="1536" spans="3:5" x14ac:dyDescent="0.3">
      <c r="C1536" s="1"/>
      <c r="D1536" s="1"/>
      <c r="E1536" s="1"/>
    </row>
    <row r="1537" spans="3:5" x14ac:dyDescent="0.3">
      <c r="C1537" s="1"/>
      <c r="D1537" s="1"/>
      <c r="E1537" s="1"/>
    </row>
    <row r="1538" spans="3:5" x14ac:dyDescent="0.3">
      <c r="C1538" s="1"/>
      <c r="D1538" s="1"/>
      <c r="E1538" s="1"/>
    </row>
    <row r="1539" spans="3:5" x14ac:dyDescent="0.3">
      <c r="C1539" s="1"/>
      <c r="D1539" s="1"/>
      <c r="E1539" s="1"/>
    </row>
    <row r="1540" spans="3:5" x14ac:dyDescent="0.3">
      <c r="C1540" s="1"/>
      <c r="D1540" s="1"/>
      <c r="E1540" s="1"/>
    </row>
    <row r="1541" spans="3:5" x14ac:dyDescent="0.3">
      <c r="C1541" s="1"/>
      <c r="D1541" s="1"/>
      <c r="E1541" s="1"/>
    </row>
    <row r="1542" spans="3:5" x14ac:dyDescent="0.3">
      <c r="C1542" s="1"/>
      <c r="D1542" s="1"/>
      <c r="E1542" s="1"/>
    </row>
    <row r="1543" spans="3:5" x14ac:dyDescent="0.3">
      <c r="C1543" s="1"/>
      <c r="D1543" s="1"/>
      <c r="E1543" s="1"/>
    </row>
    <row r="1544" spans="3:5" x14ac:dyDescent="0.3">
      <c r="C1544" s="1"/>
      <c r="D1544" s="1"/>
      <c r="E1544" s="1"/>
    </row>
    <row r="1545" spans="3:5" x14ac:dyDescent="0.3">
      <c r="C1545" s="1"/>
      <c r="D1545" s="1"/>
      <c r="E1545" s="1"/>
    </row>
    <row r="1546" spans="3:5" x14ac:dyDescent="0.3">
      <c r="C1546" s="1"/>
      <c r="D1546" s="1"/>
      <c r="E1546" s="1"/>
    </row>
    <row r="1547" spans="3:5" x14ac:dyDescent="0.3">
      <c r="C1547" s="1"/>
      <c r="D1547" s="1"/>
      <c r="E1547" s="1"/>
    </row>
    <row r="1548" spans="3:5" x14ac:dyDescent="0.3">
      <c r="C1548" s="1"/>
      <c r="D1548" s="1"/>
      <c r="E1548" s="1"/>
    </row>
    <row r="1549" spans="3:5" x14ac:dyDescent="0.3">
      <c r="C1549" s="1"/>
      <c r="D1549" s="1"/>
      <c r="E1549" s="1"/>
    </row>
    <row r="1550" spans="3:5" x14ac:dyDescent="0.3">
      <c r="C1550" s="1"/>
      <c r="D1550" s="1"/>
      <c r="E1550" s="1"/>
    </row>
    <row r="1551" spans="3:5" x14ac:dyDescent="0.3">
      <c r="C1551" s="1"/>
      <c r="D1551" s="1"/>
      <c r="E1551" s="1"/>
    </row>
    <row r="1552" spans="3:5" x14ac:dyDescent="0.3">
      <c r="C1552" s="1"/>
      <c r="D1552" s="1"/>
      <c r="E1552" s="1"/>
    </row>
    <row r="1553" spans="3:5" x14ac:dyDescent="0.3">
      <c r="C1553" s="1"/>
      <c r="D1553" s="1"/>
      <c r="E1553" s="1"/>
    </row>
    <row r="1554" spans="3:5" x14ac:dyDescent="0.3">
      <c r="C1554" s="1"/>
      <c r="D1554" s="1"/>
      <c r="E1554" s="1"/>
    </row>
    <row r="1555" spans="3:5" x14ac:dyDescent="0.3">
      <c r="C1555" s="1"/>
      <c r="D1555" s="1"/>
      <c r="E1555" s="1"/>
    </row>
    <row r="1556" spans="3:5" x14ac:dyDescent="0.3">
      <c r="C1556" s="1"/>
      <c r="D1556" s="1"/>
      <c r="E1556" s="1"/>
    </row>
    <row r="1557" spans="3:5" x14ac:dyDescent="0.3">
      <c r="C1557" s="1"/>
      <c r="D1557" s="1"/>
      <c r="E1557" s="1"/>
    </row>
    <row r="1558" spans="3:5" x14ac:dyDescent="0.3">
      <c r="C1558" s="1"/>
      <c r="D1558" s="1"/>
      <c r="E1558" s="1"/>
    </row>
    <row r="1559" spans="3:5" x14ac:dyDescent="0.3">
      <c r="C1559" s="1"/>
      <c r="D1559" s="1"/>
      <c r="E1559" s="1"/>
    </row>
    <row r="1560" spans="3:5" x14ac:dyDescent="0.3">
      <c r="C1560" s="1"/>
      <c r="D1560" s="1"/>
      <c r="E1560" s="1"/>
    </row>
    <row r="1561" spans="3:5" x14ac:dyDescent="0.3">
      <c r="C1561" s="1"/>
      <c r="D1561" s="1"/>
      <c r="E1561" s="1"/>
    </row>
    <row r="1562" spans="3:5" x14ac:dyDescent="0.3">
      <c r="C1562" s="1"/>
      <c r="D1562" s="1"/>
      <c r="E1562" s="1"/>
    </row>
    <row r="1563" spans="3:5" x14ac:dyDescent="0.3">
      <c r="C1563" s="1"/>
      <c r="D1563" s="1"/>
      <c r="E1563" s="1"/>
    </row>
    <row r="1564" spans="3:5" x14ac:dyDescent="0.3">
      <c r="C1564" s="1"/>
      <c r="D1564" s="1"/>
      <c r="E1564" s="1"/>
    </row>
    <row r="1565" spans="3:5" x14ac:dyDescent="0.3">
      <c r="C1565" s="1"/>
      <c r="D1565" s="1"/>
      <c r="E1565" s="1"/>
    </row>
    <row r="1566" spans="3:5" x14ac:dyDescent="0.3">
      <c r="C1566" s="1"/>
      <c r="D1566" s="1"/>
      <c r="E1566" s="1"/>
    </row>
    <row r="1567" spans="3:5" x14ac:dyDescent="0.3">
      <c r="C1567" s="1"/>
      <c r="D1567" s="1"/>
      <c r="E1567" s="1"/>
    </row>
    <row r="1568" spans="3:5" x14ac:dyDescent="0.3">
      <c r="C1568" s="1"/>
      <c r="D1568" s="1"/>
      <c r="E1568" s="1"/>
    </row>
    <row r="1569" spans="3:5" x14ac:dyDescent="0.3">
      <c r="C1569" s="1"/>
      <c r="D1569" s="1"/>
      <c r="E1569" s="1"/>
    </row>
    <row r="1570" spans="3:5" x14ac:dyDescent="0.3">
      <c r="C1570" s="1"/>
      <c r="D1570" s="1"/>
      <c r="E1570" s="1"/>
    </row>
    <row r="1571" spans="3:5" x14ac:dyDescent="0.3">
      <c r="C1571" s="1"/>
      <c r="D1571" s="1"/>
      <c r="E1571" s="1"/>
    </row>
    <row r="1572" spans="3:5" x14ac:dyDescent="0.3">
      <c r="C1572" s="1"/>
      <c r="D1572" s="1"/>
      <c r="E1572" s="1"/>
    </row>
    <row r="1573" spans="3:5" x14ac:dyDescent="0.3">
      <c r="C1573" s="1"/>
      <c r="D1573" s="1"/>
      <c r="E1573" s="1"/>
    </row>
    <row r="1574" spans="3:5" x14ac:dyDescent="0.3">
      <c r="C1574" s="1"/>
      <c r="D1574" s="1"/>
      <c r="E1574" s="1"/>
    </row>
    <row r="1575" spans="3:5" x14ac:dyDescent="0.3">
      <c r="C1575" s="1"/>
      <c r="D1575" s="1"/>
      <c r="E1575" s="1"/>
    </row>
    <row r="1576" spans="3:5" x14ac:dyDescent="0.3">
      <c r="C1576" s="1"/>
      <c r="D1576" s="1"/>
      <c r="E1576" s="1"/>
    </row>
    <row r="1577" spans="3:5" x14ac:dyDescent="0.3">
      <c r="C1577" s="1"/>
      <c r="D1577" s="1"/>
      <c r="E1577" s="1"/>
    </row>
    <row r="1578" spans="3:5" x14ac:dyDescent="0.3">
      <c r="C1578" s="1"/>
      <c r="D1578" s="1"/>
      <c r="E1578" s="1"/>
    </row>
    <row r="1579" spans="3:5" x14ac:dyDescent="0.3">
      <c r="C1579" s="1"/>
      <c r="D1579" s="1"/>
      <c r="E1579" s="1"/>
    </row>
    <row r="1580" spans="3:5" x14ac:dyDescent="0.3">
      <c r="C1580" s="1"/>
      <c r="D1580" s="1"/>
      <c r="E1580" s="1"/>
    </row>
    <row r="1581" spans="3:5" x14ac:dyDescent="0.3">
      <c r="C1581" s="1"/>
      <c r="D1581" s="1"/>
      <c r="E1581" s="1"/>
    </row>
    <row r="1582" spans="3:5" x14ac:dyDescent="0.3">
      <c r="C1582" s="1"/>
      <c r="D1582" s="1"/>
      <c r="E1582" s="1"/>
    </row>
    <row r="1583" spans="3:5" x14ac:dyDescent="0.3">
      <c r="C1583" s="1"/>
      <c r="D1583" s="1"/>
      <c r="E1583" s="1"/>
    </row>
    <row r="1584" spans="3:5" x14ac:dyDescent="0.3">
      <c r="C1584" s="1"/>
      <c r="D1584" s="1"/>
      <c r="E1584" s="1"/>
    </row>
    <row r="1585" spans="3:5" x14ac:dyDescent="0.3">
      <c r="C1585" s="1"/>
      <c r="D1585" s="1"/>
      <c r="E1585" s="1"/>
    </row>
    <row r="1586" spans="3:5" x14ac:dyDescent="0.3">
      <c r="C1586" s="1"/>
      <c r="D1586" s="1"/>
      <c r="E1586" s="1"/>
    </row>
    <row r="1587" spans="3:5" x14ac:dyDescent="0.3">
      <c r="C1587" s="1"/>
      <c r="D1587" s="1"/>
      <c r="E1587" s="1"/>
    </row>
    <row r="1588" spans="3:5" x14ac:dyDescent="0.3">
      <c r="C1588" s="1"/>
      <c r="D1588" s="1"/>
      <c r="E1588" s="1"/>
    </row>
    <row r="1589" spans="3:5" x14ac:dyDescent="0.3">
      <c r="C1589" s="1"/>
      <c r="D1589" s="1"/>
      <c r="E1589" s="1"/>
    </row>
    <row r="1590" spans="3:5" x14ac:dyDescent="0.3">
      <c r="C1590" s="1"/>
      <c r="D1590" s="1"/>
      <c r="E1590" s="1"/>
    </row>
    <row r="1591" spans="3:5" x14ac:dyDescent="0.3">
      <c r="C1591" s="1"/>
      <c r="D1591" s="1"/>
      <c r="E1591" s="1"/>
    </row>
    <row r="1592" spans="3:5" x14ac:dyDescent="0.3">
      <c r="C1592" s="1"/>
      <c r="D1592" s="1"/>
      <c r="E1592" s="1"/>
    </row>
    <row r="1593" spans="3:5" x14ac:dyDescent="0.3">
      <c r="C1593" s="1"/>
      <c r="D1593" s="1"/>
      <c r="E1593" s="1"/>
    </row>
    <row r="1594" spans="3:5" x14ac:dyDescent="0.3">
      <c r="C1594" s="1"/>
      <c r="D1594" s="1"/>
      <c r="E1594" s="1"/>
    </row>
    <row r="1595" spans="3:5" x14ac:dyDescent="0.3">
      <c r="C1595" s="1"/>
      <c r="D1595" s="1"/>
      <c r="E1595" s="1"/>
    </row>
    <row r="1596" spans="3:5" x14ac:dyDescent="0.3">
      <c r="C1596" s="1"/>
      <c r="D1596" s="1"/>
      <c r="E1596" s="1"/>
    </row>
    <row r="1597" spans="3:5" x14ac:dyDescent="0.3">
      <c r="C1597" s="1"/>
      <c r="D1597" s="1"/>
      <c r="E1597" s="1"/>
    </row>
    <row r="1598" spans="3:5" x14ac:dyDescent="0.3">
      <c r="C1598" s="1"/>
      <c r="D1598" s="1"/>
      <c r="E1598" s="1"/>
    </row>
    <row r="1599" spans="3:5" x14ac:dyDescent="0.3">
      <c r="C1599" s="1"/>
      <c r="D1599" s="1"/>
      <c r="E1599" s="1"/>
    </row>
    <row r="1600" spans="3:5" x14ac:dyDescent="0.3">
      <c r="C1600" s="1"/>
      <c r="D1600" s="1"/>
      <c r="E1600" s="1"/>
    </row>
    <row r="1601" spans="3:5" x14ac:dyDescent="0.3">
      <c r="C1601" s="1"/>
      <c r="D1601" s="1"/>
      <c r="E1601" s="1"/>
    </row>
    <row r="1602" spans="3:5" x14ac:dyDescent="0.3">
      <c r="C1602" s="1"/>
      <c r="D1602" s="1"/>
      <c r="E1602" s="1"/>
    </row>
    <row r="1603" spans="3:5" x14ac:dyDescent="0.3">
      <c r="C1603" s="1"/>
      <c r="D1603" s="1"/>
      <c r="E1603" s="1"/>
    </row>
    <row r="1604" spans="3:5" x14ac:dyDescent="0.3">
      <c r="C1604" s="1"/>
      <c r="D1604" s="1"/>
      <c r="E1604" s="1"/>
    </row>
    <row r="1605" spans="3:5" x14ac:dyDescent="0.3">
      <c r="C1605" s="1"/>
      <c r="D1605" s="1"/>
      <c r="E1605" s="1"/>
    </row>
    <row r="1606" spans="3:5" x14ac:dyDescent="0.3">
      <c r="C1606" s="1"/>
      <c r="D1606" s="1"/>
      <c r="E1606" s="1"/>
    </row>
    <row r="1607" spans="3:5" x14ac:dyDescent="0.3">
      <c r="C1607" s="1"/>
      <c r="D1607" s="1"/>
      <c r="E1607" s="1"/>
    </row>
    <row r="1608" spans="3:5" x14ac:dyDescent="0.3">
      <c r="C1608" s="1"/>
      <c r="D1608" s="1"/>
      <c r="E1608" s="1"/>
    </row>
    <row r="1609" spans="3:5" x14ac:dyDescent="0.3">
      <c r="C1609" s="1"/>
      <c r="D1609" s="1"/>
      <c r="E1609" s="1"/>
    </row>
    <row r="1610" spans="3:5" x14ac:dyDescent="0.3">
      <c r="C1610" s="1"/>
      <c r="D1610" s="1"/>
      <c r="E1610" s="1"/>
    </row>
    <row r="1611" spans="3:5" x14ac:dyDescent="0.3">
      <c r="C1611" s="1"/>
      <c r="D1611" s="1"/>
      <c r="E1611" s="1"/>
    </row>
    <row r="1612" spans="3:5" x14ac:dyDescent="0.3">
      <c r="C1612" s="1"/>
      <c r="D1612" s="1"/>
      <c r="E1612" s="1"/>
    </row>
    <row r="1613" spans="3:5" x14ac:dyDescent="0.3">
      <c r="C1613" s="1"/>
      <c r="D1613" s="1"/>
      <c r="E1613" s="1"/>
    </row>
    <row r="1614" spans="3:5" x14ac:dyDescent="0.3">
      <c r="C1614" s="1"/>
      <c r="D1614" s="1"/>
      <c r="E1614" s="1"/>
    </row>
    <row r="1615" spans="3:5" x14ac:dyDescent="0.3">
      <c r="C1615" s="1"/>
      <c r="D1615" s="1"/>
      <c r="E1615" s="1"/>
    </row>
    <row r="1616" spans="3:5" x14ac:dyDescent="0.3">
      <c r="C1616" s="1"/>
      <c r="D1616" s="1"/>
      <c r="E1616" s="1"/>
    </row>
    <row r="1617" spans="3:5" x14ac:dyDescent="0.3">
      <c r="C1617" s="1"/>
      <c r="D1617" s="1"/>
      <c r="E1617" s="1"/>
    </row>
    <row r="1618" spans="3:5" x14ac:dyDescent="0.3">
      <c r="C1618" s="1"/>
      <c r="D1618" s="1"/>
      <c r="E1618" s="1"/>
    </row>
    <row r="1619" spans="3:5" x14ac:dyDescent="0.3">
      <c r="C1619" s="1"/>
      <c r="D1619" s="1"/>
      <c r="E1619" s="1"/>
    </row>
    <row r="1620" spans="3:5" x14ac:dyDescent="0.3">
      <c r="C1620" s="1"/>
      <c r="D1620" s="1"/>
      <c r="E1620" s="1"/>
    </row>
    <row r="1621" spans="3:5" x14ac:dyDescent="0.3">
      <c r="C1621" s="1"/>
      <c r="D1621" s="1"/>
      <c r="E1621" s="1"/>
    </row>
    <row r="1622" spans="3:5" x14ac:dyDescent="0.3">
      <c r="C1622" s="1"/>
      <c r="D1622" s="1"/>
      <c r="E1622" s="1"/>
    </row>
    <row r="1623" spans="3:5" x14ac:dyDescent="0.3">
      <c r="C1623" s="1"/>
      <c r="D1623" s="1"/>
      <c r="E1623" s="1"/>
    </row>
    <row r="1624" spans="3:5" x14ac:dyDescent="0.3">
      <c r="C1624" s="1"/>
      <c r="D1624" s="1"/>
      <c r="E1624" s="1"/>
    </row>
    <row r="1625" spans="3:5" x14ac:dyDescent="0.3">
      <c r="C1625" s="1"/>
      <c r="D1625" s="1"/>
      <c r="E1625" s="1"/>
    </row>
    <row r="1626" spans="3:5" x14ac:dyDescent="0.3">
      <c r="C1626" s="1"/>
      <c r="D1626" s="1"/>
      <c r="E1626" s="1"/>
    </row>
    <row r="1627" spans="3:5" x14ac:dyDescent="0.3">
      <c r="C1627" s="1"/>
      <c r="D1627" s="1"/>
      <c r="E1627" s="1"/>
    </row>
    <row r="1628" spans="3:5" x14ac:dyDescent="0.3">
      <c r="C1628" s="1"/>
      <c r="D1628" s="1"/>
      <c r="E1628" s="1"/>
    </row>
    <row r="1629" spans="3:5" x14ac:dyDescent="0.3">
      <c r="C1629" s="1"/>
      <c r="D1629" s="1"/>
      <c r="E1629" s="1"/>
    </row>
    <row r="1630" spans="3:5" x14ac:dyDescent="0.3">
      <c r="C1630" s="1"/>
      <c r="D1630" s="1"/>
      <c r="E1630" s="1"/>
    </row>
    <row r="1631" spans="3:5" x14ac:dyDescent="0.3">
      <c r="C1631" s="1"/>
      <c r="D1631" s="1"/>
      <c r="E1631" s="1"/>
    </row>
    <row r="1632" spans="3:5" x14ac:dyDescent="0.3">
      <c r="C1632" s="1"/>
      <c r="D1632" s="1"/>
      <c r="E1632" s="1"/>
    </row>
    <row r="1633" spans="3:5" x14ac:dyDescent="0.3">
      <c r="C1633" s="1"/>
      <c r="D1633" s="1"/>
      <c r="E1633" s="1"/>
    </row>
    <row r="1634" spans="3:5" x14ac:dyDescent="0.3">
      <c r="C1634" s="1"/>
      <c r="D1634" s="1"/>
      <c r="E1634" s="1"/>
    </row>
    <row r="1635" spans="3:5" x14ac:dyDescent="0.3">
      <c r="C1635" s="1"/>
      <c r="D1635" s="1"/>
      <c r="E1635" s="1"/>
    </row>
    <row r="1636" spans="3:5" x14ac:dyDescent="0.3">
      <c r="C1636" s="1"/>
      <c r="D1636" s="1"/>
      <c r="E1636" s="1"/>
    </row>
    <row r="1637" spans="3:5" x14ac:dyDescent="0.3">
      <c r="C1637" s="1"/>
      <c r="D1637" s="1"/>
      <c r="E1637" s="1"/>
    </row>
    <row r="1638" spans="3:5" x14ac:dyDescent="0.3">
      <c r="C1638" s="1"/>
      <c r="D1638" s="1"/>
      <c r="E1638" s="1"/>
    </row>
    <row r="1639" spans="3:5" x14ac:dyDescent="0.3">
      <c r="C1639" s="1"/>
      <c r="D1639" s="1"/>
      <c r="E1639" s="1"/>
    </row>
    <row r="1640" spans="3:5" x14ac:dyDescent="0.3">
      <c r="C1640" s="1"/>
      <c r="D1640" s="1"/>
      <c r="E1640" s="1"/>
    </row>
    <row r="1641" spans="3:5" x14ac:dyDescent="0.3">
      <c r="C1641" s="1"/>
      <c r="D1641" s="1"/>
      <c r="E1641" s="1"/>
    </row>
    <row r="1642" spans="3:5" x14ac:dyDescent="0.3">
      <c r="C1642" s="1"/>
      <c r="D1642" s="1"/>
      <c r="E1642" s="1"/>
    </row>
    <row r="1643" spans="3:5" x14ac:dyDescent="0.3">
      <c r="C1643" s="1"/>
      <c r="D1643" s="1"/>
      <c r="E1643" s="1"/>
    </row>
    <row r="1644" spans="3:5" x14ac:dyDescent="0.3">
      <c r="C1644" s="1"/>
      <c r="D1644" s="1"/>
      <c r="E1644" s="1"/>
    </row>
    <row r="1645" spans="3:5" x14ac:dyDescent="0.3">
      <c r="C1645" s="1"/>
      <c r="D1645" s="1"/>
      <c r="E1645" s="1"/>
    </row>
    <row r="1646" spans="3:5" x14ac:dyDescent="0.3">
      <c r="C1646" s="1"/>
      <c r="D1646" s="1"/>
      <c r="E1646" s="1"/>
    </row>
    <row r="1647" spans="3:5" x14ac:dyDescent="0.3">
      <c r="C1647" s="1"/>
      <c r="D1647" s="1"/>
      <c r="E1647" s="1"/>
    </row>
    <row r="1648" spans="3:5" x14ac:dyDescent="0.3">
      <c r="C1648" s="1"/>
      <c r="D1648" s="1"/>
      <c r="E1648" s="1"/>
    </row>
    <row r="1649" spans="3:5" x14ac:dyDescent="0.3">
      <c r="C1649" s="1"/>
      <c r="D1649" s="1"/>
      <c r="E1649" s="1"/>
    </row>
    <row r="1650" spans="3:5" x14ac:dyDescent="0.3">
      <c r="C1650" s="1"/>
      <c r="D1650" s="1"/>
      <c r="E1650" s="1"/>
    </row>
    <row r="1651" spans="3:5" x14ac:dyDescent="0.3">
      <c r="C1651" s="1"/>
      <c r="D1651" s="1"/>
      <c r="E1651" s="1"/>
    </row>
    <row r="1652" spans="3:5" x14ac:dyDescent="0.3">
      <c r="C1652" s="1"/>
      <c r="D1652" s="1"/>
      <c r="E1652" s="1"/>
    </row>
    <row r="1653" spans="3:5" x14ac:dyDescent="0.3">
      <c r="C1653" s="1"/>
      <c r="D1653" s="1"/>
      <c r="E1653" s="1"/>
    </row>
    <row r="1654" spans="3:5" x14ac:dyDescent="0.3">
      <c r="C1654" s="1"/>
      <c r="D1654" s="1"/>
      <c r="E1654" s="1"/>
    </row>
    <row r="1655" spans="3:5" x14ac:dyDescent="0.3">
      <c r="C1655" s="1"/>
      <c r="D1655" s="1"/>
      <c r="E1655" s="1"/>
    </row>
    <row r="1656" spans="3:5" x14ac:dyDescent="0.3">
      <c r="C1656" s="1"/>
      <c r="D1656" s="1"/>
      <c r="E1656" s="1"/>
    </row>
    <row r="1657" spans="3:5" x14ac:dyDescent="0.3">
      <c r="C1657" s="1"/>
      <c r="D1657" s="1"/>
      <c r="E1657" s="1"/>
    </row>
    <row r="1658" spans="3:5" x14ac:dyDescent="0.3">
      <c r="C1658" s="1"/>
      <c r="D1658" s="1"/>
      <c r="E1658" s="1"/>
    </row>
    <row r="1659" spans="3:5" x14ac:dyDescent="0.3">
      <c r="C1659" s="1"/>
      <c r="D1659" s="1"/>
      <c r="E1659" s="1"/>
    </row>
    <row r="1660" spans="3:5" x14ac:dyDescent="0.3">
      <c r="C1660" s="1"/>
      <c r="D1660" s="1"/>
      <c r="E1660" s="1"/>
    </row>
    <row r="1661" spans="3:5" x14ac:dyDescent="0.3">
      <c r="C1661" s="1"/>
      <c r="D1661" s="1"/>
      <c r="E1661" s="1"/>
    </row>
    <row r="1662" spans="3:5" x14ac:dyDescent="0.3">
      <c r="C1662" s="1"/>
      <c r="D1662" s="1"/>
      <c r="E1662" s="1"/>
    </row>
    <row r="1663" spans="3:5" x14ac:dyDescent="0.3">
      <c r="C1663" s="1"/>
      <c r="D1663" s="1"/>
      <c r="E1663" s="1"/>
    </row>
    <row r="1664" spans="3:5" x14ac:dyDescent="0.3">
      <c r="C1664" s="1"/>
      <c r="D1664" s="1"/>
      <c r="E1664" s="1"/>
    </row>
    <row r="1665" spans="3:5" x14ac:dyDescent="0.3">
      <c r="C1665" s="1"/>
      <c r="D1665" s="1"/>
      <c r="E1665" s="1"/>
    </row>
    <row r="1666" spans="3:5" x14ac:dyDescent="0.3">
      <c r="C1666" s="1"/>
      <c r="D1666" s="1"/>
      <c r="E1666" s="1"/>
    </row>
    <row r="1667" spans="3:5" x14ac:dyDescent="0.3">
      <c r="C1667" s="1"/>
      <c r="D1667" s="1"/>
      <c r="E1667" s="1"/>
    </row>
    <row r="1668" spans="3:5" x14ac:dyDescent="0.3">
      <c r="C1668" s="1"/>
      <c r="D1668" s="1"/>
      <c r="E1668" s="1"/>
    </row>
    <row r="1669" spans="3:5" x14ac:dyDescent="0.3">
      <c r="C1669" s="1"/>
      <c r="D1669" s="1"/>
      <c r="E1669" s="1"/>
    </row>
    <row r="1670" spans="3:5" x14ac:dyDescent="0.3">
      <c r="C1670" s="1"/>
      <c r="D1670" s="1"/>
      <c r="E1670" s="1"/>
    </row>
    <row r="1671" spans="3:5" x14ac:dyDescent="0.3">
      <c r="C1671" s="1"/>
      <c r="D1671" s="1"/>
      <c r="E1671" s="1"/>
    </row>
    <row r="1672" spans="3:5" x14ac:dyDescent="0.3">
      <c r="C1672" s="1"/>
      <c r="D1672" s="1"/>
      <c r="E1672" s="1"/>
    </row>
    <row r="1673" spans="3:5" x14ac:dyDescent="0.3">
      <c r="C1673" s="1"/>
      <c r="D1673" s="1"/>
      <c r="E1673" s="1"/>
    </row>
    <row r="1674" spans="3:5" x14ac:dyDescent="0.3">
      <c r="C1674" s="1"/>
      <c r="D1674" s="1"/>
      <c r="E1674" s="1"/>
    </row>
    <row r="1675" spans="3:5" x14ac:dyDescent="0.3">
      <c r="C1675" s="1"/>
      <c r="D1675" s="1"/>
      <c r="E1675" s="1"/>
    </row>
    <row r="1676" spans="3:5" x14ac:dyDescent="0.3">
      <c r="C1676" s="1"/>
      <c r="D1676" s="1"/>
      <c r="E1676" s="1"/>
    </row>
    <row r="1677" spans="3:5" x14ac:dyDescent="0.3">
      <c r="C1677" s="1"/>
      <c r="D1677" s="1"/>
      <c r="E1677" s="1"/>
    </row>
    <row r="1678" spans="3:5" x14ac:dyDescent="0.3">
      <c r="C1678" s="1"/>
      <c r="D1678" s="1"/>
      <c r="E1678" s="1"/>
    </row>
    <row r="1679" spans="3:5" x14ac:dyDescent="0.3">
      <c r="C1679" s="1"/>
      <c r="D1679" s="1"/>
      <c r="E1679" s="1"/>
    </row>
    <row r="1680" spans="3:5" x14ac:dyDescent="0.3">
      <c r="C1680" s="1"/>
      <c r="D1680" s="1"/>
      <c r="E1680" s="1"/>
    </row>
    <row r="1681" spans="3:5" x14ac:dyDescent="0.3">
      <c r="C1681" s="1"/>
      <c r="D1681" s="1"/>
      <c r="E1681" s="1"/>
    </row>
    <row r="1682" spans="3:5" x14ac:dyDescent="0.3">
      <c r="C1682" s="1"/>
      <c r="D1682" s="1"/>
      <c r="E1682" s="1"/>
    </row>
    <row r="1683" spans="3:5" x14ac:dyDescent="0.3">
      <c r="C1683" s="1"/>
      <c r="D1683" s="1"/>
      <c r="E1683" s="1"/>
    </row>
    <row r="1684" spans="3:5" x14ac:dyDescent="0.3">
      <c r="C1684" s="1"/>
      <c r="D1684" s="1"/>
      <c r="E1684" s="1"/>
    </row>
    <row r="1685" spans="3:5" x14ac:dyDescent="0.3">
      <c r="C1685" s="1"/>
      <c r="D1685" s="1"/>
      <c r="E1685" s="1"/>
    </row>
    <row r="1686" spans="3:5" x14ac:dyDescent="0.3">
      <c r="C1686" s="1"/>
      <c r="D1686" s="1"/>
      <c r="E1686" s="1"/>
    </row>
    <row r="1687" spans="3:5" x14ac:dyDescent="0.3">
      <c r="C1687" s="1"/>
      <c r="D1687" s="1"/>
      <c r="E1687" s="1"/>
    </row>
    <row r="1688" spans="3:5" x14ac:dyDescent="0.3">
      <c r="C1688" s="1"/>
      <c r="D1688" s="1"/>
      <c r="E1688" s="1"/>
    </row>
    <row r="1689" spans="3:5" x14ac:dyDescent="0.3">
      <c r="C1689" s="1"/>
      <c r="D1689" s="1"/>
      <c r="E1689" s="1"/>
    </row>
    <row r="1690" spans="3:5" x14ac:dyDescent="0.3">
      <c r="C1690" s="1"/>
      <c r="D1690" s="1"/>
      <c r="E1690" s="1"/>
    </row>
    <row r="1691" spans="3:5" x14ac:dyDescent="0.3">
      <c r="C1691" s="1"/>
      <c r="D1691" s="1"/>
      <c r="E1691" s="1"/>
    </row>
    <row r="1692" spans="3:5" x14ac:dyDescent="0.3">
      <c r="C1692" s="1"/>
      <c r="D1692" s="1"/>
      <c r="E1692" s="1"/>
    </row>
    <row r="1693" spans="3:5" x14ac:dyDescent="0.3">
      <c r="C1693" s="1"/>
      <c r="D1693" s="1"/>
      <c r="E1693" s="1"/>
    </row>
    <row r="1694" spans="3:5" x14ac:dyDescent="0.3">
      <c r="C1694" s="1"/>
      <c r="D1694" s="1"/>
      <c r="E1694" s="1"/>
    </row>
    <row r="1695" spans="3:5" x14ac:dyDescent="0.3">
      <c r="C1695" s="1"/>
      <c r="D1695" s="1"/>
      <c r="E1695" s="1"/>
    </row>
    <row r="1696" spans="3:5" x14ac:dyDescent="0.3">
      <c r="C1696" s="1"/>
      <c r="D1696" s="1"/>
      <c r="E1696" s="1"/>
    </row>
    <row r="1697" spans="3:5" x14ac:dyDescent="0.3">
      <c r="C1697" s="1"/>
      <c r="D1697" s="1"/>
      <c r="E1697" s="1"/>
    </row>
    <row r="1698" spans="3:5" x14ac:dyDescent="0.3">
      <c r="C1698" s="1"/>
      <c r="D1698" s="1"/>
      <c r="E1698" s="1"/>
    </row>
    <row r="1699" spans="3:5" x14ac:dyDescent="0.3">
      <c r="C1699" s="1"/>
      <c r="D1699" s="1"/>
      <c r="E1699" s="1"/>
    </row>
    <row r="1700" spans="3:5" x14ac:dyDescent="0.3">
      <c r="C1700" s="1"/>
      <c r="D1700" s="1"/>
      <c r="E1700" s="1"/>
    </row>
    <row r="1701" spans="3:5" x14ac:dyDescent="0.3">
      <c r="C1701" s="1"/>
      <c r="D1701" s="1"/>
      <c r="E1701" s="1"/>
    </row>
    <row r="1702" spans="3:5" x14ac:dyDescent="0.3">
      <c r="C1702" s="1"/>
      <c r="D1702" s="1"/>
      <c r="E1702" s="1"/>
    </row>
    <row r="1703" spans="3:5" x14ac:dyDescent="0.3">
      <c r="C1703" s="1"/>
      <c r="D1703" s="1"/>
      <c r="E1703" s="1"/>
    </row>
    <row r="1704" spans="3:5" x14ac:dyDescent="0.3">
      <c r="C1704" s="1"/>
      <c r="D1704" s="1"/>
      <c r="E1704" s="1"/>
    </row>
    <row r="1705" spans="3:5" x14ac:dyDescent="0.3">
      <c r="C1705" s="1"/>
      <c r="D1705" s="1"/>
      <c r="E1705" s="1"/>
    </row>
    <row r="1706" spans="3:5" x14ac:dyDescent="0.3">
      <c r="C1706" s="1"/>
      <c r="D1706" s="1"/>
      <c r="E1706" s="1"/>
    </row>
    <row r="1707" spans="3:5" x14ac:dyDescent="0.3">
      <c r="C1707" s="1"/>
      <c r="D1707" s="1"/>
      <c r="E1707" s="1"/>
    </row>
    <row r="1708" spans="3:5" x14ac:dyDescent="0.3">
      <c r="C1708" s="1"/>
      <c r="D1708" s="1"/>
      <c r="E1708" s="1"/>
    </row>
    <row r="1709" spans="3:5" x14ac:dyDescent="0.3">
      <c r="C1709" s="1"/>
      <c r="D1709" s="1"/>
      <c r="E1709" s="1"/>
    </row>
    <row r="1710" spans="3:5" x14ac:dyDescent="0.3">
      <c r="C1710" s="1"/>
      <c r="D1710" s="1"/>
      <c r="E1710" s="1"/>
    </row>
    <row r="1711" spans="3:5" x14ac:dyDescent="0.3">
      <c r="C1711" s="1"/>
      <c r="D1711" s="1"/>
      <c r="E1711" s="1"/>
    </row>
    <row r="1712" spans="3:5" x14ac:dyDescent="0.3">
      <c r="C1712" s="1"/>
      <c r="D1712" s="1"/>
      <c r="E1712" s="1"/>
    </row>
    <row r="1713" spans="3:5" x14ac:dyDescent="0.3">
      <c r="C1713" s="1"/>
      <c r="D1713" s="1"/>
      <c r="E1713" s="1"/>
    </row>
    <row r="1714" spans="3:5" x14ac:dyDescent="0.3">
      <c r="C1714" s="1"/>
      <c r="D1714" s="1"/>
      <c r="E1714" s="1"/>
    </row>
    <row r="1715" spans="3:5" x14ac:dyDescent="0.3">
      <c r="C1715" s="1"/>
      <c r="D1715" s="1"/>
      <c r="E1715" s="1"/>
    </row>
    <row r="1716" spans="3:5" x14ac:dyDescent="0.3">
      <c r="C1716" s="1"/>
      <c r="D1716" s="1"/>
      <c r="E1716" s="1"/>
    </row>
    <row r="1717" spans="3:5" x14ac:dyDescent="0.3">
      <c r="C1717" s="1"/>
      <c r="D1717" s="1"/>
      <c r="E1717" s="1"/>
    </row>
    <row r="1718" spans="3:5" x14ac:dyDescent="0.3">
      <c r="C1718" s="1"/>
      <c r="D1718" s="1"/>
      <c r="E1718" s="1"/>
    </row>
    <row r="1719" spans="3:5" x14ac:dyDescent="0.3">
      <c r="C1719" s="1"/>
      <c r="D1719" s="1"/>
      <c r="E1719" s="1"/>
    </row>
    <row r="1720" spans="3:5" x14ac:dyDescent="0.3">
      <c r="C1720" s="1"/>
      <c r="D1720" s="1"/>
      <c r="E1720" s="1"/>
    </row>
    <row r="1721" spans="3:5" x14ac:dyDescent="0.3">
      <c r="C1721" s="1"/>
      <c r="D1721" s="1"/>
      <c r="E1721" s="1"/>
    </row>
    <row r="1722" spans="3:5" x14ac:dyDescent="0.3">
      <c r="C1722" s="1"/>
      <c r="D1722" s="1"/>
      <c r="E1722" s="1"/>
    </row>
    <row r="1723" spans="3:5" x14ac:dyDescent="0.3">
      <c r="C1723" s="1"/>
      <c r="D1723" s="1"/>
      <c r="E1723" s="1"/>
    </row>
    <row r="1724" spans="3:5" x14ac:dyDescent="0.3">
      <c r="C1724" s="1"/>
      <c r="D1724" s="1"/>
      <c r="E1724" s="1"/>
    </row>
    <row r="1725" spans="3:5" x14ac:dyDescent="0.3">
      <c r="C1725" s="1"/>
      <c r="D1725" s="1"/>
      <c r="E1725" s="1"/>
    </row>
    <row r="1726" spans="3:5" x14ac:dyDescent="0.3">
      <c r="C1726" s="1"/>
      <c r="D1726" s="1"/>
      <c r="E1726" s="1"/>
    </row>
    <row r="1727" spans="3:5" x14ac:dyDescent="0.3">
      <c r="C1727" s="1"/>
      <c r="D1727" s="1"/>
      <c r="E1727" s="1"/>
    </row>
    <row r="1728" spans="3:5" x14ac:dyDescent="0.3">
      <c r="C1728" s="1"/>
      <c r="D1728" s="1"/>
      <c r="E1728" s="1"/>
    </row>
    <row r="1729" spans="3:5" x14ac:dyDescent="0.3">
      <c r="C1729" s="1"/>
      <c r="D1729" s="1"/>
      <c r="E1729" s="1"/>
    </row>
    <row r="1730" spans="3:5" x14ac:dyDescent="0.3">
      <c r="C1730" s="1"/>
      <c r="D1730" s="1"/>
      <c r="E1730" s="1"/>
    </row>
    <row r="1731" spans="3:5" x14ac:dyDescent="0.3">
      <c r="C1731" s="1"/>
      <c r="D1731" s="1"/>
      <c r="E1731" s="1"/>
    </row>
    <row r="1732" spans="3:5" x14ac:dyDescent="0.3">
      <c r="C1732" s="1"/>
      <c r="D1732" s="1"/>
      <c r="E1732" s="1"/>
    </row>
    <row r="1733" spans="3:5" x14ac:dyDescent="0.3">
      <c r="C1733" s="1"/>
      <c r="D1733" s="1"/>
      <c r="E1733" s="1"/>
    </row>
    <row r="1734" spans="3:5" x14ac:dyDescent="0.3">
      <c r="C1734" s="1"/>
      <c r="D1734" s="1"/>
      <c r="E1734" s="1"/>
    </row>
    <row r="1735" spans="3:5" x14ac:dyDescent="0.3">
      <c r="C1735" s="1"/>
      <c r="D1735" s="1"/>
      <c r="E1735" s="1"/>
    </row>
    <row r="1736" spans="3:5" x14ac:dyDescent="0.3">
      <c r="C1736" s="1"/>
      <c r="D1736" s="1"/>
      <c r="E1736" s="1"/>
    </row>
    <row r="1737" spans="3:5" x14ac:dyDescent="0.3">
      <c r="C1737" s="1"/>
      <c r="D1737" s="1"/>
      <c r="E1737" s="1"/>
    </row>
    <row r="1738" spans="3:5" x14ac:dyDescent="0.3">
      <c r="C1738" s="1"/>
      <c r="D1738" s="1"/>
      <c r="E1738" s="1"/>
    </row>
    <row r="1739" spans="3:5" x14ac:dyDescent="0.3">
      <c r="C1739" s="1"/>
      <c r="D1739" s="1"/>
      <c r="E1739" s="1"/>
    </row>
    <row r="1740" spans="3:5" x14ac:dyDescent="0.3">
      <c r="C1740" s="1"/>
      <c r="D1740" s="1"/>
      <c r="E1740" s="1"/>
    </row>
    <row r="1741" spans="3:5" x14ac:dyDescent="0.3">
      <c r="C1741" s="1"/>
      <c r="D1741" s="1"/>
      <c r="E1741" s="1"/>
    </row>
    <row r="1742" spans="3:5" x14ac:dyDescent="0.3">
      <c r="C1742" s="1"/>
      <c r="D1742" s="1"/>
      <c r="E1742" s="1"/>
    </row>
    <row r="1743" spans="3:5" x14ac:dyDescent="0.3">
      <c r="C1743" s="1"/>
      <c r="D1743" s="1"/>
      <c r="E1743" s="1"/>
    </row>
    <row r="1744" spans="3:5" x14ac:dyDescent="0.3">
      <c r="C1744" s="1"/>
      <c r="D1744" s="1"/>
      <c r="E1744" s="1"/>
    </row>
    <row r="1745" spans="3:5" x14ac:dyDescent="0.3">
      <c r="C1745" s="1"/>
      <c r="D1745" s="1"/>
      <c r="E1745" s="1"/>
    </row>
    <row r="1746" spans="3:5" x14ac:dyDescent="0.3">
      <c r="C1746" s="1"/>
      <c r="D1746" s="1"/>
      <c r="E1746" s="1"/>
    </row>
    <row r="1747" spans="3:5" x14ac:dyDescent="0.3">
      <c r="C1747" s="1"/>
      <c r="D1747" s="1"/>
      <c r="E1747" s="1"/>
    </row>
    <row r="1748" spans="3:5" x14ac:dyDescent="0.3">
      <c r="C1748" s="1"/>
      <c r="D1748" s="1"/>
      <c r="E1748" s="1"/>
    </row>
    <row r="1749" spans="3:5" x14ac:dyDescent="0.3">
      <c r="C1749" s="1"/>
      <c r="D1749" s="1"/>
      <c r="E1749" s="1"/>
    </row>
    <row r="1750" spans="3:5" x14ac:dyDescent="0.3">
      <c r="C1750" s="1"/>
      <c r="D1750" s="1"/>
      <c r="E1750" s="1"/>
    </row>
    <row r="1751" spans="3:5" x14ac:dyDescent="0.3">
      <c r="C1751" s="1"/>
      <c r="D1751" s="1"/>
      <c r="E1751" s="1"/>
    </row>
    <row r="1752" spans="3:5" x14ac:dyDescent="0.3">
      <c r="C1752" s="1"/>
      <c r="D1752" s="1"/>
      <c r="E1752" s="1"/>
    </row>
    <row r="1753" spans="3:5" x14ac:dyDescent="0.3">
      <c r="C1753" s="1"/>
      <c r="D1753" s="1"/>
      <c r="E1753" s="1"/>
    </row>
    <row r="1754" spans="3:5" x14ac:dyDescent="0.3">
      <c r="C1754" s="1"/>
      <c r="D1754" s="1"/>
      <c r="E1754" s="1"/>
    </row>
    <row r="1755" spans="3:5" x14ac:dyDescent="0.3">
      <c r="C1755" s="1"/>
      <c r="D1755" s="1"/>
      <c r="E1755" s="1"/>
    </row>
    <row r="1756" spans="3:5" x14ac:dyDescent="0.3">
      <c r="C1756" s="1"/>
      <c r="D1756" s="1"/>
      <c r="E1756" s="1"/>
    </row>
    <row r="1757" spans="3:5" x14ac:dyDescent="0.3">
      <c r="C1757" s="1"/>
      <c r="D1757" s="1"/>
      <c r="E1757" s="1"/>
    </row>
    <row r="1758" spans="3:5" x14ac:dyDescent="0.3">
      <c r="C1758" s="1"/>
      <c r="D1758" s="1"/>
      <c r="E1758" s="1"/>
    </row>
    <row r="1759" spans="3:5" x14ac:dyDescent="0.3">
      <c r="C1759" s="1"/>
      <c r="D1759" s="1"/>
      <c r="E1759" s="1"/>
    </row>
    <row r="1760" spans="3:5" x14ac:dyDescent="0.3">
      <c r="C1760" s="1"/>
      <c r="D1760" s="1"/>
      <c r="E1760" s="1"/>
    </row>
    <row r="1761" spans="3:5" x14ac:dyDescent="0.3">
      <c r="C1761" s="1"/>
      <c r="D1761" s="1"/>
      <c r="E1761" s="1"/>
    </row>
    <row r="1762" spans="3:5" x14ac:dyDescent="0.3">
      <c r="C1762" s="1"/>
      <c r="D1762" s="1"/>
      <c r="E1762" s="1"/>
    </row>
    <row r="1763" spans="3:5" x14ac:dyDescent="0.3">
      <c r="C1763" s="1"/>
      <c r="D1763" s="1"/>
      <c r="E1763" s="1"/>
    </row>
    <row r="1764" spans="3:5" x14ac:dyDescent="0.3">
      <c r="C1764" s="1"/>
      <c r="D1764" s="1"/>
      <c r="E1764" s="1"/>
    </row>
    <row r="1765" spans="3:5" x14ac:dyDescent="0.3">
      <c r="C1765" s="1"/>
      <c r="D1765" s="1"/>
      <c r="E1765" s="1"/>
    </row>
    <row r="1766" spans="3:5" x14ac:dyDescent="0.3">
      <c r="C1766" s="1"/>
      <c r="D1766" s="1"/>
      <c r="E1766" s="1"/>
    </row>
    <row r="1767" spans="3:5" x14ac:dyDescent="0.3">
      <c r="C1767" s="1"/>
      <c r="D1767" s="1"/>
      <c r="E1767" s="1"/>
    </row>
    <row r="1768" spans="3:5" x14ac:dyDescent="0.3">
      <c r="C1768" s="1"/>
      <c r="D1768" s="1"/>
      <c r="E1768" s="1"/>
    </row>
    <row r="1769" spans="3:5" x14ac:dyDescent="0.3">
      <c r="C1769" s="1"/>
      <c r="D1769" s="1"/>
      <c r="E1769" s="1"/>
    </row>
    <row r="1770" spans="3:5" x14ac:dyDescent="0.3">
      <c r="C1770" s="1"/>
      <c r="D1770" s="1"/>
      <c r="E1770" s="1"/>
    </row>
    <row r="1771" spans="3:5" x14ac:dyDescent="0.3">
      <c r="C1771" s="1"/>
      <c r="D1771" s="1"/>
      <c r="E1771" s="1"/>
    </row>
    <row r="1772" spans="3:5" x14ac:dyDescent="0.3">
      <c r="C1772" s="1"/>
      <c r="D1772" s="1"/>
      <c r="E1772" s="1"/>
    </row>
    <row r="1773" spans="3:5" x14ac:dyDescent="0.3">
      <c r="C1773" s="1"/>
      <c r="D1773" s="1"/>
      <c r="E1773" s="1"/>
    </row>
    <row r="1774" spans="3:5" x14ac:dyDescent="0.3">
      <c r="C1774" s="1"/>
      <c r="D1774" s="1"/>
      <c r="E1774" s="1"/>
    </row>
    <row r="1775" spans="3:5" x14ac:dyDescent="0.3">
      <c r="C1775" s="1"/>
      <c r="D1775" s="1"/>
      <c r="E1775" s="1"/>
    </row>
    <row r="1776" spans="3:5" x14ac:dyDescent="0.3">
      <c r="C1776" s="1"/>
      <c r="D1776" s="1"/>
      <c r="E1776" s="1"/>
    </row>
    <row r="1777" spans="3:5" x14ac:dyDescent="0.3">
      <c r="C1777" s="1"/>
      <c r="D1777" s="1"/>
      <c r="E1777" s="1"/>
    </row>
    <row r="1778" spans="3:5" x14ac:dyDescent="0.3">
      <c r="C1778" s="1"/>
      <c r="D1778" s="1"/>
      <c r="E1778" s="1"/>
    </row>
    <row r="1779" spans="3:5" x14ac:dyDescent="0.3">
      <c r="C1779" s="1"/>
      <c r="D1779" s="1"/>
      <c r="E1779" s="1"/>
    </row>
    <row r="1780" spans="3:5" x14ac:dyDescent="0.3">
      <c r="C1780" s="1"/>
      <c r="D1780" s="1"/>
      <c r="E1780" s="1"/>
    </row>
    <row r="1781" spans="3:5" x14ac:dyDescent="0.3">
      <c r="C1781" s="1"/>
      <c r="D1781" s="1"/>
      <c r="E1781" s="1"/>
    </row>
    <row r="1782" spans="3:5" x14ac:dyDescent="0.3">
      <c r="C1782" s="1"/>
      <c r="D1782" s="1"/>
      <c r="E1782" s="1"/>
    </row>
    <row r="1783" spans="3:5" x14ac:dyDescent="0.3">
      <c r="C1783" s="1"/>
      <c r="D1783" s="1"/>
      <c r="E1783" s="1"/>
    </row>
    <row r="1784" spans="3:5" x14ac:dyDescent="0.3">
      <c r="C1784" s="1"/>
      <c r="D1784" s="1"/>
      <c r="E1784" s="1"/>
    </row>
    <row r="1785" spans="3:5" x14ac:dyDescent="0.3">
      <c r="C1785" s="1"/>
      <c r="D1785" s="1"/>
      <c r="E1785" s="1"/>
    </row>
    <row r="1786" spans="3:5" x14ac:dyDescent="0.3">
      <c r="C1786" s="1"/>
      <c r="D1786" s="1"/>
      <c r="E1786" s="1"/>
    </row>
    <row r="1787" spans="3:5" x14ac:dyDescent="0.3">
      <c r="C1787" s="1"/>
      <c r="D1787" s="1"/>
      <c r="E1787" s="1"/>
    </row>
    <row r="1788" spans="3:5" x14ac:dyDescent="0.3">
      <c r="C1788" s="1"/>
      <c r="D1788" s="1"/>
      <c r="E1788" s="1"/>
    </row>
    <row r="1789" spans="3:5" x14ac:dyDescent="0.3">
      <c r="C1789" s="1"/>
      <c r="D1789" s="1"/>
      <c r="E1789" s="1"/>
    </row>
    <row r="1790" spans="3:5" x14ac:dyDescent="0.3">
      <c r="C1790" s="1"/>
      <c r="D1790" s="1"/>
      <c r="E1790" s="1"/>
    </row>
    <row r="1791" spans="3:5" x14ac:dyDescent="0.3">
      <c r="C1791" s="1"/>
      <c r="D1791" s="1"/>
      <c r="E1791" s="1"/>
    </row>
    <row r="1792" spans="3:5" x14ac:dyDescent="0.3">
      <c r="C1792" s="1"/>
      <c r="D1792" s="1"/>
      <c r="E1792" s="1"/>
    </row>
    <row r="1793" spans="3:5" x14ac:dyDescent="0.3">
      <c r="C1793" s="1"/>
      <c r="D1793" s="1"/>
      <c r="E1793" s="1"/>
    </row>
    <row r="1794" spans="3:5" x14ac:dyDescent="0.3">
      <c r="C1794" s="1"/>
      <c r="D1794" s="1"/>
      <c r="E1794" s="1"/>
    </row>
    <row r="1795" spans="3:5" x14ac:dyDescent="0.3">
      <c r="C1795" s="1"/>
      <c r="D1795" s="1"/>
      <c r="E1795" s="1"/>
    </row>
    <row r="1796" spans="3:5" x14ac:dyDescent="0.3">
      <c r="C1796" s="1"/>
      <c r="D1796" s="1"/>
      <c r="E1796" s="1"/>
    </row>
    <row r="1797" spans="3:5" x14ac:dyDescent="0.3">
      <c r="C1797" s="1"/>
      <c r="D1797" s="1"/>
      <c r="E1797" s="1"/>
    </row>
    <row r="1798" spans="3:5" x14ac:dyDescent="0.3">
      <c r="C1798" s="1"/>
      <c r="D1798" s="1"/>
      <c r="E1798" s="1"/>
    </row>
    <row r="1799" spans="3:5" x14ac:dyDescent="0.3">
      <c r="C1799" s="1"/>
      <c r="D1799" s="1"/>
      <c r="E1799" s="1"/>
    </row>
    <row r="1800" spans="3:5" x14ac:dyDescent="0.3">
      <c r="C1800" s="1"/>
      <c r="D1800" s="1"/>
      <c r="E1800" s="1"/>
    </row>
    <row r="1801" spans="3:5" x14ac:dyDescent="0.3">
      <c r="C1801" s="1"/>
      <c r="D1801" s="1"/>
      <c r="E1801" s="1"/>
    </row>
    <row r="1802" spans="3:5" x14ac:dyDescent="0.3">
      <c r="C1802" s="1"/>
      <c r="D1802" s="1"/>
      <c r="E1802" s="1"/>
    </row>
    <row r="1803" spans="3:5" x14ac:dyDescent="0.3">
      <c r="C1803" s="1"/>
      <c r="D1803" s="1"/>
      <c r="E1803" s="1"/>
    </row>
    <row r="1804" spans="3:5" x14ac:dyDescent="0.3">
      <c r="C1804" s="1"/>
      <c r="D1804" s="1"/>
      <c r="E1804" s="1"/>
    </row>
    <row r="1805" spans="3:5" x14ac:dyDescent="0.3">
      <c r="C1805" s="1"/>
      <c r="D1805" s="1"/>
      <c r="E1805" s="1"/>
    </row>
    <row r="1806" spans="3:5" x14ac:dyDescent="0.3">
      <c r="C1806" s="1"/>
      <c r="D1806" s="1"/>
      <c r="E1806" s="1"/>
    </row>
    <row r="1807" spans="3:5" x14ac:dyDescent="0.3">
      <c r="C1807" s="1"/>
      <c r="D1807" s="1"/>
      <c r="E1807" s="1"/>
    </row>
    <row r="1808" spans="3:5" x14ac:dyDescent="0.3">
      <c r="C1808" s="1"/>
      <c r="D1808" s="1"/>
      <c r="E1808" s="1"/>
    </row>
    <row r="1809" spans="3:5" x14ac:dyDescent="0.3">
      <c r="C1809" s="1"/>
      <c r="D1809" s="1"/>
      <c r="E1809" s="1"/>
    </row>
    <row r="1810" spans="3:5" x14ac:dyDescent="0.3">
      <c r="C1810" s="1"/>
      <c r="D1810" s="1"/>
      <c r="E1810" s="1"/>
    </row>
    <row r="1811" spans="3:5" x14ac:dyDescent="0.3">
      <c r="C1811" s="1"/>
      <c r="D1811" s="1"/>
      <c r="E1811" s="1"/>
    </row>
    <row r="1812" spans="3:5" x14ac:dyDescent="0.3">
      <c r="C1812" s="1"/>
      <c r="D1812" s="1"/>
      <c r="E1812" s="1"/>
    </row>
    <row r="1813" spans="3:5" x14ac:dyDescent="0.3">
      <c r="C1813" s="1"/>
      <c r="D1813" s="1"/>
      <c r="E1813" s="1"/>
    </row>
    <row r="1814" spans="3:5" x14ac:dyDescent="0.3">
      <c r="C1814" s="1"/>
      <c r="D1814" s="1"/>
      <c r="E1814" s="1"/>
    </row>
    <row r="1815" spans="3:5" x14ac:dyDescent="0.3">
      <c r="C1815" s="1"/>
      <c r="D1815" s="1"/>
      <c r="E1815" s="1"/>
    </row>
    <row r="1816" spans="3:5" x14ac:dyDescent="0.3">
      <c r="C1816" s="1"/>
      <c r="D1816" s="1"/>
      <c r="E1816" s="1"/>
    </row>
    <row r="1817" spans="3:5" x14ac:dyDescent="0.3">
      <c r="C1817" s="1"/>
      <c r="D1817" s="1"/>
      <c r="E1817" s="1"/>
    </row>
    <row r="1818" spans="3:5" x14ac:dyDescent="0.3">
      <c r="C1818" s="1"/>
      <c r="D1818" s="1"/>
      <c r="E1818" s="1"/>
    </row>
    <row r="1819" spans="3:5" x14ac:dyDescent="0.3">
      <c r="C1819" s="1"/>
      <c r="D1819" s="1"/>
      <c r="E1819" s="1"/>
    </row>
    <row r="1820" spans="3:5" x14ac:dyDescent="0.3">
      <c r="C1820" s="1"/>
      <c r="D1820" s="1"/>
      <c r="E1820" s="1"/>
    </row>
    <row r="1821" spans="3:5" x14ac:dyDescent="0.3">
      <c r="C1821" s="1"/>
      <c r="D1821" s="1"/>
      <c r="E1821" s="1"/>
    </row>
    <row r="1822" spans="3:5" x14ac:dyDescent="0.3">
      <c r="C1822" s="1"/>
      <c r="D1822" s="1"/>
      <c r="E1822" s="1"/>
    </row>
    <row r="1823" spans="3:5" x14ac:dyDescent="0.3">
      <c r="C1823" s="1"/>
      <c r="D1823" s="1"/>
      <c r="E1823" s="1"/>
    </row>
    <row r="1824" spans="3:5" x14ac:dyDescent="0.3">
      <c r="C1824" s="1"/>
      <c r="D1824" s="1"/>
      <c r="E1824" s="1"/>
    </row>
    <row r="1825" spans="3:5" x14ac:dyDescent="0.3">
      <c r="C1825" s="1"/>
      <c r="D1825" s="1"/>
      <c r="E1825" s="1"/>
    </row>
    <row r="1826" spans="3:5" x14ac:dyDescent="0.3">
      <c r="C1826" s="1"/>
      <c r="D1826" s="1"/>
      <c r="E1826" s="1"/>
    </row>
    <row r="1827" spans="3:5" x14ac:dyDescent="0.3">
      <c r="C1827" s="1"/>
      <c r="D1827" s="1"/>
      <c r="E1827" s="1"/>
    </row>
    <row r="1828" spans="3:5" x14ac:dyDescent="0.3">
      <c r="C1828" s="1"/>
      <c r="D1828" s="1"/>
      <c r="E1828" s="1"/>
    </row>
    <row r="1829" spans="3:5" x14ac:dyDescent="0.3">
      <c r="C1829" s="1"/>
      <c r="D1829" s="1"/>
      <c r="E1829" s="1"/>
    </row>
    <row r="1830" spans="3:5" x14ac:dyDescent="0.3">
      <c r="C1830" s="1"/>
      <c r="D1830" s="1"/>
      <c r="E1830" s="1"/>
    </row>
    <row r="1831" spans="3:5" x14ac:dyDescent="0.3">
      <c r="C1831" s="1"/>
      <c r="D1831" s="1"/>
      <c r="E1831" s="1"/>
    </row>
    <row r="1832" spans="3:5" x14ac:dyDescent="0.3">
      <c r="C1832" s="1"/>
      <c r="D1832" s="1"/>
      <c r="E1832" s="1"/>
    </row>
    <row r="1833" spans="3:5" x14ac:dyDescent="0.3">
      <c r="C1833" s="1"/>
      <c r="D1833" s="1"/>
      <c r="E1833" s="1"/>
    </row>
    <row r="1834" spans="3:5" x14ac:dyDescent="0.3">
      <c r="C1834" s="1"/>
      <c r="D1834" s="1"/>
      <c r="E1834" s="1"/>
    </row>
    <row r="1835" spans="3:5" x14ac:dyDescent="0.3">
      <c r="C1835" s="1"/>
      <c r="D1835" s="1"/>
      <c r="E1835" s="1"/>
    </row>
    <row r="1836" spans="3:5" x14ac:dyDescent="0.3">
      <c r="C1836" s="1"/>
      <c r="D1836" s="1"/>
      <c r="E1836" s="1"/>
    </row>
    <row r="1837" spans="3:5" x14ac:dyDescent="0.3">
      <c r="C1837" s="1"/>
      <c r="D1837" s="1"/>
      <c r="E1837" s="1"/>
    </row>
    <row r="1838" spans="3:5" x14ac:dyDescent="0.3">
      <c r="C1838" s="1"/>
      <c r="D1838" s="1"/>
      <c r="E1838" s="1"/>
    </row>
    <row r="1839" spans="3:5" x14ac:dyDescent="0.3">
      <c r="C1839" s="1"/>
      <c r="D1839" s="1"/>
      <c r="E1839" s="1"/>
    </row>
    <row r="1840" spans="3:5" x14ac:dyDescent="0.3">
      <c r="C1840" s="1"/>
      <c r="D1840" s="1"/>
      <c r="E1840" s="1"/>
    </row>
    <row r="1841" spans="3:5" x14ac:dyDescent="0.3">
      <c r="C1841" s="1"/>
      <c r="D1841" s="1"/>
      <c r="E1841" s="1"/>
    </row>
    <row r="1842" spans="3:5" x14ac:dyDescent="0.3">
      <c r="C1842" s="1"/>
      <c r="D1842" s="1"/>
      <c r="E1842" s="1"/>
    </row>
    <row r="1843" spans="3:5" x14ac:dyDescent="0.3">
      <c r="C1843" s="1"/>
      <c r="D1843" s="1"/>
      <c r="E1843" s="1"/>
    </row>
    <row r="1844" spans="3:5" x14ac:dyDescent="0.3">
      <c r="C1844" s="1"/>
      <c r="D1844" s="1"/>
      <c r="E1844" s="1"/>
    </row>
    <row r="1845" spans="3:5" x14ac:dyDescent="0.3">
      <c r="C1845" s="1"/>
      <c r="D1845" s="1"/>
      <c r="E1845" s="1"/>
    </row>
    <row r="1846" spans="3:5" x14ac:dyDescent="0.3">
      <c r="C1846" s="1"/>
      <c r="D1846" s="1"/>
      <c r="E1846" s="1"/>
    </row>
    <row r="1847" spans="3:5" x14ac:dyDescent="0.3">
      <c r="C1847" s="1"/>
      <c r="D1847" s="1"/>
      <c r="E1847" s="1"/>
    </row>
    <row r="1848" spans="3:5" x14ac:dyDescent="0.3">
      <c r="C1848" s="1"/>
      <c r="D1848" s="1"/>
      <c r="E1848" s="1"/>
    </row>
    <row r="1849" spans="3:5" x14ac:dyDescent="0.3">
      <c r="C1849" s="1"/>
      <c r="D1849" s="1"/>
      <c r="E1849" s="1"/>
    </row>
    <row r="1850" spans="3:5" x14ac:dyDescent="0.3">
      <c r="C1850" s="1"/>
      <c r="D1850" s="1"/>
      <c r="E1850" s="1"/>
    </row>
    <row r="1851" spans="3:5" x14ac:dyDescent="0.3">
      <c r="C1851" s="1"/>
      <c r="D1851" s="1"/>
      <c r="E1851" s="1"/>
    </row>
    <row r="1852" spans="3:5" x14ac:dyDescent="0.3">
      <c r="C1852" s="1"/>
      <c r="D1852" s="1"/>
      <c r="E1852" s="1"/>
    </row>
    <row r="1853" spans="3:5" x14ac:dyDescent="0.3">
      <c r="C1853" s="1"/>
      <c r="D1853" s="1"/>
      <c r="E1853" s="1"/>
    </row>
    <row r="1854" spans="3:5" x14ac:dyDescent="0.3">
      <c r="C1854" s="1"/>
      <c r="D1854" s="1"/>
      <c r="E1854" s="1"/>
    </row>
    <row r="1855" spans="3:5" x14ac:dyDescent="0.3">
      <c r="C1855" s="1"/>
      <c r="D1855" s="1"/>
      <c r="E1855" s="1"/>
    </row>
    <row r="1856" spans="3:5" x14ac:dyDescent="0.3">
      <c r="C1856" s="1"/>
      <c r="D1856" s="1"/>
      <c r="E1856" s="1"/>
    </row>
    <row r="1857" spans="3:5" x14ac:dyDescent="0.3">
      <c r="C1857" s="1"/>
      <c r="D1857" s="1"/>
      <c r="E1857" s="1"/>
    </row>
    <row r="1858" spans="3:5" x14ac:dyDescent="0.3">
      <c r="C1858" s="1"/>
      <c r="D1858" s="1"/>
      <c r="E1858" s="1"/>
    </row>
    <row r="1859" spans="3:5" x14ac:dyDescent="0.3">
      <c r="C1859" s="1"/>
      <c r="D1859" s="1"/>
      <c r="E1859" s="1"/>
    </row>
    <row r="1860" spans="3:5" x14ac:dyDescent="0.3">
      <c r="C1860" s="1"/>
      <c r="D1860" s="1"/>
      <c r="E1860" s="1"/>
    </row>
    <row r="1861" spans="3:5" x14ac:dyDescent="0.3">
      <c r="C1861" s="1"/>
      <c r="D1861" s="1"/>
      <c r="E1861" s="1"/>
    </row>
    <row r="1862" spans="3:5" x14ac:dyDescent="0.3">
      <c r="C1862" s="1"/>
      <c r="D1862" s="1"/>
      <c r="E1862" s="1"/>
    </row>
    <row r="1863" spans="3:5" x14ac:dyDescent="0.3">
      <c r="C1863" s="1"/>
      <c r="D1863" s="1"/>
      <c r="E1863" s="1"/>
    </row>
    <row r="1864" spans="3:5" x14ac:dyDescent="0.3">
      <c r="C1864" s="1"/>
      <c r="D1864" s="1"/>
      <c r="E1864" s="1"/>
    </row>
    <row r="1865" spans="3:5" x14ac:dyDescent="0.3">
      <c r="C1865" s="1"/>
      <c r="D1865" s="1"/>
      <c r="E1865" s="1"/>
    </row>
    <row r="1866" spans="3:5" x14ac:dyDescent="0.3">
      <c r="C1866" s="1"/>
      <c r="D1866" s="1"/>
      <c r="E1866" s="1"/>
    </row>
    <row r="1867" spans="3:5" x14ac:dyDescent="0.3">
      <c r="C1867" s="1"/>
      <c r="D1867" s="1"/>
      <c r="E1867" s="1"/>
    </row>
    <row r="1868" spans="3:5" x14ac:dyDescent="0.3">
      <c r="C1868" s="1"/>
      <c r="D1868" s="1"/>
      <c r="E1868" s="1"/>
    </row>
    <row r="1869" spans="3:5" x14ac:dyDescent="0.3">
      <c r="C1869" s="1"/>
      <c r="D1869" s="1"/>
      <c r="E1869" s="1"/>
    </row>
    <row r="1870" spans="3:5" x14ac:dyDescent="0.3">
      <c r="C1870" s="1"/>
      <c r="D1870" s="1"/>
      <c r="E1870" s="1"/>
    </row>
    <row r="1871" spans="3:5" x14ac:dyDescent="0.3">
      <c r="C1871" s="1"/>
      <c r="D1871" s="1"/>
      <c r="E1871" s="1"/>
    </row>
    <row r="1872" spans="3:5" x14ac:dyDescent="0.3">
      <c r="C1872" s="1"/>
      <c r="D1872" s="1"/>
      <c r="E1872" s="1"/>
    </row>
    <row r="1873" spans="3:5" x14ac:dyDescent="0.3">
      <c r="C1873" s="1"/>
      <c r="D1873" s="1"/>
      <c r="E1873" s="1"/>
    </row>
    <row r="1874" spans="3:5" x14ac:dyDescent="0.3">
      <c r="C1874" s="1"/>
      <c r="D1874" s="1"/>
      <c r="E1874" s="1"/>
    </row>
    <row r="1875" spans="3:5" x14ac:dyDescent="0.3">
      <c r="C1875" s="1"/>
      <c r="D1875" s="1"/>
      <c r="E1875" s="1"/>
    </row>
    <row r="1876" spans="3:5" x14ac:dyDescent="0.3">
      <c r="C1876" s="1"/>
      <c r="D1876" s="1"/>
      <c r="E1876" s="1"/>
    </row>
    <row r="1877" spans="3:5" x14ac:dyDescent="0.3">
      <c r="C1877" s="1"/>
      <c r="D1877" s="1"/>
      <c r="E1877" s="1"/>
    </row>
    <row r="1878" spans="3:5" x14ac:dyDescent="0.3">
      <c r="C1878" s="1"/>
      <c r="D1878" s="1"/>
      <c r="E1878" s="1"/>
    </row>
    <row r="1879" spans="3:5" x14ac:dyDescent="0.3">
      <c r="C1879" s="1"/>
      <c r="D1879" s="1"/>
      <c r="E1879" s="1"/>
    </row>
    <row r="1880" spans="3:5" x14ac:dyDescent="0.3">
      <c r="C1880" s="1"/>
      <c r="D1880" s="1"/>
      <c r="E1880" s="1"/>
    </row>
    <row r="1881" spans="3:5" x14ac:dyDescent="0.3">
      <c r="C1881" s="1"/>
      <c r="D1881" s="1"/>
      <c r="E1881" s="1"/>
    </row>
    <row r="1882" spans="3:5" x14ac:dyDescent="0.3">
      <c r="C1882" s="1"/>
      <c r="D1882" s="1"/>
      <c r="E1882" s="1"/>
    </row>
    <row r="1883" spans="3:5" x14ac:dyDescent="0.3">
      <c r="C1883" s="1"/>
      <c r="D1883" s="1"/>
      <c r="E1883" s="1"/>
    </row>
    <row r="1884" spans="3:5" x14ac:dyDescent="0.3">
      <c r="C1884" s="1"/>
      <c r="D1884" s="1"/>
      <c r="E1884" s="1"/>
    </row>
    <row r="1885" spans="3:5" x14ac:dyDescent="0.3">
      <c r="C1885" s="1"/>
      <c r="D1885" s="1"/>
      <c r="E1885" s="1"/>
    </row>
    <row r="1886" spans="3:5" x14ac:dyDescent="0.3">
      <c r="C1886" s="1"/>
      <c r="D1886" s="1"/>
      <c r="E1886" s="1"/>
    </row>
    <row r="1887" spans="3:5" x14ac:dyDescent="0.3">
      <c r="C1887" s="1"/>
      <c r="D1887" s="1"/>
      <c r="E1887" s="1"/>
    </row>
    <row r="1888" spans="3:5" x14ac:dyDescent="0.3">
      <c r="C1888" s="1"/>
      <c r="D1888" s="1"/>
      <c r="E1888" s="1"/>
    </row>
    <row r="1889" spans="3:5" x14ac:dyDescent="0.3">
      <c r="C1889" s="1"/>
      <c r="D1889" s="1"/>
      <c r="E1889" s="1"/>
    </row>
    <row r="1890" spans="3:5" x14ac:dyDescent="0.3">
      <c r="C1890" s="1"/>
      <c r="D1890" s="1"/>
      <c r="E1890" s="1"/>
    </row>
    <row r="1891" spans="3:5" x14ac:dyDescent="0.3">
      <c r="C1891" s="1"/>
      <c r="D1891" s="1"/>
      <c r="E1891" s="1"/>
    </row>
    <row r="1892" spans="3:5" x14ac:dyDescent="0.3">
      <c r="C1892" s="1"/>
      <c r="D1892" s="1"/>
      <c r="E1892" s="1"/>
    </row>
    <row r="1893" spans="3:5" x14ac:dyDescent="0.3">
      <c r="C1893" s="1"/>
      <c r="D1893" s="1"/>
      <c r="E1893" s="1"/>
    </row>
    <row r="1894" spans="3:5" x14ac:dyDescent="0.3">
      <c r="C1894" s="1"/>
      <c r="D1894" s="1"/>
      <c r="E1894" s="1"/>
    </row>
    <row r="1895" spans="3:5" x14ac:dyDescent="0.3">
      <c r="C1895" s="1"/>
      <c r="D1895" s="1"/>
      <c r="E1895" s="1"/>
    </row>
    <row r="1896" spans="3:5" x14ac:dyDescent="0.3">
      <c r="C1896" s="1"/>
      <c r="D1896" s="1"/>
      <c r="E1896" s="1"/>
    </row>
    <row r="1897" spans="3:5" x14ac:dyDescent="0.3">
      <c r="C1897" s="1"/>
      <c r="D1897" s="1"/>
      <c r="E1897" s="1"/>
    </row>
    <row r="1898" spans="3:5" x14ac:dyDescent="0.3">
      <c r="C1898" s="1"/>
      <c r="D1898" s="1"/>
      <c r="E1898" s="1"/>
    </row>
    <row r="1899" spans="3:5" x14ac:dyDescent="0.3">
      <c r="C1899" s="1"/>
      <c r="D1899" s="1"/>
      <c r="E1899" s="1"/>
    </row>
    <row r="1900" spans="3:5" x14ac:dyDescent="0.3">
      <c r="C1900" s="1"/>
      <c r="D1900" s="1"/>
      <c r="E1900" s="1"/>
    </row>
    <row r="1901" spans="3:5" x14ac:dyDescent="0.3">
      <c r="C1901" s="1"/>
      <c r="D1901" s="1"/>
      <c r="E1901" s="1"/>
    </row>
    <row r="1902" spans="3:5" x14ac:dyDescent="0.3">
      <c r="C1902" s="1"/>
      <c r="D1902" s="1"/>
      <c r="E1902" s="1"/>
    </row>
    <row r="1903" spans="3:5" x14ac:dyDescent="0.3">
      <c r="C1903" s="1"/>
      <c r="D1903" s="1"/>
      <c r="E1903" s="1"/>
    </row>
    <row r="1904" spans="3:5" x14ac:dyDescent="0.3">
      <c r="C1904" s="1"/>
      <c r="D1904" s="1"/>
      <c r="E1904" s="1"/>
    </row>
    <row r="1905" spans="3:5" x14ac:dyDescent="0.3">
      <c r="C1905" s="1"/>
      <c r="D1905" s="1"/>
      <c r="E1905" s="1"/>
    </row>
    <row r="1906" spans="3:5" x14ac:dyDescent="0.3">
      <c r="C1906" s="1"/>
      <c r="D1906" s="1"/>
      <c r="E1906" s="1"/>
    </row>
    <row r="1907" spans="3:5" x14ac:dyDescent="0.3">
      <c r="C1907" s="1"/>
      <c r="D1907" s="1"/>
      <c r="E1907" s="1"/>
    </row>
    <row r="1908" spans="3:5" x14ac:dyDescent="0.3">
      <c r="C1908" s="1"/>
      <c r="D1908" s="1"/>
      <c r="E1908" s="1"/>
    </row>
    <row r="1909" spans="3:5" x14ac:dyDescent="0.3">
      <c r="C1909" s="1"/>
      <c r="D1909" s="1"/>
      <c r="E1909" s="1"/>
    </row>
    <row r="1910" spans="3:5" x14ac:dyDescent="0.3">
      <c r="C1910" s="1"/>
      <c r="D1910" s="1"/>
      <c r="E1910" s="1"/>
    </row>
    <row r="1911" spans="3:5" x14ac:dyDescent="0.3">
      <c r="C1911" s="1"/>
      <c r="D1911" s="1"/>
      <c r="E1911" s="1"/>
    </row>
    <row r="1912" spans="3:5" x14ac:dyDescent="0.3">
      <c r="C1912" s="1"/>
      <c r="D1912" s="1"/>
      <c r="E1912" s="1"/>
    </row>
    <row r="1913" spans="3:5" x14ac:dyDescent="0.3">
      <c r="C1913" s="1"/>
      <c r="D1913" s="1"/>
      <c r="E1913" s="1"/>
    </row>
    <row r="1914" spans="3:5" x14ac:dyDescent="0.3">
      <c r="C1914" s="1"/>
      <c r="D1914" s="1"/>
      <c r="E1914" s="1"/>
    </row>
    <row r="1915" spans="3:5" x14ac:dyDescent="0.3">
      <c r="C1915" s="1"/>
      <c r="D1915" s="1"/>
      <c r="E1915" s="1"/>
    </row>
    <row r="1916" spans="3:5" x14ac:dyDescent="0.3">
      <c r="C1916" s="1"/>
      <c r="D1916" s="1"/>
      <c r="E1916" s="1"/>
    </row>
    <row r="1917" spans="3:5" x14ac:dyDescent="0.3">
      <c r="C1917" s="1"/>
      <c r="D1917" s="1"/>
      <c r="E1917" s="1"/>
    </row>
    <row r="1918" spans="3:5" x14ac:dyDescent="0.3">
      <c r="C1918" s="1"/>
      <c r="D1918" s="1"/>
      <c r="E1918" s="1"/>
    </row>
    <row r="1919" spans="3:5" x14ac:dyDescent="0.3">
      <c r="C1919" s="1"/>
      <c r="D1919" s="1"/>
      <c r="E1919" s="1"/>
    </row>
    <row r="1920" spans="3:5" x14ac:dyDescent="0.3">
      <c r="C1920" s="1"/>
      <c r="D1920" s="1"/>
      <c r="E1920" s="1"/>
    </row>
    <row r="1921" spans="3:5" x14ac:dyDescent="0.3">
      <c r="C1921" s="1"/>
      <c r="D1921" s="1"/>
      <c r="E1921" s="1"/>
    </row>
    <row r="1922" spans="3:5" x14ac:dyDescent="0.3">
      <c r="C1922" s="1"/>
      <c r="D1922" s="1"/>
      <c r="E1922" s="1"/>
    </row>
    <row r="1923" spans="3:5" x14ac:dyDescent="0.3">
      <c r="C1923" s="1"/>
      <c r="D1923" s="1"/>
      <c r="E1923" s="1"/>
    </row>
    <row r="1924" spans="3:5" x14ac:dyDescent="0.3">
      <c r="C1924" s="1"/>
      <c r="D1924" s="1"/>
      <c r="E1924" s="1"/>
    </row>
    <row r="1925" spans="3:5" x14ac:dyDescent="0.3">
      <c r="C1925" s="1"/>
      <c r="D1925" s="1"/>
      <c r="E1925" s="1"/>
    </row>
    <row r="1926" spans="3:5" x14ac:dyDescent="0.3">
      <c r="C1926" s="1"/>
      <c r="D1926" s="1"/>
      <c r="E1926" s="1"/>
    </row>
    <row r="1927" spans="3:5" x14ac:dyDescent="0.3">
      <c r="C1927" s="1"/>
      <c r="D1927" s="1"/>
      <c r="E1927" s="1"/>
    </row>
    <row r="1928" spans="3:5" x14ac:dyDescent="0.3">
      <c r="C1928" s="1"/>
      <c r="D1928" s="1"/>
      <c r="E1928" s="1"/>
    </row>
    <row r="1929" spans="3:5" x14ac:dyDescent="0.3">
      <c r="C1929" s="1"/>
      <c r="D1929" s="1"/>
      <c r="E1929" s="1"/>
    </row>
    <row r="1930" spans="3:5" x14ac:dyDescent="0.3">
      <c r="C1930" s="1"/>
      <c r="D1930" s="1"/>
      <c r="E1930" s="1"/>
    </row>
    <row r="1931" spans="3:5" x14ac:dyDescent="0.3">
      <c r="C1931" s="1"/>
      <c r="D1931" s="1"/>
      <c r="E1931" s="1"/>
    </row>
    <row r="1932" spans="3:5" x14ac:dyDescent="0.3">
      <c r="C1932" s="1"/>
      <c r="D1932" s="1"/>
      <c r="E1932" s="1"/>
    </row>
    <row r="1933" spans="3:5" x14ac:dyDescent="0.3">
      <c r="C1933" s="1"/>
      <c r="D1933" s="1"/>
      <c r="E1933" s="1"/>
    </row>
    <row r="1934" spans="3:5" x14ac:dyDescent="0.3">
      <c r="C1934" s="1"/>
      <c r="D1934" s="1"/>
      <c r="E1934" s="1"/>
    </row>
    <row r="1935" spans="3:5" x14ac:dyDescent="0.3">
      <c r="C1935" s="1"/>
      <c r="D1935" s="1"/>
      <c r="E1935" s="1"/>
    </row>
    <row r="1936" spans="3:5" x14ac:dyDescent="0.3">
      <c r="C1936" s="1"/>
      <c r="D1936" s="1"/>
      <c r="E1936" s="1"/>
    </row>
    <row r="1937" spans="3:5" x14ac:dyDescent="0.3">
      <c r="C1937" s="1"/>
      <c r="D1937" s="1"/>
      <c r="E1937" s="1"/>
    </row>
    <row r="1938" spans="3:5" x14ac:dyDescent="0.3">
      <c r="C1938" s="1"/>
      <c r="D1938" s="1"/>
      <c r="E1938" s="1"/>
    </row>
    <row r="1939" spans="3:5" x14ac:dyDescent="0.3">
      <c r="C1939" s="1"/>
      <c r="D1939" s="1"/>
      <c r="E1939" s="1"/>
    </row>
    <row r="1940" spans="3:5" x14ac:dyDescent="0.3">
      <c r="C1940" s="1"/>
      <c r="D1940" s="1"/>
      <c r="E1940" s="1"/>
    </row>
    <row r="1941" spans="3:5" x14ac:dyDescent="0.3">
      <c r="C1941" s="1"/>
      <c r="D1941" s="1"/>
      <c r="E1941" s="1"/>
    </row>
    <row r="1942" spans="3:5" x14ac:dyDescent="0.3">
      <c r="C1942" s="1"/>
      <c r="D1942" s="1"/>
      <c r="E1942" s="1"/>
    </row>
    <row r="1943" spans="3:5" x14ac:dyDescent="0.3">
      <c r="C1943" s="1"/>
      <c r="D1943" s="1"/>
      <c r="E1943" s="1"/>
    </row>
    <row r="1944" spans="3:5" x14ac:dyDescent="0.3">
      <c r="C1944" s="1"/>
      <c r="D1944" s="1"/>
      <c r="E1944" s="1"/>
    </row>
    <row r="1945" spans="3:5" x14ac:dyDescent="0.3">
      <c r="C1945" s="1"/>
      <c r="D1945" s="1"/>
      <c r="E1945" s="1"/>
    </row>
    <row r="1946" spans="3:5" x14ac:dyDescent="0.3">
      <c r="C1946" s="1"/>
      <c r="D1946" s="1"/>
      <c r="E1946" s="1"/>
    </row>
    <row r="1947" spans="3:5" x14ac:dyDescent="0.3">
      <c r="C1947" s="1"/>
      <c r="D1947" s="1"/>
      <c r="E1947" s="1"/>
    </row>
    <row r="1948" spans="3:5" x14ac:dyDescent="0.3">
      <c r="C1948" s="1"/>
      <c r="D1948" s="1"/>
      <c r="E1948" s="1"/>
    </row>
    <row r="1949" spans="3:5" x14ac:dyDescent="0.3">
      <c r="C1949" s="1"/>
      <c r="D1949" s="1"/>
      <c r="E1949" s="1"/>
    </row>
    <row r="1950" spans="3:5" x14ac:dyDescent="0.3">
      <c r="C1950" s="1"/>
      <c r="D1950" s="1"/>
      <c r="E1950" s="1"/>
    </row>
    <row r="1951" spans="3:5" x14ac:dyDescent="0.3">
      <c r="C1951" s="1"/>
      <c r="D1951" s="1"/>
      <c r="E1951" s="1"/>
    </row>
    <row r="1952" spans="3:5" x14ac:dyDescent="0.3">
      <c r="C1952" s="1"/>
      <c r="D1952" s="1"/>
      <c r="E1952" s="1"/>
    </row>
    <row r="1953" spans="3:5" x14ac:dyDescent="0.3">
      <c r="C1953" s="1"/>
      <c r="D1953" s="1"/>
      <c r="E1953" s="1"/>
    </row>
    <row r="1954" spans="3:5" x14ac:dyDescent="0.3">
      <c r="C1954" s="1"/>
      <c r="D1954" s="1"/>
      <c r="E1954" s="1"/>
    </row>
    <row r="1955" spans="3:5" x14ac:dyDescent="0.3">
      <c r="C1955" s="1"/>
      <c r="D1955" s="1"/>
      <c r="E1955" s="1"/>
    </row>
    <row r="1956" spans="3:5" x14ac:dyDescent="0.3">
      <c r="C1956" s="1"/>
      <c r="D1956" s="1"/>
      <c r="E1956" s="1"/>
    </row>
    <row r="1957" spans="3:5" x14ac:dyDescent="0.3">
      <c r="C1957" s="1"/>
      <c r="D1957" s="1"/>
      <c r="E1957" s="1"/>
    </row>
    <row r="1958" spans="3:5" x14ac:dyDescent="0.3">
      <c r="C1958" s="1"/>
      <c r="D1958" s="1"/>
      <c r="E1958" s="1"/>
    </row>
    <row r="1959" spans="3:5" x14ac:dyDescent="0.3">
      <c r="C1959" s="1"/>
      <c r="D1959" s="1"/>
      <c r="E1959" s="1"/>
    </row>
    <row r="1960" spans="3:5" x14ac:dyDescent="0.3">
      <c r="C1960" s="1"/>
      <c r="D1960" s="1"/>
      <c r="E1960" s="1"/>
    </row>
    <row r="1961" spans="3:5" x14ac:dyDescent="0.3">
      <c r="C1961" s="1"/>
      <c r="D1961" s="1"/>
      <c r="E1961" s="1"/>
    </row>
    <row r="1962" spans="3:5" x14ac:dyDescent="0.3">
      <c r="C1962" s="1"/>
      <c r="D1962" s="1"/>
      <c r="E1962" s="1"/>
    </row>
    <row r="1963" spans="3:5" x14ac:dyDescent="0.3">
      <c r="C1963" s="1"/>
      <c r="D1963" s="1"/>
      <c r="E1963" s="1"/>
    </row>
    <row r="1964" spans="3:5" x14ac:dyDescent="0.3">
      <c r="C1964" s="1"/>
      <c r="D1964" s="1"/>
      <c r="E1964" s="1"/>
    </row>
    <row r="1965" spans="3:5" x14ac:dyDescent="0.3">
      <c r="C1965" s="1"/>
      <c r="D1965" s="1"/>
      <c r="E1965" s="1"/>
    </row>
    <row r="1966" spans="3:5" x14ac:dyDescent="0.3">
      <c r="C1966" s="1"/>
      <c r="D1966" s="1"/>
      <c r="E1966" s="1"/>
    </row>
    <row r="1967" spans="3:5" x14ac:dyDescent="0.3">
      <c r="C1967" s="1"/>
      <c r="D1967" s="1"/>
      <c r="E1967" s="1"/>
    </row>
    <row r="1968" spans="3:5" x14ac:dyDescent="0.3">
      <c r="C1968" s="1"/>
      <c r="D1968" s="1"/>
      <c r="E1968" s="1"/>
    </row>
    <row r="1969" spans="3:5" x14ac:dyDescent="0.3">
      <c r="C1969" s="1"/>
      <c r="D1969" s="1"/>
      <c r="E1969" s="1"/>
    </row>
    <row r="1970" spans="3:5" x14ac:dyDescent="0.3">
      <c r="C1970" s="1"/>
      <c r="D1970" s="1"/>
      <c r="E1970" s="1"/>
    </row>
    <row r="1971" spans="3:5" x14ac:dyDescent="0.3">
      <c r="C1971" s="1"/>
      <c r="D1971" s="1"/>
      <c r="E1971" s="1"/>
    </row>
    <row r="1972" spans="3:5" x14ac:dyDescent="0.3">
      <c r="C1972" s="1"/>
      <c r="D1972" s="1"/>
      <c r="E1972" s="1"/>
    </row>
    <row r="1973" spans="3:5" x14ac:dyDescent="0.3">
      <c r="C1973" s="1"/>
      <c r="D1973" s="1"/>
      <c r="E1973" s="1"/>
    </row>
    <row r="1974" spans="3:5" x14ac:dyDescent="0.3">
      <c r="C1974" s="1"/>
      <c r="D1974" s="1"/>
      <c r="E1974" s="1"/>
    </row>
    <row r="1975" spans="3:5" x14ac:dyDescent="0.3">
      <c r="C1975" s="1"/>
      <c r="D1975" s="1"/>
      <c r="E1975" s="1"/>
    </row>
    <row r="1976" spans="3:5" x14ac:dyDescent="0.3">
      <c r="C1976" s="1"/>
      <c r="D1976" s="1"/>
      <c r="E1976" s="1"/>
    </row>
    <row r="1977" spans="3:5" x14ac:dyDescent="0.3">
      <c r="C1977" s="1"/>
      <c r="D1977" s="1"/>
      <c r="E1977" s="1"/>
    </row>
    <row r="1978" spans="3:5" x14ac:dyDescent="0.3">
      <c r="C1978" s="1"/>
      <c r="D1978" s="1"/>
      <c r="E1978" s="1"/>
    </row>
    <row r="1979" spans="3:5" x14ac:dyDescent="0.3">
      <c r="C1979" s="1"/>
      <c r="D1979" s="1"/>
      <c r="E1979" s="1"/>
    </row>
    <row r="1980" spans="3:5" x14ac:dyDescent="0.3">
      <c r="C1980" s="1"/>
      <c r="D1980" s="1"/>
      <c r="E1980" s="1"/>
    </row>
    <row r="1981" spans="3:5" x14ac:dyDescent="0.3">
      <c r="C1981" s="1"/>
      <c r="D1981" s="1"/>
      <c r="E1981" s="1"/>
    </row>
    <row r="1982" spans="3:5" x14ac:dyDescent="0.3">
      <c r="C1982" s="1"/>
      <c r="D1982" s="1"/>
      <c r="E1982" s="1"/>
    </row>
    <row r="1983" spans="3:5" x14ac:dyDescent="0.3">
      <c r="C1983" s="1"/>
      <c r="D1983" s="1"/>
      <c r="E1983" s="1"/>
    </row>
    <row r="1984" spans="3:5" x14ac:dyDescent="0.3">
      <c r="C1984" s="1"/>
      <c r="D1984" s="1"/>
      <c r="E1984" s="1"/>
    </row>
    <row r="1985" spans="3:5" x14ac:dyDescent="0.3">
      <c r="C1985" s="1"/>
      <c r="D1985" s="1"/>
      <c r="E1985" s="1"/>
    </row>
    <row r="1986" spans="3:5" x14ac:dyDescent="0.3">
      <c r="C1986" s="1"/>
      <c r="D1986" s="1"/>
      <c r="E1986" s="1"/>
    </row>
    <row r="1987" spans="3:5" x14ac:dyDescent="0.3">
      <c r="C1987" s="1"/>
      <c r="D1987" s="1"/>
      <c r="E1987" s="1"/>
    </row>
    <row r="1988" spans="3:5" x14ac:dyDescent="0.3">
      <c r="C1988" s="1"/>
      <c r="D1988" s="1"/>
      <c r="E1988" s="1"/>
    </row>
    <row r="1989" spans="3:5" x14ac:dyDescent="0.3">
      <c r="C1989" s="1"/>
      <c r="D1989" s="1"/>
      <c r="E1989" s="1"/>
    </row>
    <row r="1990" spans="3:5" x14ac:dyDescent="0.3">
      <c r="C1990" s="1"/>
      <c r="D1990" s="1"/>
      <c r="E1990" s="1"/>
    </row>
    <row r="1991" spans="3:5" x14ac:dyDescent="0.3">
      <c r="C1991" s="1"/>
      <c r="D1991" s="1"/>
      <c r="E1991" s="1"/>
    </row>
    <row r="1992" spans="3:5" x14ac:dyDescent="0.3">
      <c r="C1992" s="1"/>
      <c r="D1992" s="1"/>
      <c r="E1992" s="1"/>
    </row>
    <row r="1993" spans="3:5" x14ac:dyDescent="0.3">
      <c r="C1993" s="1"/>
      <c r="D1993" s="1"/>
      <c r="E1993" s="1"/>
    </row>
    <row r="1994" spans="3:5" x14ac:dyDescent="0.3">
      <c r="C1994" s="1"/>
      <c r="D1994" s="1"/>
      <c r="E1994" s="1"/>
    </row>
    <row r="1995" spans="3:5" x14ac:dyDescent="0.3">
      <c r="C1995" s="1"/>
      <c r="D1995" s="1"/>
      <c r="E1995" s="1"/>
    </row>
    <row r="1996" spans="3:5" x14ac:dyDescent="0.3">
      <c r="C1996" s="1"/>
      <c r="D1996" s="1"/>
      <c r="E1996" s="1"/>
    </row>
    <row r="1997" spans="3:5" x14ac:dyDescent="0.3">
      <c r="C1997" s="1"/>
      <c r="D1997" s="1"/>
      <c r="E1997" s="1"/>
    </row>
    <row r="1998" spans="3:5" x14ac:dyDescent="0.3">
      <c r="C1998" s="1"/>
      <c r="D1998" s="1"/>
      <c r="E1998" s="1"/>
    </row>
    <row r="1999" spans="3:5" x14ac:dyDescent="0.3">
      <c r="C1999" s="1"/>
      <c r="D1999" s="1"/>
      <c r="E1999" s="1"/>
    </row>
    <row r="2000" spans="3:5" x14ac:dyDescent="0.3">
      <c r="C2000" s="1"/>
      <c r="D2000" s="1"/>
      <c r="E2000" s="1"/>
    </row>
    <row r="2001" spans="3:5" x14ac:dyDescent="0.3">
      <c r="C2001" s="1"/>
      <c r="D2001" s="1"/>
      <c r="E2001" s="1"/>
    </row>
    <row r="2002" spans="3:5" x14ac:dyDescent="0.3">
      <c r="C2002" s="1"/>
      <c r="D2002" s="1"/>
      <c r="E2002" s="1"/>
    </row>
    <row r="2003" spans="3:5" x14ac:dyDescent="0.3">
      <c r="C2003" s="1"/>
      <c r="D2003" s="1"/>
      <c r="E2003" s="1"/>
    </row>
    <row r="2004" spans="3:5" x14ac:dyDescent="0.3">
      <c r="C2004" s="1"/>
      <c r="D2004" s="1"/>
      <c r="E2004" s="1"/>
    </row>
    <row r="2005" spans="3:5" x14ac:dyDescent="0.3">
      <c r="C2005" s="1"/>
      <c r="D2005" s="1"/>
      <c r="E2005" s="1"/>
    </row>
    <row r="2006" spans="3:5" x14ac:dyDescent="0.3">
      <c r="C2006" s="1"/>
      <c r="D2006" s="1"/>
      <c r="E2006" s="1"/>
    </row>
    <row r="2007" spans="3:5" x14ac:dyDescent="0.3">
      <c r="C2007" s="1"/>
      <c r="D2007" s="1"/>
      <c r="E2007" s="1"/>
    </row>
    <row r="2008" spans="3:5" x14ac:dyDescent="0.3">
      <c r="C2008" s="1"/>
      <c r="D2008" s="1"/>
      <c r="E2008" s="1"/>
    </row>
    <row r="2009" spans="3:5" x14ac:dyDescent="0.3">
      <c r="C2009" s="1"/>
      <c r="D2009" s="1"/>
      <c r="E2009" s="1"/>
    </row>
    <row r="2010" spans="3:5" x14ac:dyDescent="0.3">
      <c r="C2010" s="1"/>
      <c r="D2010" s="1"/>
      <c r="E2010" s="1"/>
    </row>
    <row r="2011" spans="3:5" x14ac:dyDescent="0.3">
      <c r="C2011" s="1"/>
      <c r="D2011" s="1"/>
      <c r="E2011" s="1"/>
    </row>
    <row r="2012" spans="3:5" x14ac:dyDescent="0.3">
      <c r="C2012" s="1"/>
      <c r="D2012" s="1"/>
      <c r="E2012" s="1"/>
    </row>
    <row r="2013" spans="3:5" x14ac:dyDescent="0.3">
      <c r="C2013" s="1"/>
      <c r="D2013" s="1"/>
      <c r="E2013" s="1"/>
    </row>
    <row r="2014" spans="3:5" x14ac:dyDescent="0.3">
      <c r="C2014" s="1"/>
      <c r="D2014" s="1"/>
      <c r="E2014" s="1"/>
    </row>
    <row r="2015" spans="3:5" x14ac:dyDescent="0.3">
      <c r="C2015" s="1"/>
      <c r="D2015" s="1"/>
      <c r="E2015" s="1"/>
    </row>
    <row r="2016" spans="3:5" x14ac:dyDescent="0.3">
      <c r="C2016" s="1"/>
      <c r="D2016" s="1"/>
      <c r="E2016" s="1"/>
    </row>
    <row r="2017" spans="3:5" x14ac:dyDescent="0.3">
      <c r="C2017" s="1"/>
      <c r="D2017" s="1"/>
      <c r="E2017" s="1"/>
    </row>
    <row r="2018" spans="3:5" x14ac:dyDescent="0.3">
      <c r="C2018" s="1"/>
      <c r="D2018" s="1"/>
      <c r="E2018" s="1"/>
    </row>
    <row r="2019" spans="3:5" x14ac:dyDescent="0.3">
      <c r="C2019" s="1"/>
      <c r="D2019" s="1"/>
      <c r="E2019" s="1"/>
    </row>
    <row r="2020" spans="3:5" x14ac:dyDescent="0.3">
      <c r="C2020" s="1"/>
      <c r="D2020" s="1"/>
      <c r="E2020" s="1"/>
    </row>
    <row r="2021" spans="3:5" x14ac:dyDescent="0.3">
      <c r="C2021" s="1"/>
      <c r="D2021" s="1"/>
      <c r="E2021" s="1"/>
    </row>
    <row r="2022" spans="3:5" x14ac:dyDescent="0.3">
      <c r="C2022" s="1"/>
      <c r="D2022" s="1"/>
      <c r="E2022" s="1"/>
    </row>
    <row r="2023" spans="3:5" x14ac:dyDescent="0.3">
      <c r="C2023" s="1"/>
      <c r="D2023" s="1"/>
      <c r="E2023" s="1"/>
    </row>
    <row r="2024" spans="3:5" x14ac:dyDescent="0.3">
      <c r="C2024" s="1"/>
      <c r="D2024" s="1"/>
      <c r="E2024" s="1"/>
    </row>
    <row r="2025" spans="3:5" x14ac:dyDescent="0.3">
      <c r="C2025" s="1"/>
      <c r="D2025" s="1"/>
      <c r="E2025" s="1"/>
    </row>
    <row r="2026" spans="3:5" x14ac:dyDescent="0.3">
      <c r="C2026" s="1"/>
      <c r="D2026" s="1"/>
      <c r="E2026" s="1"/>
    </row>
    <row r="2027" spans="3:5" x14ac:dyDescent="0.3">
      <c r="C2027" s="1"/>
      <c r="D2027" s="1"/>
      <c r="E2027" s="1"/>
    </row>
    <row r="2028" spans="3:5" x14ac:dyDescent="0.3">
      <c r="C2028" s="1"/>
      <c r="D2028" s="1"/>
      <c r="E2028" s="1"/>
    </row>
    <row r="2029" spans="3:5" x14ac:dyDescent="0.3">
      <c r="C2029" s="1"/>
      <c r="D2029" s="1"/>
      <c r="E2029" s="1"/>
    </row>
    <row r="2030" spans="3:5" x14ac:dyDescent="0.3">
      <c r="C2030" s="1"/>
      <c r="D2030" s="1"/>
      <c r="E2030" s="1"/>
    </row>
    <row r="2031" spans="3:5" x14ac:dyDescent="0.3">
      <c r="C2031" s="1"/>
      <c r="D2031" s="1"/>
      <c r="E2031" s="1"/>
    </row>
    <row r="2032" spans="3:5" x14ac:dyDescent="0.3">
      <c r="C2032" s="1"/>
      <c r="D2032" s="1"/>
      <c r="E2032" s="1"/>
    </row>
    <row r="2033" spans="3:5" x14ac:dyDescent="0.3">
      <c r="C2033" s="1"/>
      <c r="D2033" s="1"/>
      <c r="E2033" s="1"/>
    </row>
    <row r="2034" spans="3:5" x14ac:dyDescent="0.3">
      <c r="C2034" s="1"/>
      <c r="D2034" s="1"/>
      <c r="E2034" s="1"/>
    </row>
    <row r="2035" spans="3:5" x14ac:dyDescent="0.3">
      <c r="C2035" s="1"/>
      <c r="D2035" s="1"/>
      <c r="E2035" s="1"/>
    </row>
    <row r="2036" spans="3:5" x14ac:dyDescent="0.3">
      <c r="C2036" s="1"/>
      <c r="D2036" s="1"/>
      <c r="E2036" s="1"/>
    </row>
    <row r="2037" spans="3:5" x14ac:dyDescent="0.3">
      <c r="C2037" s="1"/>
      <c r="D2037" s="1"/>
      <c r="E2037" s="1"/>
    </row>
    <row r="2038" spans="3:5" x14ac:dyDescent="0.3">
      <c r="C2038" s="1"/>
      <c r="D2038" s="1"/>
      <c r="E2038" s="1"/>
    </row>
    <row r="2039" spans="3:5" x14ac:dyDescent="0.3">
      <c r="C2039" s="1"/>
      <c r="D2039" s="1"/>
      <c r="E2039" s="1"/>
    </row>
    <row r="2040" spans="3:5" x14ac:dyDescent="0.3">
      <c r="C2040" s="1"/>
      <c r="D2040" s="1"/>
      <c r="E2040" s="1"/>
    </row>
    <row r="2041" spans="3:5" x14ac:dyDescent="0.3">
      <c r="C2041" s="1"/>
      <c r="D2041" s="1"/>
      <c r="E2041" s="1"/>
    </row>
    <row r="2042" spans="3:5" x14ac:dyDescent="0.3">
      <c r="C2042" s="1"/>
      <c r="D2042" s="1"/>
      <c r="E2042" s="1"/>
    </row>
    <row r="2043" spans="3:5" x14ac:dyDescent="0.3">
      <c r="C2043" s="1"/>
      <c r="D2043" s="1"/>
      <c r="E2043" s="1"/>
    </row>
    <row r="2044" spans="3:5" x14ac:dyDescent="0.3">
      <c r="C2044" s="1"/>
      <c r="D2044" s="1"/>
      <c r="E2044" s="1"/>
    </row>
    <row r="2045" spans="3:5" x14ac:dyDescent="0.3">
      <c r="C2045" s="1"/>
      <c r="D2045" s="1"/>
      <c r="E2045" s="1"/>
    </row>
    <row r="2046" spans="3:5" x14ac:dyDescent="0.3">
      <c r="C2046" s="1"/>
      <c r="D2046" s="1"/>
      <c r="E2046" s="1"/>
    </row>
    <row r="2047" spans="3:5" x14ac:dyDescent="0.3">
      <c r="C2047" s="1"/>
      <c r="D2047" s="1"/>
      <c r="E2047" s="1"/>
    </row>
    <row r="2048" spans="3:5" x14ac:dyDescent="0.3">
      <c r="C2048" s="1"/>
      <c r="D2048" s="1"/>
      <c r="E2048" s="1"/>
    </row>
    <row r="2049" spans="3:5" x14ac:dyDescent="0.3">
      <c r="C2049" s="1"/>
      <c r="D2049" s="1"/>
      <c r="E2049" s="1"/>
    </row>
    <row r="2050" spans="3:5" x14ac:dyDescent="0.3">
      <c r="C2050" s="1"/>
      <c r="D2050" s="1"/>
      <c r="E2050" s="1"/>
    </row>
    <row r="2051" spans="3:5" x14ac:dyDescent="0.3">
      <c r="C2051" s="1"/>
      <c r="D2051" s="1"/>
      <c r="E2051" s="1"/>
    </row>
    <row r="2052" spans="3:5" x14ac:dyDescent="0.3">
      <c r="C2052" s="1"/>
      <c r="D2052" s="1"/>
      <c r="E2052" s="1"/>
    </row>
    <row r="2053" spans="3:5" x14ac:dyDescent="0.3">
      <c r="C2053" s="1"/>
      <c r="D2053" s="1"/>
      <c r="E2053" s="1"/>
    </row>
    <row r="2054" spans="3:5" x14ac:dyDescent="0.3">
      <c r="C2054" s="1"/>
      <c r="D2054" s="1"/>
      <c r="E2054" s="1"/>
    </row>
    <row r="2055" spans="3:5" x14ac:dyDescent="0.3">
      <c r="C2055" s="1"/>
      <c r="D2055" s="1"/>
      <c r="E2055" s="1"/>
    </row>
    <row r="2056" spans="3:5" x14ac:dyDescent="0.3">
      <c r="C2056" s="1"/>
      <c r="D2056" s="1"/>
      <c r="E2056" s="1"/>
    </row>
    <row r="2057" spans="3:5" x14ac:dyDescent="0.3">
      <c r="C2057" s="1"/>
      <c r="D2057" s="1"/>
      <c r="E2057" s="1"/>
    </row>
    <row r="2058" spans="3:5" x14ac:dyDescent="0.3">
      <c r="C2058" s="1"/>
      <c r="D2058" s="1"/>
      <c r="E2058" s="1"/>
    </row>
    <row r="2059" spans="3:5" x14ac:dyDescent="0.3">
      <c r="C2059" s="1"/>
      <c r="D2059" s="1"/>
      <c r="E2059" s="1"/>
    </row>
    <row r="2060" spans="3:5" x14ac:dyDescent="0.3">
      <c r="C2060" s="1"/>
      <c r="D2060" s="1"/>
      <c r="E2060" s="1"/>
    </row>
    <row r="2061" spans="3:5" x14ac:dyDescent="0.3">
      <c r="C2061" s="1"/>
      <c r="D2061" s="1"/>
      <c r="E2061" s="1"/>
    </row>
    <row r="2062" spans="3:5" x14ac:dyDescent="0.3">
      <c r="C2062" s="1"/>
      <c r="D2062" s="1"/>
      <c r="E2062" s="1"/>
    </row>
    <row r="2063" spans="3:5" x14ac:dyDescent="0.3">
      <c r="C2063" s="1"/>
      <c r="D2063" s="1"/>
      <c r="E2063" s="1"/>
    </row>
    <row r="2064" spans="3:5" x14ac:dyDescent="0.3">
      <c r="C2064" s="1"/>
      <c r="D2064" s="1"/>
      <c r="E2064" s="1"/>
    </row>
    <row r="2065" spans="3:5" x14ac:dyDescent="0.3">
      <c r="C2065" s="1"/>
      <c r="D2065" s="1"/>
      <c r="E2065" s="1"/>
    </row>
    <row r="2066" spans="3:5" x14ac:dyDescent="0.3">
      <c r="C2066" s="1"/>
      <c r="D2066" s="1"/>
      <c r="E2066" s="1"/>
    </row>
    <row r="2067" spans="3:5" x14ac:dyDescent="0.3">
      <c r="C2067" s="1"/>
      <c r="D2067" s="1"/>
      <c r="E2067" s="1"/>
    </row>
    <row r="2068" spans="3:5" x14ac:dyDescent="0.3">
      <c r="C2068" s="1"/>
      <c r="D2068" s="1"/>
      <c r="E2068" s="1"/>
    </row>
    <row r="2069" spans="3:5" x14ac:dyDescent="0.3">
      <c r="C2069" s="1"/>
      <c r="D2069" s="1"/>
      <c r="E2069" s="1"/>
    </row>
    <row r="2070" spans="3:5" x14ac:dyDescent="0.3">
      <c r="C2070" s="1"/>
      <c r="D2070" s="1"/>
      <c r="E2070" s="1"/>
    </row>
    <row r="2071" spans="3:5" x14ac:dyDescent="0.3">
      <c r="C2071" s="1"/>
      <c r="D2071" s="1"/>
      <c r="E2071" s="1"/>
    </row>
    <row r="2072" spans="3:5" x14ac:dyDescent="0.3">
      <c r="C2072" s="1"/>
      <c r="D2072" s="1"/>
      <c r="E2072" s="1"/>
    </row>
    <row r="2073" spans="3:5" x14ac:dyDescent="0.3">
      <c r="C2073" s="1"/>
      <c r="D2073" s="1"/>
      <c r="E2073" s="1"/>
    </row>
    <row r="2074" spans="3:5" x14ac:dyDescent="0.3">
      <c r="C2074" s="1"/>
      <c r="D2074" s="1"/>
      <c r="E2074" s="1"/>
    </row>
    <row r="2075" spans="3:5" x14ac:dyDescent="0.3">
      <c r="C2075" s="1"/>
      <c r="D2075" s="1"/>
      <c r="E2075" s="1"/>
    </row>
    <row r="2076" spans="3:5" x14ac:dyDescent="0.3">
      <c r="C2076" s="1"/>
      <c r="D2076" s="1"/>
      <c r="E2076" s="1"/>
    </row>
    <row r="2077" spans="3:5" x14ac:dyDescent="0.3">
      <c r="C2077" s="1"/>
      <c r="D2077" s="1"/>
      <c r="E2077" s="1"/>
    </row>
    <row r="2078" spans="3:5" x14ac:dyDescent="0.3">
      <c r="C2078" s="1"/>
      <c r="D2078" s="1"/>
      <c r="E2078" s="1"/>
    </row>
    <row r="2079" spans="3:5" x14ac:dyDescent="0.3">
      <c r="C2079" s="1"/>
      <c r="D2079" s="1"/>
      <c r="E2079" s="1"/>
    </row>
    <row r="2080" spans="3:5" x14ac:dyDescent="0.3">
      <c r="C2080" s="1"/>
      <c r="D2080" s="1"/>
      <c r="E2080" s="1"/>
    </row>
    <row r="2081" spans="3:5" x14ac:dyDescent="0.3">
      <c r="C2081" s="1"/>
      <c r="D2081" s="1"/>
      <c r="E2081" s="1"/>
    </row>
    <row r="2082" spans="3:5" x14ac:dyDescent="0.3">
      <c r="C2082" s="1"/>
      <c r="D2082" s="1"/>
      <c r="E2082" s="1"/>
    </row>
    <row r="2083" spans="3:5" x14ac:dyDescent="0.3">
      <c r="C2083" s="1"/>
      <c r="D2083" s="1"/>
      <c r="E2083" s="1"/>
    </row>
    <row r="2084" spans="3:5" x14ac:dyDescent="0.3">
      <c r="C2084" s="1"/>
      <c r="D2084" s="1"/>
      <c r="E2084" s="1"/>
    </row>
    <row r="2085" spans="3:5" x14ac:dyDescent="0.3">
      <c r="C2085" s="1"/>
      <c r="D2085" s="1"/>
      <c r="E2085" s="1"/>
    </row>
    <row r="2086" spans="3:5" x14ac:dyDescent="0.3">
      <c r="C2086" s="1"/>
      <c r="D2086" s="1"/>
      <c r="E2086" s="1"/>
    </row>
    <row r="2087" spans="3:5" x14ac:dyDescent="0.3">
      <c r="C2087" s="1"/>
      <c r="D2087" s="1"/>
      <c r="E2087" s="1"/>
    </row>
    <row r="2088" spans="3:5" x14ac:dyDescent="0.3">
      <c r="C2088" s="1"/>
      <c r="D2088" s="1"/>
      <c r="E2088" s="1"/>
    </row>
    <row r="2089" spans="3:5" x14ac:dyDescent="0.3">
      <c r="C2089" s="1"/>
      <c r="D2089" s="1"/>
      <c r="E2089" s="1"/>
    </row>
    <row r="2090" spans="3:5" x14ac:dyDescent="0.3">
      <c r="C2090" s="1"/>
      <c r="D2090" s="1"/>
      <c r="E2090" s="1"/>
    </row>
    <row r="2091" spans="3:5" x14ac:dyDescent="0.3">
      <c r="C2091" s="1"/>
      <c r="D2091" s="1"/>
      <c r="E2091" s="1"/>
    </row>
    <row r="2092" spans="3:5" x14ac:dyDescent="0.3">
      <c r="C2092" s="1"/>
      <c r="D2092" s="1"/>
      <c r="E2092" s="1"/>
    </row>
    <row r="2093" spans="3:5" x14ac:dyDescent="0.3">
      <c r="C2093" s="1"/>
      <c r="D2093" s="1"/>
      <c r="E2093" s="1"/>
    </row>
    <row r="2094" spans="3:5" x14ac:dyDescent="0.3">
      <c r="C2094" s="1"/>
      <c r="D2094" s="1"/>
      <c r="E2094" s="1"/>
    </row>
    <row r="2095" spans="3:5" x14ac:dyDescent="0.3">
      <c r="C2095" s="1"/>
      <c r="D2095" s="1"/>
      <c r="E2095" s="1"/>
    </row>
    <row r="2096" spans="3:5" x14ac:dyDescent="0.3">
      <c r="C2096" s="1"/>
      <c r="D2096" s="1"/>
      <c r="E2096" s="1"/>
    </row>
    <row r="2097" spans="3:5" x14ac:dyDescent="0.3">
      <c r="C2097" s="1"/>
      <c r="D2097" s="1"/>
      <c r="E2097" s="1"/>
    </row>
    <row r="2098" spans="3:5" x14ac:dyDescent="0.3">
      <c r="C2098" s="1"/>
      <c r="D2098" s="1"/>
      <c r="E2098" s="1"/>
    </row>
    <row r="2099" spans="3:5" x14ac:dyDescent="0.3">
      <c r="C2099" s="1"/>
      <c r="D2099" s="1"/>
      <c r="E2099" s="1"/>
    </row>
    <row r="2100" spans="3:5" x14ac:dyDescent="0.3">
      <c r="C2100" s="1"/>
      <c r="D2100" s="1"/>
      <c r="E2100" s="1"/>
    </row>
    <row r="2101" spans="3:5" x14ac:dyDescent="0.3">
      <c r="C2101" s="1"/>
      <c r="D2101" s="1"/>
      <c r="E2101" s="1"/>
    </row>
    <row r="2102" spans="3:5" x14ac:dyDescent="0.3">
      <c r="C2102" s="1"/>
      <c r="D2102" s="1"/>
      <c r="E2102" s="1"/>
    </row>
    <row r="2103" spans="3:5" x14ac:dyDescent="0.3">
      <c r="C2103" s="1"/>
      <c r="D2103" s="1"/>
      <c r="E2103" s="1"/>
    </row>
    <row r="2104" spans="3:5" x14ac:dyDescent="0.3">
      <c r="C2104" s="1"/>
      <c r="D2104" s="1"/>
      <c r="E2104" s="1"/>
    </row>
    <row r="2105" spans="3:5" x14ac:dyDescent="0.3">
      <c r="C2105" s="1"/>
      <c r="D2105" s="1"/>
      <c r="E2105" s="1"/>
    </row>
    <row r="2106" spans="3:5" x14ac:dyDescent="0.3">
      <c r="C2106" s="1"/>
      <c r="D2106" s="1"/>
      <c r="E2106" s="1"/>
    </row>
    <row r="2107" spans="3:5" x14ac:dyDescent="0.3">
      <c r="C2107" s="1"/>
      <c r="D2107" s="1"/>
      <c r="E2107" s="1"/>
    </row>
    <row r="2108" spans="3:5" x14ac:dyDescent="0.3">
      <c r="C2108" s="1"/>
      <c r="D2108" s="1"/>
      <c r="E2108" s="1"/>
    </row>
    <row r="2109" spans="3:5" x14ac:dyDescent="0.3">
      <c r="C2109" s="1"/>
      <c r="D2109" s="1"/>
      <c r="E2109" s="1"/>
    </row>
    <row r="2110" spans="3:5" x14ac:dyDescent="0.3">
      <c r="C2110" s="1"/>
      <c r="D2110" s="1"/>
      <c r="E2110" s="1"/>
    </row>
    <row r="2111" spans="3:5" x14ac:dyDescent="0.3">
      <c r="C2111" s="1"/>
      <c r="D2111" s="1"/>
      <c r="E2111" s="1"/>
    </row>
    <row r="2112" spans="3:5" x14ac:dyDescent="0.3">
      <c r="C2112" s="1"/>
      <c r="D2112" s="1"/>
      <c r="E2112" s="1"/>
    </row>
    <row r="2113" spans="3:5" x14ac:dyDescent="0.3">
      <c r="C2113" s="1"/>
      <c r="D2113" s="1"/>
      <c r="E2113" s="1"/>
    </row>
    <row r="2114" spans="3:5" x14ac:dyDescent="0.3">
      <c r="C2114" s="1"/>
      <c r="D2114" s="1"/>
      <c r="E2114" s="1"/>
    </row>
    <row r="2115" spans="3:5" x14ac:dyDescent="0.3">
      <c r="C2115" s="1"/>
      <c r="D2115" s="1"/>
      <c r="E2115" s="1"/>
    </row>
    <row r="2116" spans="3:5" x14ac:dyDescent="0.3">
      <c r="C2116" s="1"/>
      <c r="D2116" s="1"/>
      <c r="E2116" s="1"/>
    </row>
    <row r="2117" spans="3:5" x14ac:dyDescent="0.3">
      <c r="C2117" s="1"/>
      <c r="D2117" s="1"/>
      <c r="E2117" s="1"/>
    </row>
    <row r="2118" spans="3:5" x14ac:dyDescent="0.3">
      <c r="C2118" s="1"/>
      <c r="D2118" s="1"/>
      <c r="E2118" s="1"/>
    </row>
    <row r="2119" spans="3:5" x14ac:dyDescent="0.3">
      <c r="C2119" s="1"/>
      <c r="D2119" s="1"/>
      <c r="E2119" s="1"/>
    </row>
    <row r="2120" spans="3:5" x14ac:dyDescent="0.3">
      <c r="C2120" s="1"/>
      <c r="D2120" s="1"/>
      <c r="E2120" s="1"/>
    </row>
    <row r="2121" spans="3:5" x14ac:dyDescent="0.3">
      <c r="C2121" s="1"/>
      <c r="D2121" s="1"/>
      <c r="E2121" s="1"/>
    </row>
    <row r="2122" spans="3:5" x14ac:dyDescent="0.3">
      <c r="C2122" s="1"/>
      <c r="D2122" s="1"/>
      <c r="E2122" s="1"/>
    </row>
    <row r="2123" spans="3:5" x14ac:dyDescent="0.3">
      <c r="C2123" s="1"/>
      <c r="D2123" s="1"/>
      <c r="E2123" s="1"/>
    </row>
    <row r="2124" spans="3:5" x14ac:dyDescent="0.3">
      <c r="C2124" s="1"/>
      <c r="D2124" s="1"/>
      <c r="E2124" s="1"/>
    </row>
    <row r="2125" spans="3:5" x14ac:dyDescent="0.3">
      <c r="C2125" s="1"/>
      <c r="D2125" s="1"/>
      <c r="E2125" s="1"/>
    </row>
    <row r="2126" spans="3:5" x14ac:dyDescent="0.3">
      <c r="C2126" s="1"/>
      <c r="D2126" s="1"/>
      <c r="E2126" s="1"/>
    </row>
    <row r="2127" spans="3:5" x14ac:dyDescent="0.3">
      <c r="C2127" s="1"/>
      <c r="D2127" s="1"/>
      <c r="E2127" s="1"/>
    </row>
    <row r="2128" spans="3:5" x14ac:dyDescent="0.3">
      <c r="C2128" s="1"/>
      <c r="D2128" s="1"/>
      <c r="E2128" s="1"/>
    </row>
    <row r="2129" spans="3:5" x14ac:dyDescent="0.3">
      <c r="C2129" s="1"/>
      <c r="D2129" s="1"/>
      <c r="E2129" s="1"/>
    </row>
    <row r="2130" spans="3:5" x14ac:dyDescent="0.3">
      <c r="C2130" s="1"/>
      <c r="D2130" s="1"/>
      <c r="E2130" s="1"/>
    </row>
    <row r="2131" spans="3:5" x14ac:dyDescent="0.3">
      <c r="C2131" s="1"/>
      <c r="D2131" s="1"/>
      <c r="E2131" s="1"/>
    </row>
    <row r="2132" spans="3:5" x14ac:dyDescent="0.3">
      <c r="C2132" s="1"/>
      <c r="D2132" s="1"/>
      <c r="E2132" s="1"/>
    </row>
    <row r="2133" spans="3:5" x14ac:dyDescent="0.3">
      <c r="C2133" s="1"/>
      <c r="D2133" s="1"/>
      <c r="E2133" s="1"/>
    </row>
    <row r="2134" spans="3:5" x14ac:dyDescent="0.3">
      <c r="C2134" s="1"/>
      <c r="D2134" s="1"/>
      <c r="E2134" s="1"/>
    </row>
    <row r="2135" spans="3:5" x14ac:dyDescent="0.3">
      <c r="C2135" s="1"/>
      <c r="D2135" s="1"/>
      <c r="E2135" s="1"/>
    </row>
    <row r="2136" spans="3:5" x14ac:dyDescent="0.3">
      <c r="C2136" s="1"/>
      <c r="D2136" s="1"/>
      <c r="E2136" s="1"/>
    </row>
    <row r="2137" spans="3:5" x14ac:dyDescent="0.3">
      <c r="C2137" s="1"/>
      <c r="D2137" s="1"/>
      <c r="E2137" s="1"/>
    </row>
    <row r="2138" spans="3:5" x14ac:dyDescent="0.3">
      <c r="C2138" s="1"/>
      <c r="D2138" s="1"/>
      <c r="E2138" s="1"/>
    </row>
    <row r="2139" spans="3:5" x14ac:dyDescent="0.3">
      <c r="C2139" s="1"/>
      <c r="D2139" s="1"/>
      <c r="E2139" s="1"/>
    </row>
    <row r="2140" spans="3:5" x14ac:dyDescent="0.3">
      <c r="C2140" s="1"/>
      <c r="D2140" s="1"/>
      <c r="E2140" s="1"/>
    </row>
    <row r="2141" spans="3:5" x14ac:dyDescent="0.3">
      <c r="C2141" s="1"/>
      <c r="D2141" s="1"/>
      <c r="E2141" s="1"/>
    </row>
    <row r="2142" spans="3:5" x14ac:dyDescent="0.3">
      <c r="C2142" s="1"/>
      <c r="D2142" s="1"/>
      <c r="E2142" s="1"/>
    </row>
    <row r="2143" spans="3:5" x14ac:dyDescent="0.3">
      <c r="C2143" s="1"/>
      <c r="D2143" s="1"/>
      <c r="E2143" s="1"/>
    </row>
    <row r="2144" spans="3:5" x14ac:dyDescent="0.3">
      <c r="C2144" s="1"/>
      <c r="D2144" s="1"/>
      <c r="E2144" s="1"/>
    </row>
    <row r="2145" spans="3:5" x14ac:dyDescent="0.3">
      <c r="C2145" s="1"/>
      <c r="D2145" s="1"/>
      <c r="E2145" s="1"/>
    </row>
    <row r="2146" spans="3:5" x14ac:dyDescent="0.3">
      <c r="C2146" s="1"/>
      <c r="D2146" s="1"/>
      <c r="E2146" s="1"/>
    </row>
    <row r="2147" spans="3:5" x14ac:dyDescent="0.3">
      <c r="C2147" s="1"/>
      <c r="D2147" s="1"/>
      <c r="E2147" s="1"/>
    </row>
    <row r="2148" spans="3:5" x14ac:dyDescent="0.3">
      <c r="C2148" s="1"/>
      <c r="D2148" s="1"/>
      <c r="E2148" s="1"/>
    </row>
    <row r="2149" spans="3:5" x14ac:dyDescent="0.3">
      <c r="C2149" s="1"/>
      <c r="D2149" s="1"/>
      <c r="E2149" s="1"/>
    </row>
    <row r="2150" spans="3:5" x14ac:dyDescent="0.3">
      <c r="C2150" s="1"/>
      <c r="D2150" s="1"/>
      <c r="E2150" s="1"/>
    </row>
    <row r="2151" spans="3:5" x14ac:dyDescent="0.3">
      <c r="C2151" s="1"/>
      <c r="D2151" s="1"/>
      <c r="E2151" s="1"/>
    </row>
    <row r="2152" spans="3:5" x14ac:dyDescent="0.3">
      <c r="C2152" s="1"/>
      <c r="D2152" s="1"/>
      <c r="E2152" s="1"/>
    </row>
    <row r="2153" spans="3:5" x14ac:dyDescent="0.3">
      <c r="C2153" s="1"/>
      <c r="D2153" s="1"/>
      <c r="E2153" s="1"/>
    </row>
    <row r="2154" spans="3:5" x14ac:dyDescent="0.3">
      <c r="C2154" s="1"/>
      <c r="D2154" s="1"/>
      <c r="E2154" s="1"/>
    </row>
    <row r="2155" spans="3:5" x14ac:dyDescent="0.3">
      <c r="C2155" s="1"/>
      <c r="D2155" s="1"/>
      <c r="E2155" s="1"/>
    </row>
    <row r="2156" spans="3:5" x14ac:dyDescent="0.3">
      <c r="C2156" s="1"/>
      <c r="D2156" s="1"/>
      <c r="E2156" s="1"/>
    </row>
    <row r="2157" spans="3:5" x14ac:dyDescent="0.3">
      <c r="C2157" s="1"/>
      <c r="D2157" s="1"/>
      <c r="E2157" s="1"/>
    </row>
    <row r="2158" spans="3:5" x14ac:dyDescent="0.3">
      <c r="C2158" s="1"/>
      <c r="D2158" s="1"/>
      <c r="E2158" s="1"/>
    </row>
    <row r="2159" spans="3:5" x14ac:dyDescent="0.3">
      <c r="C2159" s="1"/>
      <c r="D2159" s="1"/>
      <c r="E2159" s="1"/>
    </row>
    <row r="2160" spans="3:5" x14ac:dyDescent="0.3">
      <c r="C2160" s="1"/>
      <c r="D2160" s="1"/>
      <c r="E2160" s="1"/>
    </row>
    <row r="2161" spans="3:5" x14ac:dyDescent="0.3">
      <c r="C2161" s="1"/>
      <c r="D2161" s="1"/>
      <c r="E2161" s="1"/>
    </row>
    <row r="2162" spans="3:5" x14ac:dyDescent="0.3">
      <c r="C2162" s="1"/>
      <c r="D2162" s="1"/>
      <c r="E2162" s="1"/>
    </row>
    <row r="2163" spans="3:5" x14ac:dyDescent="0.3">
      <c r="C2163" s="1"/>
      <c r="D2163" s="1"/>
      <c r="E2163" s="1"/>
    </row>
    <row r="2164" spans="3:5" x14ac:dyDescent="0.3">
      <c r="C2164" s="1"/>
      <c r="D2164" s="1"/>
      <c r="E2164" s="1"/>
    </row>
    <row r="2165" spans="3:5" x14ac:dyDescent="0.3">
      <c r="C2165" s="1"/>
      <c r="D2165" s="1"/>
      <c r="E2165" s="1"/>
    </row>
    <row r="2166" spans="3:5" x14ac:dyDescent="0.3">
      <c r="C2166" s="1"/>
      <c r="D2166" s="1"/>
      <c r="E2166" s="1"/>
    </row>
    <row r="2167" spans="3:5" x14ac:dyDescent="0.3">
      <c r="C2167" s="1"/>
      <c r="D2167" s="1"/>
      <c r="E2167" s="1"/>
    </row>
    <row r="2168" spans="3:5" x14ac:dyDescent="0.3">
      <c r="C2168" s="1"/>
      <c r="D2168" s="1"/>
      <c r="E2168" s="1"/>
    </row>
    <row r="2169" spans="3:5" x14ac:dyDescent="0.3">
      <c r="C2169" s="1"/>
      <c r="D2169" s="1"/>
      <c r="E2169" s="1"/>
    </row>
    <row r="2170" spans="3:5" x14ac:dyDescent="0.3">
      <c r="C2170" s="1"/>
      <c r="D2170" s="1"/>
      <c r="E2170" s="1"/>
    </row>
    <row r="2171" spans="3:5" x14ac:dyDescent="0.3">
      <c r="C2171" s="1"/>
      <c r="D2171" s="1"/>
      <c r="E2171" s="1"/>
    </row>
    <row r="2172" spans="3:5" x14ac:dyDescent="0.3">
      <c r="C2172" s="1"/>
      <c r="D2172" s="1"/>
      <c r="E2172" s="1"/>
    </row>
    <row r="2173" spans="3:5" x14ac:dyDescent="0.3">
      <c r="C2173" s="1"/>
      <c r="D2173" s="1"/>
      <c r="E2173" s="1"/>
    </row>
    <row r="2174" spans="3:5" x14ac:dyDescent="0.3">
      <c r="C2174" s="1"/>
      <c r="D2174" s="1"/>
      <c r="E2174" s="1"/>
    </row>
    <row r="2175" spans="3:5" x14ac:dyDescent="0.3">
      <c r="C2175" s="1"/>
      <c r="D2175" s="1"/>
      <c r="E2175" s="1"/>
    </row>
    <row r="2176" spans="3:5" x14ac:dyDescent="0.3">
      <c r="C2176" s="1"/>
      <c r="D2176" s="1"/>
      <c r="E2176" s="1"/>
    </row>
    <row r="2177" spans="3:5" x14ac:dyDescent="0.3">
      <c r="C2177" s="1"/>
      <c r="D2177" s="1"/>
      <c r="E2177" s="1"/>
    </row>
    <row r="2178" spans="3:5" x14ac:dyDescent="0.3">
      <c r="C2178" s="1"/>
      <c r="D2178" s="1"/>
      <c r="E2178" s="1"/>
    </row>
    <row r="2179" spans="3:5" x14ac:dyDescent="0.3">
      <c r="C2179" s="1"/>
      <c r="D2179" s="1"/>
      <c r="E2179" s="1"/>
    </row>
    <row r="2180" spans="3:5" x14ac:dyDescent="0.3">
      <c r="C2180" s="1"/>
      <c r="D2180" s="1"/>
      <c r="E2180" s="1"/>
    </row>
    <row r="2181" spans="3:5" x14ac:dyDescent="0.3">
      <c r="C2181" s="1"/>
      <c r="D2181" s="1"/>
      <c r="E2181" s="1"/>
    </row>
    <row r="2182" spans="3:5" x14ac:dyDescent="0.3">
      <c r="C2182" s="1"/>
      <c r="D2182" s="1"/>
      <c r="E2182" s="1"/>
    </row>
    <row r="2183" spans="3:5" x14ac:dyDescent="0.3">
      <c r="C2183" s="1"/>
      <c r="D2183" s="1"/>
      <c r="E2183" s="1"/>
    </row>
    <row r="2184" spans="3:5" x14ac:dyDescent="0.3">
      <c r="C2184" s="1"/>
      <c r="D2184" s="1"/>
      <c r="E2184" s="1"/>
    </row>
    <row r="2185" spans="3:5" x14ac:dyDescent="0.3">
      <c r="C2185" s="1"/>
      <c r="D2185" s="1"/>
      <c r="E2185" s="1"/>
    </row>
    <row r="2186" spans="3:5" x14ac:dyDescent="0.3">
      <c r="C2186" s="1"/>
      <c r="D2186" s="1"/>
      <c r="E2186" s="1"/>
    </row>
    <row r="2187" spans="3:5" x14ac:dyDescent="0.3">
      <c r="C2187" s="1"/>
      <c r="D2187" s="1"/>
      <c r="E2187" s="1"/>
    </row>
    <row r="2188" spans="3:5" x14ac:dyDescent="0.3">
      <c r="C2188" s="1"/>
      <c r="D2188" s="1"/>
      <c r="E2188" s="1"/>
    </row>
    <row r="2189" spans="3:5" x14ac:dyDescent="0.3">
      <c r="C2189" s="1"/>
      <c r="D2189" s="1"/>
      <c r="E2189" s="1"/>
    </row>
    <row r="2190" spans="3:5" x14ac:dyDescent="0.3">
      <c r="C2190" s="1"/>
      <c r="D2190" s="1"/>
      <c r="E2190" s="1"/>
    </row>
    <row r="2191" spans="3:5" x14ac:dyDescent="0.3">
      <c r="C2191" s="1"/>
      <c r="D2191" s="1"/>
      <c r="E2191" s="1"/>
    </row>
    <row r="2192" spans="3:5" x14ac:dyDescent="0.3">
      <c r="C2192" s="1"/>
      <c r="D2192" s="1"/>
      <c r="E2192" s="1"/>
    </row>
    <row r="2193" spans="3:5" x14ac:dyDescent="0.3">
      <c r="C2193" s="1"/>
      <c r="D2193" s="1"/>
      <c r="E2193" s="1"/>
    </row>
    <row r="2194" spans="3:5" x14ac:dyDescent="0.3">
      <c r="C2194" s="1"/>
      <c r="D2194" s="1"/>
      <c r="E2194" s="1"/>
    </row>
    <row r="2195" spans="3:5" x14ac:dyDescent="0.3">
      <c r="C2195" s="1"/>
      <c r="D2195" s="1"/>
      <c r="E2195" s="1"/>
    </row>
    <row r="2196" spans="3:5" x14ac:dyDescent="0.3">
      <c r="C2196" s="1"/>
      <c r="D2196" s="1"/>
      <c r="E2196" s="1"/>
    </row>
    <row r="2197" spans="3:5" x14ac:dyDescent="0.3">
      <c r="C2197" s="1"/>
      <c r="D2197" s="1"/>
      <c r="E2197" s="1"/>
    </row>
    <row r="2198" spans="3:5" x14ac:dyDescent="0.3">
      <c r="C2198" s="1"/>
      <c r="D2198" s="1"/>
      <c r="E2198" s="1"/>
    </row>
    <row r="2199" spans="3:5" x14ac:dyDescent="0.3">
      <c r="C2199" s="1"/>
      <c r="D2199" s="1"/>
      <c r="E2199" s="1"/>
    </row>
    <row r="2200" spans="3:5" x14ac:dyDescent="0.3">
      <c r="C2200" s="1"/>
      <c r="D2200" s="1"/>
      <c r="E2200" s="1"/>
    </row>
    <row r="2201" spans="3:5" x14ac:dyDescent="0.3">
      <c r="C2201" s="1"/>
      <c r="D2201" s="1"/>
      <c r="E2201" s="1"/>
    </row>
    <row r="2202" spans="3:5" x14ac:dyDescent="0.3">
      <c r="C2202" s="1"/>
      <c r="D2202" s="1"/>
      <c r="E2202" s="1"/>
    </row>
    <row r="2203" spans="3:5" x14ac:dyDescent="0.3">
      <c r="C2203" s="1"/>
      <c r="D2203" s="1"/>
      <c r="E2203" s="1"/>
    </row>
    <row r="2204" spans="3:5" x14ac:dyDescent="0.3">
      <c r="C2204" s="1"/>
      <c r="D2204" s="1"/>
      <c r="E2204" s="1"/>
    </row>
    <row r="2205" spans="3:5" x14ac:dyDescent="0.3">
      <c r="C2205" s="1"/>
      <c r="D2205" s="1"/>
      <c r="E2205" s="1"/>
    </row>
    <row r="2206" spans="3:5" x14ac:dyDescent="0.3">
      <c r="C2206" s="1"/>
      <c r="D2206" s="1"/>
      <c r="E2206" s="1"/>
    </row>
    <row r="2207" spans="3:5" x14ac:dyDescent="0.3">
      <c r="C2207" s="1"/>
      <c r="D2207" s="1"/>
      <c r="E2207" s="1"/>
    </row>
    <row r="2208" spans="3:5" x14ac:dyDescent="0.3">
      <c r="C2208" s="1"/>
      <c r="D2208" s="1"/>
      <c r="E2208" s="1"/>
    </row>
    <row r="2209" spans="3:5" x14ac:dyDescent="0.3">
      <c r="C2209" s="1"/>
      <c r="D2209" s="1"/>
      <c r="E2209" s="1"/>
    </row>
    <row r="2210" spans="3:5" x14ac:dyDescent="0.3">
      <c r="C2210" s="1"/>
      <c r="D2210" s="1"/>
      <c r="E2210" s="1"/>
    </row>
    <row r="2211" spans="3:5" x14ac:dyDescent="0.3">
      <c r="C2211" s="1"/>
      <c r="D2211" s="1"/>
      <c r="E2211" s="1"/>
    </row>
    <row r="2212" spans="3:5" x14ac:dyDescent="0.3">
      <c r="C2212" s="1"/>
      <c r="D2212" s="1"/>
      <c r="E2212" s="1"/>
    </row>
    <row r="2213" spans="3:5" x14ac:dyDescent="0.3">
      <c r="C2213" s="1"/>
      <c r="D2213" s="1"/>
      <c r="E2213" s="1"/>
    </row>
    <row r="2214" spans="3:5" x14ac:dyDescent="0.3">
      <c r="C2214" s="1"/>
      <c r="D2214" s="1"/>
      <c r="E2214" s="1"/>
    </row>
    <row r="2215" spans="3:5" x14ac:dyDescent="0.3">
      <c r="C2215" s="1"/>
      <c r="D2215" s="1"/>
      <c r="E2215" s="1"/>
    </row>
    <row r="2216" spans="3:5" x14ac:dyDescent="0.3">
      <c r="C2216" s="1"/>
      <c r="D2216" s="1"/>
      <c r="E2216" s="1"/>
    </row>
    <row r="2217" spans="3:5" x14ac:dyDescent="0.3">
      <c r="C2217" s="1"/>
      <c r="D2217" s="1"/>
      <c r="E2217" s="1"/>
    </row>
    <row r="2218" spans="3:5" x14ac:dyDescent="0.3">
      <c r="C2218" s="1"/>
      <c r="D2218" s="1"/>
      <c r="E2218" s="1"/>
    </row>
    <row r="2219" spans="3:5" x14ac:dyDescent="0.3">
      <c r="C2219" s="1"/>
      <c r="D2219" s="1"/>
      <c r="E2219" s="1"/>
    </row>
    <row r="2220" spans="3:5" x14ac:dyDescent="0.3">
      <c r="C2220" s="1"/>
      <c r="D2220" s="1"/>
      <c r="E2220" s="1"/>
    </row>
    <row r="2221" spans="3:5" x14ac:dyDescent="0.3">
      <c r="C2221" s="1"/>
      <c r="D2221" s="1"/>
      <c r="E2221" s="1"/>
    </row>
    <row r="2222" spans="3:5" x14ac:dyDescent="0.3">
      <c r="C2222" s="1"/>
      <c r="D2222" s="1"/>
      <c r="E2222" s="1"/>
    </row>
    <row r="2223" spans="3:5" x14ac:dyDescent="0.3">
      <c r="C2223" s="1"/>
      <c r="D2223" s="1"/>
      <c r="E2223" s="1"/>
    </row>
    <row r="2224" spans="3:5" x14ac:dyDescent="0.3">
      <c r="C2224" s="1"/>
      <c r="D2224" s="1"/>
      <c r="E2224" s="1"/>
    </row>
    <row r="2225" spans="3:5" x14ac:dyDescent="0.3">
      <c r="C2225" s="1"/>
      <c r="D2225" s="1"/>
      <c r="E2225" s="1"/>
    </row>
    <row r="2226" spans="3:5" x14ac:dyDescent="0.3">
      <c r="C2226" s="1"/>
      <c r="D2226" s="1"/>
      <c r="E2226" s="1"/>
    </row>
    <row r="2227" spans="3:5" x14ac:dyDescent="0.3">
      <c r="C2227" s="1"/>
      <c r="D2227" s="1"/>
      <c r="E2227" s="1"/>
    </row>
    <row r="2228" spans="3:5" x14ac:dyDescent="0.3">
      <c r="C2228" s="1"/>
      <c r="D2228" s="1"/>
      <c r="E2228" s="1"/>
    </row>
    <row r="2229" spans="3:5" x14ac:dyDescent="0.3">
      <c r="C2229" s="1"/>
      <c r="D2229" s="1"/>
      <c r="E2229" s="1"/>
    </row>
    <row r="2230" spans="3:5" x14ac:dyDescent="0.3">
      <c r="C2230" s="1"/>
      <c r="D2230" s="1"/>
      <c r="E2230" s="1"/>
    </row>
    <row r="2231" spans="3:5" x14ac:dyDescent="0.3">
      <c r="C2231" s="1"/>
      <c r="D2231" s="1"/>
      <c r="E2231" s="1"/>
    </row>
    <row r="2232" spans="3:5" x14ac:dyDescent="0.3">
      <c r="C2232" s="1"/>
      <c r="D2232" s="1"/>
      <c r="E2232" s="1"/>
    </row>
    <row r="2233" spans="3:5" x14ac:dyDescent="0.3">
      <c r="C2233" s="1"/>
      <c r="D2233" s="1"/>
      <c r="E2233" s="1"/>
    </row>
    <row r="2234" spans="3:5" x14ac:dyDescent="0.3">
      <c r="C2234" s="1"/>
      <c r="D2234" s="1"/>
      <c r="E2234" s="1"/>
    </row>
    <row r="2235" spans="3:5" x14ac:dyDescent="0.3">
      <c r="C2235" s="1"/>
      <c r="D2235" s="1"/>
      <c r="E2235" s="1"/>
    </row>
    <row r="2236" spans="3:5" x14ac:dyDescent="0.3">
      <c r="C2236" s="1"/>
      <c r="D2236" s="1"/>
      <c r="E2236" s="1"/>
    </row>
    <row r="2237" spans="3:5" x14ac:dyDescent="0.3">
      <c r="C2237" s="1"/>
      <c r="D2237" s="1"/>
      <c r="E2237" s="1"/>
    </row>
    <row r="2238" spans="3:5" x14ac:dyDescent="0.3">
      <c r="C2238" s="1"/>
      <c r="D2238" s="1"/>
      <c r="E2238" s="1"/>
    </row>
    <row r="2239" spans="3:5" x14ac:dyDescent="0.3">
      <c r="C2239" s="1"/>
      <c r="D2239" s="1"/>
      <c r="E2239" s="1"/>
    </row>
    <row r="2240" spans="3:5" x14ac:dyDescent="0.3">
      <c r="C2240" s="1"/>
      <c r="D2240" s="1"/>
      <c r="E2240" s="1"/>
    </row>
    <row r="2241" spans="3:5" x14ac:dyDescent="0.3">
      <c r="C2241" s="1"/>
      <c r="D2241" s="1"/>
      <c r="E2241" s="1"/>
    </row>
    <row r="2242" spans="3:5" x14ac:dyDescent="0.3">
      <c r="C2242" s="1"/>
      <c r="D2242" s="1"/>
      <c r="E2242" s="1"/>
    </row>
    <row r="2243" spans="3:5" x14ac:dyDescent="0.3">
      <c r="C2243" s="1"/>
      <c r="D2243" s="1"/>
      <c r="E2243" s="1"/>
    </row>
    <row r="2244" spans="3:5" x14ac:dyDescent="0.3">
      <c r="C2244" s="1"/>
      <c r="D2244" s="1"/>
      <c r="E2244" s="1"/>
    </row>
    <row r="2245" spans="3:5" x14ac:dyDescent="0.3">
      <c r="C2245" s="1"/>
      <c r="D2245" s="1"/>
      <c r="E2245" s="1"/>
    </row>
    <row r="2246" spans="3:5" x14ac:dyDescent="0.3">
      <c r="C2246" s="1"/>
      <c r="D2246" s="1"/>
      <c r="E2246" s="1"/>
    </row>
    <row r="2247" spans="3:5" x14ac:dyDescent="0.3">
      <c r="C2247" s="1"/>
      <c r="D2247" s="1"/>
      <c r="E2247" s="1"/>
    </row>
    <row r="2248" spans="3:5" x14ac:dyDescent="0.3">
      <c r="C2248" s="1"/>
      <c r="D2248" s="1"/>
      <c r="E2248" s="1"/>
    </row>
    <row r="2249" spans="3:5" x14ac:dyDescent="0.3">
      <c r="C2249" s="1"/>
      <c r="D2249" s="1"/>
      <c r="E2249" s="1"/>
    </row>
    <row r="2250" spans="3:5" x14ac:dyDescent="0.3">
      <c r="C2250" s="1"/>
      <c r="D2250" s="1"/>
      <c r="E2250" s="1"/>
    </row>
    <row r="2251" spans="3:5" x14ac:dyDescent="0.3">
      <c r="C2251" s="1"/>
      <c r="D2251" s="1"/>
      <c r="E2251" s="1"/>
    </row>
    <row r="2252" spans="3:5" x14ac:dyDescent="0.3">
      <c r="C2252" s="1"/>
      <c r="D2252" s="1"/>
      <c r="E2252" s="1"/>
    </row>
    <row r="2253" spans="3:5" x14ac:dyDescent="0.3">
      <c r="C2253" s="1"/>
      <c r="D2253" s="1"/>
      <c r="E2253" s="1"/>
    </row>
    <row r="2254" spans="3:5" x14ac:dyDescent="0.3">
      <c r="C2254" s="1"/>
      <c r="D2254" s="1"/>
      <c r="E2254" s="1"/>
    </row>
    <row r="2255" spans="3:5" x14ac:dyDescent="0.3">
      <c r="C2255" s="1"/>
      <c r="D2255" s="1"/>
      <c r="E2255" s="1"/>
    </row>
    <row r="2256" spans="3:5" x14ac:dyDescent="0.3">
      <c r="C2256" s="1"/>
      <c r="D2256" s="1"/>
      <c r="E2256" s="1"/>
    </row>
    <row r="2257" spans="3:5" x14ac:dyDescent="0.3">
      <c r="C2257" s="1"/>
      <c r="D2257" s="1"/>
      <c r="E2257" s="1"/>
    </row>
    <row r="2258" spans="3:5" x14ac:dyDescent="0.3">
      <c r="C2258" s="1"/>
      <c r="D2258" s="1"/>
      <c r="E2258" s="1"/>
    </row>
    <row r="2259" spans="3:5" x14ac:dyDescent="0.3">
      <c r="C2259" s="1"/>
      <c r="D2259" s="1"/>
      <c r="E2259" s="1"/>
    </row>
    <row r="2260" spans="3:5" x14ac:dyDescent="0.3">
      <c r="C2260" s="1"/>
      <c r="D2260" s="1"/>
      <c r="E2260" s="1"/>
    </row>
    <row r="2261" spans="3:5" x14ac:dyDescent="0.3">
      <c r="C2261" s="1"/>
      <c r="D2261" s="1"/>
      <c r="E2261" s="1"/>
    </row>
    <row r="2262" spans="3:5" x14ac:dyDescent="0.3">
      <c r="C2262" s="1"/>
      <c r="D2262" s="1"/>
      <c r="E2262" s="1"/>
    </row>
    <row r="2263" spans="3:5" x14ac:dyDescent="0.3">
      <c r="C2263" s="1"/>
      <c r="D2263" s="1"/>
      <c r="E2263" s="1"/>
    </row>
    <row r="2264" spans="3:5" x14ac:dyDescent="0.3">
      <c r="C2264" s="1"/>
      <c r="D2264" s="1"/>
      <c r="E2264" s="1"/>
    </row>
    <row r="2265" spans="3:5" x14ac:dyDescent="0.3">
      <c r="C2265" s="1"/>
      <c r="D2265" s="1"/>
      <c r="E2265" s="1"/>
    </row>
    <row r="2266" spans="3:5" x14ac:dyDescent="0.3">
      <c r="C2266" s="1"/>
      <c r="D2266" s="1"/>
      <c r="E2266" s="1"/>
    </row>
    <row r="2267" spans="3:5" x14ac:dyDescent="0.3">
      <c r="C2267" s="1"/>
      <c r="D2267" s="1"/>
      <c r="E2267" s="1"/>
    </row>
    <row r="2268" spans="3:5" x14ac:dyDescent="0.3">
      <c r="C2268" s="1"/>
      <c r="D2268" s="1"/>
      <c r="E2268" s="1"/>
    </row>
    <row r="2269" spans="3:5" x14ac:dyDescent="0.3">
      <c r="C2269" s="1"/>
      <c r="D2269" s="1"/>
      <c r="E2269" s="1"/>
    </row>
    <row r="2270" spans="3:5" x14ac:dyDescent="0.3">
      <c r="C2270" s="1"/>
      <c r="D2270" s="1"/>
      <c r="E2270" s="1"/>
    </row>
    <row r="2271" spans="3:5" x14ac:dyDescent="0.3">
      <c r="C2271" s="1"/>
      <c r="D2271" s="1"/>
      <c r="E2271" s="1"/>
    </row>
    <row r="2272" spans="3:5" x14ac:dyDescent="0.3">
      <c r="C2272" s="1"/>
      <c r="D2272" s="1"/>
      <c r="E2272" s="1"/>
    </row>
    <row r="2273" spans="3:5" x14ac:dyDescent="0.3">
      <c r="C2273" s="1"/>
      <c r="D2273" s="1"/>
      <c r="E2273" s="1"/>
    </row>
    <row r="2274" spans="3:5" x14ac:dyDescent="0.3">
      <c r="C2274" s="1"/>
      <c r="D2274" s="1"/>
      <c r="E2274" s="1"/>
    </row>
    <row r="2275" spans="3:5" x14ac:dyDescent="0.3">
      <c r="C2275" s="1"/>
      <c r="D2275" s="1"/>
      <c r="E2275" s="1"/>
    </row>
    <row r="2276" spans="3:5" x14ac:dyDescent="0.3">
      <c r="C2276" s="1"/>
      <c r="D2276" s="1"/>
      <c r="E2276" s="1"/>
    </row>
    <row r="2277" spans="3:5" x14ac:dyDescent="0.3">
      <c r="C2277" s="1"/>
      <c r="D2277" s="1"/>
      <c r="E2277" s="1"/>
    </row>
    <row r="2278" spans="3:5" x14ac:dyDescent="0.3">
      <c r="C2278" s="1"/>
      <c r="D2278" s="1"/>
      <c r="E2278" s="1"/>
    </row>
    <row r="2279" spans="3:5" x14ac:dyDescent="0.3">
      <c r="C2279" s="1"/>
      <c r="D2279" s="1"/>
      <c r="E2279" s="1"/>
    </row>
    <row r="2280" spans="3:5" x14ac:dyDescent="0.3">
      <c r="C2280" s="1"/>
      <c r="D2280" s="1"/>
      <c r="E2280" s="1"/>
    </row>
    <row r="2281" spans="3:5" x14ac:dyDescent="0.3">
      <c r="C2281" s="1"/>
      <c r="D2281" s="1"/>
      <c r="E2281" s="1"/>
    </row>
    <row r="2282" spans="3:5" x14ac:dyDescent="0.3">
      <c r="C2282" s="1"/>
      <c r="D2282" s="1"/>
      <c r="E2282" s="1"/>
    </row>
    <row r="2283" spans="3:5" x14ac:dyDescent="0.3">
      <c r="C2283" s="1"/>
      <c r="D2283" s="1"/>
      <c r="E2283" s="1"/>
    </row>
    <row r="2284" spans="3:5" x14ac:dyDescent="0.3">
      <c r="C2284" s="1"/>
      <c r="D2284" s="1"/>
      <c r="E2284" s="1"/>
    </row>
    <row r="2285" spans="3:5" x14ac:dyDescent="0.3">
      <c r="C2285" s="1"/>
      <c r="D2285" s="1"/>
      <c r="E2285" s="1"/>
    </row>
    <row r="2286" spans="3:5" x14ac:dyDescent="0.3">
      <c r="C2286" s="1"/>
      <c r="D2286" s="1"/>
      <c r="E2286" s="1"/>
    </row>
    <row r="2287" spans="3:5" x14ac:dyDescent="0.3">
      <c r="C2287" s="1"/>
      <c r="D2287" s="1"/>
      <c r="E2287" s="1"/>
    </row>
    <row r="2288" spans="3:5" x14ac:dyDescent="0.3">
      <c r="C2288" s="1"/>
      <c r="D2288" s="1"/>
      <c r="E2288" s="1"/>
    </row>
    <row r="2289" spans="3:5" x14ac:dyDescent="0.3">
      <c r="C2289" s="1"/>
      <c r="D2289" s="1"/>
      <c r="E2289" s="1"/>
    </row>
    <row r="2290" spans="3:5" x14ac:dyDescent="0.3">
      <c r="C2290" s="1"/>
      <c r="D2290" s="1"/>
      <c r="E2290" s="1"/>
    </row>
    <row r="2291" spans="3:5" x14ac:dyDescent="0.3">
      <c r="C2291" s="1"/>
      <c r="D2291" s="1"/>
      <c r="E2291" s="1"/>
    </row>
    <row r="2292" spans="3:5" x14ac:dyDescent="0.3">
      <c r="C2292" s="1"/>
      <c r="D2292" s="1"/>
      <c r="E2292" s="1"/>
    </row>
    <row r="2293" spans="3:5" x14ac:dyDescent="0.3">
      <c r="C2293" s="1"/>
      <c r="D2293" s="1"/>
      <c r="E2293" s="1"/>
    </row>
    <row r="2294" spans="3:5" x14ac:dyDescent="0.3">
      <c r="C2294" s="1"/>
      <c r="D2294" s="1"/>
      <c r="E2294" s="1"/>
    </row>
    <row r="2295" spans="3:5" x14ac:dyDescent="0.3">
      <c r="C2295" s="1"/>
      <c r="D2295" s="1"/>
      <c r="E2295" s="1"/>
    </row>
    <row r="2296" spans="3:5" x14ac:dyDescent="0.3">
      <c r="C2296" s="1"/>
      <c r="D2296" s="1"/>
      <c r="E2296" s="1"/>
    </row>
    <row r="2297" spans="3:5" x14ac:dyDescent="0.3">
      <c r="C2297" s="1"/>
      <c r="D2297" s="1"/>
      <c r="E2297" s="1"/>
    </row>
    <row r="2298" spans="3:5" x14ac:dyDescent="0.3">
      <c r="C2298" s="1"/>
      <c r="D2298" s="1"/>
      <c r="E2298" s="1"/>
    </row>
    <row r="2299" spans="3:5" x14ac:dyDescent="0.3">
      <c r="C2299" s="1"/>
      <c r="D2299" s="1"/>
      <c r="E2299" s="1"/>
    </row>
    <row r="2300" spans="3:5" x14ac:dyDescent="0.3">
      <c r="C2300" s="1"/>
      <c r="D2300" s="1"/>
      <c r="E2300" s="1"/>
    </row>
    <row r="2301" spans="3:5" x14ac:dyDescent="0.3">
      <c r="C2301" s="1"/>
      <c r="D2301" s="1"/>
      <c r="E2301" s="1"/>
    </row>
    <row r="2302" spans="3:5" x14ac:dyDescent="0.3">
      <c r="C2302" s="1"/>
      <c r="D2302" s="1"/>
      <c r="E2302" s="1"/>
    </row>
    <row r="2303" spans="3:5" x14ac:dyDescent="0.3">
      <c r="C2303" s="1"/>
      <c r="D2303" s="1"/>
      <c r="E2303" s="1"/>
    </row>
    <row r="2304" spans="3:5" x14ac:dyDescent="0.3">
      <c r="C2304" s="1"/>
      <c r="D2304" s="1"/>
      <c r="E2304" s="1"/>
    </row>
    <row r="2305" spans="3:5" x14ac:dyDescent="0.3">
      <c r="C2305" s="1"/>
      <c r="D2305" s="1"/>
      <c r="E2305" s="1"/>
    </row>
  </sheetData>
  <autoFilter ref="A1:O1" xr:uid="{00000000-0001-0000-0000-000000000000}">
    <sortState xmlns:xlrd2="http://schemas.microsoft.com/office/spreadsheetml/2017/richdata2" ref="A2:O745">
      <sortCondition descending="1" ref="C1"/>
    </sortState>
  </autoFilter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77E1-3D96-4F8D-9C2E-F89E542BBA13}">
  <dimension ref="A1:O13"/>
  <sheetViews>
    <sheetView workbookViewId="0">
      <selection activeCell="B2" sqref="B2"/>
    </sheetView>
  </sheetViews>
  <sheetFormatPr baseColWidth="10" defaultRowHeight="14.4" x14ac:dyDescent="0.3"/>
  <cols>
    <col min="1" max="1" width="8.33203125" customWidth="1"/>
    <col min="2" max="2" width="10.6640625" customWidth="1"/>
    <col min="5" max="6" width="9.21875" customWidth="1"/>
    <col min="7" max="7" width="7.21875" customWidth="1"/>
    <col min="8" max="8" width="7" customWidth="1"/>
    <col min="9" max="9" width="6" customWidth="1"/>
    <col min="10" max="10" width="7" customWidth="1"/>
    <col min="11" max="11" width="5.33203125" customWidth="1"/>
    <col min="12" max="12" width="7.44140625" customWidth="1"/>
    <col min="13" max="13" width="5.77734375" customWidth="1"/>
    <col min="14" max="14" width="8" customWidth="1"/>
    <col min="15" max="15" width="6.5546875" customWidth="1"/>
  </cols>
  <sheetData>
    <row r="1" spans="1:15" x14ac:dyDescent="0.3">
      <c r="A1" s="6" t="s">
        <v>1</v>
      </c>
      <c r="B1" s="6" t="s">
        <v>6</v>
      </c>
      <c r="C1" s="6" t="s">
        <v>7</v>
      </c>
      <c r="D1" s="6" t="s">
        <v>5</v>
      </c>
      <c r="E1" s="6" t="s">
        <v>8</v>
      </c>
      <c r="F1" s="6" t="s">
        <v>9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3</v>
      </c>
      <c r="M1" s="6" t="s">
        <v>10</v>
      </c>
      <c r="N1" s="6" t="s">
        <v>4</v>
      </c>
      <c r="O1" s="6" t="s">
        <v>10</v>
      </c>
    </row>
    <row r="2" spans="1:15" x14ac:dyDescent="0.3">
      <c r="A2">
        <v>12</v>
      </c>
      <c r="B2" s="2">
        <v>486.85428571428577</v>
      </c>
      <c r="C2" s="2">
        <v>9918.8494623655934</v>
      </c>
      <c r="D2" s="2">
        <v>27.435545479882062</v>
      </c>
      <c r="E2" s="2">
        <v>28.589705882352945</v>
      </c>
      <c r="F2" s="2">
        <v>27.838718596774193</v>
      </c>
      <c r="G2" s="2">
        <v>137.04712015528477</v>
      </c>
      <c r="H2" s="2">
        <v>2391.6745562044316</v>
      </c>
      <c r="I2" s="2">
        <v>0.60197924967755034</v>
      </c>
      <c r="J2" s="2">
        <v>0.58013548727923281</v>
      </c>
      <c r="K2" s="2">
        <v>0.32307952983632515</v>
      </c>
      <c r="L2" s="2">
        <f>AVERAGEIF(Hoja1!$B$2:$B$745,$A2,Hoja1!I$2:I$745)</f>
        <v>0.12741935483870978</v>
      </c>
      <c r="M2" s="2">
        <f t="array" ref="M2">_xlfn.STDEV.S(IF(Hoja1!$B$2:$B$745=$A2,Hoja1!I$2:I$745))</f>
        <v>1.0721770949325198</v>
      </c>
    </row>
    <row r="3" spans="1:15" x14ac:dyDescent="0.3">
      <c r="A3">
        <v>11</v>
      </c>
      <c r="B3" s="2">
        <v>480.09999999999991</v>
      </c>
      <c r="C3" s="2">
        <v>9982.3279569892456</v>
      </c>
      <c r="D3" s="2">
        <v>27.859157946236575</v>
      </c>
      <c r="E3" s="2">
        <v>29.309529411764714</v>
      </c>
      <c r="F3" s="2">
        <v>28.654693258064512</v>
      </c>
      <c r="G3" s="2">
        <v>114.45712785863157</v>
      </c>
      <c r="H3" s="2">
        <v>2022.5192990646685</v>
      </c>
      <c r="I3" s="2">
        <v>0.55727743401528484</v>
      </c>
      <c r="J3" s="2">
        <v>0.40910384214058548</v>
      </c>
      <c r="K3" s="2">
        <v>0.3138971151598402</v>
      </c>
      <c r="L3" s="2">
        <f>AVERAGEIF(Hoja1!$B$2:$B$745,$A3,Hoja1!I$2:I$745)</f>
        <v>6.6129032258064518E-2</v>
      </c>
      <c r="M3" s="2">
        <f t="array" ref="M3">_xlfn.STDEV.S(IF(Hoja1!$B$2:$B$745=$A3,Hoja1!I$2:I$745))</f>
        <v>0.89514968954041085</v>
      </c>
    </row>
    <row r="4" spans="1:15" x14ac:dyDescent="0.3">
      <c r="A4">
        <v>10</v>
      </c>
      <c r="B4" s="2">
        <v>429.63428571428574</v>
      </c>
      <c r="C4" s="2">
        <v>8644.6935483870966</v>
      </c>
      <c r="D4" s="2">
        <v>27.941120563302121</v>
      </c>
      <c r="E4" s="2">
        <v>29.643058823529412</v>
      </c>
      <c r="F4" s="2">
        <v>28.906084774193548</v>
      </c>
      <c r="G4" s="2">
        <v>121.2482236203584</v>
      </c>
      <c r="H4" s="2">
        <v>2003.5499853739925</v>
      </c>
      <c r="I4" s="2">
        <v>0.48881017780071623</v>
      </c>
      <c r="J4" s="2">
        <v>0.38769637770221987</v>
      </c>
      <c r="K4" s="2">
        <v>0.32589402114005322</v>
      </c>
      <c r="L4" s="2">
        <f>AVERAGEIF(Hoja1!$B$2:$B$745,$A4,Hoja1!I$2:I$745)</f>
        <v>9.5161290322580652E-2</v>
      </c>
      <c r="M4" s="2">
        <f t="array" ref="M4">_xlfn.STDEV.S(IF(Hoja1!$B$2:$B$745=$A4,Hoja1!I$2:I$745))</f>
        <v>0.93570827374719923</v>
      </c>
    </row>
    <row r="5" spans="1:15" x14ac:dyDescent="0.3">
      <c r="A5">
        <v>9</v>
      </c>
      <c r="B5" s="2">
        <v>388.41714285714289</v>
      </c>
      <c r="C5" s="2">
        <v>7647.6612903225805</v>
      </c>
      <c r="D5" s="2">
        <v>28.237456569892466</v>
      </c>
      <c r="E5" s="2">
        <v>29.711558823529405</v>
      </c>
      <c r="F5" s="2">
        <v>28.807191532258067</v>
      </c>
      <c r="G5" s="2">
        <v>129.8654835401847</v>
      </c>
      <c r="H5" s="2">
        <v>2065.9108017463095</v>
      </c>
      <c r="I5" s="2">
        <v>0.45708729577516211</v>
      </c>
      <c r="J5" s="2">
        <v>0.47170517186290251</v>
      </c>
      <c r="K5" s="2">
        <v>0.34243377900138761</v>
      </c>
      <c r="L5" s="2">
        <f>AVERAGEIF(Hoja1!$B$2:$B$745,$A5,Hoja1!I$2:I$745)</f>
        <v>4.5161290322580656E-2</v>
      </c>
      <c r="M5" s="2">
        <f t="array" ref="M5">_xlfn.STDEV.S(IF(Hoja1!$B$2:$B$745=$A5,Hoja1!I$2:I$745))</f>
        <v>0.93224168739812197</v>
      </c>
    </row>
    <row r="6" spans="1:15" x14ac:dyDescent="0.3">
      <c r="A6">
        <v>8</v>
      </c>
      <c r="B6" s="2">
        <v>380.03714285714278</v>
      </c>
      <c r="C6" s="2">
        <v>7446.5967741935483</v>
      </c>
      <c r="D6" s="2">
        <v>28.195175072840794</v>
      </c>
      <c r="E6" s="2">
        <v>29.586470588235297</v>
      </c>
      <c r="F6" s="2">
        <v>28.499573032258073</v>
      </c>
      <c r="G6" s="2">
        <v>129.91852443588112</v>
      </c>
      <c r="H6" s="2">
        <v>2035.4524647809558</v>
      </c>
      <c r="I6" s="2">
        <v>0.48483450347679247</v>
      </c>
      <c r="J6" s="2">
        <v>0.42769269874908994</v>
      </c>
      <c r="K6" s="2">
        <v>0.34826877865427897</v>
      </c>
      <c r="L6" s="2">
        <f>AVERAGEIF(Hoja1!$B$2:$B$745,$A6,Hoja1!I$2:I$745)</f>
        <v>0.17903225806451611</v>
      </c>
      <c r="M6" s="2">
        <f t="array" ref="M6">_xlfn.STDEV.S(IF(Hoja1!$B$2:$B$745=$A6,Hoja1!I$2:I$745))</f>
        <v>0.85048435510985199</v>
      </c>
    </row>
    <row r="7" spans="1:15" x14ac:dyDescent="0.3">
      <c r="A7">
        <v>7</v>
      </c>
      <c r="B7" s="2">
        <v>397.13428571428568</v>
      </c>
      <c r="C7" s="2">
        <v>8041.5322580645161</v>
      </c>
      <c r="D7" s="2">
        <v>28.229241160249749</v>
      </c>
      <c r="E7" s="2">
        <v>29.573911764705876</v>
      </c>
      <c r="F7" s="2">
        <v>28.336962677419347</v>
      </c>
      <c r="G7" s="2">
        <v>124.98542489816485</v>
      </c>
      <c r="H7" s="2">
        <v>2064.0805893351712</v>
      </c>
      <c r="I7" s="2">
        <v>0.37916658861280511</v>
      </c>
      <c r="J7" s="2">
        <v>0.46121442903964638</v>
      </c>
      <c r="K7" s="2">
        <v>0.34551055001618175</v>
      </c>
      <c r="L7" s="2">
        <f>AVERAGEIF(Hoja1!$B$2:$B$745,$A7,Hoja1!I$2:I$745)</f>
        <v>9.1935483870967755E-2</v>
      </c>
      <c r="M7" s="2">
        <f t="array" ref="M7">_xlfn.STDEV.S(IF(Hoja1!$B$2:$B$745=$A7,Hoja1!I$2:I$745))</f>
        <v>0.81286749814463977</v>
      </c>
    </row>
    <row r="8" spans="1:15" x14ac:dyDescent="0.3">
      <c r="A8">
        <v>6</v>
      </c>
      <c r="B8" s="2">
        <v>394.38000000000005</v>
      </c>
      <c r="C8" s="2">
        <v>8251.5483870967746</v>
      </c>
      <c r="D8" s="2">
        <v>28.375686771783464</v>
      </c>
      <c r="E8" s="2">
        <v>29.710058823529412</v>
      </c>
      <c r="F8" s="2">
        <v>28.681522145161289</v>
      </c>
      <c r="G8" s="2">
        <v>111.63255323236355</v>
      </c>
      <c r="H8" s="2">
        <v>1717.7243970374543</v>
      </c>
      <c r="I8" s="2">
        <v>0.43493116927571285</v>
      </c>
      <c r="J8" s="2">
        <v>0.41638094017861632</v>
      </c>
      <c r="K8" s="2">
        <v>0.38430044335209651</v>
      </c>
      <c r="L8" s="2">
        <f>AVERAGEIF(Hoja1!$B$2:$B$745,$A8,Hoja1!I$2:I$745)</f>
        <v>0.17419354838709675</v>
      </c>
      <c r="M8" s="2">
        <f t="array" ref="M8">_xlfn.STDEV.S(IF(Hoja1!$B$2:$B$745=$A8,Hoja1!I$2:I$745))</f>
        <v>0.65535261034966563</v>
      </c>
    </row>
    <row r="9" spans="1:15" x14ac:dyDescent="0.3">
      <c r="A9">
        <v>5</v>
      </c>
      <c r="B9" s="2">
        <v>328.28199999999981</v>
      </c>
      <c r="C9" s="2">
        <v>6931.8387096774195</v>
      </c>
      <c r="D9" s="2">
        <v>28.194135091918135</v>
      </c>
      <c r="E9" s="2">
        <v>28.831647058823531</v>
      </c>
      <c r="F9" s="2">
        <v>28.36153082258064</v>
      </c>
      <c r="G9" s="2">
        <v>110.70983132389293</v>
      </c>
      <c r="H9" s="2">
        <v>1490.3006209393056</v>
      </c>
      <c r="I9" s="2">
        <v>0.37929134906723999</v>
      </c>
      <c r="J9" s="2">
        <v>0.51128399760134136</v>
      </c>
      <c r="K9" s="2">
        <v>0.4133804695288818</v>
      </c>
      <c r="L9" s="2">
        <f>AVERAGEIF(Hoja1!$B$2:$B$745,$A9,Hoja1!I$2:I$745)</f>
        <v>0.16129032258064516</v>
      </c>
      <c r="M9" s="2">
        <f t="array" ref="M9">_xlfn.STDEV.S(IF(Hoja1!$B$2:$B$745=$A9,Hoja1!I$2:I$745))</f>
        <v>0.69597315727154108</v>
      </c>
    </row>
    <row r="10" spans="1:15" x14ac:dyDescent="0.3">
      <c r="A10">
        <v>4</v>
      </c>
      <c r="B10" s="2">
        <v>236.06200000000004</v>
      </c>
      <c r="C10" s="2">
        <v>5006.177419354839</v>
      </c>
      <c r="D10" s="2">
        <v>27.701922284946228</v>
      </c>
      <c r="E10" s="2">
        <v>27.5989705882353</v>
      </c>
      <c r="F10" s="2">
        <v>27.5477268548387</v>
      </c>
      <c r="G10" s="2">
        <v>98.828521181000724</v>
      </c>
      <c r="H10" s="2">
        <v>1337.5810749037873</v>
      </c>
      <c r="I10" s="2">
        <v>0.4755767368746287</v>
      </c>
      <c r="J10" s="2">
        <v>0.505093779788924</v>
      </c>
      <c r="K10" s="2">
        <v>0.36818718983952936</v>
      </c>
      <c r="L10" s="2">
        <f>AVERAGEIF(Hoja1!$B$2:$B$745,$A10,Hoja1!I$2:I$745)</f>
        <v>0.16774193548387101</v>
      </c>
      <c r="M10" s="2">
        <f t="array" ref="M10">_xlfn.STDEV.S(IF(Hoja1!$B$2:$B$745=$A10,Hoja1!I$2:I$745))</f>
        <v>0.77940166070158534</v>
      </c>
    </row>
    <row r="11" spans="1:15" x14ac:dyDescent="0.3">
      <c r="A11">
        <v>3</v>
      </c>
      <c r="B11" s="2">
        <v>201.7428571428571</v>
      </c>
      <c r="C11" s="2">
        <v>4148.3709677419356</v>
      </c>
      <c r="D11" s="2">
        <v>27.244539739854321</v>
      </c>
      <c r="E11" s="2">
        <v>27.159852941176467</v>
      </c>
      <c r="F11" s="2">
        <v>27.056756661290333</v>
      </c>
      <c r="G11" s="2">
        <v>94.945738360250402</v>
      </c>
      <c r="H11" s="2">
        <v>1394.4333032368731</v>
      </c>
      <c r="I11" s="2">
        <v>0.55876882091119129</v>
      </c>
      <c r="J11" s="2">
        <v>0.44275406213443341</v>
      </c>
      <c r="K11" s="2">
        <v>0.41895342438861743</v>
      </c>
      <c r="L11" s="2">
        <f>AVERAGEIF(Hoja1!$B$2:$B$745,$A11,Hoja1!I$2:I$745)</f>
        <v>0.30806451612903224</v>
      </c>
      <c r="M11" s="2">
        <f t="array" ref="M11">_xlfn.STDEV.S(IF(Hoja1!$B$2:$B$745=$A11,Hoja1!I$2:I$745))</f>
        <v>1.0855682786323082</v>
      </c>
    </row>
    <row r="12" spans="1:15" x14ac:dyDescent="0.3">
      <c r="A12">
        <v>2</v>
      </c>
      <c r="B12" s="2">
        <v>246.67400000000001</v>
      </c>
      <c r="C12" s="2">
        <v>4493.7419354838712</v>
      </c>
      <c r="D12" s="2">
        <v>26.918839130184324</v>
      </c>
      <c r="E12" s="2">
        <v>27.287382352941172</v>
      </c>
      <c r="F12" s="2">
        <v>26.953949241935486</v>
      </c>
      <c r="G12" s="2">
        <v>119.0769423573534</v>
      </c>
      <c r="H12" s="2">
        <v>1584.2535185378219</v>
      </c>
      <c r="I12" s="2">
        <v>0.51554551092054934</v>
      </c>
      <c r="J12" s="2">
        <v>0.43809726432891338</v>
      </c>
      <c r="K12" s="2">
        <v>0.40018975482763924</v>
      </c>
      <c r="L12" s="2">
        <f>AVERAGEIF(Hoja1!$B$2:$B$745,$A12,Hoja1!I$2:I$745)</f>
        <v>0.22258064516129034</v>
      </c>
      <c r="M12" s="2">
        <f t="array" ref="M12">_xlfn.STDEV.S(IF(Hoja1!$B$2:$B$745=$A12,Hoja1!I$2:I$745))</f>
        <v>1.333849274405607</v>
      </c>
      <c r="O12" t="s">
        <v>11</v>
      </c>
    </row>
    <row r="13" spans="1:15" x14ac:dyDescent="0.3">
      <c r="A13">
        <v>1</v>
      </c>
      <c r="B13" s="2">
        <v>375.55199999999996</v>
      </c>
      <c r="C13" s="2">
        <v>7003.7258064516127</v>
      </c>
      <c r="D13" s="2">
        <v>26.984210645161291</v>
      </c>
      <c r="E13" s="2">
        <v>27.73370588235294</v>
      </c>
      <c r="F13" s="2">
        <v>27.161521822580649</v>
      </c>
      <c r="G13" s="2">
        <v>148.86518395159138</v>
      </c>
      <c r="H13" s="2">
        <v>2349.3489866961709</v>
      </c>
      <c r="I13" s="2">
        <v>0.56071787798948713</v>
      </c>
      <c r="J13" s="2">
        <v>0.41987166361132688</v>
      </c>
      <c r="K13" s="2">
        <v>0.33066463611668712</v>
      </c>
      <c r="L13" s="2">
        <f>AVERAGEIF(Hoja1!$B$2:$B$745,$A13,Hoja1!I$2:I$745)</f>
        <v>0.10967741935483875</v>
      </c>
      <c r="M13" s="2">
        <f t="array" ref="M13">_xlfn.STDEV.S(IF(Hoja1!$B$2:$B$745=$A13,Hoja1!I$2:I$745))</f>
        <v>1.2163786184474723</v>
      </c>
    </row>
  </sheetData>
  <autoFilter ref="A1:O1" xr:uid="{69DC77E1-3D96-4F8D-9C2E-F89E542BBA13}">
    <sortState xmlns:xlrd2="http://schemas.microsoft.com/office/spreadsheetml/2017/richdata2" ref="A2:O13">
      <sortCondition descending="1" ref="A1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Climatology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DAVID LIZCANO SANDOVAL</cp:lastModifiedBy>
  <dcterms:created xsi:type="dcterms:W3CDTF">2021-02-28T00:37:55Z</dcterms:created>
  <dcterms:modified xsi:type="dcterms:W3CDTF">2026-01-24T12:41:33Z</dcterms:modified>
</cp:coreProperties>
</file>