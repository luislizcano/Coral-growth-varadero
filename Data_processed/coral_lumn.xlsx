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Drive\Academicos\Articulos\Pendientes\Varadero growth rates\Data_processed\"/>
    </mc:Choice>
  </mc:AlternateContent>
  <xr:revisionPtr revIDLastSave="0" documentId="13_ncr:1_{7FBF35D7-11DD-4F83-9A94-0B191B8CBB9D}" xr6:coauthVersionLast="47" xr6:coauthVersionMax="47" xr10:uidLastSave="{00000000-0000-0000-0000-000000000000}"/>
  <bookViews>
    <workbookView xWindow="-108" yWindow="-108" windowWidth="23256" windowHeight="12456" activeTab="2" xr2:uid="{00D95527-D75E-4AD9-900B-59FC494863D4}"/>
  </bookViews>
  <sheets>
    <sheet name="indexed" sheetId="1" r:id="rId1"/>
    <sheet name="columns" sheetId="2" r:id="rId2"/>
    <sheet name="waterflow" sheetId="3" r:id="rId3"/>
  </sheets>
  <definedNames>
    <definedName name="_xlnm._FilterDatabase" localSheetId="0" hidden="1">indexed!$A$1:$D$1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" i="3"/>
  <c r="F2" i="3"/>
  <c r="G35" i="3"/>
  <c r="H34" i="3"/>
  <c r="H35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2" i="3"/>
  <c r="H4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" i="3"/>
  <c r="G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2" i="2"/>
  <c r="Q2" i="2"/>
  <c r="Q1" i="2"/>
  <c r="I2" i="3"/>
  <c r="D15" i="3" s="1"/>
  <c r="I1" i="3"/>
  <c r="D16" i="3" s="1"/>
  <c r="C12" i="3" l="1"/>
  <c r="C9" i="3"/>
  <c r="C15" i="3"/>
  <c r="C4" i="3"/>
  <c r="C20" i="3"/>
  <c r="C17" i="3"/>
  <c r="C16" i="3"/>
  <c r="C19" i="3"/>
  <c r="C31" i="3"/>
  <c r="C30" i="3"/>
  <c r="C14" i="3"/>
  <c r="C2" i="3"/>
  <c r="C32" i="3"/>
  <c r="C29" i="3"/>
  <c r="C13" i="3"/>
  <c r="C35" i="3"/>
  <c r="C28" i="3"/>
  <c r="C27" i="3"/>
  <c r="C11" i="3"/>
  <c r="C33" i="3"/>
  <c r="C26" i="3"/>
  <c r="C10" i="3"/>
  <c r="C24" i="3"/>
  <c r="C8" i="3"/>
  <c r="C23" i="3"/>
  <c r="C7" i="3"/>
  <c r="C25" i="3"/>
  <c r="C6" i="3"/>
  <c r="C22" i="3"/>
  <c r="C21" i="3"/>
  <c r="C5" i="3"/>
  <c r="C3" i="3"/>
  <c r="C34" i="3"/>
  <c r="C18" i="3"/>
  <c r="D17" i="3"/>
  <c r="O4" i="2"/>
  <c r="O13" i="2"/>
  <c r="O18" i="2"/>
  <c r="O28" i="2"/>
  <c r="O12" i="2"/>
  <c r="O27" i="2"/>
  <c r="O11" i="2"/>
  <c r="O35" i="2"/>
  <c r="O34" i="2"/>
  <c r="O32" i="2"/>
  <c r="O31" i="2"/>
  <c r="O26" i="2"/>
  <c r="O25" i="2"/>
  <c r="O24" i="2"/>
  <c r="O8" i="2"/>
  <c r="O19" i="2"/>
  <c r="O33" i="2"/>
  <c r="O30" i="2"/>
  <c r="O10" i="2"/>
  <c r="O23" i="2"/>
  <c r="O7" i="2"/>
  <c r="O3" i="2"/>
  <c r="O16" i="2"/>
  <c r="O14" i="2"/>
  <c r="O9" i="2"/>
  <c r="O22" i="2"/>
  <c r="O6" i="2"/>
  <c r="O5" i="2"/>
  <c r="O17" i="2"/>
  <c r="O15" i="2"/>
  <c r="O29" i="2"/>
  <c r="O21" i="2"/>
  <c r="O2" i="2"/>
  <c r="O20" i="2"/>
  <c r="D13" i="3"/>
  <c r="D31" i="3"/>
  <c r="D14" i="3"/>
  <c r="D29" i="3"/>
  <c r="D28" i="3"/>
  <c r="D12" i="3"/>
  <c r="D30" i="3"/>
  <c r="D27" i="3"/>
  <c r="D11" i="3"/>
  <c r="D10" i="3"/>
  <c r="D25" i="3"/>
  <c r="D9" i="3"/>
  <c r="D24" i="3"/>
  <c r="D8" i="3"/>
  <c r="D22" i="3"/>
  <c r="D6" i="3"/>
  <c r="D21" i="3"/>
  <c r="D5" i="3"/>
  <c r="D23" i="3"/>
  <c r="D20" i="3"/>
  <c r="D4" i="3"/>
  <c r="D7" i="3"/>
  <c r="D2" i="3"/>
  <c r="D35" i="3"/>
  <c r="D19" i="3"/>
  <c r="D3" i="3"/>
  <c r="D18" i="3"/>
  <c r="D26" i="3"/>
  <c r="D34" i="3"/>
  <c r="D33" i="3"/>
  <c r="D32" i="3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2" i="2"/>
</calcChain>
</file>

<file path=xl/sharedStrings.xml><?xml version="1.0" encoding="utf-8"?>
<sst xmlns="http://schemas.openxmlformats.org/spreadsheetml/2006/main" count="513" uniqueCount="36">
  <si>
    <t>Core</t>
  </si>
  <si>
    <t>Year</t>
  </si>
  <si>
    <t>G/B</t>
  </si>
  <si>
    <t>G/B_std</t>
  </si>
  <si>
    <t>VAR1</t>
  </si>
  <si>
    <t>VAR2</t>
  </si>
  <si>
    <t>VAR3</t>
  </si>
  <si>
    <t>VAR4</t>
  </si>
  <si>
    <t>Global Average</t>
  </si>
  <si>
    <t>WaterFlow</t>
  </si>
  <si>
    <t>stda</t>
  </si>
  <si>
    <t>g/b</t>
  </si>
  <si>
    <t>XLSTAT 2016.02.28451  - Correlation tests - Start time: 11/22/2025 at 10:54:40 AM</t>
  </si>
  <si>
    <t>Observations/variables table: Workbook = coral_lumn.xlsx / Sheet = waterflow / Range = waterflow!$C$1:$D$35 / 34 rows and 2 columns</t>
  </si>
  <si>
    <t>Type of correlation: Pearson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</si>
  <si>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</si>
  <si>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</si>
  <si>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</si>
  <si>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</si>
  <si>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</si>
  <si>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</si>
  <si>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</si>
  <si>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</si>
  <si>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</si>
  <si>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Correlation matrix (Pearson):</t>
  </si>
  <si>
    <t>Variables</t>
  </si>
  <si>
    <t>Values in bold are different from 0 with a significance level alpha=0.05</t>
  </si>
  <si>
    <t>p-values:</t>
  </si>
  <si>
    <t>Coefficients of determination (R²):</t>
  </si>
  <si>
    <t>center</t>
  </si>
  <si>
    <t>WF-3yr</t>
  </si>
  <si>
    <t>G/B-3yr</t>
  </si>
  <si>
    <t>G/B-5yr</t>
  </si>
  <si>
    <t>WF-stda</t>
  </si>
  <si>
    <t>WF-centered</t>
  </si>
  <si>
    <t>G/B-stda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</si>
</sst>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2" xfId="0" applyNumberFormat="1" applyBorder="1"/>
    <xf numFmtId="164" fontId="0" fillId="0" borderId="3" xfId="0" applyNumberFormat="1" applyBorder="1"/>
    <xf numFmtId="49" fontId="0" fillId="0" borderId="2" xfId="0" applyNumberFormat="1" applyBorder="1"/>
    <xf numFmtId="0" fontId="1" fillId="0" borderId="2" xfId="0" applyFont="1" applyBorder="1"/>
    <xf numFmtId="49" fontId="0" fillId="0" borderId="3" xfId="0" applyNumberFormat="1" applyBorder="1"/>
    <xf numFmtId="0" fontId="1" fillId="0" borderId="3" xfId="0" applyFont="1" applyBorder="1"/>
    <xf numFmtId="0" fontId="2" fillId="0" borderId="0" xfId="0" applyFont="1"/>
    <xf numFmtId="0" fontId="1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254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waterflow!$B$2:$B$36</c:f>
              <c:numCache>
                <c:formatCode>0.00</c:formatCode>
                <c:ptCount val="35"/>
                <c:pt idx="0">
                  <c:v>259.74166666666667</c:v>
                </c:pt>
                <c:pt idx="1">
                  <c:v>326.30833333333334</c:v>
                </c:pt>
                <c:pt idx="2">
                  <c:v>294.05</c:v>
                </c:pt>
                <c:pt idx="3">
                  <c:v>356.47499999999997</c:v>
                </c:pt>
                <c:pt idx="4">
                  <c:v>515.89166666666677</c:v>
                </c:pt>
                <c:pt idx="5">
                  <c:v>465.34166666666653</c:v>
                </c:pt>
                <c:pt idx="6">
                  <c:v>419.25833333333338</c:v>
                </c:pt>
                <c:pt idx="7">
                  <c:v>560.5</c:v>
                </c:pt>
                <c:pt idx="8">
                  <c:v>512.25833333333333</c:v>
                </c:pt>
                <c:pt idx="9">
                  <c:v>482.4083333333333</c:v>
                </c:pt>
                <c:pt idx="10">
                  <c:v>401.79999999999995</c:v>
                </c:pt>
                <c:pt idx="11">
                  <c:v>370.78333333333336</c:v>
                </c:pt>
                <c:pt idx="12">
                  <c:v>366.98333333333335</c:v>
                </c:pt>
                <c:pt idx="13">
                  <c:v>361.55833333333334</c:v>
                </c:pt>
                <c:pt idx="14">
                  <c:v>284.84999999999997</c:v>
                </c:pt>
                <c:pt idx="15">
                  <c:v>511.77500000000003</c:v>
                </c:pt>
                <c:pt idx="16">
                  <c:v>537.83333333333337</c:v>
                </c:pt>
                <c:pt idx="17">
                  <c:v>358.34166666666664</c:v>
                </c:pt>
                <c:pt idx="18">
                  <c:v>214.61666666666665</c:v>
                </c:pt>
                <c:pt idx="19">
                  <c:v>407.42499999999995</c:v>
                </c:pt>
                <c:pt idx="20">
                  <c:v>391.52500000000003</c:v>
                </c:pt>
                <c:pt idx="21">
                  <c:v>384.99999999999994</c:v>
                </c:pt>
                <c:pt idx="22">
                  <c:v>324.16666666666669</c:v>
                </c:pt>
                <c:pt idx="23">
                  <c:v>248.8416666666667</c:v>
                </c:pt>
                <c:pt idx="24">
                  <c:v>242.79999999999998</c:v>
                </c:pt>
                <c:pt idx="25">
                  <c:v>316.10833333333335</c:v>
                </c:pt>
                <c:pt idx="26">
                  <c:v>369.30833333333334</c:v>
                </c:pt>
                <c:pt idx="27">
                  <c:v>437.18333333333334</c:v>
                </c:pt>
                <c:pt idx="28">
                  <c:v>312.54166666666669</c:v>
                </c:pt>
                <c:pt idx="29">
                  <c:v>317.27500000000003</c:v>
                </c:pt>
                <c:pt idx="30">
                  <c:v>304.03333333333336</c:v>
                </c:pt>
                <c:pt idx="31">
                  <c:v>362.58333333333331</c:v>
                </c:pt>
                <c:pt idx="32">
                  <c:v>157.01666666666668</c:v>
                </c:pt>
                <c:pt idx="33">
                  <c:v>239.70833333333334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29-470C-8DCC-3FA3FEF9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2"/>
          <c:order val="2"/>
          <c:tx>
            <c:strRef>
              <c:f>columns!$D$2</c:f>
              <c:strCache>
                <c:ptCount val="1"/>
                <c:pt idx="0">
                  <c:v>VAR2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columns!$E$2:$E$36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</c:numCache>
            </c:numRef>
          </c:xVal>
          <c:yVal>
            <c:numRef>
              <c:f>columns!$F$2:$F$36</c:f>
              <c:numCache>
                <c:formatCode>0.000</c:formatCode>
                <c:ptCount val="35"/>
                <c:pt idx="0">
                  <c:v>0.97716666666666596</c:v>
                </c:pt>
                <c:pt idx="1">
                  <c:v>0.97841666666666605</c:v>
                </c:pt>
                <c:pt idx="2">
                  <c:v>0.97316666666666596</c:v>
                </c:pt>
                <c:pt idx="3">
                  <c:v>0.96508333333333296</c:v>
                </c:pt>
                <c:pt idx="4">
                  <c:v>0.97116666666666596</c:v>
                </c:pt>
                <c:pt idx="5">
                  <c:v>0.97824999999999995</c:v>
                </c:pt>
                <c:pt idx="6">
                  <c:v>0.96433333333333304</c:v>
                </c:pt>
                <c:pt idx="7">
                  <c:v>0.97841666666666605</c:v>
                </c:pt>
                <c:pt idx="8">
                  <c:v>0.98799999999999999</c:v>
                </c:pt>
                <c:pt idx="9">
                  <c:v>0.96541666666666603</c:v>
                </c:pt>
                <c:pt idx="10">
                  <c:v>0.96174999999999999</c:v>
                </c:pt>
                <c:pt idx="11">
                  <c:v>0.97099999999999997</c:v>
                </c:pt>
                <c:pt idx="12">
                  <c:v>0.97808333333333297</c:v>
                </c:pt>
                <c:pt idx="13">
                  <c:v>0.96975</c:v>
                </c:pt>
                <c:pt idx="14">
                  <c:v>0.957666666666666</c:v>
                </c:pt>
                <c:pt idx="15">
                  <c:v>0.96975</c:v>
                </c:pt>
                <c:pt idx="16">
                  <c:v>1.0002499999999901</c:v>
                </c:pt>
                <c:pt idx="17">
                  <c:v>0.96991666666666598</c:v>
                </c:pt>
                <c:pt idx="18">
                  <c:v>0.959666666666666</c:v>
                </c:pt>
                <c:pt idx="19">
                  <c:v>0.99299999999999999</c:v>
                </c:pt>
                <c:pt idx="20">
                  <c:v>0.99516666666666598</c:v>
                </c:pt>
                <c:pt idx="21">
                  <c:v>0.98708333333333298</c:v>
                </c:pt>
                <c:pt idx="22">
                  <c:v>1.0006666666666599</c:v>
                </c:pt>
                <c:pt idx="23">
                  <c:v>0.99158333333333304</c:v>
                </c:pt>
                <c:pt idx="24">
                  <c:v>0.99941666666666595</c:v>
                </c:pt>
                <c:pt idx="25">
                  <c:v>1.01275</c:v>
                </c:pt>
                <c:pt idx="26">
                  <c:v>1.00125</c:v>
                </c:pt>
                <c:pt idx="27">
                  <c:v>0.99774999999999903</c:v>
                </c:pt>
                <c:pt idx="28">
                  <c:v>0.99958333333333305</c:v>
                </c:pt>
                <c:pt idx="29">
                  <c:v>0.99608333333333299</c:v>
                </c:pt>
                <c:pt idx="30">
                  <c:v>0.99649999999999905</c:v>
                </c:pt>
                <c:pt idx="31">
                  <c:v>1.0079166666666599</c:v>
                </c:pt>
                <c:pt idx="32">
                  <c:v>0.998</c:v>
                </c:pt>
                <c:pt idx="33">
                  <c:v>0.99308333333333298</c:v>
                </c:pt>
                <c:pt idx="34">
                  <c:v>1.00925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29-470C-8DCC-3FA3FEF92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BF29-470C-8DCC-3FA3FEF9218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F29-470C-8DCC-3FA3FEF92186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F29-470C-8DCC-3FA3FEF92186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 val="autoZero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waterflow!$C$2:$C$36</c:f>
              <c:numCache>
                <c:formatCode>0.00</c:formatCode>
                <c:ptCount val="35"/>
                <c:pt idx="0">
                  <c:v>-105.44338235294111</c:v>
                </c:pt>
                <c:pt idx="1">
                  <c:v>-38.876715686274451</c:v>
                </c:pt>
                <c:pt idx="2">
                  <c:v>-71.135049019607777</c:v>
                </c:pt>
                <c:pt idx="3">
                  <c:v>-8.7100490196078226</c:v>
                </c:pt>
                <c:pt idx="4">
                  <c:v>150.70661764705898</c:v>
                </c:pt>
                <c:pt idx="5">
                  <c:v>100.15661764705874</c:v>
                </c:pt>
                <c:pt idx="6">
                  <c:v>54.073284313725594</c:v>
                </c:pt>
                <c:pt idx="7">
                  <c:v>195.31495098039221</c:v>
                </c:pt>
                <c:pt idx="8">
                  <c:v>147.07328431372554</c:v>
                </c:pt>
                <c:pt idx="9">
                  <c:v>117.22328431372551</c:v>
                </c:pt>
                <c:pt idx="10">
                  <c:v>36.614950980392166</c:v>
                </c:pt>
                <c:pt idx="11">
                  <c:v>5.5982843137255713</c:v>
                </c:pt>
                <c:pt idx="12">
                  <c:v>1.79828431372556</c:v>
                </c:pt>
                <c:pt idx="13">
                  <c:v>-3.6267156862744514</c:v>
                </c:pt>
                <c:pt idx="14">
                  <c:v>-80.335049019607823</c:v>
                </c:pt>
                <c:pt idx="15">
                  <c:v>146.58995098039225</c:v>
                </c:pt>
                <c:pt idx="16">
                  <c:v>172.64828431372558</c:v>
                </c:pt>
                <c:pt idx="17">
                  <c:v>-6.8433823529411484</c:v>
                </c:pt>
                <c:pt idx="18">
                  <c:v>-150.56838235294114</c:v>
                </c:pt>
                <c:pt idx="19">
                  <c:v>42.239950980392166</c:v>
                </c:pt>
                <c:pt idx="20">
                  <c:v>26.339950980392246</c:v>
                </c:pt>
                <c:pt idx="21">
                  <c:v>19.814950980392155</c:v>
                </c:pt>
                <c:pt idx="22">
                  <c:v>-41.018382352941103</c:v>
                </c:pt>
                <c:pt idx="23">
                  <c:v>-116.34338235294109</c:v>
                </c:pt>
                <c:pt idx="24">
                  <c:v>-122.38504901960781</c:v>
                </c:pt>
                <c:pt idx="25">
                  <c:v>-49.07671568627444</c:v>
                </c:pt>
                <c:pt idx="26">
                  <c:v>4.1232843137255486</c:v>
                </c:pt>
                <c:pt idx="27">
                  <c:v>71.998284313725549</c:v>
                </c:pt>
                <c:pt idx="28">
                  <c:v>-52.643382352941103</c:v>
                </c:pt>
                <c:pt idx="29">
                  <c:v>-47.910049019607754</c:v>
                </c:pt>
                <c:pt idx="30">
                  <c:v>-61.151715686274429</c:v>
                </c:pt>
                <c:pt idx="31">
                  <c:v>-2.6017156862744741</c:v>
                </c:pt>
                <c:pt idx="32">
                  <c:v>-208.16838235294111</c:v>
                </c:pt>
                <c:pt idx="33">
                  <c:v>-125.47671568627445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B-4519-A278-1D0CF063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5"/>
          <c:order val="5"/>
          <c:tx>
            <c:v>G/B STDA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columns!$K$2:$K$35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waterflow!$E$2:$E$35</c:f>
              <c:numCache>
                <c:formatCode>0.0</c:formatCode>
                <c:ptCount val="34"/>
                <c:pt idx="0">
                  <c:v>-2.0659110372486018</c:v>
                </c:pt>
                <c:pt idx="1">
                  <c:v>-2.6682648054931648</c:v>
                </c:pt>
                <c:pt idx="2">
                  <c:v>-2.5895900275999928</c:v>
                </c:pt>
                <c:pt idx="3">
                  <c:v>-1.676225027996344</c:v>
                </c:pt>
                <c:pt idx="4">
                  <c:v>-0.94356615886619133</c:v>
                </c:pt>
                <c:pt idx="5">
                  <c:v>-1.022240936759311</c:v>
                </c:pt>
                <c:pt idx="6">
                  <c:v>-1.5078118315687905</c:v>
                </c:pt>
                <c:pt idx="7">
                  <c:v>-0.85013986011806908</c:v>
                </c:pt>
                <c:pt idx="8">
                  <c:v>-0.56617308365991559</c:v>
                </c:pt>
                <c:pt idx="9">
                  <c:v>-0.45307809043832992</c:v>
                </c:pt>
                <c:pt idx="10">
                  <c:v>-0.83047116564478918</c:v>
                </c:pt>
                <c:pt idx="11">
                  <c:v>-0.62886704729359444</c:v>
                </c:pt>
                <c:pt idx="12">
                  <c:v>-0.68295595709515688</c:v>
                </c:pt>
                <c:pt idx="13">
                  <c:v>-0.85997420735471564</c:v>
                </c:pt>
                <c:pt idx="14">
                  <c:v>-1.2090935342558111</c:v>
                </c:pt>
                <c:pt idx="15">
                  <c:v>-0.7112297054004616</c:v>
                </c:pt>
                <c:pt idx="16">
                  <c:v>0.59796777047809502</c:v>
                </c:pt>
                <c:pt idx="17">
                  <c:v>-1.0578904454921629</c:v>
                </c:pt>
                <c:pt idx="18">
                  <c:v>-1.8987271342255452</c:v>
                </c:pt>
                <c:pt idx="19">
                  <c:v>0.62255363856975721</c:v>
                </c:pt>
                <c:pt idx="20">
                  <c:v>0.50331217832554753</c:v>
                </c:pt>
                <c:pt idx="21">
                  <c:v>0.22672116229479697</c:v>
                </c:pt>
                <c:pt idx="22">
                  <c:v>8.2893833958780999E-2</c:v>
                </c:pt>
                <c:pt idx="23">
                  <c:v>-0.45184879703381298</c:v>
                </c:pt>
                <c:pt idx="24">
                  <c:v>0.40128082574528251</c:v>
                </c:pt>
                <c:pt idx="25">
                  <c:v>1.3183337055627835</c:v>
                </c:pt>
                <c:pt idx="26">
                  <c:v>1.2556397419291438</c:v>
                </c:pt>
                <c:pt idx="27">
                  <c:v>0.91961144200152467</c:v>
                </c:pt>
                <c:pt idx="28">
                  <c:v>-2.2436243880499956E-2</c:v>
                </c:pt>
                <c:pt idx="29">
                  <c:v>0.2128660643177748</c:v>
                </c:pt>
                <c:pt idx="30">
                  <c:v>3.133791886694659E-2</c:v>
                </c:pt>
                <c:pt idx="31">
                  <c:v>0.33583947248568996</c:v>
                </c:pt>
                <c:pt idx="32">
                  <c:v>-0.29665741333436768</c:v>
                </c:pt>
                <c:pt idx="33">
                  <c:v>0.1377693096040904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CB-4519-A278-1D0CF063AAF3}"/>
            </c:ext>
          </c:extLst>
        </c:ser>
        <c:ser>
          <c:idx val="6"/>
          <c:order val="6"/>
          <c:tx>
            <c:strRef>
              <c:f>waterflow!$G$1</c:f>
              <c:strCache>
                <c:ptCount val="1"/>
                <c:pt idx="0">
                  <c:v>G/B-3yr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waterflow!$A$2:$A$35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waterflow!$G$2:$G$35</c:f>
              <c:numCache>
                <c:formatCode>0.0</c:formatCode>
                <c:ptCount val="34"/>
                <c:pt idx="0">
                  <c:v>-2.3670879213708833</c:v>
                </c:pt>
                <c:pt idx="1">
                  <c:v>-2.44125529011392</c:v>
                </c:pt>
                <c:pt idx="2">
                  <c:v>-2.3113599536965004</c:v>
                </c:pt>
                <c:pt idx="3">
                  <c:v>-1.7364604048208425</c:v>
                </c:pt>
                <c:pt idx="4">
                  <c:v>-1.2140107078739488</c:v>
                </c:pt>
                <c:pt idx="5">
                  <c:v>-1.157872975731431</c:v>
                </c:pt>
                <c:pt idx="6">
                  <c:v>-1.1267308761487236</c:v>
                </c:pt>
                <c:pt idx="7">
                  <c:v>-0.97470825844892506</c:v>
                </c:pt>
                <c:pt idx="8">
                  <c:v>-0.62313034473877149</c:v>
                </c:pt>
                <c:pt idx="9">
                  <c:v>-0.61657411324767819</c:v>
                </c:pt>
                <c:pt idx="10">
                  <c:v>-0.63747210112557118</c:v>
                </c:pt>
                <c:pt idx="11">
                  <c:v>-0.71409805667784687</c:v>
                </c:pt>
                <c:pt idx="12">
                  <c:v>-0.72393240391448899</c:v>
                </c:pt>
                <c:pt idx="13">
                  <c:v>-0.91734123290189462</c:v>
                </c:pt>
                <c:pt idx="14">
                  <c:v>-0.92676581567032945</c:v>
                </c:pt>
                <c:pt idx="15">
                  <c:v>-0.44078515639272592</c:v>
                </c:pt>
                <c:pt idx="16">
                  <c:v>-0.39038412680484313</c:v>
                </c:pt>
                <c:pt idx="17">
                  <c:v>-0.78621660307987096</c:v>
                </c:pt>
                <c:pt idx="18">
                  <c:v>-0.77802131371598371</c:v>
                </c:pt>
                <c:pt idx="19">
                  <c:v>-0.25762043911008015</c:v>
                </c:pt>
                <c:pt idx="20">
                  <c:v>0.4508623263967006</c:v>
                </c:pt>
                <c:pt idx="21">
                  <c:v>0.2709757248597085</c:v>
                </c:pt>
                <c:pt idx="22">
                  <c:v>-4.7411266926745001E-2</c:v>
                </c:pt>
                <c:pt idx="23">
                  <c:v>1.0775287556750187E-2</c:v>
                </c:pt>
                <c:pt idx="24">
                  <c:v>0.42258857809141764</c:v>
                </c:pt>
                <c:pt idx="25">
                  <c:v>0.99175142441240327</c:v>
                </c:pt>
                <c:pt idx="26">
                  <c:v>1.1645282964978174</c:v>
                </c:pt>
                <c:pt idx="27">
                  <c:v>0.71760498001672268</c:v>
                </c:pt>
                <c:pt idx="28">
                  <c:v>0.37001375414626653</c:v>
                </c:pt>
                <c:pt idx="29">
                  <c:v>7.3922579768073815E-2</c:v>
                </c:pt>
                <c:pt idx="30">
                  <c:v>0.1933478185568038</c:v>
                </c:pt>
                <c:pt idx="31">
                  <c:v>2.3506659339422958E-2</c:v>
                </c:pt>
                <c:pt idx="32">
                  <c:v>5.8983789585137558E-2</c:v>
                </c:pt>
                <c:pt idx="33">
                  <c:v>-7.9444051865138643E-2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96-48CE-A44B-260A5FDA7F54}"/>
            </c:ext>
          </c:extLst>
        </c:ser>
        <c:ser>
          <c:idx val="7"/>
          <c:order val="7"/>
          <c:tx>
            <c:strRef>
              <c:f>waterflow!$H$1</c:f>
              <c:strCache>
                <c:ptCount val="1"/>
                <c:pt idx="0">
                  <c:v>G/B-5yr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waterflow!$A$2:$A$35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waterflow!$H$2:$H$35</c:f>
              <c:numCache>
                <c:formatCode>0.0</c:formatCode>
                <c:ptCount val="34"/>
                <c:pt idx="0">
                  <c:v>-2.44125529011392</c:v>
                </c:pt>
                <c:pt idx="1">
                  <c:v>-2.2499977245845257</c:v>
                </c:pt>
                <c:pt idx="2">
                  <c:v>-1.9887114114408591</c:v>
                </c:pt>
                <c:pt idx="3">
                  <c:v>-1.7799773913430006</c:v>
                </c:pt>
                <c:pt idx="4">
                  <c:v>-1.5478867965581258</c:v>
                </c:pt>
                <c:pt idx="5">
                  <c:v>-1.199996763061741</c:v>
                </c:pt>
                <c:pt idx="6">
                  <c:v>-0.97798637419445544</c:v>
                </c:pt>
                <c:pt idx="7">
                  <c:v>-0.87988876050888332</c:v>
                </c:pt>
                <c:pt idx="8">
                  <c:v>-0.84153480628597888</c:v>
                </c:pt>
                <c:pt idx="9">
                  <c:v>-0.66574584943093962</c:v>
                </c:pt>
                <c:pt idx="10">
                  <c:v>-0.63230906882635707</c:v>
                </c:pt>
                <c:pt idx="11">
                  <c:v>-0.69106929356531721</c:v>
                </c:pt>
                <c:pt idx="12">
                  <c:v>-0.84227238232881363</c:v>
                </c:pt>
                <c:pt idx="13">
                  <c:v>-0.818424090279948</c:v>
                </c:pt>
                <c:pt idx="14">
                  <c:v>-0.57305712672561016</c:v>
                </c:pt>
                <c:pt idx="15">
                  <c:v>-0.64804402440501119</c:v>
                </c:pt>
                <c:pt idx="16">
                  <c:v>-0.85579460977917721</c:v>
                </c:pt>
                <c:pt idx="17">
                  <c:v>-0.48946517521406357</c:v>
                </c:pt>
                <c:pt idx="18">
                  <c:v>-0.24655679846886161</c:v>
                </c:pt>
                <c:pt idx="19">
                  <c:v>-0.32080612010552134</c:v>
                </c:pt>
                <c:pt idx="20">
                  <c:v>-9.2649264215332483E-2</c:v>
                </c:pt>
                <c:pt idx="21">
                  <c:v>0.19672640322301396</c:v>
                </c:pt>
                <c:pt idx="22">
                  <c:v>0.152471840658119</c:v>
                </c:pt>
                <c:pt idx="23">
                  <c:v>0.31547614610556618</c:v>
                </c:pt>
                <c:pt idx="24">
                  <c:v>0.52125986203243557</c:v>
                </c:pt>
                <c:pt idx="25">
                  <c:v>0.68860338364098439</c:v>
                </c:pt>
                <c:pt idx="26">
                  <c:v>0.77448589427164682</c:v>
                </c:pt>
                <c:pt idx="27">
                  <c:v>0.73680294198614538</c:v>
                </c:pt>
                <c:pt idx="28">
                  <c:v>0.47940378464697792</c:v>
                </c:pt>
                <c:pt idx="29">
                  <c:v>0.29544373075828723</c:v>
                </c:pt>
                <c:pt idx="30">
                  <c:v>5.2189959691108734E-2</c:v>
                </c:pt>
                <c:pt idx="31">
                  <c:v>8.4231070388026824E-2</c:v>
                </c:pt>
                <c:pt idx="32">
                  <c:v>5.2072321905589816E-2</c:v>
                </c:pt>
                <c:pt idx="33">
                  <c:v>5.8983789585137558E-2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96-48CE-A44B-260A5FDA7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8CB-4519-A278-1D0CF063AAF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columns!$D$2</c15:sqref>
                        </c15:formulaRef>
                      </c:ext>
                    </c:extLst>
                    <c:strCache>
                      <c:ptCount val="1"/>
                      <c:pt idx="0">
                        <c:v>VAR2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columns!$E$2:$E$36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columns!$F$2:$F$36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0.97716666666666596</c:v>
                      </c:pt>
                      <c:pt idx="1">
                        <c:v>0.97841666666666605</c:v>
                      </c:pt>
                      <c:pt idx="2">
                        <c:v>0.97316666666666596</c:v>
                      </c:pt>
                      <c:pt idx="3">
                        <c:v>0.96508333333333296</c:v>
                      </c:pt>
                      <c:pt idx="4">
                        <c:v>0.97116666666666596</c:v>
                      </c:pt>
                      <c:pt idx="5">
                        <c:v>0.97824999999999995</c:v>
                      </c:pt>
                      <c:pt idx="6">
                        <c:v>0.96433333333333304</c:v>
                      </c:pt>
                      <c:pt idx="7">
                        <c:v>0.97841666666666605</c:v>
                      </c:pt>
                      <c:pt idx="8">
                        <c:v>0.98799999999999999</c:v>
                      </c:pt>
                      <c:pt idx="9">
                        <c:v>0.96541666666666603</c:v>
                      </c:pt>
                      <c:pt idx="10">
                        <c:v>0.96174999999999999</c:v>
                      </c:pt>
                      <c:pt idx="11">
                        <c:v>0.97099999999999997</c:v>
                      </c:pt>
                      <c:pt idx="12">
                        <c:v>0.97808333333333297</c:v>
                      </c:pt>
                      <c:pt idx="13">
                        <c:v>0.96975</c:v>
                      </c:pt>
                      <c:pt idx="14">
                        <c:v>0.957666666666666</c:v>
                      </c:pt>
                      <c:pt idx="15">
                        <c:v>0.96975</c:v>
                      </c:pt>
                      <c:pt idx="16">
                        <c:v>1.0002499999999901</c:v>
                      </c:pt>
                      <c:pt idx="17">
                        <c:v>0.96991666666666598</c:v>
                      </c:pt>
                      <c:pt idx="18">
                        <c:v>0.959666666666666</c:v>
                      </c:pt>
                      <c:pt idx="19">
                        <c:v>0.99299999999999999</c:v>
                      </c:pt>
                      <c:pt idx="20">
                        <c:v>0.99516666666666598</c:v>
                      </c:pt>
                      <c:pt idx="21">
                        <c:v>0.98708333333333298</c:v>
                      </c:pt>
                      <c:pt idx="22">
                        <c:v>1.0006666666666599</c:v>
                      </c:pt>
                      <c:pt idx="23">
                        <c:v>0.99158333333333304</c:v>
                      </c:pt>
                      <c:pt idx="24">
                        <c:v>0.99941666666666595</c:v>
                      </c:pt>
                      <c:pt idx="25">
                        <c:v>1.01275</c:v>
                      </c:pt>
                      <c:pt idx="26">
                        <c:v>1.00125</c:v>
                      </c:pt>
                      <c:pt idx="27">
                        <c:v>0.99774999999999903</c:v>
                      </c:pt>
                      <c:pt idx="28">
                        <c:v>0.99958333333333305</c:v>
                      </c:pt>
                      <c:pt idx="29">
                        <c:v>0.99608333333333299</c:v>
                      </c:pt>
                      <c:pt idx="30">
                        <c:v>0.99649999999999905</c:v>
                      </c:pt>
                      <c:pt idx="31">
                        <c:v>1.0079166666666599</c:v>
                      </c:pt>
                      <c:pt idx="32">
                        <c:v>0.998</c:v>
                      </c:pt>
                      <c:pt idx="33">
                        <c:v>0.99308333333333298</c:v>
                      </c:pt>
                      <c:pt idx="34">
                        <c:v>1.00925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8CB-4519-A278-1D0CF063AAF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8CB-4519-A278-1D0CF063AAF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8CB-4519-A278-1D0CF063AAF3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At val="-3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waterflow!$B$1</c:f>
              <c:strCache>
                <c:ptCount val="1"/>
                <c:pt idx="0">
                  <c:v>WaterFlow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waterflow!$D$2:$D$36</c:f>
              <c:numCache>
                <c:formatCode>0.0</c:formatCode>
                <c:ptCount val="35"/>
                <c:pt idx="0">
                  <c:v>-1.0751984741460796</c:v>
                </c:pt>
                <c:pt idx="1">
                  <c:v>-0.39642303246475213</c:v>
                </c:pt>
                <c:pt idx="2">
                  <c:v>-0.72535890311427864</c:v>
                </c:pt>
                <c:pt idx="3">
                  <c:v>-8.8815734156489426E-2</c:v>
                </c:pt>
                <c:pt idx="4">
                  <c:v>1.5367443809366259</c:v>
                </c:pt>
                <c:pt idx="5">
                  <c:v>1.0212897202907882</c:v>
                </c:pt>
                <c:pt idx="6">
                  <c:v>0.5513813336486092</c:v>
                </c:pt>
                <c:pt idx="7">
                  <c:v>1.9916123002305841</c:v>
                </c:pt>
                <c:pt idx="8">
                  <c:v>1.4996955461127566</c:v>
                </c:pt>
                <c:pt idx="9">
                  <c:v>1.195317274692812</c:v>
                </c:pt>
                <c:pt idx="10">
                  <c:v>0.37335998283208582</c:v>
                </c:pt>
                <c:pt idx="11">
                  <c:v>5.7085296560441492E-2</c:v>
                </c:pt>
                <c:pt idx="12">
                  <c:v>1.833697390061597E-2</c:v>
                </c:pt>
                <c:pt idx="13">
                  <c:v>-3.6981355159792777E-2</c:v>
                </c:pt>
                <c:pt idx="14">
                  <c:v>-0.81917063165911952</c:v>
                </c:pt>
                <c:pt idx="15">
                  <c:v>1.4947670313884811</c:v>
                </c:pt>
                <c:pt idx="16">
                  <c:v>1.7604819545403978</c:v>
                </c:pt>
                <c:pt idx="17">
                  <c:v>-6.97814703937681E-2</c:v>
                </c:pt>
                <c:pt idx="18">
                  <c:v>-1.5353348057315064</c:v>
                </c:pt>
                <c:pt idx="19">
                  <c:v>0.43071769729564319</c:v>
                </c:pt>
                <c:pt idx="20">
                  <c:v>0.26858655774532192</c:v>
                </c:pt>
                <c:pt idx="21">
                  <c:v>0.20205160896759444</c:v>
                </c:pt>
                <c:pt idx="22">
                  <c:v>-0.41826145115680269</c:v>
                </c:pt>
                <c:pt idx="23">
                  <c:v>-1.1863449786176838</c:v>
                </c:pt>
                <c:pt idx="24">
                  <c:v>-1.2479514126711346</c:v>
                </c:pt>
                <c:pt idx="25">
                  <c:v>-0.500431688025336</c:v>
                </c:pt>
                <c:pt idx="26">
                  <c:v>4.2044829212219553E-2</c:v>
                </c:pt>
                <c:pt idx="27">
                  <c:v>0.73416125040581148</c:v>
                </c:pt>
                <c:pt idx="28">
                  <c:v>-0.53680072771482124</c:v>
                </c:pt>
                <c:pt idx="29">
                  <c:v>-0.48853527317363499</c:v>
                </c:pt>
                <c:pt idx="30">
                  <c:v>-0.62355958174043891</c:v>
                </c:pt>
                <c:pt idx="31">
                  <c:v>-2.6529504968655897E-2</c:v>
                </c:pt>
                <c:pt idx="32">
                  <c:v>-2.1226778018383334</c:v>
                </c:pt>
                <c:pt idx="33">
                  <c:v>-1.2794769120281415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4-4561-BB73-D22980E5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2"/>
          <c:order val="2"/>
          <c:tx>
            <c:strRef>
              <c:f>columns!$D$2</c:f>
              <c:strCache>
                <c:ptCount val="1"/>
                <c:pt idx="0">
                  <c:v>VAR2</c:v>
                </c:pt>
              </c:strCache>
              <c:extLst xmlns:c15="http://schemas.microsoft.com/office/drawing/2012/chart"/>
            </c:strRef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indexed!$B$36:$B$97</c:f>
              <c:numCache>
                <c:formatCode>General</c:formatCode>
                <c:ptCount val="62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  <c:pt idx="34">
                  <c:v>1981</c:v>
                </c:pt>
                <c:pt idx="35">
                  <c:v>1980</c:v>
                </c:pt>
                <c:pt idx="36">
                  <c:v>1979</c:v>
                </c:pt>
                <c:pt idx="37">
                  <c:v>1978</c:v>
                </c:pt>
                <c:pt idx="38">
                  <c:v>1977</c:v>
                </c:pt>
                <c:pt idx="39">
                  <c:v>1976</c:v>
                </c:pt>
                <c:pt idx="40">
                  <c:v>1975</c:v>
                </c:pt>
                <c:pt idx="41">
                  <c:v>1974</c:v>
                </c:pt>
                <c:pt idx="42">
                  <c:v>1973</c:v>
                </c:pt>
                <c:pt idx="43">
                  <c:v>1972</c:v>
                </c:pt>
                <c:pt idx="44">
                  <c:v>1971</c:v>
                </c:pt>
                <c:pt idx="45">
                  <c:v>1970</c:v>
                </c:pt>
                <c:pt idx="46">
                  <c:v>1969</c:v>
                </c:pt>
                <c:pt idx="47">
                  <c:v>1968</c:v>
                </c:pt>
                <c:pt idx="48">
                  <c:v>1967</c:v>
                </c:pt>
                <c:pt idx="49">
                  <c:v>1966</c:v>
                </c:pt>
                <c:pt idx="50">
                  <c:v>1965</c:v>
                </c:pt>
                <c:pt idx="51">
                  <c:v>1964</c:v>
                </c:pt>
                <c:pt idx="52">
                  <c:v>1963</c:v>
                </c:pt>
                <c:pt idx="53">
                  <c:v>1962</c:v>
                </c:pt>
                <c:pt idx="54">
                  <c:v>1961</c:v>
                </c:pt>
                <c:pt idx="55">
                  <c:v>1960</c:v>
                </c:pt>
                <c:pt idx="56">
                  <c:v>1959</c:v>
                </c:pt>
                <c:pt idx="57">
                  <c:v>1958</c:v>
                </c:pt>
                <c:pt idx="58">
                  <c:v>1957</c:v>
                </c:pt>
                <c:pt idx="59">
                  <c:v>1956</c:v>
                </c:pt>
                <c:pt idx="60">
                  <c:v>1955</c:v>
                </c:pt>
                <c:pt idx="61">
                  <c:v>1954</c:v>
                </c:pt>
              </c:numCache>
            </c:numRef>
          </c:xVal>
          <c:yVal>
            <c:numRef>
              <c:f>indexed!$D$36:$D$97</c:f>
              <c:numCache>
                <c:formatCode>0.000</c:formatCode>
                <c:ptCount val="62"/>
                <c:pt idx="0">
                  <c:v>1.0408329997330599E-2</c:v>
                </c:pt>
                <c:pt idx="1">
                  <c:v>8.0278870007599E-3</c:v>
                </c:pt>
                <c:pt idx="2">
                  <c:v>1.7554244932537402E-2</c:v>
                </c:pt>
                <c:pt idx="3">
                  <c:v>1.1766349038549199E-2</c:v>
                </c:pt>
                <c:pt idx="4">
                  <c:v>2.2155784524109899E-2</c:v>
                </c:pt>
                <c:pt idx="5">
                  <c:v>4.4409509628620503E-2</c:v>
                </c:pt>
                <c:pt idx="6">
                  <c:v>2.1304431179423301E-2</c:v>
                </c:pt>
                <c:pt idx="7">
                  <c:v>3.4908864030197002E-2</c:v>
                </c:pt>
                <c:pt idx="8">
                  <c:v>3.0573309809820499E-2</c:v>
                </c:pt>
                <c:pt idx="9">
                  <c:v>2.9754933382652001E-2</c:v>
                </c:pt>
                <c:pt idx="10">
                  <c:v>3.0698312064938699E-2</c:v>
                </c:pt>
                <c:pt idx="11">
                  <c:v>2.9344350548119201E-2</c:v>
                </c:pt>
                <c:pt idx="12">
                  <c:v>3.0001388856740099E-2</c:v>
                </c:pt>
                <c:pt idx="13">
                  <c:v>1.82762886624371E-2</c:v>
                </c:pt>
                <c:pt idx="14">
                  <c:v>1.8690461025168199E-2</c:v>
                </c:pt>
                <c:pt idx="15">
                  <c:v>3.00427725388017E-2</c:v>
                </c:pt>
                <c:pt idx="16">
                  <c:v>3.0724952844109001E-2</c:v>
                </c:pt>
                <c:pt idx="17">
                  <c:v>3.6094467804091597E-2</c:v>
                </c:pt>
                <c:pt idx="18">
                  <c:v>2.1843798093543899E-2</c:v>
                </c:pt>
                <c:pt idx="19">
                  <c:v>2.6288607971722399E-2</c:v>
                </c:pt>
                <c:pt idx="20">
                  <c:v>2.54481052458932E-2</c:v>
                </c:pt>
                <c:pt idx="21">
                  <c:v>2.50361859327775E-2</c:v>
                </c:pt>
                <c:pt idx="22">
                  <c:v>2.1478671591449301E-2</c:v>
                </c:pt>
                <c:pt idx="23">
                  <c:v>2.2516492272163999E-2</c:v>
                </c:pt>
                <c:pt idx="24">
                  <c:v>1.6876332719539599E-2</c:v>
                </c:pt>
                <c:pt idx="25">
                  <c:v>2.4094982502964799E-2</c:v>
                </c:pt>
                <c:pt idx="26">
                  <c:v>4.1861514110652497E-2</c:v>
                </c:pt>
                <c:pt idx="27">
                  <c:v>3.6337121014691803E-2</c:v>
                </c:pt>
                <c:pt idx="28">
                  <c:v>1.8118089069080901E-2</c:v>
                </c:pt>
                <c:pt idx="29">
                  <c:v>1.72281921878241E-2</c:v>
                </c:pt>
                <c:pt idx="30">
                  <c:v>1.9764522853748901E-2</c:v>
                </c:pt>
                <c:pt idx="31">
                  <c:v>2.0424843755197701E-2</c:v>
                </c:pt>
                <c:pt idx="32">
                  <c:v>2.0630956440174101E-2</c:v>
                </c:pt>
                <c:pt idx="33">
                  <c:v>1.8342490825865702E-2</c:v>
                </c:pt>
                <c:pt idx="34">
                  <c:v>1.9522131962560699E-2</c:v>
                </c:pt>
                <c:pt idx="35">
                  <c:v>1.50400979203775E-2</c:v>
                </c:pt>
                <c:pt idx="36">
                  <c:v>2.3591215622461099E-2</c:v>
                </c:pt>
                <c:pt idx="37">
                  <c:v>1.3937903411745599E-2</c:v>
                </c:pt>
                <c:pt idx="38">
                  <c:v>1.18203086664306E-2</c:v>
                </c:pt>
                <c:pt idx="39">
                  <c:v>2.3654553024478799E-2</c:v>
                </c:pt>
                <c:pt idx="40">
                  <c:v>3.1677709398365103E-2</c:v>
                </c:pt>
                <c:pt idx="41">
                  <c:v>2.6834368510053101E-2</c:v>
                </c:pt>
                <c:pt idx="42">
                  <c:v>3.2137017266508701E-2</c:v>
                </c:pt>
                <c:pt idx="43">
                  <c:v>1.9570192238259201E-2</c:v>
                </c:pt>
                <c:pt idx="44">
                  <c:v>1.7399712641305298E-2</c:v>
                </c:pt>
                <c:pt idx="45">
                  <c:v>2.9568103207218501E-2</c:v>
                </c:pt>
                <c:pt idx="46">
                  <c:v>1.99732776023821E-2</c:v>
                </c:pt>
                <c:pt idx="47">
                  <c:v>3.0639645539527301E-2</c:v>
                </c:pt>
                <c:pt idx="48">
                  <c:v>1.8776193824773201E-2</c:v>
                </c:pt>
                <c:pt idx="49">
                  <c:v>3.2872918761174597E-2</c:v>
                </c:pt>
                <c:pt idx="50">
                  <c:v>2.8122567234852298E-2</c:v>
                </c:pt>
                <c:pt idx="51">
                  <c:v>3.4587066246143897E-2</c:v>
                </c:pt>
                <c:pt idx="52">
                  <c:v>2.9005746557076099E-2</c:v>
                </c:pt>
                <c:pt idx="53">
                  <c:v>2.9787123514578E-2</c:v>
                </c:pt>
                <c:pt idx="54">
                  <c:v>2.2584521382145901E-2</c:v>
                </c:pt>
                <c:pt idx="55">
                  <c:v>2.7971170222862701E-2</c:v>
                </c:pt>
                <c:pt idx="56">
                  <c:v>2.1742292260184301E-2</c:v>
                </c:pt>
                <c:pt idx="57">
                  <c:v>1.9055540831045301E-2</c:v>
                </c:pt>
                <c:pt idx="58">
                  <c:v>2.4054231656946701E-2</c:v>
                </c:pt>
                <c:pt idx="59">
                  <c:v>2.5282045371801301E-2</c:v>
                </c:pt>
                <c:pt idx="60">
                  <c:v>2.97107265600704E-2</c:v>
                </c:pt>
                <c:pt idx="61">
                  <c:v>3.0797274050546299E-2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44-4561-BB73-D22980E5C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444-4561-BB73-D22980E5C87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444-4561-BB73-D22980E5C87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444-4561-BB73-D22980E5C87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G/B STDA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columns!$O$2:$O$35</c15:sqref>
                        </c15:formulaRef>
                      </c:ext>
                    </c:extLst>
                    <c:numCache>
                      <c:formatCode>0.0</c:formatCode>
                      <c:ptCount val="34"/>
                      <c:pt idx="0">
                        <c:v>-2.0659110372486018</c:v>
                      </c:pt>
                      <c:pt idx="1">
                        <c:v>-2.6682648054931648</c:v>
                      </c:pt>
                      <c:pt idx="2">
                        <c:v>-2.5895900275999928</c:v>
                      </c:pt>
                      <c:pt idx="3">
                        <c:v>-1.676225027996344</c:v>
                      </c:pt>
                      <c:pt idx="4">
                        <c:v>-0.94356615886619133</c:v>
                      </c:pt>
                      <c:pt idx="5">
                        <c:v>-1.022240936759311</c:v>
                      </c:pt>
                      <c:pt idx="6">
                        <c:v>-1.5078118315687905</c:v>
                      </c:pt>
                      <c:pt idx="7">
                        <c:v>-0.85013986011806908</c:v>
                      </c:pt>
                      <c:pt idx="8">
                        <c:v>-0.56617308365991559</c:v>
                      </c:pt>
                      <c:pt idx="9">
                        <c:v>-0.45307809043832992</c:v>
                      </c:pt>
                      <c:pt idx="10">
                        <c:v>-0.83047116564478918</c:v>
                      </c:pt>
                      <c:pt idx="11">
                        <c:v>-0.62886704729359444</c:v>
                      </c:pt>
                      <c:pt idx="12">
                        <c:v>-0.68295595709515688</c:v>
                      </c:pt>
                      <c:pt idx="13">
                        <c:v>-0.85997420735471564</c:v>
                      </c:pt>
                      <c:pt idx="14">
                        <c:v>-1.2090935342558111</c:v>
                      </c:pt>
                      <c:pt idx="15">
                        <c:v>-0.7112297054004616</c:v>
                      </c:pt>
                      <c:pt idx="16">
                        <c:v>0.59796777047809502</c:v>
                      </c:pt>
                      <c:pt idx="17">
                        <c:v>-1.0578904454921629</c:v>
                      </c:pt>
                      <c:pt idx="18">
                        <c:v>-1.8987271342255452</c:v>
                      </c:pt>
                      <c:pt idx="19">
                        <c:v>0.62255363856975721</c:v>
                      </c:pt>
                      <c:pt idx="20">
                        <c:v>0.50331217832554753</c:v>
                      </c:pt>
                      <c:pt idx="21">
                        <c:v>0.22672116229479697</c:v>
                      </c:pt>
                      <c:pt idx="22">
                        <c:v>8.2893833958780999E-2</c:v>
                      </c:pt>
                      <c:pt idx="23">
                        <c:v>-0.45184879703381298</c:v>
                      </c:pt>
                      <c:pt idx="24">
                        <c:v>0.40128082574528251</c:v>
                      </c:pt>
                      <c:pt idx="25">
                        <c:v>1.3183337055627835</c:v>
                      </c:pt>
                      <c:pt idx="26">
                        <c:v>1.2556397419291438</c:v>
                      </c:pt>
                      <c:pt idx="27">
                        <c:v>0.91961144200152467</c:v>
                      </c:pt>
                      <c:pt idx="28">
                        <c:v>-2.2436243880499956E-2</c:v>
                      </c:pt>
                      <c:pt idx="29">
                        <c:v>0.2128660643177748</c:v>
                      </c:pt>
                      <c:pt idx="30">
                        <c:v>3.133791886694659E-2</c:v>
                      </c:pt>
                      <c:pt idx="31">
                        <c:v>0.33583947248568996</c:v>
                      </c:pt>
                      <c:pt idx="32">
                        <c:v>-0.29665741333436768</c:v>
                      </c:pt>
                      <c:pt idx="33">
                        <c:v>0.1377693096040904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444-4561-BB73-D22980E5C873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At val="-3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waterflow!$F$1</c:f>
              <c:strCache>
                <c:ptCount val="1"/>
                <c:pt idx="0">
                  <c:v>WF-3yr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waterflow!$A$2:$A$36</c:f>
              <c:numCache>
                <c:formatCode>General</c:formatCode>
                <c:ptCount val="35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waterflow!$F$2:$F$35</c:f>
              <c:numCache>
                <c:formatCode>0.0</c:formatCode>
                <c:ptCount val="34"/>
                <c:pt idx="0">
                  <c:v>-0.7358107533054159</c:v>
                </c:pt>
                <c:pt idx="1">
                  <c:v>-0.73232680324170352</c:v>
                </c:pt>
                <c:pt idx="2">
                  <c:v>-0.40353255657850678</c:v>
                </c:pt>
                <c:pt idx="3">
                  <c:v>0.24085658122195261</c:v>
                </c:pt>
                <c:pt idx="4">
                  <c:v>0.82307278902364145</c:v>
                </c:pt>
                <c:pt idx="5">
                  <c:v>1.0364718116253411</c:v>
                </c:pt>
                <c:pt idx="6">
                  <c:v>1.188094451389994</c:v>
                </c:pt>
                <c:pt idx="7">
                  <c:v>1.3475630599973165</c:v>
                </c:pt>
                <c:pt idx="8">
                  <c:v>1.5622083736787176</c:v>
                </c:pt>
                <c:pt idx="9">
                  <c:v>1.0227909345458848</c:v>
                </c:pt>
                <c:pt idx="10">
                  <c:v>0.54192085136177981</c:v>
                </c:pt>
                <c:pt idx="11">
                  <c:v>0.14959408443104774</c:v>
                </c:pt>
                <c:pt idx="12">
                  <c:v>1.2813638433754894E-2</c:v>
                </c:pt>
                <c:pt idx="13">
                  <c:v>-0.27927167097276545</c:v>
                </c:pt>
                <c:pt idx="14">
                  <c:v>0.21287168152318961</c:v>
                </c:pt>
                <c:pt idx="15">
                  <c:v>0.81202611808991987</c:v>
                </c:pt>
                <c:pt idx="16">
                  <c:v>1.0618225051783703</c:v>
                </c:pt>
                <c:pt idx="17">
                  <c:v>5.1788559471707796E-2</c:v>
                </c:pt>
                <c:pt idx="18">
                  <c:v>-0.39146619294321039</c:v>
                </c:pt>
                <c:pt idx="19">
                  <c:v>-0.27867685023018041</c:v>
                </c:pt>
                <c:pt idx="20">
                  <c:v>0.30045195466951985</c:v>
                </c:pt>
                <c:pt idx="21">
                  <c:v>1.7458905185371226E-2</c:v>
                </c:pt>
                <c:pt idx="22">
                  <c:v>-0.46751827360229736</c:v>
                </c:pt>
                <c:pt idx="23">
                  <c:v>-0.95085261414854039</c:v>
                </c:pt>
                <c:pt idx="24">
                  <c:v>-0.97824269310471823</c:v>
                </c:pt>
                <c:pt idx="25">
                  <c:v>-0.56877942382808377</c:v>
                </c:pt>
                <c:pt idx="26">
                  <c:v>9.1924797197565009E-2</c:v>
                </c:pt>
                <c:pt idx="27">
                  <c:v>7.9801783967736586E-2</c:v>
                </c:pt>
                <c:pt idx="28">
                  <c:v>-9.7058250160881585E-2</c:v>
                </c:pt>
                <c:pt idx="29">
                  <c:v>-0.54963186087629834</c:v>
                </c:pt>
                <c:pt idx="30">
                  <c:v>-0.37954145329424321</c:v>
                </c:pt>
                <c:pt idx="31">
                  <c:v>-0.92425562951580942</c:v>
                </c:pt>
                <c:pt idx="32">
                  <c:v>-1.1428947396117104</c:v>
                </c:pt>
                <c:pt idx="33">
                  <c:v>-1.7010773569332374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B5-41F2-9927-41B5BDB47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30320"/>
        <c:axId val="1571426480"/>
      </c:scatterChart>
      <c:scatterChart>
        <c:scatterStyle val="lineMarker"/>
        <c:varyColors val="0"/>
        <c:ser>
          <c:idx val="6"/>
          <c:order val="6"/>
          <c:tx>
            <c:strRef>
              <c:f>waterflow!$G$1</c:f>
              <c:strCache>
                <c:ptCount val="1"/>
                <c:pt idx="0">
                  <c:v>G/B-3yr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waterflow!$A$2:$A$35</c:f>
              <c:numCache>
                <c:formatCode>General</c:formatCode>
                <c:ptCount val="34"/>
                <c:pt idx="0">
                  <c:v>2015</c:v>
                </c:pt>
                <c:pt idx="1">
                  <c:v>2014</c:v>
                </c:pt>
                <c:pt idx="2">
                  <c:v>2013</c:v>
                </c:pt>
                <c:pt idx="3">
                  <c:v>2012</c:v>
                </c:pt>
                <c:pt idx="4">
                  <c:v>2011</c:v>
                </c:pt>
                <c:pt idx="5">
                  <c:v>2010</c:v>
                </c:pt>
                <c:pt idx="6">
                  <c:v>2009</c:v>
                </c:pt>
                <c:pt idx="7">
                  <c:v>2008</c:v>
                </c:pt>
                <c:pt idx="8">
                  <c:v>2007</c:v>
                </c:pt>
                <c:pt idx="9">
                  <c:v>2006</c:v>
                </c:pt>
                <c:pt idx="10">
                  <c:v>2005</c:v>
                </c:pt>
                <c:pt idx="11">
                  <c:v>2004</c:v>
                </c:pt>
                <c:pt idx="12">
                  <c:v>2003</c:v>
                </c:pt>
                <c:pt idx="13">
                  <c:v>2002</c:v>
                </c:pt>
                <c:pt idx="14">
                  <c:v>2001</c:v>
                </c:pt>
                <c:pt idx="15">
                  <c:v>2000</c:v>
                </c:pt>
                <c:pt idx="16">
                  <c:v>1999</c:v>
                </c:pt>
                <c:pt idx="17">
                  <c:v>1998</c:v>
                </c:pt>
                <c:pt idx="18">
                  <c:v>1997</c:v>
                </c:pt>
                <c:pt idx="19">
                  <c:v>1996</c:v>
                </c:pt>
                <c:pt idx="20">
                  <c:v>1995</c:v>
                </c:pt>
                <c:pt idx="21">
                  <c:v>1994</c:v>
                </c:pt>
                <c:pt idx="22">
                  <c:v>1993</c:v>
                </c:pt>
                <c:pt idx="23">
                  <c:v>1992</c:v>
                </c:pt>
                <c:pt idx="24">
                  <c:v>1991</c:v>
                </c:pt>
                <c:pt idx="25">
                  <c:v>1990</c:v>
                </c:pt>
                <c:pt idx="26">
                  <c:v>1989</c:v>
                </c:pt>
                <c:pt idx="27">
                  <c:v>1988</c:v>
                </c:pt>
                <c:pt idx="28">
                  <c:v>1987</c:v>
                </c:pt>
                <c:pt idx="29">
                  <c:v>1986</c:v>
                </c:pt>
                <c:pt idx="30">
                  <c:v>1985</c:v>
                </c:pt>
                <c:pt idx="31">
                  <c:v>1984</c:v>
                </c:pt>
                <c:pt idx="32">
                  <c:v>1983</c:v>
                </c:pt>
                <c:pt idx="33">
                  <c:v>1982</c:v>
                </c:pt>
              </c:numCache>
            </c:numRef>
          </c:xVal>
          <c:yVal>
            <c:numRef>
              <c:f>waterflow!$G$2:$G$35</c:f>
              <c:numCache>
                <c:formatCode>0.0</c:formatCode>
                <c:ptCount val="34"/>
                <c:pt idx="0">
                  <c:v>-2.3670879213708833</c:v>
                </c:pt>
                <c:pt idx="1">
                  <c:v>-2.44125529011392</c:v>
                </c:pt>
                <c:pt idx="2">
                  <c:v>-2.3113599536965004</c:v>
                </c:pt>
                <c:pt idx="3">
                  <c:v>-1.7364604048208425</c:v>
                </c:pt>
                <c:pt idx="4">
                  <c:v>-1.2140107078739488</c:v>
                </c:pt>
                <c:pt idx="5">
                  <c:v>-1.157872975731431</c:v>
                </c:pt>
                <c:pt idx="6">
                  <c:v>-1.1267308761487236</c:v>
                </c:pt>
                <c:pt idx="7">
                  <c:v>-0.97470825844892506</c:v>
                </c:pt>
                <c:pt idx="8">
                  <c:v>-0.62313034473877149</c:v>
                </c:pt>
                <c:pt idx="9">
                  <c:v>-0.61657411324767819</c:v>
                </c:pt>
                <c:pt idx="10">
                  <c:v>-0.63747210112557118</c:v>
                </c:pt>
                <c:pt idx="11">
                  <c:v>-0.71409805667784687</c:v>
                </c:pt>
                <c:pt idx="12">
                  <c:v>-0.72393240391448899</c:v>
                </c:pt>
                <c:pt idx="13">
                  <c:v>-0.91734123290189462</c:v>
                </c:pt>
                <c:pt idx="14">
                  <c:v>-0.92676581567032945</c:v>
                </c:pt>
                <c:pt idx="15">
                  <c:v>-0.44078515639272592</c:v>
                </c:pt>
                <c:pt idx="16">
                  <c:v>-0.39038412680484313</c:v>
                </c:pt>
                <c:pt idx="17">
                  <c:v>-0.78621660307987096</c:v>
                </c:pt>
                <c:pt idx="18">
                  <c:v>-0.77802131371598371</c:v>
                </c:pt>
                <c:pt idx="19">
                  <c:v>-0.25762043911008015</c:v>
                </c:pt>
                <c:pt idx="20">
                  <c:v>0.4508623263967006</c:v>
                </c:pt>
                <c:pt idx="21">
                  <c:v>0.2709757248597085</c:v>
                </c:pt>
                <c:pt idx="22">
                  <c:v>-4.7411266926745001E-2</c:v>
                </c:pt>
                <c:pt idx="23">
                  <c:v>1.0775287556750187E-2</c:v>
                </c:pt>
                <c:pt idx="24">
                  <c:v>0.42258857809141764</c:v>
                </c:pt>
                <c:pt idx="25">
                  <c:v>0.99175142441240327</c:v>
                </c:pt>
                <c:pt idx="26">
                  <c:v>1.1645282964978174</c:v>
                </c:pt>
                <c:pt idx="27">
                  <c:v>0.71760498001672268</c:v>
                </c:pt>
                <c:pt idx="28">
                  <c:v>0.37001375414626653</c:v>
                </c:pt>
                <c:pt idx="29">
                  <c:v>7.3922579768073815E-2</c:v>
                </c:pt>
                <c:pt idx="30">
                  <c:v>0.1933478185568038</c:v>
                </c:pt>
                <c:pt idx="31">
                  <c:v>2.3506659339422958E-2</c:v>
                </c:pt>
                <c:pt idx="32">
                  <c:v>5.8983789585137558E-2</c:v>
                </c:pt>
                <c:pt idx="33">
                  <c:v>-7.9444051865138643E-2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B5-41F2-9927-41B5BDB47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426960"/>
        <c:axId val="157143032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columns!$A$2</c15:sqref>
                        </c15:formulaRef>
                      </c:ext>
                    </c:extLst>
                    <c:strCache>
                      <c:ptCount val="1"/>
                      <c:pt idx="0">
                        <c:v>VAR1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columns!$B$2:$B$35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columns!$C$2:$C$35</c15:sqref>
                        </c15:formulaRef>
                      </c:ext>
                    </c:extLst>
                    <c:numCache>
                      <c:formatCode>0.000</c:formatCode>
                      <c:ptCount val="34"/>
                      <c:pt idx="0">
                        <c:v>0.96499999999999997</c:v>
                      </c:pt>
                      <c:pt idx="1">
                        <c:v>0.96316666666666595</c:v>
                      </c:pt>
                      <c:pt idx="2">
                        <c:v>0.96408333333333296</c:v>
                      </c:pt>
                      <c:pt idx="3">
                        <c:v>0.99783333333333302</c:v>
                      </c:pt>
                      <c:pt idx="4">
                        <c:v>0.99549999999999905</c:v>
                      </c:pt>
                      <c:pt idx="5">
                        <c:v>0.99691666666666601</c:v>
                      </c:pt>
                      <c:pt idx="6">
                        <c:v>0.98608333333333298</c:v>
                      </c:pt>
                      <c:pt idx="7">
                        <c:v>1.0197499999999999</c:v>
                      </c:pt>
                      <c:pt idx="8">
                        <c:v>0.99433333333333296</c:v>
                      </c:pt>
                      <c:pt idx="9">
                        <c:v>0.99208333333333298</c:v>
                      </c:pt>
                      <c:pt idx="10">
                        <c:v>0.99549999999999905</c:v>
                      </c:pt>
                      <c:pt idx="11">
                        <c:v>1.0119166666666599</c:v>
                      </c:pt>
                      <c:pt idx="12">
                        <c:v>1.0165833333333301</c:v>
                      </c:pt>
                      <c:pt idx="13">
                        <c:v>1.0248333333333299</c:v>
                      </c:pt>
                      <c:pt idx="14">
                        <c:v>1.00366666666666</c:v>
                      </c:pt>
                      <c:pt idx="15">
                        <c:v>1.0249999999999999</c:v>
                      </c:pt>
                      <c:pt idx="16">
                        <c:v>1.03033333333333</c:v>
                      </c:pt>
                      <c:pt idx="17">
                        <c:v>1.00833333333333</c:v>
                      </c:pt>
                      <c:pt idx="18">
                        <c:v>0.98308333333333298</c:v>
                      </c:pt>
                      <c:pt idx="19">
                        <c:v>1.03816666666666</c:v>
                      </c:pt>
                      <c:pt idx="20">
                        <c:v>1.02633333333333</c:v>
                      </c:pt>
                      <c:pt idx="21">
                        <c:v>1.01383333333333</c:v>
                      </c:pt>
                      <c:pt idx="22">
                        <c:v>1.02125</c:v>
                      </c:pt>
                      <c:pt idx="23">
                        <c:v>0.99616666666666598</c:v>
                      </c:pt>
                      <c:pt idx="24">
                        <c:v>1.0179166666666599</c:v>
                      </c:pt>
                      <c:pt idx="25">
                        <c:v>1.02325</c:v>
                      </c:pt>
                      <c:pt idx="26">
                        <c:v>1.03216666666666</c:v>
                      </c:pt>
                      <c:pt idx="27">
                        <c:v>1.03705410241666</c:v>
                      </c:pt>
                      <c:pt idx="28">
                        <c:v>1.0229430473333301</c:v>
                      </c:pt>
                      <c:pt idx="29">
                        <c:v>1.0263941015</c:v>
                      </c:pt>
                      <c:pt idx="30">
                        <c:v>1.02783837741666</c:v>
                      </c:pt>
                      <c:pt idx="31">
                        <c:v>1.04564708883333</c:v>
                      </c:pt>
                      <c:pt idx="32">
                        <c:v>1.01718703166666</c:v>
                      </c:pt>
                      <c:pt idx="33">
                        <c:v>1.0290533209999999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0EB5-41F2-9927-41B5BDB47A4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columns!$D$2</c15:sqref>
                        </c15:formulaRef>
                      </c:ext>
                    </c:extLst>
                    <c:strCache>
                      <c:ptCount val="1"/>
                      <c:pt idx="0">
                        <c:v>VAR2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columns!$E$2:$E$36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columns!$F$2:$F$36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0.97716666666666596</c:v>
                      </c:pt>
                      <c:pt idx="1">
                        <c:v>0.97841666666666605</c:v>
                      </c:pt>
                      <c:pt idx="2">
                        <c:v>0.97316666666666596</c:v>
                      </c:pt>
                      <c:pt idx="3">
                        <c:v>0.96508333333333296</c:v>
                      </c:pt>
                      <c:pt idx="4">
                        <c:v>0.97116666666666596</c:v>
                      </c:pt>
                      <c:pt idx="5">
                        <c:v>0.97824999999999995</c:v>
                      </c:pt>
                      <c:pt idx="6">
                        <c:v>0.96433333333333304</c:v>
                      </c:pt>
                      <c:pt idx="7">
                        <c:v>0.97841666666666605</c:v>
                      </c:pt>
                      <c:pt idx="8">
                        <c:v>0.98799999999999999</c:v>
                      </c:pt>
                      <c:pt idx="9">
                        <c:v>0.96541666666666603</c:v>
                      </c:pt>
                      <c:pt idx="10">
                        <c:v>0.96174999999999999</c:v>
                      </c:pt>
                      <c:pt idx="11">
                        <c:v>0.97099999999999997</c:v>
                      </c:pt>
                      <c:pt idx="12">
                        <c:v>0.97808333333333297</c:v>
                      </c:pt>
                      <c:pt idx="13">
                        <c:v>0.96975</c:v>
                      </c:pt>
                      <c:pt idx="14">
                        <c:v>0.957666666666666</c:v>
                      </c:pt>
                      <c:pt idx="15">
                        <c:v>0.96975</c:v>
                      </c:pt>
                      <c:pt idx="16">
                        <c:v>1.0002499999999901</c:v>
                      </c:pt>
                      <c:pt idx="17">
                        <c:v>0.96991666666666598</c:v>
                      </c:pt>
                      <c:pt idx="18">
                        <c:v>0.959666666666666</c:v>
                      </c:pt>
                      <c:pt idx="19">
                        <c:v>0.99299999999999999</c:v>
                      </c:pt>
                      <c:pt idx="20">
                        <c:v>0.99516666666666598</c:v>
                      </c:pt>
                      <c:pt idx="21">
                        <c:v>0.98708333333333298</c:v>
                      </c:pt>
                      <c:pt idx="22">
                        <c:v>1.0006666666666599</c:v>
                      </c:pt>
                      <c:pt idx="23">
                        <c:v>0.99158333333333304</c:v>
                      </c:pt>
                      <c:pt idx="24">
                        <c:v>0.99941666666666595</c:v>
                      </c:pt>
                      <c:pt idx="25">
                        <c:v>1.01275</c:v>
                      </c:pt>
                      <c:pt idx="26">
                        <c:v>1.00125</c:v>
                      </c:pt>
                      <c:pt idx="27">
                        <c:v>0.99774999999999903</c:v>
                      </c:pt>
                      <c:pt idx="28">
                        <c:v>0.99958333333333305</c:v>
                      </c:pt>
                      <c:pt idx="29">
                        <c:v>0.99608333333333299</c:v>
                      </c:pt>
                      <c:pt idx="30">
                        <c:v>0.99649999999999905</c:v>
                      </c:pt>
                      <c:pt idx="31">
                        <c:v>1.0079166666666599</c:v>
                      </c:pt>
                      <c:pt idx="32">
                        <c:v>0.998</c:v>
                      </c:pt>
                      <c:pt idx="33">
                        <c:v>0.99308333333333298</c:v>
                      </c:pt>
                      <c:pt idx="34">
                        <c:v>1.00925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EB5-41F2-9927-41B5BDB47A4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columns!$G$2</c15:sqref>
                        </c15:formulaRef>
                      </c:ext>
                    </c:extLst>
                    <c:strCache>
                      <c:ptCount val="1"/>
                      <c:pt idx="0">
                        <c:v>VAR3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columns!$H$2:$H$36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columns!$I$2:$I$36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1.00616666666666</c:v>
                      </c:pt>
                      <c:pt idx="1">
                        <c:v>0.97299999999999998</c:v>
                      </c:pt>
                      <c:pt idx="2">
                        <c:v>0.97808333333333297</c:v>
                      </c:pt>
                      <c:pt idx="3">
                        <c:v>0.99783333333333302</c:v>
                      </c:pt>
                      <c:pt idx="4">
                        <c:v>1.0342499999999999</c:v>
                      </c:pt>
                      <c:pt idx="5">
                        <c:v>1.02475</c:v>
                      </c:pt>
                      <c:pt idx="6">
                        <c:v>1.0268333333333299</c:v>
                      </c:pt>
                      <c:pt idx="7">
                        <c:v>1.01508333333333</c:v>
                      </c:pt>
                      <c:pt idx="8">
                        <c:v>1.0256666666666601</c:v>
                      </c:pt>
                      <c:pt idx="9">
                        <c:v>1.05725</c:v>
                      </c:pt>
                      <c:pt idx="10">
                        <c:v>1.0260833333333299</c:v>
                      </c:pt>
                      <c:pt idx="11">
                        <c:v>1.0253333333333301</c:v>
                      </c:pt>
                      <c:pt idx="12">
                        <c:v>1.00091666666666</c:v>
                      </c:pt>
                      <c:pt idx="13">
                        <c:v>1.0004166666666601</c:v>
                      </c:pt>
                      <c:pt idx="14">
                        <c:v>1.00366666666666</c:v>
                      </c:pt>
                      <c:pt idx="15">
                        <c:v>1.0064166666666601</c:v>
                      </c:pt>
                      <c:pt idx="16">
                        <c:v>1.03091666666666</c:v>
                      </c:pt>
                      <c:pt idx="17">
                        <c:v>0.99708333333333299</c:v>
                      </c:pt>
                      <c:pt idx="18">
                        <c:v>1.00183333333333</c:v>
                      </c:pt>
                      <c:pt idx="19">
                        <c:v>1.0585833333333301</c:v>
                      </c:pt>
                      <c:pt idx="20">
                        <c:v>1.06375</c:v>
                      </c:pt>
                      <c:pt idx="21">
                        <c:v>1.08083333333333</c:v>
                      </c:pt>
                      <c:pt idx="22">
                        <c:v>1.04341666666666</c:v>
                      </c:pt>
                      <c:pt idx="23">
                        <c:v>1.0356666666666601</c:v>
                      </c:pt>
                      <c:pt idx="24">
                        <c:v>1.0471666666666599</c:v>
                      </c:pt>
                      <c:pt idx="25">
                        <c:v>1.0689166666666601</c:v>
                      </c:pt>
                      <c:pt idx="26">
                        <c:v>1.077</c:v>
                      </c:pt>
                      <c:pt idx="27">
                        <c:v>1.0564166666666599</c:v>
                      </c:pt>
                      <c:pt idx="28">
                        <c:v>1.0345</c:v>
                      </c:pt>
                      <c:pt idx="29">
                        <c:v>1.05591666666666</c:v>
                      </c:pt>
                      <c:pt idx="30">
                        <c:v>1.046</c:v>
                      </c:pt>
                      <c:pt idx="31">
                        <c:v>1.0356666666666601</c:v>
                      </c:pt>
                      <c:pt idx="32">
                        <c:v>1.0137499999999999</c:v>
                      </c:pt>
                      <c:pt idx="33">
                        <c:v>1.0347500000000001</c:v>
                      </c:pt>
                      <c:pt idx="34">
                        <c:v>1.0753333333333299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EB5-41F2-9927-41B5BDB47A4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columns!$J$2</c15:sqref>
                        </c15:formulaRef>
                      </c:ext>
                    </c:extLst>
                    <c:strCache>
                      <c:ptCount val="1"/>
                      <c:pt idx="0">
                        <c:v>VAR4</c:v>
                      </c:pt>
                    </c:strCache>
                  </c:strRef>
                </c:tx>
                <c:spPr>
                  <a:ln w="19050" cap="rnd">
                    <a:solidFill>
                      <a:srgbClr val="C0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columns!$K$2:$K$36</c15:sqref>
                        </c15:formulaRef>
                      </c:ext>
                    </c:extLst>
                    <c:numCache>
                      <c:formatCode>General</c:formatCode>
                      <c:ptCount val="35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  <c:pt idx="34">
                        <c:v>1981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columns!$L$2:$L$36</c15:sqref>
                        </c15:formulaRef>
                      </c:ext>
                    </c:extLst>
                    <c:numCache>
                      <c:formatCode>0.000</c:formatCode>
                      <c:ptCount val="35"/>
                      <c:pt idx="0">
                        <c:v>0.98266666666666602</c:v>
                      </c:pt>
                      <c:pt idx="1">
                        <c:v>0.97558333333333302</c:v>
                      </c:pt>
                      <c:pt idx="2">
                        <c:v>0.98016666666666596</c:v>
                      </c:pt>
                      <c:pt idx="3">
                        <c:v>0.99666666666666603</c:v>
                      </c:pt>
                      <c:pt idx="4">
                        <c:v>1.00616666666666</c:v>
                      </c:pt>
                      <c:pt idx="5">
                        <c:v>1.00183333333333</c:v>
                      </c:pt>
                      <c:pt idx="6">
                        <c:v>0.99158333333333304</c:v>
                      </c:pt>
                      <c:pt idx="7">
                        <c:v>1.00016666666666</c:v>
                      </c:pt>
                      <c:pt idx="8">
                        <c:v>1.02466666666666</c:v>
                      </c:pt>
                      <c:pt idx="9">
                        <c:v>1.02558333333333</c:v>
                      </c:pt>
                      <c:pt idx="10">
                        <c:v>1.03141666666666</c:v>
                      </c:pt>
                      <c:pt idx="11">
                        <c:v>1.02016666666666</c:v>
                      </c:pt>
                      <c:pt idx="12">
                        <c:v>1.0291666666666599</c:v>
                      </c:pt>
                      <c:pt idx="13">
                        <c:v>1.0177499999999999</c:v>
                      </c:pt>
                      <c:pt idx="14">
                        <c:v>1.0240833333333299</c:v>
                      </c:pt>
                      <c:pt idx="15">
                        <c:v>1.0216666666666601</c:v>
                      </c:pt>
                      <c:pt idx="16">
                        <c:v>1.0500833333333299</c:v>
                      </c:pt>
                      <c:pt idx="17">
                        <c:v>1.024</c:v>
                      </c:pt>
                      <c:pt idx="18">
                        <c:v>0.99774999999999903</c:v>
                      </c:pt>
                      <c:pt idx="19">
                        <c:v>1.0234999999999901</c:v>
                      </c:pt>
                      <c:pt idx="20">
                        <c:v>1.0199166666666599</c:v>
                      </c:pt>
                      <c:pt idx="21">
                        <c:v>1.0046666666666599</c:v>
                      </c:pt>
                      <c:pt idx="22">
                        <c:v>1.0113333333333301</c:v>
                      </c:pt>
                      <c:pt idx="23">
                        <c:v>1.0169999999999999</c:v>
                      </c:pt>
                      <c:pt idx="24">
                        <c:v>1.0337499999999999</c:v>
                      </c:pt>
                      <c:pt idx="25">
                        <c:v>1.0555000000000001</c:v>
                      </c:pt>
                      <c:pt idx="26">
                        <c:v>1.04575</c:v>
                      </c:pt>
                      <c:pt idx="27">
                        <c:v>1.04216666666666</c:v>
                      </c:pt>
                      <c:pt idx="28">
                        <c:v>1.0125</c:v>
                      </c:pt>
                      <c:pt idx="29">
                        <c:v>1.00708333333333</c:v>
                      </c:pt>
                      <c:pt idx="30">
                        <c:v>1.0028333333333299</c:v>
                      </c:pt>
                      <c:pt idx="31">
                        <c:v>1.0045833333333301</c:v>
                      </c:pt>
                      <c:pt idx="32">
                        <c:v>1.022</c:v>
                      </c:pt>
                      <c:pt idx="33">
                        <c:v>1.0235000000000001</c:v>
                      </c:pt>
                      <c:pt idx="34">
                        <c:v>1.04508333333333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EB5-41F2-9927-41B5BDB47A4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G/B STDA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columns!$K$2:$K$35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waterflow!$E$2:$E$35</c15:sqref>
                        </c15:formulaRef>
                      </c:ext>
                    </c:extLst>
                    <c:numCache>
                      <c:formatCode>0.0</c:formatCode>
                      <c:ptCount val="34"/>
                      <c:pt idx="0">
                        <c:v>-2.0659110372486018</c:v>
                      </c:pt>
                      <c:pt idx="1">
                        <c:v>-2.6682648054931648</c:v>
                      </c:pt>
                      <c:pt idx="2">
                        <c:v>-2.5895900275999928</c:v>
                      </c:pt>
                      <c:pt idx="3">
                        <c:v>-1.676225027996344</c:v>
                      </c:pt>
                      <c:pt idx="4">
                        <c:v>-0.94356615886619133</c:v>
                      </c:pt>
                      <c:pt idx="5">
                        <c:v>-1.022240936759311</c:v>
                      </c:pt>
                      <c:pt idx="6">
                        <c:v>-1.5078118315687905</c:v>
                      </c:pt>
                      <c:pt idx="7">
                        <c:v>-0.85013986011806908</c:v>
                      </c:pt>
                      <c:pt idx="8">
                        <c:v>-0.56617308365991559</c:v>
                      </c:pt>
                      <c:pt idx="9">
                        <c:v>-0.45307809043832992</c:v>
                      </c:pt>
                      <c:pt idx="10">
                        <c:v>-0.83047116564478918</c:v>
                      </c:pt>
                      <c:pt idx="11">
                        <c:v>-0.62886704729359444</c:v>
                      </c:pt>
                      <c:pt idx="12">
                        <c:v>-0.68295595709515688</c:v>
                      </c:pt>
                      <c:pt idx="13">
                        <c:v>-0.85997420735471564</c:v>
                      </c:pt>
                      <c:pt idx="14">
                        <c:v>-1.2090935342558111</c:v>
                      </c:pt>
                      <c:pt idx="15">
                        <c:v>-0.7112297054004616</c:v>
                      </c:pt>
                      <c:pt idx="16">
                        <c:v>0.59796777047809502</c:v>
                      </c:pt>
                      <c:pt idx="17">
                        <c:v>-1.0578904454921629</c:v>
                      </c:pt>
                      <c:pt idx="18">
                        <c:v>-1.8987271342255452</c:v>
                      </c:pt>
                      <c:pt idx="19">
                        <c:v>0.62255363856975721</c:v>
                      </c:pt>
                      <c:pt idx="20">
                        <c:v>0.50331217832554753</c:v>
                      </c:pt>
                      <c:pt idx="21">
                        <c:v>0.22672116229479697</c:v>
                      </c:pt>
                      <c:pt idx="22">
                        <c:v>8.2893833958780999E-2</c:v>
                      </c:pt>
                      <c:pt idx="23">
                        <c:v>-0.45184879703381298</c:v>
                      </c:pt>
                      <c:pt idx="24">
                        <c:v>0.40128082574528251</c:v>
                      </c:pt>
                      <c:pt idx="25">
                        <c:v>1.3183337055627835</c:v>
                      </c:pt>
                      <c:pt idx="26">
                        <c:v>1.2556397419291438</c:v>
                      </c:pt>
                      <c:pt idx="27">
                        <c:v>0.91961144200152467</c:v>
                      </c:pt>
                      <c:pt idx="28">
                        <c:v>-2.2436243880499956E-2</c:v>
                      </c:pt>
                      <c:pt idx="29">
                        <c:v>0.2128660643177748</c:v>
                      </c:pt>
                      <c:pt idx="30">
                        <c:v>3.133791886694659E-2</c:v>
                      </c:pt>
                      <c:pt idx="31">
                        <c:v>0.33583947248568996</c:v>
                      </c:pt>
                      <c:pt idx="32">
                        <c:v>-0.29665741333436768</c:v>
                      </c:pt>
                      <c:pt idx="33">
                        <c:v>0.1377693096040904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EB5-41F2-9927-41B5BDB47A4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waterflow!$H$1</c15:sqref>
                        </c15:formulaRef>
                      </c:ext>
                    </c:extLst>
                    <c:strCache>
                      <c:ptCount val="1"/>
                      <c:pt idx="0">
                        <c:v>G/B-5yr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waterflow!$A$2:$A$35</c15:sqref>
                        </c15:formulaRef>
                      </c:ext>
                    </c:extLst>
                    <c:numCache>
                      <c:formatCode>General</c:formatCode>
                      <c:ptCount val="34"/>
                      <c:pt idx="0">
                        <c:v>2015</c:v>
                      </c:pt>
                      <c:pt idx="1">
                        <c:v>2014</c:v>
                      </c:pt>
                      <c:pt idx="2">
                        <c:v>2013</c:v>
                      </c:pt>
                      <c:pt idx="3">
                        <c:v>2012</c:v>
                      </c:pt>
                      <c:pt idx="4">
                        <c:v>2011</c:v>
                      </c:pt>
                      <c:pt idx="5">
                        <c:v>2010</c:v>
                      </c:pt>
                      <c:pt idx="6">
                        <c:v>2009</c:v>
                      </c:pt>
                      <c:pt idx="7">
                        <c:v>2008</c:v>
                      </c:pt>
                      <c:pt idx="8">
                        <c:v>2007</c:v>
                      </c:pt>
                      <c:pt idx="9">
                        <c:v>2006</c:v>
                      </c:pt>
                      <c:pt idx="10">
                        <c:v>2005</c:v>
                      </c:pt>
                      <c:pt idx="11">
                        <c:v>2004</c:v>
                      </c:pt>
                      <c:pt idx="12">
                        <c:v>2003</c:v>
                      </c:pt>
                      <c:pt idx="13">
                        <c:v>2002</c:v>
                      </c:pt>
                      <c:pt idx="14">
                        <c:v>2001</c:v>
                      </c:pt>
                      <c:pt idx="15">
                        <c:v>2000</c:v>
                      </c:pt>
                      <c:pt idx="16">
                        <c:v>1999</c:v>
                      </c:pt>
                      <c:pt idx="17">
                        <c:v>1998</c:v>
                      </c:pt>
                      <c:pt idx="18">
                        <c:v>1997</c:v>
                      </c:pt>
                      <c:pt idx="19">
                        <c:v>1996</c:v>
                      </c:pt>
                      <c:pt idx="20">
                        <c:v>1995</c:v>
                      </c:pt>
                      <c:pt idx="21">
                        <c:v>1994</c:v>
                      </c:pt>
                      <c:pt idx="22">
                        <c:v>1993</c:v>
                      </c:pt>
                      <c:pt idx="23">
                        <c:v>1992</c:v>
                      </c:pt>
                      <c:pt idx="24">
                        <c:v>1991</c:v>
                      </c:pt>
                      <c:pt idx="25">
                        <c:v>1990</c:v>
                      </c:pt>
                      <c:pt idx="26">
                        <c:v>1989</c:v>
                      </c:pt>
                      <c:pt idx="27">
                        <c:v>1988</c:v>
                      </c:pt>
                      <c:pt idx="28">
                        <c:v>1987</c:v>
                      </c:pt>
                      <c:pt idx="29">
                        <c:v>1986</c:v>
                      </c:pt>
                      <c:pt idx="30">
                        <c:v>1985</c:v>
                      </c:pt>
                      <c:pt idx="31">
                        <c:v>1984</c:v>
                      </c:pt>
                      <c:pt idx="32">
                        <c:v>1983</c:v>
                      </c:pt>
                      <c:pt idx="33">
                        <c:v>1982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waterflow!$H$2:$H$35</c15:sqref>
                        </c15:formulaRef>
                      </c:ext>
                    </c:extLst>
                    <c:numCache>
                      <c:formatCode>0.0</c:formatCode>
                      <c:ptCount val="34"/>
                      <c:pt idx="0">
                        <c:v>-2.44125529011392</c:v>
                      </c:pt>
                      <c:pt idx="1">
                        <c:v>-2.2499977245845257</c:v>
                      </c:pt>
                      <c:pt idx="2">
                        <c:v>-1.9887114114408591</c:v>
                      </c:pt>
                      <c:pt idx="3">
                        <c:v>-1.7799773913430006</c:v>
                      </c:pt>
                      <c:pt idx="4">
                        <c:v>-1.5478867965581258</c:v>
                      </c:pt>
                      <c:pt idx="5">
                        <c:v>-1.199996763061741</c:v>
                      </c:pt>
                      <c:pt idx="6">
                        <c:v>-0.97798637419445544</c:v>
                      </c:pt>
                      <c:pt idx="7">
                        <c:v>-0.87988876050888332</c:v>
                      </c:pt>
                      <c:pt idx="8">
                        <c:v>-0.84153480628597888</c:v>
                      </c:pt>
                      <c:pt idx="9">
                        <c:v>-0.66574584943093962</c:v>
                      </c:pt>
                      <c:pt idx="10">
                        <c:v>-0.63230906882635707</c:v>
                      </c:pt>
                      <c:pt idx="11">
                        <c:v>-0.69106929356531721</c:v>
                      </c:pt>
                      <c:pt idx="12">
                        <c:v>-0.84227238232881363</c:v>
                      </c:pt>
                      <c:pt idx="13">
                        <c:v>-0.818424090279948</c:v>
                      </c:pt>
                      <c:pt idx="14">
                        <c:v>-0.57305712672561016</c:v>
                      </c:pt>
                      <c:pt idx="15">
                        <c:v>-0.64804402440501119</c:v>
                      </c:pt>
                      <c:pt idx="16">
                        <c:v>-0.85579460977917721</c:v>
                      </c:pt>
                      <c:pt idx="17">
                        <c:v>-0.48946517521406357</c:v>
                      </c:pt>
                      <c:pt idx="18">
                        <c:v>-0.24655679846886161</c:v>
                      </c:pt>
                      <c:pt idx="19">
                        <c:v>-0.32080612010552134</c:v>
                      </c:pt>
                      <c:pt idx="20">
                        <c:v>-9.2649264215332483E-2</c:v>
                      </c:pt>
                      <c:pt idx="21">
                        <c:v>0.19672640322301396</c:v>
                      </c:pt>
                      <c:pt idx="22">
                        <c:v>0.152471840658119</c:v>
                      </c:pt>
                      <c:pt idx="23">
                        <c:v>0.31547614610556618</c:v>
                      </c:pt>
                      <c:pt idx="24">
                        <c:v>0.52125986203243557</c:v>
                      </c:pt>
                      <c:pt idx="25">
                        <c:v>0.68860338364098439</c:v>
                      </c:pt>
                      <c:pt idx="26">
                        <c:v>0.77448589427164682</c:v>
                      </c:pt>
                      <c:pt idx="27">
                        <c:v>0.73680294198614538</c:v>
                      </c:pt>
                      <c:pt idx="28">
                        <c:v>0.47940378464697792</c:v>
                      </c:pt>
                      <c:pt idx="29">
                        <c:v>0.29544373075828723</c:v>
                      </c:pt>
                      <c:pt idx="30">
                        <c:v>5.2189959691108734E-2</c:v>
                      </c:pt>
                      <c:pt idx="31">
                        <c:v>8.4231070388026824E-2</c:v>
                      </c:pt>
                      <c:pt idx="32">
                        <c:v>5.2072321905589816E-2</c:v>
                      </c:pt>
                      <c:pt idx="33">
                        <c:v>5.8983789585137558E-2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EB5-41F2-9927-41B5BDB47A4B}"/>
                  </c:ext>
                </c:extLst>
              </c15:ser>
            </c15:filteredScatterSeries>
          </c:ext>
        </c:extLst>
      </c:scatterChart>
      <c:valAx>
        <c:axId val="1571430320"/>
        <c:scaling>
          <c:orientation val="minMax"/>
          <c:max val="2015"/>
          <c:min val="19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480"/>
        <c:crossesAt val="-3"/>
        <c:crossBetween val="midCat"/>
      </c:valAx>
      <c:valAx>
        <c:axId val="157142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30320"/>
        <c:crosses val="autoZero"/>
        <c:crossBetween val="midCat"/>
      </c:valAx>
      <c:valAx>
        <c:axId val="1571430321"/>
        <c:scaling>
          <c:orientation val="minMax"/>
        </c:scaling>
        <c:delete val="0"/>
        <c:axPos val="r"/>
        <c:numFmt formatCode="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426960"/>
        <c:crosses val="max"/>
        <c:crossBetween val="midCat"/>
      </c:valAx>
      <c:valAx>
        <c:axId val="1571426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143032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295275</xdr:colOff>
      <xdr:row>0</xdr:row>
      <xdr:rowOff>148590</xdr:rowOff>
    </xdr:from>
    <xdr:to>
      <xdr:col>15</xdr:col>
      <xdr:colOff>104775</xdr:colOff>
      <xdr:row>15</xdr:row>
      <xdr:rowOff>148590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B283E75-8BE5-FEC8-B25E-9BE1E3F6D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295275</xdr:colOff>
      <xdr:row>16</xdr:row>
      <xdr:rowOff>76200</xdr:rowOff>
    </xdr:from>
    <xdr:to>
      <xdr:col>15</xdr:col>
      <xdr:colOff>114300</xdr:colOff>
      <xdr:row>31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1AE8E41-7B19-44A9-B3FC-61A6E1300C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304800</xdr:colOff>
      <xdr:row>32</xdr:row>
      <xdr:rowOff>19050</xdr:rowOff>
    </xdr:from>
    <xdr:to>
      <xdr:col>15</xdr:col>
      <xdr:colOff>123825</xdr:colOff>
      <xdr:row>47</xdr:row>
      <xdr:rowOff>19050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C5FA71F-E5C0-4C1B-AE32-2A903A84EE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594360</xdr:colOff>
      <xdr:row>31</xdr:row>
      <xdr:rowOff>167640</xdr:rowOff>
    </xdr:from>
    <xdr:to>
      <xdr:col>21</xdr:col>
      <xdr:colOff>413385</xdr:colOff>
      <xdr:row>46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E3A77FB-C8F2-41EA-B128-5F79A68AAF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48FA6-E046-42AB-8822-D18490807E41}">
  <dimension ref="A1:D227"/>
  <sheetViews>
    <sheetView workbookViewId="0">
      <selection activeCell="H11" sqref="H11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2015</v>
      </c>
      <c r="C2" s="2">
        <v>0.96499999999999997</v>
      </c>
      <c r="D2" s="2">
        <v>1.39283882771841E-2</v>
      </c>
    </row>
    <row r="3" spans="1:4" x14ac:dyDescent="0.3">
      <c r="A3" t="s">
        <v>4</v>
      </c>
      <c r="B3">
        <v>2014</v>
      </c>
      <c r="C3" s="2">
        <v>0.96316666666666595</v>
      </c>
      <c r="D3" s="2">
        <v>2.0919035843127601E-2</v>
      </c>
    </row>
    <row r="4" spans="1:4" x14ac:dyDescent="0.3">
      <c r="A4" t="s">
        <v>4</v>
      </c>
      <c r="B4">
        <v>2013</v>
      </c>
      <c r="C4" s="2">
        <v>0.96408333333333296</v>
      </c>
      <c r="D4" s="2">
        <v>2.6979650019070101E-2</v>
      </c>
    </row>
    <row r="5" spans="1:4" x14ac:dyDescent="0.3">
      <c r="A5" t="s">
        <v>4</v>
      </c>
      <c r="B5">
        <v>2012</v>
      </c>
      <c r="C5" s="2">
        <v>0.99783333333333302</v>
      </c>
      <c r="D5" s="2">
        <v>1.42116043066817E-2</v>
      </c>
    </row>
    <row r="6" spans="1:4" x14ac:dyDescent="0.3">
      <c r="A6" t="s">
        <v>4</v>
      </c>
      <c r="B6">
        <v>2011</v>
      </c>
      <c r="C6" s="2">
        <v>0.99549999999999905</v>
      </c>
      <c r="D6" s="2">
        <v>3.85899186081263E-2</v>
      </c>
    </row>
    <row r="7" spans="1:4" x14ac:dyDescent="0.3">
      <c r="A7" t="s">
        <v>4</v>
      </c>
      <c r="B7">
        <v>2010</v>
      </c>
      <c r="C7" s="2">
        <v>0.99691666666666601</v>
      </c>
      <c r="D7" s="2">
        <v>4.7997080087956397E-2</v>
      </c>
    </row>
    <row r="8" spans="1:4" x14ac:dyDescent="0.3">
      <c r="A8" t="s">
        <v>4</v>
      </c>
      <c r="B8">
        <v>2009</v>
      </c>
      <c r="C8" s="2">
        <v>0.98608333333333298</v>
      </c>
      <c r="D8" s="2">
        <v>2.6314387123719401E-2</v>
      </c>
    </row>
    <row r="9" spans="1:4" x14ac:dyDescent="0.3">
      <c r="A9" t="s">
        <v>4</v>
      </c>
      <c r="B9">
        <v>2008</v>
      </c>
      <c r="C9" s="2">
        <v>1.0197499999999999</v>
      </c>
      <c r="D9" s="2">
        <v>1.9254869513969701E-2</v>
      </c>
    </row>
    <row r="10" spans="1:4" x14ac:dyDescent="0.3">
      <c r="A10" t="s">
        <v>4</v>
      </c>
      <c r="B10">
        <v>2007</v>
      </c>
      <c r="C10" s="2">
        <v>0.99433333333333296</v>
      </c>
      <c r="D10" s="2">
        <v>2.2386413628616601E-2</v>
      </c>
    </row>
    <row r="11" spans="1:4" x14ac:dyDescent="0.3">
      <c r="A11" t="s">
        <v>4</v>
      </c>
      <c r="B11">
        <v>2006</v>
      </c>
      <c r="C11" s="2">
        <v>0.99208333333333298</v>
      </c>
      <c r="D11" s="2">
        <v>1.7956808449637401E-2</v>
      </c>
    </row>
    <row r="12" spans="1:4" x14ac:dyDescent="0.3">
      <c r="A12" t="s">
        <v>4</v>
      </c>
      <c r="B12">
        <v>2005</v>
      </c>
      <c r="C12" s="2">
        <v>0.99549999999999905</v>
      </c>
      <c r="D12" s="2">
        <v>3.0888362033149399E-2</v>
      </c>
    </row>
    <row r="13" spans="1:4" x14ac:dyDescent="0.3">
      <c r="A13" t="s">
        <v>4</v>
      </c>
      <c r="B13">
        <v>2004</v>
      </c>
      <c r="C13" s="2">
        <v>1.0119166666666599</v>
      </c>
      <c r="D13" s="2">
        <v>3.74735260085724E-2</v>
      </c>
    </row>
    <row r="14" spans="1:4" x14ac:dyDescent="0.3">
      <c r="A14" t="s">
        <v>4</v>
      </c>
      <c r="B14">
        <v>2003</v>
      </c>
      <c r="C14" s="2">
        <v>1.0165833333333301</v>
      </c>
      <c r="D14" s="2">
        <v>3.2530987558251998E-2</v>
      </c>
    </row>
    <row r="15" spans="1:4" x14ac:dyDescent="0.3">
      <c r="A15" t="s">
        <v>4</v>
      </c>
      <c r="B15">
        <v>2002</v>
      </c>
      <c r="C15" s="2">
        <v>1.0248333333333299</v>
      </c>
      <c r="D15" s="2">
        <v>3.9611369656458499E-2</v>
      </c>
    </row>
    <row r="16" spans="1:4" x14ac:dyDescent="0.3">
      <c r="A16" t="s">
        <v>4</v>
      </c>
      <c r="B16">
        <v>2001</v>
      </c>
      <c r="C16" s="2">
        <v>1.00366666666666</v>
      </c>
      <c r="D16" s="2">
        <v>3.76329964823746E-2</v>
      </c>
    </row>
    <row r="17" spans="1:4" x14ac:dyDescent="0.3">
      <c r="A17" t="s">
        <v>4</v>
      </c>
      <c r="B17">
        <v>2000</v>
      </c>
      <c r="C17" s="2">
        <v>1.0249999999999999</v>
      </c>
      <c r="D17" s="2">
        <v>4.3432287947604502E-2</v>
      </c>
    </row>
    <row r="18" spans="1:4" x14ac:dyDescent="0.3">
      <c r="A18" t="s">
        <v>4</v>
      </c>
      <c r="B18">
        <v>1999</v>
      </c>
      <c r="C18" s="2">
        <v>1.03033333333333</v>
      </c>
      <c r="D18" s="2">
        <v>3.2619941846370702E-2</v>
      </c>
    </row>
    <row r="19" spans="1:4" x14ac:dyDescent="0.3">
      <c r="A19" t="s">
        <v>4</v>
      </c>
      <c r="B19">
        <v>1998</v>
      </c>
      <c r="C19" s="2">
        <v>1.00833333333333</v>
      </c>
      <c r="D19" s="2">
        <v>4.8165120033887399E-2</v>
      </c>
    </row>
    <row r="20" spans="1:4" x14ac:dyDescent="0.3">
      <c r="A20" t="s">
        <v>4</v>
      </c>
      <c r="B20">
        <v>1997</v>
      </c>
      <c r="C20" s="2">
        <v>0.98308333333333298</v>
      </c>
      <c r="D20" s="2">
        <v>2.69964924769979E-2</v>
      </c>
    </row>
    <row r="21" spans="1:4" x14ac:dyDescent="0.3">
      <c r="A21" t="s">
        <v>4</v>
      </c>
      <c r="B21">
        <v>1996</v>
      </c>
      <c r="C21" s="2">
        <v>1.03816666666666</v>
      </c>
      <c r="D21" s="2">
        <v>3.2194955373709602E-2</v>
      </c>
    </row>
    <row r="22" spans="1:4" x14ac:dyDescent="0.3">
      <c r="A22" t="s">
        <v>4</v>
      </c>
      <c r="B22">
        <v>1995</v>
      </c>
      <c r="C22" s="2">
        <v>1.02633333333333</v>
      </c>
      <c r="D22" s="2">
        <v>3.3899137380640099E-2</v>
      </c>
    </row>
    <row r="23" spans="1:4" x14ac:dyDescent="0.3">
      <c r="A23" t="s">
        <v>4</v>
      </c>
      <c r="B23">
        <v>1994</v>
      </c>
      <c r="C23" s="2">
        <v>1.01383333333333</v>
      </c>
      <c r="D23" s="2">
        <v>2.75477546794432E-2</v>
      </c>
    </row>
    <row r="24" spans="1:4" x14ac:dyDescent="0.3">
      <c r="A24" t="s">
        <v>4</v>
      </c>
      <c r="B24">
        <v>1993</v>
      </c>
      <c r="C24" s="2">
        <v>1.02125</v>
      </c>
      <c r="D24" s="2">
        <v>2.7552016920066601E-2</v>
      </c>
    </row>
    <row r="25" spans="1:4" x14ac:dyDescent="0.3">
      <c r="A25" t="s">
        <v>4</v>
      </c>
      <c r="B25">
        <v>1992</v>
      </c>
      <c r="C25" s="2">
        <v>0.99616666666666598</v>
      </c>
      <c r="D25" s="2">
        <v>1.8814082411047699E-2</v>
      </c>
    </row>
    <row r="26" spans="1:4" x14ac:dyDescent="0.3">
      <c r="A26" t="s">
        <v>4</v>
      </c>
      <c r="B26">
        <v>1991</v>
      </c>
      <c r="C26" s="2">
        <v>1.0179166666666599</v>
      </c>
      <c r="D26" s="2">
        <v>2.2451800224777801E-2</v>
      </c>
    </row>
    <row r="27" spans="1:4" x14ac:dyDescent="0.3">
      <c r="A27" t="s">
        <v>4</v>
      </c>
      <c r="B27">
        <v>1990</v>
      </c>
      <c r="C27" s="2">
        <v>1.02325</v>
      </c>
      <c r="D27" s="2">
        <v>3.4202937141288102E-2</v>
      </c>
    </row>
    <row r="28" spans="1:4" x14ac:dyDescent="0.3">
      <c r="A28" t="s">
        <v>4</v>
      </c>
      <c r="B28">
        <v>1989</v>
      </c>
      <c r="C28" s="2">
        <v>1.03216666666666</v>
      </c>
      <c r="D28" s="2">
        <v>3.6443813125845E-2</v>
      </c>
    </row>
    <row r="29" spans="1:4" x14ac:dyDescent="0.3">
      <c r="A29" t="s">
        <v>4</v>
      </c>
      <c r="B29">
        <v>1988</v>
      </c>
      <c r="C29" s="2">
        <v>1.03705410241666</v>
      </c>
      <c r="D29" s="2">
        <v>4.3826401314982E-2</v>
      </c>
    </row>
    <row r="30" spans="1:4" x14ac:dyDescent="0.3">
      <c r="A30" t="s">
        <v>4</v>
      </c>
      <c r="B30">
        <v>1987</v>
      </c>
      <c r="C30" s="2">
        <v>1.0229430473333301</v>
      </c>
      <c r="D30" s="2">
        <v>3.30457907034237E-2</v>
      </c>
    </row>
    <row r="31" spans="1:4" x14ac:dyDescent="0.3">
      <c r="A31" t="s">
        <v>4</v>
      </c>
      <c r="B31">
        <v>1986</v>
      </c>
      <c r="C31" s="2">
        <v>1.0263941015</v>
      </c>
      <c r="D31" s="2">
        <v>2.0901095669691502E-2</v>
      </c>
    </row>
    <row r="32" spans="1:4" x14ac:dyDescent="0.3">
      <c r="A32" t="s">
        <v>4</v>
      </c>
      <c r="B32">
        <v>1985</v>
      </c>
      <c r="C32" s="2">
        <v>1.02783837741666</v>
      </c>
      <c r="D32" s="2">
        <v>2.9343930217062501E-2</v>
      </c>
    </row>
    <row r="33" spans="1:4" x14ac:dyDescent="0.3">
      <c r="A33" t="s">
        <v>4</v>
      </c>
      <c r="B33">
        <v>1984</v>
      </c>
      <c r="C33" s="2">
        <v>1.04564708883333</v>
      </c>
      <c r="D33" s="2">
        <v>2.1013947378781001E-2</v>
      </c>
    </row>
    <row r="34" spans="1:4" x14ac:dyDescent="0.3">
      <c r="A34" t="s">
        <v>4</v>
      </c>
      <c r="B34">
        <v>1983</v>
      </c>
      <c r="C34" s="2">
        <v>1.01718703166666</v>
      </c>
      <c r="D34" s="2">
        <v>2.5503947439869099E-2</v>
      </c>
    </row>
    <row r="35" spans="1:4" x14ac:dyDescent="0.3">
      <c r="A35" t="s">
        <v>4</v>
      </c>
      <c r="B35">
        <v>1982</v>
      </c>
      <c r="C35" s="2">
        <v>1.0290533209999999</v>
      </c>
      <c r="D35" s="2">
        <v>1.9732883017508002E-2</v>
      </c>
    </row>
    <row r="36" spans="1:4" x14ac:dyDescent="0.3">
      <c r="A36" t="s">
        <v>5</v>
      </c>
      <c r="B36">
        <v>2015</v>
      </c>
      <c r="C36" s="2">
        <v>0.97716666666666596</v>
      </c>
      <c r="D36" s="2">
        <v>1.0408329997330599E-2</v>
      </c>
    </row>
    <row r="37" spans="1:4" x14ac:dyDescent="0.3">
      <c r="A37" t="s">
        <v>5</v>
      </c>
      <c r="B37">
        <v>2014</v>
      </c>
      <c r="C37" s="2">
        <v>0.97841666666666605</v>
      </c>
      <c r="D37" s="2">
        <v>8.0278870007599E-3</v>
      </c>
    </row>
    <row r="38" spans="1:4" x14ac:dyDescent="0.3">
      <c r="A38" t="s">
        <v>5</v>
      </c>
      <c r="B38">
        <v>2013</v>
      </c>
      <c r="C38" s="2">
        <v>0.97316666666666596</v>
      </c>
      <c r="D38" s="2">
        <v>1.7554244932537402E-2</v>
      </c>
    </row>
    <row r="39" spans="1:4" x14ac:dyDescent="0.3">
      <c r="A39" t="s">
        <v>5</v>
      </c>
      <c r="B39">
        <v>2012</v>
      </c>
      <c r="C39" s="2">
        <v>0.96508333333333296</v>
      </c>
      <c r="D39" s="2">
        <v>1.1766349038549199E-2</v>
      </c>
    </row>
    <row r="40" spans="1:4" x14ac:dyDescent="0.3">
      <c r="A40" t="s">
        <v>5</v>
      </c>
      <c r="B40">
        <v>2011</v>
      </c>
      <c r="C40" s="2">
        <v>0.97116666666666596</v>
      </c>
      <c r="D40" s="2">
        <v>2.2155784524109899E-2</v>
      </c>
    </row>
    <row r="41" spans="1:4" x14ac:dyDescent="0.3">
      <c r="A41" t="s">
        <v>5</v>
      </c>
      <c r="B41">
        <v>2010</v>
      </c>
      <c r="C41" s="2">
        <v>0.97824999999999995</v>
      </c>
      <c r="D41" s="2">
        <v>4.4409509628620503E-2</v>
      </c>
    </row>
    <row r="42" spans="1:4" x14ac:dyDescent="0.3">
      <c r="A42" t="s">
        <v>5</v>
      </c>
      <c r="B42">
        <v>2009</v>
      </c>
      <c r="C42" s="2">
        <v>0.96433333333333304</v>
      </c>
      <c r="D42" s="2">
        <v>2.1304431179423301E-2</v>
      </c>
    </row>
    <row r="43" spans="1:4" x14ac:dyDescent="0.3">
      <c r="A43" t="s">
        <v>5</v>
      </c>
      <c r="B43">
        <v>2008</v>
      </c>
      <c r="C43" s="2">
        <v>0.97841666666666605</v>
      </c>
      <c r="D43" s="2">
        <v>3.4908864030197002E-2</v>
      </c>
    </row>
    <row r="44" spans="1:4" x14ac:dyDescent="0.3">
      <c r="A44" t="s">
        <v>5</v>
      </c>
      <c r="B44">
        <v>2007</v>
      </c>
      <c r="C44" s="2">
        <v>0.98799999999999999</v>
      </c>
      <c r="D44" s="2">
        <v>3.0573309809820499E-2</v>
      </c>
    </row>
    <row r="45" spans="1:4" x14ac:dyDescent="0.3">
      <c r="A45" t="s">
        <v>5</v>
      </c>
      <c r="B45">
        <v>2006</v>
      </c>
      <c r="C45" s="2">
        <v>0.96541666666666603</v>
      </c>
      <c r="D45" s="2">
        <v>2.9754933382652001E-2</v>
      </c>
    </row>
    <row r="46" spans="1:4" x14ac:dyDescent="0.3">
      <c r="A46" t="s">
        <v>5</v>
      </c>
      <c r="B46">
        <v>2005</v>
      </c>
      <c r="C46" s="2">
        <v>0.96174999999999999</v>
      </c>
      <c r="D46" s="2">
        <v>3.0698312064938699E-2</v>
      </c>
    </row>
    <row r="47" spans="1:4" x14ac:dyDescent="0.3">
      <c r="A47" t="s">
        <v>5</v>
      </c>
      <c r="B47">
        <v>2004</v>
      </c>
      <c r="C47" s="2">
        <v>0.97099999999999997</v>
      </c>
      <c r="D47" s="2">
        <v>2.9344350548119201E-2</v>
      </c>
    </row>
    <row r="48" spans="1:4" x14ac:dyDescent="0.3">
      <c r="A48" t="s">
        <v>5</v>
      </c>
      <c r="B48">
        <v>2003</v>
      </c>
      <c r="C48" s="2">
        <v>0.97808333333333297</v>
      </c>
      <c r="D48" s="2">
        <v>3.0001388856740099E-2</v>
      </c>
    </row>
    <row r="49" spans="1:4" x14ac:dyDescent="0.3">
      <c r="A49" t="s">
        <v>5</v>
      </c>
      <c r="B49">
        <v>2002</v>
      </c>
      <c r="C49" s="2">
        <v>0.96975</v>
      </c>
      <c r="D49" s="2">
        <v>1.82762886624371E-2</v>
      </c>
    </row>
    <row r="50" spans="1:4" x14ac:dyDescent="0.3">
      <c r="A50" t="s">
        <v>5</v>
      </c>
      <c r="B50">
        <v>2001</v>
      </c>
      <c r="C50" s="2">
        <v>0.957666666666666</v>
      </c>
      <c r="D50" s="2">
        <v>1.8690461025168199E-2</v>
      </c>
    </row>
    <row r="51" spans="1:4" x14ac:dyDescent="0.3">
      <c r="A51" t="s">
        <v>5</v>
      </c>
      <c r="B51">
        <v>2000</v>
      </c>
      <c r="C51" s="2">
        <v>0.96975</v>
      </c>
      <c r="D51" s="2">
        <v>3.00427725388017E-2</v>
      </c>
    </row>
    <row r="52" spans="1:4" x14ac:dyDescent="0.3">
      <c r="A52" t="s">
        <v>5</v>
      </c>
      <c r="B52">
        <v>1999</v>
      </c>
      <c r="C52" s="2">
        <v>1.0002499999999901</v>
      </c>
      <c r="D52" s="2">
        <v>3.0724952844109001E-2</v>
      </c>
    </row>
    <row r="53" spans="1:4" x14ac:dyDescent="0.3">
      <c r="A53" t="s">
        <v>5</v>
      </c>
      <c r="B53">
        <v>1998</v>
      </c>
      <c r="C53" s="2">
        <v>0.96991666666666598</v>
      </c>
      <c r="D53" s="2">
        <v>3.6094467804091597E-2</v>
      </c>
    </row>
    <row r="54" spans="1:4" x14ac:dyDescent="0.3">
      <c r="A54" t="s">
        <v>5</v>
      </c>
      <c r="B54">
        <v>1997</v>
      </c>
      <c r="C54" s="2">
        <v>0.959666666666666</v>
      </c>
      <c r="D54" s="2">
        <v>2.1843798093543899E-2</v>
      </c>
    </row>
    <row r="55" spans="1:4" x14ac:dyDescent="0.3">
      <c r="A55" t="s">
        <v>5</v>
      </c>
      <c r="B55">
        <v>1996</v>
      </c>
      <c r="C55" s="2">
        <v>0.99299999999999999</v>
      </c>
      <c r="D55" s="2">
        <v>2.6288607971722399E-2</v>
      </c>
    </row>
    <row r="56" spans="1:4" x14ac:dyDescent="0.3">
      <c r="A56" t="s">
        <v>5</v>
      </c>
      <c r="B56">
        <v>1995</v>
      </c>
      <c r="C56" s="2">
        <v>0.99516666666666598</v>
      </c>
      <c r="D56" s="2">
        <v>2.54481052458932E-2</v>
      </c>
    </row>
    <row r="57" spans="1:4" x14ac:dyDescent="0.3">
      <c r="A57" t="s">
        <v>5</v>
      </c>
      <c r="B57">
        <v>1994</v>
      </c>
      <c r="C57" s="2">
        <v>0.98708333333333298</v>
      </c>
      <c r="D57" s="2">
        <v>2.50361859327775E-2</v>
      </c>
    </row>
    <row r="58" spans="1:4" x14ac:dyDescent="0.3">
      <c r="A58" t="s">
        <v>5</v>
      </c>
      <c r="B58">
        <v>1993</v>
      </c>
      <c r="C58" s="2">
        <v>1.0006666666666599</v>
      </c>
      <c r="D58" s="2">
        <v>2.1478671591449301E-2</v>
      </c>
    </row>
    <row r="59" spans="1:4" x14ac:dyDescent="0.3">
      <c r="A59" t="s">
        <v>5</v>
      </c>
      <c r="B59">
        <v>1992</v>
      </c>
      <c r="C59" s="2">
        <v>0.99158333333333304</v>
      </c>
      <c r="D59" s="2">
        <v>2.2516492272163999E-2</v>
      </c>
    </row>
    <row r="60" spans="1:4" x14ac:dyDescent="0.3">
      <c r="A60" t="s">
        <v>5</v>
      </c>
      <c r="B60">
        <v>1991</v>
      </c>
      <c r="C60" s="2">
        <v>0.99941666666666595</v>
      </c>
      <c r="D60" s="2">
        <v>1.6876332719539599E-2</v>
      </c>
    </row>
    <row r="61" spans="1:4" x14ac:dyDescent="0.3">
      <c r="A61" t="s">
        <v>5</v>
      </c>
      <c r="B61">
        <v>1990</v>
      </c>
      <c r="C61" s="2">
        <v>1.01275</v>
      </c>
      <c r="D61" s="2">
        <v>2.4094982502964799E-2</v>
      </c>
    </row>
    <row r="62" spans="1:4" x14ac:dyDescent="0.3">
      <c r="A62" t="s">
        <v>5</v>
      </c>
      <c r="B62">
        <v>1989</v>
      </c>
      <c r="C62" s="2">
        <v>1.00125</v>
      </c>
      <c r="D62" s="2">
        <v>4.1861514110652497E-2</v>
      </c>
    </row>
    <row r="63" spans="1:4" x14ac:dyDescent="0.3">
      <c r="A63" t="s">
        <v>5</v>
      </c>
      <c r="B63">
        <v>1988</v>
      </c>
      <c r="C63" s="2">
        <v>0.99774999999999903</v>
      </c>
      <c r="D63" s="2">
        <v>3.6337121014691803E-2</v>
      </c>
    </row>
    <row r="64" spans="1:4" x14ac:dyDescent="0.3">
      <c r="A64" t="s">
        <v>5</v>
      </c>
      <c r="B64">
        <v>1987</v>
      </c>
      <c r="C64" s="2">
        <v>0.99958333333333305</v>
      </c>
      <c r="D64" s="2">
        <v>1.8118089069080901E-2</v>
      </c>
    </row>
    <row r="65" spans="1:4" x14ac:dyDescent="0.3">
      <c r="A65" t="s">
        <v>5</v>
      </c>
      <c r="B65">
        <v>1986</v>
      </c>
      <c r="C65" s="2">
        <v>0.99608333333333299</v>
      </c>
      <c r="D65" s="2">
        <v>1.72281921878241E-2</v>
      </c>
    </row>
    <row r="66" spans="1:4" x14ac:dyDescent="0.3">
      <c r="A66" t="s">
        <v>5</v>
      </c>
      <c r="B66">
        <v>1985</v>
      </c>
      <c r="C66" s="2">
        <v>0.99649999999999905</v>
      </c>
      <c r="D66" s="2">
        <v>1.9764522853748901E-2</v>
      </c>
    </row>
    <row r="67" spans="1:4" x14ac:dyDescent="0.3">
      <c r="A67" t="s">
        <v>5</v>
      </c>
      <c r="B67">
        <v>1984</v>
      </c>
      <c r="C67" s="2">
        <v>1.0079166666666599</v>
      </c>
      <c r="D67" s="2">
        <v>2.0424843755197701E-2</v>
      </c>
    </row>
    <row r="68" spans="1:4" x14ac:dyDescent="0.3">
      <c r="A68" t="s">
        <v>5</v>
      </c>
      <c r="B68">
        <v>1983</v>
      </c>
      <c r="C68" s="2">
        <v>0.998</v>
      </c>
      <c r="D68" s="2">
        <v>2.0630956440174101E-2</v>
      </c>
    </row>
    <row r="69" spans="1:4" x14ac:dyDescent="0.3">
      <c r="A69" t="s">
        <v>5</v>
      </c>
      <c r="B69">
        <v>1982</v>
      </c>
      <c r="C69" s="2">
        <v>0.99308333333333298</v>
      </c>
      <c r="D69" s="2">
        <v>1.8342490825865702E-2</v>
      </c>
    </row>
    <row r="70" spans="1:4" x14ac:dyDescent="0.3">
      <c r="A70" t="s">
        <v>5</v>
      </c>
      <c r="B70">
        <v>1981</v>
      </c>
      <c r="C70" s="2">
        <v>1.00925</v>
      </c>
      <c r="D70" s="2">
        <v>1.9522131962560699E-2</v>
      </c>
    </row>
    <row r="71" spans="1:4" x14ac:dyDescent="0.3">
      <c r="A71" t="s">
        <v>5</v>
      </c>
      <c r="B71">
        <v>1980</v>
      </c>
      <c r="C71" s="2">
        <v>0.99124999999999996</v>
      </c>
      <c r="D71" s="2">
        <v>1.50400979203775E-2</v>
      </c>
    </row>
    <row r="72" spans="1:4" x14ac:dyDescent="0.3">
      <c r="A72" t="s">
        <v>5</v>
      </c>
      <c r="B72">
        <v>1979</v>
      </c>
      <c r="C72" s="2">
        <v>1.01</v>
      </c>
      <c r="D72" s="2">
        <v>2.3591215622461099E-2</v>
      </c>
    </row>
    <row r="73" spans="1:4" x14ac:dyDescent="0.3">
      <c r="A73" t="s">
        <v>5</v>
      </c>
      <c r="B73">
        <v>1978</v>
      </c>
      <c r="C73" s="2">
        <v>1.00541666666666</v>
      </c>
      <c r="D73" s="2">
        <v>1.3937903411745599E-2</v>
      </c>
    </row>
    <row r="74" spans="1:4" x14ac:dyDescent="0.3">
      <c r="A74" t="s">
        <v>5</v>
      </c>
      <c r="B74">
        <v>1977</v>
      </c>
      <c r="C74" s="2">
        <v>0.99891666666666601</v>
      </c>
      <c r="D74" s="2">
        <v>1.18203086664306E-2</v>
      </c>
    </row>
    <row r="75" spans="1:4" x14ac:dyDescent="0.3">
      <c r="A75" t="s">
        <v>5</v>
      </c>
      <c r="B75">
        <v>1976</v>
      </c>
      <c r="C75" s="2">
        <v>0.99758333333333304</v>
      </c>
      <c r="D75" s="2">
        <v>2.3654553024478799E-2</v>
      </c>
    </row>
    <row r="76" spans="1:4" x14ac:dyDescent="0.3">
      <c r="A76" t="s">
        <v>5</v>
      </c>
      <c r="B76">
        <v>1975</v>
      </c>
      <c r="C76" s="2">
        <v>1.01525</v>
      </c>
      <c r="D76" s="2">
        <v>3.1677709398365103E-2</v>
      </c>
    </row>
    <row r="77" spans="1:4" x14ac:dyDescent="0.3">
      <c r="A77" t="s">
        <v>5</v>
      </c>
      <c r="B77">
        <v>1974</v>
      </c>
      <c r="C77" s="2">
        <v>1.0025833333333301</v>
      </c>
      <c r="D77" s="2">
        <v>2.6834368510053101E-2</v>
      </c>
    </row>
    <row r="78" spans="1:4" x14ac:dyDescent="0.3">
      <c r="A78" t="s">
        <v>5</v>
      </c>
      <c r="B78">
        <v>1973</v>
      </c>
      <c r="C78" s="2">
        <v>1.0106666666666599</v>
      </c>
      <c r="D78" s="2">
        <v>3.2137017266508701E-2</v>
      </c>
    </row>
    <row r="79" spans="1:4" x14ac:dyDescent="0.3">
      <c r="A79" t="s">
        <v>5</v>
      </c>
      <c r="B79">
        <v>1972</v>
      </c>
      <c r="C79" s="2">
        <v>1.0025833333333301</v>
      </c>
      <c r="D79" s="2">
        <v>1.9570192238259201E-2</v>
      </c>
    </row>
    <row r="80" spans="1:4" x14ac:dyDescent="0.3">
      <c r="A80" t="s">
        <v>5</v>
      </c>
      <c r="B80">
        <v>1971</v>
      </c>
      <c r="C80" s="2">
        <v>1.01725</v>
      </c>
      <c r="D80" s="2">
        <v>1.7399712641305298E-2</v>
      </c>
    </row>
    <row r="81" spans="1:4" x14ac:dyDescent="0.3">
      <c r="A81" t="s">
        <v>5</v>
      </c>
      <c r="B81">
        <v>1970</v>
      </c>
      <c r="C81" s="2">
        <v>1.0225</v>
      </c>
      <c r="D81" s="2">
        <v>2.9568103207218501E-2</v>
      </c>
    </row>
    <row r="82" spans="1:4" x14ac:dyDescent="0.3">
      <c r="A82" t="s">
        <v>5</v>
      </c>
      <c r="B82">
        <v>1969</v>
      </c>
      <c r="C82" s="2">
        <v>1.0267500000000001</v>
      </c>
      <c r="D82" s="2">
        <v>1.99732776023821E-2</v>
      </c>
    </row>
    <row r="83" spans="1:4" x14ac:dyDescent="0.3">
      <c r="A83" t="s">
        <v>5</v>
      </c>
      <c r="B83">
        <v>1968</v>
      </c>
      <c r="C83" s="2">
        <v>0.99966666666666604</v>
      </c>
      <c r="D83" s="2">
        <v>3.0639645539527301E-2</v>
      </c>
    </row>
    <row r="84" spans="1:4" x14ac:dyDescent="0.3">
      <c r="A84" t="s">
        <v>5</v>
      </c>
      <c r="B84">
        <v>1967</v>
      </c>
      <c r="C84" s="2">
        <v>1.0089999999999999</v>
      </c>
      <c r="D84" s="2">
        <v>1.8776193824773201E-2</v>
      </c>
    </row>
    <row r="85" spans="1:4" x14ac:dyDescent="0.3">
      <c r="A85" t="s">
        <v>5</v>
      </c>
      <c r="B85">
        <v>1966</v>
      </c>
      <c r="C85" s="2">
        <v>1.0180833333333299</v>
      </c>
      <c r="D85" s="2">
        <v>3.2872918761174597E-2</v>
      </c>
    </row>
    <row r="86" spans="1:4" x14ac:dyDescent="0.3">
      <c r="A86" t="s">
        <v>5</v>
      </c>
      <c r="B86">
        <v>1965</v>
      </c>
      <c r="C86" s="2">
        <v>0.98916666666666597</v>
      </c>
      <c r="D86" s="2">
        <v>2.8122567234852298E-2</v>
      </c>
    </row>
    <row r="87" spans="1:4" x14ac:dyDescent="0.3">
      <c r="A87" t="s">
        <v>5</v>
      </c>
      <c r="B87">
        <v>1964</v>
      </c>
      <c r="C87" s="2">
        <v>0.99891666666666601</v>
      </c>
      <c r="D87" s="2">
        <v>3.4587066246143897E-2</v>
      </c>
    </row>
    <row r="88" spans="1:4" x14ac:dyDescent="0.3">
      <c r="A88" t="s">
        <v>5</v>
      </c>
      <c r="B88">
        <v>1963</v>
      </c>
      <c r="C88" s="2">
        <v>1.00633333333333</v>
      </c>
      <c r="D88" s="2">
        <v>2.9005746557076099E-2</v>
      </c>
    </row>
    <row r="89" spans="1:4" x14ac:dyDescent="0.3">
      <c r="A89" t="s">
        <v>5</v>
      </c>
      <c r="B89">
        <v>1962</v>
      </c>
      <c r="C89" s="2">
        <v>1.02</v>
      </c>
      <c r="D89" s="2">
        <v>2.9787123514578E-2</v>
      </c>
    </row>
    <row r="90" spans="1:4" x14ac:dyDescent="0.3">
      <c r="A90" t="s">
        <v>5</v>
      </c>
      <c r="B90">
        <v>1961</v>
      </c>
      <c r="C90" s="2">
        <v>1.00833333333333</v>
      </c>
      <c r="D90" s="2">
        <v>2.2584521382145901E-2</v>
      </c>
    </row>
    <row r="91" spans="1:4" x14ac:dyDescent="0.3">
      <c r="A91" t="s">
        <v>5</v>
      </c>
      <c r="B91">
        <v>1960</v>
      </c>
      <c r="C91" s="2">
        <v>1.01725</v>
      </c>
      <c r="D91" s="2">
        <v>2.7971170222862701E-2</v>
      </c>
    </row>
    <row r="92" spans="1:4" x14ac:dyDescent="0.3">
      <c r="A92" t="s">
        <v>5</v>
      </c>
      <c r="B92">
        <v>1959</v>
      </c>
      <c r="C92" s="2">
        <v>1.006</v>
      </c>
      <c r="D92" s="2">
        <v>2.1742292260184301E-2</v>
      </c>
    </row>
    <row r="93" spans="1:4" x14ac:dyDescent="0.3">
      <c r="A93" t="s">
        <v>5</v>
      </c>
      <c r="B93">
        <v>1958</v>
      </c>
      <c r="C93" s="2">
        <v>1.01725</v>
      </c>
      <c r="D93" s="2">
        <v>1.9055540831045301E-2</v>
      </c>
    </row>
    <row r="94" spans="1:4" x14ac:dyDescent="0.3">
      <c r="A94" t="s">
        <v>5</v>
      </c>
      <c r="B94">
        <v>1957</v>
      </c>
      <c r="C94" s="2">
        <v>1.00766666666666</v>
      </c>
      <c r="D94" s="2">
        <v>2.4054231656946701E-2</v>
      </c>
    </row>
    <row r="95" spans="1:4" x14ac:dyDescent="0.3">
      <c r="A95" t="s">
        <v>5</v>
      </c>
      <c r="B95">
        <v>1956</v>
      </c>
      <c r="C95" s="2">
        <v>1.0425</v>
      </c>
      <c r="D95" s="2">
        <v>2.5282045371801301E-2</v>
      </c>
    </row>
    <row r="96" spans="1:4" x14ac:dyDescent="0.3">
      <c r="A96" t="s">
        <v>5</v>
      </c>
      <c r="B96">
        <v>1955</v>
      </c>
      <c r="C96" s="2">
        <v>1.0529999999999999</v>
      </c>
      <c r="D96" s="2">
        <v>2.97107265600704E-2</v>
      </c>
    </row>
    <row r="97" spans="1:4" x14ac:dyDescent="0.3">
      <c r="A97" t="s">
        <v>5</v>
      </c>
      <c r="B97">
        <v>1954</v>
      </c>
      <c r="C97" s="2">
        <v>1.0568859638333299</v>
      </c>
      <c r="D97" s="2">
        <v>3.0797274050546299E-2</v>
      </c>
    </row>
    <row r="98" spans="1:4" x14ac:dyDescent="0.3">
      <c r="A98" t="s">
        <v>6</v>
      </c>
      <c r="B98">
        <v>2015</v>
      </c>
      <c r="C98" s="2">
        <v>1.00616666666666</v>
      </c>
      <c r="D98" s="2">
        <v>6.5470094954363206E-2</v>
      </c>
    </row>
    <row r="99" spans="1:4" x14ac:dyDescent="0.3">
      <c r="A99" t="s">
        <v>6</v>
      </c>
      <c r="B99">
        <v>2014</v>
      </c>
      <c r="C99" s="2">
        <v>0.97299999999999998</v>
      </c>
      <c r="D99" s="2">
        <v>1.1127361853475499E-2</v>
      </c>
    </row>
    <row r="100" spans="1:4" x14ac:dyDescent="0.3">
      <c r="A100" t="s">
        <v>6</v>
      </c>
      <c r="B100">
        <v>2013</v>
      </c>
      <c r="C100" s="2">
        <v>0.97808333333333297</v>
      </c>
      <c r="D100" s="2">
        <v>1.2830775030323999E-2</v>
      </c>
    </row>
    <row r="101" spans="1:4" x14ac:dyDescent="0.3">
      <c r="A101" t="s">
        <v>6</v>
      </c>
      <c r="B101">
        <v>2012</v>
      </c>
      <c r="C101" s="2">
        <v>0.99783333333333302</v>
      </c>
      <c r="D101" s="2">
        <v>1.72723285440421E-2</v>
      </c>
    </row>
    <row r="102" spans="1:4" x14ac:dyDescent="0.3">
      <c r="A102" t="s">
        <v>6</v>
      </c>
      <c r="B102">
        <v>2011</v>
      </c>
      <c r="C102" s="2">
        <v>1.0342499999999999</v>
      </c>
      <c r="D102" s="2">
        <v>1.4703895587719101E-2</v>
      </c>
    </row>
    <row r="103" spans="1:4" x14ac:dyDescent="0.3">
      <c r="A103" t="s">
        <v>6</v>
      </c>
      <c r="B103">
        <v>2010</v>
      </c>
      <c r="C103" s="2">
        <v>1.02475</v>
      </c>
      <c r="D103" s="2">
        <v>2.6406352541489899E-2</v>
      </c>
    </row>
    <row r="104" spans="1:4" x14ac:dyDescent="0.3">
      <c r="A104" t="s">
        <v>6</v>
      </c>
      <c r="B104">
        <v>2009</v>
      </c>
      <c r="C104" s="2">
        <v>1.0268333333333299</v>
      </c>
      <c r="D104" s="2">
        <v>1.7826605924512899E-2</v>
      </c>
    </row>
    <row r="105" spans="1:4" x14ac:dyDescent="0.3">
      <c r="A105" t="s">
        <v>6</v>
      </c>
      <c r="B105">
        <v>2008</v>
      </c>
      <c r="C105" s="2">
        <v>1.01508333333333</v>
      </c>
      <c r="D105" s="2">
        <v>1.8322655292552299E-2</v>
      </c>
    </row>
    <row r="106" spans="1:4" x14ac:dyDescent="0.3">
      <c r="A106" t="s">
        <v>6</v>
      </c>
      <c r="B106">
        <v>2007</v>
      </c>
      <c r="C106" s="2">
        <v>1.0256666666666601</v>
      </c>
      <c r="D106" s="2">
        <v>3.29112672978649E-2</v>
      </c>
    </row>
    <row r="107" spans="1:4" x14ac:dyDescent="0.3">
      <c r="A107" t="s">
        <v>6</v>
      </c>
      <c r="B107">
        <v>2006</v>
      </c>
      <c r="C107" s="2">
        <v>1.05725</v>
      </c>
      <c r="D107" s="2">
        <v>2.0329669317169299E-2</v>
      </c>
    </row>
    <row r="108" spans="1:4" x14ac:dyDescent="0.3">
      <c r="A108" t="s">
        <v>6</v>
      </c>
      <c r="B108">
        <v>2005</v>
      </c>
      <c r="C108" s="2">
        <v>1.0260833333333299</v>
      </c>
      <c r="D108" s="2">
        <v>3.1638464315488203E-2</v>
      </c>
    </row>
    <row r="109" spans="1:4" x14ac:dyDescent="0.3">
      <c r="A109" t="s">
        <v>6</v>
      </c>
      <c r="B109">
        <v>2004</v>
      </c>
      <c r="C109" s="2">
        <v>1.0253333333333301</v>
      </c>
      <c r="D109" s="2">
        <v>2.2211108331943501E-2</v>
      </c>
    </row>
    <row r="110" spans="1:4" x14ac:dyDescent="0.3">
      <c r="A110" t="s">
        <v>6</v>
      </c>
      <c r="B110">
        <v>2003</v>
      </c>
      <c r="C110" s="2">
        <v>1.00091666666666</v>
      </c>
      <c r="D110" s="2">
        <v>4.1123888950635998E-2</v>
      </c>
    </row>
    <row r="111" spans="1:4" x14ac:dyDescent="0.3">
      <c r="A111" t="s">
        <v>6</v>
      </c>
      <c r="B111">
        <v>2002</v>
      </c>
      <c r="C111" s="2">
        <v>1.0004166666666601</v>
      </c>
      <c r="D111" s="2">
        <v>1.9796502598982298E-2</v>
      </c>
    </row>
    <row r="112" spans="1:4" x14ac:dyDescent="0.3">
      <c r="A112" t="s">
        <v>6</v>
      </c>
      <c r="B112">
        <v>2001</v>
      </c>
      <c r="C112" s="2">
        <v>1.00366666666666</v>
      </c>
      <c r="D112" s="2">
        <v>2.1068431073024502E-2</v>
      </c>
    </row>
    <row r="113" spans="1:4" x14ac:dyDescent="0.3">
      <c r="A113" t="s">
        <v>6</v>
      </c>
      <c r="B113">
        <v>2000</v>
      </c>
      <c r="C113" s="2">
        <v>1.0064166666666601</v>
      </c>
      <c r="D113" s="2">
        <v>3.2315091699005698E-2</v>
      </c>
    </row>
    <row r="114" spans="1:4" x14ac:dyDescent="0.3">
      <c r="A114" t="s">
        <v>6</v>
      </c>
      <c r="B114">
        <v>1999</v>
      </c>
      <c r="C114" s="2">
        <v>1.03091666666666</v>
      </c>
      <c r="D114" s="2">
        <v>2.4832011353871201E-2</v>
      </c>
    </row>
    <row r="115" spans="1:4" x14ac:dyDescent="0.3">
      <c r="A115" t="s">
        <v>6</v>
      </c>
      <c r="B115">
        <v>1998</v>
      </c>
      <c r="C115" s="2">
        <v>0.99708333333333299</v>
      </c>
      <c r="D115" s="2">
        <v>2.8842702979289401E-2</v>
      </c>
    </row>
    <row r="116" spans="1:4" x14ac:dyDescent="0.3">
      <c r="A116" t="s">
        <v>6</v>
      </c>
      <c r="B116">
        <v>1997</v>
      </c>
      <c r="C116" s="2">
        <v>1.00183333333333</v>
      </c>
      <c r="D116" s="2">
        <v>1.8398781250809799E-2</v>
      </c>
    </row>
    <row r="117" spans="1:4" x14ac:dyDescent="0.3">
      <c r="A117" t="s">
        <v>6</v>
      </c>
      <c r="B117">
        <v>1996</v>
      </c>
      <c r="C117" s="2">
        <v>1.0585833333333301</v>
      </c>
      <c r="D117" s="2">
        <v>2.1769279160126401E-2</v>
      </c>
    </row>
    <row r="118" spans="1:4" x14ac:dyDescent="0.3">
      <c r="A118" t="s">
        <v>6</v>
      </c>
      <c r="B118">
        <v>1995</v>
      </c>
      <c r="C118" s="2">
        <v>1.06375</v>
      </c>
      <c r="D118" s="2">
        <v>1.63213468695559E-2</v>
      </c>
    </row>
    <row r="119" spans="1:4" x14ac:dyDescent="0.3">
      <c r="A119" t="s">
        <v>6</v>
      </c>
      <c r="B119">
        <v>1994</v>
      </c>
      <c r="C119" s="2">
        <v>1.08083333333333</v>
      </c>
      <c r="D119" s="2">
        <v>2.4281805134834199E-2</v>
      </c>
    </row>
    <row r="120" spans="1:4" x14ac:dyDescent="0.3">
      <c r="A120" t="s">
        <v>6</v>
      </c>
      <c r="B120">
        <v>1993</v>
      </c>
      <c r="C120" s="2">
        <v>1.04341666666666</v>
      </c>
      <c r="D120" s="2">
        <v>2.2888895018141699E-2</v>
      </c>
    </row>
    <row r="121" spans="1:4" x14ac:dyDescent="0.3">
      <c r="A121" t="s">
        <v>6</v>
      </c>
      <c r="B121">
        <v>1992</v>
      </c>
      <c r="C121" s="2">
        <v>1.0356666666666601</v>
      </c>
      <c r="D121" s="2">
        <v>1.4310411552009201E-2</v>
      </c>
    </row>
    <row r="122" spans="1:4" x14ac:dyDescent="0.3">
      <c r="A122" t="s">
        <v>6</v>
      </c>
      <c r="B122">
        <v>1991</v>
      </c>
      <c r="C122" s="2">
        <v>1.0471666666666599</v>
      </c>
      <c r="D122" s="2">
        <v>1.54674634068558E-2</v>
      </c>
    </row>
    <row r="123" spans="1:4" x14ac:dyDescent="0.3">
      <c r="A123" t="s">
        <v>6</v>
      </c>
      <c r="B123">
        <v>1990</v>
      </c>
      <c r="C123" s="2">
        <v>1.0689166666666601</v>
      </c>
      <c r="D123" s="2">
        <v>3.1375897910609102E-2</v>
      </c>
    </row>
    <row r="124" spans="1:4" x14ac:dyDescent="0.3">
      <c r="A124" t="s">
        <v>6</v>
      </c>
      <c r="B124">
        <v>1989</v>
      </c>
      <c r="C124" s="2">
        <v>1.077</v>
      </c>
      <c r="D124" s="2">
        <v>2.7781615896455399E-2</v>
      </c>
    </row>
    <row r="125" spans="1:4" x14ac:dyDescent="0.3">
      <c r="A125" t="s">
        <v>6</v>
      </c>
      <c r="B125">
        <v>1988</v>
      </c>
      <c r="C125" s="2">
        <v>1.0564166666666599</v>
      </c>
      <c r="D125" s="2">
        <v>4.0488962207076401E-2</v>
      </c>
    </row>
    <row r="126" spans="1:4" x14ac:dyDescent="0.3">
      <c r="A126" t="s">
        <v>6</v>
      </c>
      <c r="B126">
        <v>1987</v>
      </c>
      <c r="C126" s="2">
        <v>1.0345</v>
      </c>
      <c r="D126" s="2">
        <v>2.7127644403985601E-2</v>
      </c>
    </row>
    <row r="127" spans="1:4" x14ac:dyDescent="0.3">
      <c r="A127" t="s">
        <v>6</v>
      </c>
      <c r="B127">
        <v>1986</v>
      </c>
      <c r="C127" s="2">
        <v>1.05591666666666</v>
      </c>
      <c r="D127" s="2">
        <v>2.81375140509906E-2</v>
      </c>
    </row>
    <row r="128" spans="1:4" x14ac:dyDescent="0.3">
      <c r="A128" t="s">
        <v>6</v>
      </c>
      <c r="B128">
        <v>1985</v>
      </c>
      <c r="C128" s="2">
        <v>1.046</v>
      </c>
      <c r="D128" s="2">
        <v>2.99939387816332E-2</v>
      </c>
    </row>
    <row r="129" spans="1:4" x14ac:dyDescent="0.3">
      <c r="A129" t="s">
        <v>6</v>
      </c>
      <c r="B129">
        <v>1984</v>
      </c>
      <c r="C129" s="2">
        <v>1.0356666666666601</v>
      </c>
      <c r="D129" s="2">
        <v>2.5606580593608499E-2</v>
      </c>
    </row>
    <row r="130" spans="1:4" x14ac:dyDescent="0.3">
      <c r="A130" t="s">
        <v>6</v>
      </c>
      <c r="B130">
        <v>1983</v>
      </c>
      <c r="C130" s="2">
        <v>1.0137499999999999</v>
      </c>
      <c r="D130" s="2">
        <v>2.4045884168700099E-2</v>
      </c>
    </row>
    <row r="131" spans="1:4" x14ac:dyDescent="0.3">
      <c r="A131" t="s">
        <v>6</v>
      </c>
      <c r="B131">
        <v>1982</v>
      </c>
      <c r="C131" s="2">
        <v>1.0347500000000001</v>
      </c>
      <c r="D131" s="2">
        <v>3.51700414867799E-2</v>
      </c>
    </row>
    <row r="132" spans="1:4" x14ac:dyDescent="0.3">
      <c r="A132" t="s">
        <v>6</v>
      </c>
      <c r="B132">
        <v>1981</v>
      </c>
      <c r="C132" s="2">
        <v>1.0753333333333299</v>
      </c>
      <c r="D132" s="2">
        <v>3.5361338244249703E-2</v>
      </c>
    </row>
    <row r="133" spans="1:4" x14ac:dyDescent="0.3">
      <c r="A133" t="s">
        <v>6</v>
      </c>
      <c r="B133">
        <v>1980</v>
      </c>
      <c r="C133" s="2">
        <v>1.0511666666666599</v>
      </c>
      <c r="D133" s="2">
        <v>2.0337307112940399E-2</v>
      </c>
    </row>
    <row r="134" spans="1:4" x14ac:dyDescent="0.3">
      <c r="A134" t="s">
        <v>6</v>
      </c>
      <c r="B134">
        <v>1979</v>
      </c>
      <c r="C134" s="2">
        <v>1.04066666666666</v>
      </c>
      <c r="D134" s="2">
        <v>3.4357302606931199E-2</v>
      </c>
    </row>
    <row r="135" spans="1:4" x14ac:dyDescent="0.3">
      <c r="A135" t="s">
        <v>6</v>
      </c>
      <c r="B135">
        <v>1978</v>
      </c>
      <c r="C135" s="2">
        <v>1.0573333333333299</v>
      </c>
      <c r="D135" s="2">
        <v>3.6425099571420198E-2</v>
      </c>
    </row>
    <row r="136" spans="1:4" x14ac:dyDescent="0.3">
      <c r="A136" t="s">
        <v>6</v>
      </c>
      <c r="B136">
        <v>1977</v>
      </c>
      <c r="C136" s="2">
        <v>1.03925</v>
      </c>
      <c r="D136" s="2">
        <v>2.6560822139521101E-2</v>
      </c>
    </row>
    <row r="137" spans="1:4" x14ac:dyDescent="0.3">
      <c r="A137" t="s">
        <v>6</v>
      </c>
      <c r="B137">
        <v>1976</v>
      </c>
      <c r="C137" s="2">
        <v>1.0525833333333301</v>
      </c>
      <c r="D137" s="2">
        <v>2.2585024536921201E-2</v>
      </c>
    </row>
    <row r="138" spans="1:4" x14ac:dyDescent="0.3">
      <c r="A138" t="s">
        <v>6</v>
      </c>
      <c r="B138">
        <v>1975</v>
      </c>
      <c r="C138" s="2">
        <v>1.0308333333333299</v>
      </c>
      <c r="D138" s="2">
        <v>4.4263330469389899E-2</v>
      </c>
    </row>
    <row r="139" spans="1:4" x14ac:dyDescent="0.3">
      <c r="A139" t="s">
        <v>6</v>
      </c>
      <c r="B139">
        <v>1974</v>
      </c>
      <c r="C139" s="2">
        <v>1.0017499999999999</v>
      </c>
      <c r="D139" s="2">
        <v>2.33865734596117E-2</v>
      </c>
    </row>
    <row r="140" spans="1:4" x14ac:dyDescent="0.3">
      <c r="A140" t="s">
        <v>6</v>
      </c>
      <c r="B140">
        <v>1973</v>
      </c>
      <c r="C140" s="2">
        <v>1.0142499999999901</v>
      </c>
      <c r="D140" s="2">
        <v>1.24617596889626E-2</v>
      </c>
    </row>
    <row r="141" spans="1:4" x14ac:dyDescent="0.3">
      <c r="A141" t="s">
        <v>6</v>
      </c>
      <c r="B141">
        <v>1972</v>
      </c>
      <c r="C141" s="2">
        <v>1.0033333333333301</v>
      </c>
      <c r="D141" s="2">
        <v>9.9848369890033397E-3</v>
      </c>
    </row>
    <row r="142" spans="1:4" x14ac:dyDescent="0.3">
      <c r="A142" t="s">
        <v>6</v>
      </c>
      <c r="B142">
        <v>1971</v>
      </c>
      <c r="C142" s="2">
        <v>0.99333333333333296</v>
      </c>
      <c r="D142" s="2">
        <v>2.7608738186349999E-2</v>
      </c>
    </row>
    <row r="143" spans="1:4" x14ac:dyDescent="0.3">
      <c r="A143" t="s">
        <v>6</v>
      </c>
      <c r="B143">
        <v>1970</v>
      </c>
      <c r="C143" s="2">
        <v>1.0073333333333301</v>
      </c>
      <c r="D143" s="2">
        <v>2.9030809130781699E-2</v>
      </c>
    </row>
    <row r="144" spans="1:4" x14ac:dyDescent="0.3">
      <c r="A144" t="s">
        <v>6</v>
      </c>
      <c r="B144">
        <v>1969</v>
      </c>
      <c r="C144" s="2">
        <v>1.022</v>
      </c>
      <c r="D144" s="2">
        <v>1.96283653744454E-2</v>
      </c>
    </row>
    <row r="145" spans="1:4" x14ac:dyDescent="0.3">
      <c r="A145" t="s">
        <v>6</v>
      </c>
      <c r="B145">
        <v>1968</v>
      </c>
      <c r="C145" s="2">
        <v>1.0115833333333299</v>
      </c>
      <c r="D145" s="2">
        <v>2.3508057935073799E-2</v>
      </c>
    </row>
    <row r="146" spans="1:4" x14ac:dyDescent="0.3">
      <c r="A146" t="s">
        <v>6</v>
      </c>
      <c r="B146">
        <v>1967</v>
      </c>
      <c r="C146" s="2">
        <v>1.0220833333333299</v>
      </c>
      <c r="D146" s="2">
        <v>2.0960822040322302E-2</v>
      </c>
    </row>
    <row r="147" spans="1:4" x14ac:dyDescent="0.3">
      <c r="A147" t="s">
        <v>6</v>
      </c>
      <c r="B147">
        <v>1966</v>
      </c>
      <c r="C147" s="2">
        <v>1.02</v>
      </c>
      <c r="D147" s="2">
        <v>3.06119406292856E-2</v>
      </c>
    </row>
    <row r="148" spans="1:4" x14ac:dyDescent="0.3">
      <c r="A148" t="s">
        <v>6</v>
      </c>
      <c r="B148">
        <v>1965</v>
      </c>
      <c r="C148" s="2">
        <v>0.99708333333333299</v>
      </c>
      <c r="D148" s="2">
        <v>2.7016689566849401E-2</v>
      </c>
    </row>
    <row r="149" spans="1:4" x14ac:dyDescent="0.3">
      <c r="A149" t="s">
        <v>6</v>
      </c>
      <c r="B149">
        <v>1964</v>
      </c>
      <c r="C149" s="2">
        <v>1.0120833333333299</v>
      </c>
      <c r="D149" s="2">
        <v>2.8063105294815E-2</v>
      </c>
    </row>
    <row r="150" spans="1:4" x14ac:dyDescent="0.3">
      <c r="A150" t="s">
        <v>6</v>
      </c>
      <c r="B150">
        <v>1963</v>
      </c>
      <c r="C150" s="2">
        <v>1.02141666666666</v>
      </c>
      <c r="D150" s="2">
        <v>2.62486651897277E-2</v>
      </c>
    </row>
    <row r="151" spans="1:4" x14ac:dyDescent="0.3">
      <c r="A151" t="s">
        <v>6</v>
      </c>
      <c r="B151">
        <v>1962</v>
      </c>
      <c r="C151" s="2">
        <v>1.01958333333333</v>
      </c>
      <c r="D151" s="2">
        <v>3.3151054647513403E-2</v>
      </c>
    </row>
    <row r="152" spans="1:4" x14ac:dyDescent="0.3">
      <c r="A152" t="s">
        <v>6</v>
      </c>
      <c r="B152">
        <v>1961</v>
      </c>
      <c r="C152" s="2">
        <v>1.0389999999999999</v>
      </c>
      <c r="D152" s="2">
        <v>2.6856521131239701E-2</v>
      </c>
    </row>
    <row r="153" spans="1:4" x14ac:dyDescent="0.3">
      <c r="A153" t="s">
        <v>6</v>
      </c>
      <c r="B153">
        <v>1960</v>
      </c>
      <c r="C153" s="2">
        <v>1.04908333333333</v>
      </c>
      <c r="D153" s="2">
        <v>3.17130840028165E-2</v>
      </c>
    </row>
    <row r="154" spans="1:4" x14ac:dyDescent="0.3">
      <c r="A154" t="s">
        <v>6</v>
      </c>
      <c r="B154">
        <v>1959</v>
      </c>
      <c r="C154" s="2">
        <v>1.0459166666666599</v>
      </c>
      <c r="D154" s="2">
        <v>2.2022543546157899E-2</v>
      </c>
    </row>
    <row r="155" spans="1:4" x14ac:dyDescent="0.3">
      <c r="A155" t="s">
        <v>6</v>
      </c>
      <c r="B155">
        <v>1958</v>
      </c>
      <c r="C155" s="2">
        <v>1.0296666666666601</v>
      </c>
      <c r="D155" s="2">
        <v>2.75461046027906E-2</v>
      </c>
    </row>
    <row r="156" spans="1:4" x14ac:dyDescent="0.3">
      <c r="A156" t="s">
        <v>6</v>
      </c>
      <c r="B156">
        <v>1957</v>
      </c>
      <c r="C156" s="2">
        <v>1.02508333333333</v>
      </c>
      <c r="D156" s="2">
        <v>3.1090654349479101E-2</v>
      </c>
    </row>
    <row r="157" spans="1:4" x14ac:dyDescent="0.3">
      <c r="A157" t="s">
        <v>6</v>
      </c>
      <c r="B157">
        <v>1956</v>
      </c>
      <c r="C157" s="2">
        <v>1.05141666666666</v>
      </c>
      <c r="D157" s="2">
        <v>2.7926716870257301E-2</v>
      </c>
    </row>
    <row r="158" spans="1:4" x14ac:dyDescent="0.3">
      <c r="A158" t="s">
        <v>6</v>
      </c>
      <c r="B158">
        <v>1955</v>
      </c>
      <c r="C158" s="2">
        <v>1.04158333333333</v>
      </c>
      <c r="D158" s="2">
        <v>4.9962637555628998E-2</v>
      </c>
    </row>
    <row r="159" spans="1:4" x14ac:dyDescent="0.3">
      <c r="A159" t="s">
        <v>6</v>
      </c>
      <c r="B159">
        <v>1954</v>
      </c>
      <c r="C159" s="2">
        <v>1.0282499999999899</v>
      </c>
      <c r="D159" s="2">
        <v>3.4507245615957201E-2</v>
      </c>
    </row>
    <row r="160" spans="1:4" x14ac:dyDescent="0.3">
      <c r="A160" t="s">
        <v>6</v>
      </c>
      <c r="B160">
        <v>1953</v>
      </c>
      <c r="C160" s="2">
        <v>1.03633333333333</v>
      </c>
      <c r="D160" s="2">
        <v>2.7994588221600399E-2</v>
      </c>
    </row>
    <row r="161" spans="1:4" x14ac:dyDescent="0.3">
      <c r="A161" t="s">
        <v>6</v>
      </c>
      <c r="B161">
        <v>1952</v>
      </c>
      <c r="C161" s="2">
        <v>1.0409166666666601</v>
      </c>
      <c r="D161" s="2">
        <v>3.7950825439180498E-2</v>
      </c>
    </row>
    <row r="162" spans="1:4" x14ac:dyDescent="0.3">
      <c r="A162" t="s">
        <v>6</v>
      </c>
      <c r="B162">
        <v>1951</v>
      </c>
      <c r="C162" s="2">
        <v>1.0629166666666601</v>
      </c>
      <c r="D162" s="2">
        <v>1.8342490825865702E-2</v>
      </c>
    </row>
    <row r="163" spans="1:4" x14ac:dyDescent="0.3">
      <c r="A163" t="s">
        <v>7</v>
      </c>
      <c r="B163">
        <v>2015</v>
      </c>
      <c r="C163" s="2">
        <v>0.98266666666666602</v>
      </c>
      <c r="D163" s="2">
        <v>1.0620163783477099E-2</v>
      </c>
    </row>
    <row r="164" spans="1:4" x14ac:dyDescent="0.3">
      <c r="A164" t="s">
        <v>7</v>
      </c>
      <c r="B164">
        <v>2014</v>
      </c>
      <c r="C164" s="2">
        <v>0.97558333333333302</v>
      </c>
      <c r="D164" s="2">
        <v>1.0866615541802E-2</v>
      </c>
    </row>
    <row r="165" spans="1:4" x14ac:dyDescent="0.3">
      <c r="A165" t="s">
        <v>7</v>
      </c>
      <c r="B165">
        <v>2013</v>
      </c>
      <c r="C165" s="2">
        <v>0.98016666666666596</v>
      </c>
      <c r="D165" s="2">
        <v>2.88407329793797E-2</v>
      </c>
    </row>
    <row r="166" spans="1:4" x14ac:dyDescent="0.3">
      <c r="A166" t="s">
        <v>7</v>
      </c>
      <c r="B166">
        <v>2012</v>
      </c>
      <c r="C166" s="2">
        <v>0.99666666666666603</v>
      </c>
      <c r="D166" s="2">
        <v>1.6394751562249399E-2</v>
      </c>
    </row>
    <row r="167" spans="1:4" x14ac:dyDescent="0.3">
      <c r="A167" t="s">
        <v>7</v>
      </c>
      <c r="B167">
        <v>2011</v>
      </c>
      <c r="C167" s="2">
        <v>1.00616666666666</v>
      </c>
      <c r="D167" s="2">
        <v>2.5746432527221801E-2</v>
      </c>
    </row>
    <row r="168" spans="1:4" x14ac:dyDescent="0.3">
      <c r="A168" t="s">
        <v>7</v>
      </c>
      <c r="B168">
        <v>2010</v>
      </c>
      <c r="C168" s="2">
        <v>1.00183333333333</v>
      </c>
      <c r="D168" s="2">
        <v>3.5946509081571598E-2</v>
      </c>
    </row>
    <row r="169" spans="1:4" x14ac:dyDescent="0.3">
      <c r="A169" t="s">
        <v>7</v>
      </c>
      <c r="B169">
        <v>2009</v>
      </c>
      <c r="C169" s="2">
        <v>0.99158333333333304</v>
      </c>
      <c r="D169" s="2">
        <v>2.9426204565854399E-2</v>
      </c>
    </row>
    <row r="170" spans="1:4" x14ac:dyDescent="0.3">
      <c r="A170" t="s">
        <v>7</v>
      </c>
      <c r="B170">
        <v>2008</v>
      </c>
      <c r="C170" s="2">
        <v>1.00016666666666</v>
      </c>
      <c r="D170" s="2">
        <v>3.0962832068416601E-2</v>
      </c>
    </row>
    <row r="171" spans="1:4" x14ac:dyDescent="0.3">
      <c r="A171" t="s">
        <v>7</v>
      </c>
      <c r="B171">
        <v>2007</v>
      </c>
      <c r="C171" s="2">
        <v>1.02466666666666</v>
      </c>
      <c r="D171" s="2">
        <v>5.2627910557963099E-2</v>
      </c>
    </row>
    <row r="172" spans="1:4" x14ac:dyDescent="0.3">
      <c r="A172" t="s">
        <v>7</v>
      </c>
      <c r="B172">
        <v>2006</v>
      </c>
      <c r="C172" s="2">
        <v>1.02558333333333</v>
      </c>
      <c r="D172" s="2">
        <v>2.5130417401783799E-2</v>
      </c>
    </row>
    <row r="173" spans="1:4" x14ac:dyDescent="0.3">
      <c r="A173" t="s">
        <v>7</v>
      </c>
      <c r="B173">
        <v>2005</v>
      </c>
      <c r="C173" s="2">
        <v>1.03141666666666</v>
      </c>
      <c r="D173" s="2">
        <v>2.7493663181749999E-2</v>
      </c>
    </row>
    <row r="174" spans="1:4" x14ac:dyDescent="0.3">
      <c r="A174" t="s">
        <v>7</v>
      </c>
      <c r="B174">
        <v>2004</v>
      </c>
      <c r="C174" s="2">
        <v>1.02016666666666</v>
      </c>
      <c r="D174" s="2">
        <v>3.26853687960428E-2</v>
      </c>
    </row>
    <row r="175" spans="1:4" x14ac:dyDescent="0.3">
      <c r="A175" t="s">
        <v>7</v>
      </c>
      <c r="B175">
        <v>2003</v>
      </c>
      <c r="C175" s="2">
        <v>1.0291666666666599</v>
      </c>
      <c r="D175" s="2">
        <v>2.4664414311581201E-2</v>
      </c>
    </row>
    <row r="176" spans="1:4" x14ac:dyDescent="0.3">
      <c r="A176" t="s">
        <v>7</v>
      </c>
      <c r="B176">
        <v>2002</v>
      </c>
      <c r="C176" s="2">
        <v>1.0177499999999999</v>
      </c>
      <c r="D176" s="2">
        <v>1.8126449785277301E-2</v>
      </c>
    </row>
    <row r="177" spans="1:4" x14ac:dyDescent="0.3">
      <c r="A177" t="s">
        <v>7</v>
      </c>
      <c r="B177">
        <v>2001</v>
      </c>
      <c r="C177" s="2">
        <v>1.0240833333333299</v>
      </c>
      <c r="D177" s="2">
        <v>1.91428046455311E-2</v>
      </c>
    </row>
    <row r="178" spans="1:4" x14ac:dyDescent="0.3">
      <c r="A178" t="s">
        <v>7</v>
      </c>
      <c r="B178">
        <v>2000</v>
      </c>
      <c r="C178" s="2">
        <v>1.0216666666666601</v>
      </c>
      <c r="D178" s="2">
        <v>2.6077971663083802E-2</v>
      </c>
    </row>
    <row r="179" spans="1:4" x14ac:dyDescent="0.3">
      <c r="A179" t="s">
        <v>7</v>
      </c>
      <c r="B179">
        <v>1999</v>
      </c>
      <c r="C179" s="2">
        <v>1.0500833333333299</v>
      </c>
      <c r="D179" s="2">
        <v>3.5279296873361697E-2</v>
      </c>
    </row>
    <row r="180" spans="1:4" x14ac:dyDescent="0.3">
      <c r="A180" t="s">
        <v>7</v>
      </c>
      <c r="B180">
        <v>1998</v>
      </c>
      <c r="C180" s="2">
        <v>1.024</v>
      </c>
      <c r="D180" s="2">
        <v>0.04</v>
      </c>
    </row>
    <row r="181" spans="1:4" x14ac:dyDescent="0.3">
      <c r="A181" t="s">
        <v>7</v>
      </c>
      <c r="B181">
        <v>1997</v>
      </c>
      <c r="C181" s="2">
        <v>0.99774999999999903</v>
      </c>
      <c r="D181" s="2">
        <v>1.8261360100695401E-2</v>
      </c>
    </row>
    <row r="182" spans="1:4" x14ac:dyDescent="0.3">
      <c r="A182" t="s">
        <v>7</v>
      </c>
      <c r="B182">
        <v>1996</v>
      </c>
      <c r="C182" s="2">
        <v>1.0234999999999901</v>
      </c>
      <c r="D182" s="2">
        <v>2.3658556015261602E-2</v>
      </c>
    </row>
    <row r="183" spans="1:4" x14ac:dyDescent="0.3">
      <c r="A183" t="s">
        <v>7</v>
      </c>
      <c r="B183">
        <v>1995</v>
      </c>
      <c r="C183" s="2">
        <v>1.0199166666666599</v>
      </c>
      <c r="D183" s="2">
        <v>3.4092010083231303E-2</v>
      </c>
    </row>
    <row r="184" spans="1:4" x14ac:dyDescent="0.3">
      <c r="A184" t="s">
        <v>7</v>
      </c>
      <c r="B184">
        <v>1994</v>
      </c>
      <c r="C184" s="2">
        <v>1.0046666666666599</v>
      </c>
      <c r="D184" s="2">
        <v>3.0221405217714999E-2</v>
      </c>
    </row>
    <row r="185" spans="1:4" x14ac:dyDescent="0.3">
      <c r="A185" t="s">
        <v>7</v>
      </c>
      <c r="B185">
        <v>1993</v>
      </c>
      <c r="C185" s="2">
        <v>1.0113333333333301</v>
      </c>
      <c r="D185" s="2">
        <v>2.4163583920411898E-2</v>
      </c>
    </row>
    <row r="186" spans="1:4" x14ac:dyDescent="0.3">
      <c r="A186" t="s">
        <v>7</v>
      </c>
      <c r="B186">
        <v>1992</v>
      </c>
      <c r="C186" s="2">
        <v>1.0169999999999999</v>
      </c>
      <c r="D186" s="2">
        <v>2.37295366387738E-2</v>
      </c>
    </row>
    <row r="187" spans="1:4" x14ac:dyDescent="0.3">
      <c r="A187" t="s">
        <v>7</v>
      </c>
      <c r="B187">
        <v>1991</v>
      </c>
      <c r="C187" s="2">
        <v>1.0337499999999999</v>
      </c>
      <c r="D187" s="2">
        <v>2.4816142107324201E-2</v>
      </c>
    </row>
    <row r="188" spans="1:4" x14ac:dyDescent="0.3">
      <c r="A188" t="s">
        <v>7</v>
      </c>
      <c r="B188">
        <v>1990</v>
      </c>
      <c r="C188" s="2">
        <v>1.0555000000000001</v>
      </c>
      <c r="D188" s="2">
        <v>2.01291285996642E-2</v>
      </c>
    </row>
    <row r="189" spans="1:4" x14ac:dyDescent="0.3">
      <c r="A189" t="s">
        <v>7</v>
      </c>
      <c r="B189">
        <v>1989</v>
      </c>
      <c r="C189" s="2">
        <v>1.04575</v>
      </c>
      <c r="D189" s="2">
        <v>4.6041730083598097E-2</v>
      </c>
    </row>
    <row r="190" spans="1:4" x14ac:dyDescent="0.3">
      <c r="A190" t="s">
        <v>7</v>
      </c>
      <c r="B190">
        <v>1988</v>
      </c>
      <c r="C190" s="2">
        <v>1.04216666666666</v>
      </c>
      <c r="D190" s="2">
        <v>4.3958313586093499E-2</v>
      </c>
    </row>
    <row r="191" spans="1:4" x14ac:dyDescent="0.3">
      <c r="A191" t="s">
        <v>7</v>
      </c>
      <c r="B191">
        <v>1987</v>
      </c>
      <c r="C191" s="2">
        <v>1.0125</v>
      </c>
      <c r="D191" s="2">
        <v>3.1978686083645798E-2</v>
      </c>
    </row>
    <row r="192" spans="1:4" x14ac:dyDescent="0.3">
      <c r="A192" t="s">
        <v>7</v>
      </c>
      <c r="B192">
        <v>1986</v>
      </c>
      <c r="C192" s="2">
        <v>1.00708333333333</v>
      </c>
      <c r="D192" s="2">
        <v>1.7254555832292399E-2</v>
      </c>
    </row>
    <row r="193" spans="1:4" x14ac:dyDescent="0.3">
      <c r="A193" t="s">
        <v>7</v>
      </c>
      <c r="B193">
        <v>1985</v>
      </c>
      <c r="C193" s="2">
        <v>1.0028333333333299</v>
      </c>
      <c r="D193" s="2">
        <v>2.6855956960094001E-2</v>
      </c>
    </row>
    <row r="194" spans="1:4" x14ac:dyDescent="0.3">
      <c r="A194" t="s">
        <v>7</v>
      </c>
      <c r="B194">
        <v>1984</v>
      </c>
      <c r="C194" s="2">
        <v>1.0045833333333301</v>
      </c>
      <c r="D194" s="2">
        <v>2.5624769030740301E-2</v>
      </c>
    </row>
    <row r="195" spans="1:4" x14ac:dyDescent="0.3">
      <c r="A195" t="s">
        <v>7</v>
      </c>
      <c r="B195">
        <v>1983</v>
      </c>
      <c r="C195" s="2">
        <v>1.022</v>
      </c>
      <c r="D195" s="2">
        <v>2.3151673805580399E-2</v>
      </c>
    </row>
    <row r="196" spans="1:4" x14ac:dyDescent="0.3">
      <c r="A196" t="s">
        <v>7</v>
      </c>
      <c r="B196">
        <v>1982</v>
      </c>
      <c r="C196" s="2">
        <v>1.0235000000000001</v>
      </c>
      <c r="D196" s="2">
        <v>2.4009467829473899E-2</v>
      </c>
    </row>
    <row r="197" spans="1:4" x14ac:dyDescent="0.3">
      <c r="A197" t="s">
        <v>7</v>
      </c>
      <c r="B197">
        <v>1981</v>
      </c>
      <c r="C197" s="2">
        <v>1.04508333333333</v>
      </c>
      <c r="D197" s="2">
        <v>2.9240253491418702E-2</v>
      </c>
    </row>
    <row r="198" spans="1:4" x14ac:dyDescent="0.3">
      <c r="A198" t="s">
        <v>7</v>
      </c>
      <c r="B198">
        <v>1980</v>
      </c>
      <c r="C198" s="2">
        <v>1.02725</v>
      </c>
      <c r="D198" s="2">
        <v>2.08942140751496E-2</v>
      </c>
    </row>
    <row r="199" spans="1:4" x14ac:dyDescent="0.3">
      <c r="A199" t="s">
        <v>7</v>
      </c>
      <c r="B199">
        <v>1979</v>
      </c>
      <c r="C199" s="2">
        <v>1.05941666666666</v>
      </c>
      <c r="D199" s="2">
        <v>1.78908729058515E-2</v>
      </c>
    </row>
    <row r="200" spans="1:4" x14ac:dyDescent="0.3">
      <c r="A200" t="s">
        <v>7</v>
      </c>
      <c r="B200">
        <v>1978</v>
      </c>
      <c r="C200" s="2">
        <v>1.0627500000000001</v>
      </c>
      <c r="D200" s="2">
        <v>1.0091625691181201E-2</v>
      </c>
    </row>
    <row r="201" spans="1:4" x14ac:dyDescent="0.3">
      <c r="A201" t="s">
        <v>7</v>
      </c>
      <c r="B201">
        <v>1977</v>
      </c>
      <c r="C201" s="2">
        <v>1.0458333333333301</v>
      </c>
      <c r="D201" s="2">
        <v>1.7775536474877399E-2</v>
      </c>
    </row>
    <row r="202" spans="1:4" x14ac:dyDescent="0.3">
      <c r="A202" t="s">
        <v>7</v>
      </c>
      <c r="B202">
        <v>1976</v>
      </c>
      <c r="C202" s="2">
        <v>1.0496666666666601</v>
      </c>
      <c r="D202" s="2">
        <v>1.8006732747570298E-2</v>
      </c>
    </row>
    <row r="203" spans="1:4" x14ac:dyDescent="0.3">
      <c r="A203" t="s">
        <v>7</v>
      </c>
      <c r="B203">
        <v>1975</v>
      </c>
      <c r="C203" s="2">
        <v>1.0527500000000001</v>
      </c>
      <c r="D203" s="2">
        <v>2.4219169717770699E-2</v>
      </c>
    </row>
    <row r="204" spans="1:4" x14ac:dyDescent="0.3">
      <c r="A204" t="s">
        <v>7</v>
      </c>
      <c r="B204">
        <v>1974</v>
      </c>
      <c r="C204" s="2">
        <v>1.02983333333333</v>
      </c>
      <c r="D204" s="2">
        <v>1.7729448195962901E-2</v>
      </c>
    </row>
    <row r="205" spans="1:4" x14ac:dyDescent="0.3">
      <c r="A205" t="s">
        <v>7</v>
      </c>
      <c r="B205">
        <v>1973</v>
      </c>
      <c r="C205" s="2">
        <v>1.0322499999999999</v>
      </c>
      <c r="D205" s="2">
        <v>3.1651870546476502E-2</v>
      </c>
    </row>
    <row r="206" spans="1:4" x14ac:dyDescent="0.3">
      <c r="A206" t="s">
        <v>7</v>
      </c>
      <c r="B206">
        <v>1972</v>
      </c>
      <c r="C206" s="2">
        <v>1.0245833333333301</v>
      </c>
      <c r="D206" s="2">
        <v>2.0698960594604E-2</v>
      </c>
    </row>
    <row r="207" spans="1:4" x14ac:dyDescent="0.3">
      <c r="A207" t="s">
        <v>7</v>
      </c>
      <c r="B207">
        <v>1971</v>
      </c>
      <c r="C207" s="2">
        <v>1.036</v>
      </c>
      <c r="D207" s="2">
        <v>2.2751623318707601E-2</v>
      </c>
    </row>
    <row r="208" spans="1:4" x14ac:dyDescent="0.3">
      <c r="A208" t="s">
        <v>7</v>
      </c>
      <c r="B208">
        <v>1970</v>
      </c>
      <c r="C208" s="2">
        <v>1.03866666666666</v>
      </c>
      <c r="D208" s="2">
        <v>3.6671349563219997E-2</v>
      </c>
    </row>
    <row r="209" spans="1:4" x14ac:dyDescent="0.3">
      <c r="A209" t="s">
        <v>7</v>
      </c>
      <c r="B209">
        <v>1969</v>
      </c>
      <c r="C209" s="2">
        <v>1.0373333333333301</v>
      </c>
      <c r="D209" s="2">
        <v>3.4584109155226299E-2</v>
      </c>
    </row>
    <row r="210" spans="1:4" x14ac:dyDescent="0.3">
      <c r="A210" t="s">
        <v>7</v>
      </c>
      <c r="B210">
        <v>1968</v>
      </c>
      <c r="C210" s="2">
        <v>1.04558333333333</v>
      </c>
      <c r="D210" s="2">
        <v>3.4697283973699103E-2</v>
      </c>
    </row>
    <row r="211" spans="1:4" x14ac:dyDescent="0.3">
      <c r="A211" t="s">
        <v>7</v>
      </c>
      <c r="B211">
        <v>1967</v>
      </c>
      <c r="C211" s="2">
        <v>1.0302499999999899</v>
      </c>
      <c r="D211" s="2">
        <v>2.7092853804513199E-2</v>
      </c>
    </row>
    <row r="212" spans="1:4" x14ac:dyDescent="0.3">
      <c r="A212" t="s">
        <v>7</v>
      </c>
      <c r="B212">
        <v>1966</v>
      </c>
      <c r="C212" s="2">
        <v>1.0254999999999901</v>
      </c>
      <c r="D212" s="2">
        <v>2.57205259383523E-2</v>
      </c>
    </row>
    <row r="213" spans="1:4" x14ac:dyDescent="0.3">
      <c r="A213" t="s">
        <v>7</v>
      </c>
      <c r="B213">
        <v>1965</v>
      </c>
      <c r="C213" s="2">
        <v>1.0293333333333301</v>
      </c>
      <c r="D213" s="2">
        <v>4.1532754507372802E-2</v>
      </c>
    </row>
    <row r="214" spans="1:4" x14ac:dyDescent="0.3">
      <c r="A214" t="s">
        <v>7</v>
      </c>
      <c r="B214">
        <v>1964</v>
      </c>
      <c r="C214" s="2">
        <v>1.0115833333333299</v>
      </c>
      <c r="D214" s="2">
        <v>2.3380093838109E-2</v>
      </c>
    </row>
    <row r="215" spans="1:4" x14ac:dyDescent="0.3">
      <c r="A215" t="s">
        <v>7</v>
      </c>
      <c r="B215">
        <v>1963</v>
      </c>
      <c r="C215" s="2">
        <v>1.0285</v>
      </c>
      <c r="D215" s="2">
        <v>2.6705464200830101E-2</v>
      </c>
    </row>
    <row r="216" spans="1:4" x14ac:dyDescent="0.3">
      <c r="A216" t="s">
        <v>7</v>
      </c>
      <c r="B216">
        <v>1962</v>
      </c>
      <c r="C216" s="2">
        <v>1.0211666666666599</v>
      </c>
      <c r="D216" s="2">
        <v>2.4657041529139199E-2</v>
      </c>
    </row>
    <row r="217" spans="1:4" x14ac:dyDescent="0.3">
      <c r="A217" t="s">
        <v>7</v>
      </c>
      <c r="B217">
        <v>1961</v>
      </c>
      <c r="C217" s="2">
        <v>1.0297499999999999</v>
      </c>
      <c r="D217" s="2">
        <v>2.6264822654853599E-2</v>
      </c>
    </row>
    <row r="218" spans="1:4" x14ac:dyDescent="0.3">
      <c r="A218" t="s">
        <v>7</v>
      </c>
      <c r="B218">
        <v>1960</v>
      </c>
      <c r="C218" s="2">
        <v>1.03033333333333</v>
      </c>
      <c r="D218" s="2">
        <v>2.0886417218911001E-2</v>
      </c>
    </row>
    <row r="219" spans="1:4" x14ac:dyDescent="0.3">
      <c r="A219" t="s">
        <v>7</v>
      </c>
      <c r="B219">
        <v>1959</v>
      </c>
      <c r="C219" s="2">
        <v>1.0220833333333299</v>
      </c>
      <c r="D219" s="2">
        <v>2.3426707110915199E-2</v>
      </c>
    </row>
    <row r="220" spans="1:4" x14ac:dyDescent="0.3">
      <c r="A220" t="s">
        <v>7</v>
      </c>
      <c r="B220">
        <v>1958</v>
      </c>
      <c r="C220" s="2">
        <v>1.0251666666666599</v>
      </c>
      <c r="D220" s="2">
        <v>2.16871697861508E-2</v>
      </c>
    </row>
    <row r="221" spans="1:4" x14ac:dyDescent="0.3">
      <c r="A221" t="s">
        <v>7</v>
      </c>
      <c r="B221">
        <v>1957</v>
      </c>
      <c r="C221" s="2">
        <v>1.0249999999999999</v>
      </c>
      <c r="D221" s="2">
        <v>1.56495715886758E-2</v>
      </c>
    </row>
    <row r="222" spans="1:4" x14ac:dyDescent="0.3">
      <c r="A222" t="s">
        <v>7</v>
      </c>
      <c r="B222">
        <v>1956</v>
      </c>
      <c r="C222" s="2">
        <v>1.04958333333333</v>
      </c>
      <c r="D222" s="2">
        <v>2.1584751913133401E-2</v>
      </c>
    </row>
    <row r="223" spans="1:4" x14ac:dyDescent="0.3">
      <c r="A223" t="s">
        <v>7</v>
      </c>
      <c r="B223">
        <v>1955</v>
      </c>
      <c r="C223" s="2">
        <v>1.032</v>
      </c>
      <c r="D223" s="2">
        <v>2.4819347291981701E-2</v>
      </c>
    </row>
    <row r="224" spans="1:4" x14ac:dyDescent="0.3">
      <c r="A224" t="s">
        <v>7</v>
      </c>
      <c r="B224">
        <v>1954</v>
      </c>
      <c r="C224" s="2">
        <v>1.03291666666666</v>
      </c>
      <c r="D224" s="2">
        <v>2.64178257082507E-2</v>
      </c>
    </row>
    <row r="225" spans="1:4" x14ac:dyDescent="0.3">
      <c r="A225" t="s">
        <v>7</v>
      </c>
      <c r="B225">
        <v>1953</v>
      </c>
      <c r="C225" s="2">
        <v>1.0175000000000001</v>
      </c>
      <c r="D225" s="2">
        <v>2.5021808669456899E-2</v>
      </c>
    </row>
    <row r="226" spans="1:4" x14ac:dyDescent="0.3">
      <c r="A226" t="s">
        <v>7</v>
      </c>
      <c r="B226">
        <v>1952</v>
      </c>
      <c r="C226" s="2">
        <v>1.0302500000000001</v>
      </c>
      <c r="D226" s="2">
        <v>3.1735053747609002E-2</v>
      </c>
    </row>
    <row r="227" spans="1:4" x14ac:dyDescent="0.3">
      <c r="A227" t="s">
        <v>7</v>
      </c>
      <c r="B227">
        <v>1951</v>
      </c>
      <c r="C227" s="2">
        <v>1.0385833333333301</v>
      </c>
      <c r="D227" s="2">
        <v>2.69459335212817E-2</v>
      </c>
    </row>
  </sheetData>
  <autoFilter ref="A1:D1" xr:uid="{05AD87A9-B279-482A-8CC9-564C1FF43C4E}">
    <sortState xmlns:xlrd2="http://schemas.microsoft.com/office/spreadsheetml/2017/richdata2" ref="A2:D227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0CDD-5C49-454D-B115-5B41D8C27B42}">
  <dimension ref="A1:Q66"/>
  <sheetViews>
    <sheetView topLeftCell="A2" workbookViewId="0">
      <selection activeCell="P2" sqref="P2:P66"/>
    </sheetView>
  </sheetViews>
  <sheetFormatPr baseColWidth="10" defaultRowHeight="14.4" x14ac:dyDescent="0.3"/>
  <cols>
    <col min="1" max="1" width="8" customWidth="1"/>
    <col min="2" max="2" width="7.5546875" customWidth="1"/>
    <col min="3" max="3" width="8.5546875" customWidth="1"/>
    <col min="4" max="4" width="7.44140625" customWidth="1"/>
    <col min="5" max="5" width="7.21875" customWidth="1"/>
    <col min="6" max="6" width="8.5546875" customWidth="1"/>
    <col min="7" max="7" width="7.21875" customWidth="1"/>
    <col min="8" max="8" width="7.33203125" customWidth="1"/>
    <col min="9" max="9" width="8.6640625" customWidth="1"/>
    <col min="10" max="10" width="8.109375" customWidth="1"/>
    <col min="11" max="11" width="6.5546875" customWidth="1"/>
    <col min="12" max="12" width="7.77734375" customWidth="1"/>
    <col min="13" max="14" width="9.109375" customWidth="1"/>
    <col min="15" max="15" width="7.5546875" customWidth="1"/>
    <col min="16" max="16" width="7.441406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0</v>
      </c>
      <c r="H1" s="1" t="s">
        <v>1</v>
      </c>
      <c r="I1" s="1" t="s">
        <v>2</v>
      </c>
      <c r="J1" s="1" t="s">
        <v>0</v>
      </c>
      <c r="K1" s="1" t="s">
        <v>1</v>
      </c>
      <c r="L1" s="1" t="s">
        <v>2</v>
      </c>
      <c r="N1" s="1" t="s">
        <v>8</v>
      </c>
      <c r="O1" s="1" t="s">
        <v>10</v>
      </c>
      <c r="P1" s="1" t="s">
        <v>29</v>
      </c>
      <c r="Q1" s="3">
        <f>AVERAGE(N2:N66)</f>
        <v>1.0177618312809802</v>
      </c>
    </row>
    <row r="2" spans="1:17" x14ac:dyDescent="0.3">
      <c r="A2" t="s">
        <v>4</v>
      </c>
      <c r="B2">
        <v>2015</v>
      </c>
      <c r="C2" s="2">
        <v>0.96499999999999997</v>
      </c>
      <c r="D2" t="s">
        <v>5</v>
      </c>
      <c r="E2">
        <v>2015</v>
      </c>
      <c r="F2" s="2">
        <v>0.97716666666666596</v>
      </c>
      <c r="G2" t="s">
        <v>6</v>
      </c>
      <c r="H2">
        <v>2015</v>
      </c>
      <c r="I2" s="2">
        <v>1.00616666666666</v>
      </c>
      <c r="J2" t="s">
        <v>7</v>
      </c>
      <c r="K2">
        <v>2015</v>
      </c>
      <c r="L2" s="2">
        <v>0.98266666666666602</v>
      </c>
      <c r="N2" s="2">
        <f>AVERAGE(L2,I2,F2,C2)</f>
        <v>0.9827499999999979</v>
      </c>
      <c r="O2" s="4">
        <f t="shared" ref="O2:O35" si="0">STANDARDIZE(N2,Q$1,Q$2)</f>
        <v>-2.0659110372486018</v>
      </c>
      <c r="P2" s="2">
        <f>N2-Q$1</f>
        <v>-3.5011831280982286E-2</v>
      </c>
      <c r="Q2" s="3">
        <f>_xlfn.STDEV.S(N2:N66)</f>
        <v>1.694740511557136E-2</v>
      </c>
    </row>
    <row r="3" spans="1:17" x14ac:dyDescent="0.3">
      <c r="A3" t="s">
        <v>4</v>
      </c>
      <c r="B3">
        <v>2014</v>
      </c>
      <c r="C3" s="2">
        <v>0.96316666666666595</v>
      </c>
      <c r="D3" t="s">
        <v>5</v>
      </c>
      <c r="E3">
        <v>2014</v>
      </c>
      <c r="F3" s="2">
        <v>0.97841666666666605</v>
      </c>
      <c r="G3" t="s">
        <v>6</v>
      </c>
      <c r="H3">
        <v>2014</v>
      </c>
      <c r="I3" s="2">
        <v>0.97299999999999998</v>
      </c>
      <c r="J3" t="s">
        <v>7</v>
      </c>
      <c r="K3">
        <v>2014</v>
      </c>
      <c r="L3" s="2">
        <v>0.97558333333333302</v>
      </c>
      <c r="N3" s="2">
        <f t="shared" ref="N3:N66" si="1">AVERAGE(L3,I3,F3,C3)</f>
        <v>0.9725416666666663</v>
      </c>
      <c r="O3" s="4">
        <f t="shared" si="0"/>
        <v>-2.6682648054931648</v>
      </c>
      <c r="P3" s="2">
        <f t="shared" ref="P3:P66" si="2">N3-Q$1</f>
        <v>-4.5220164614313885E-2</v>
      </c>
    </row>
    <row r="4" spans="1:17" x14ac:dyDescent="0.3">
      <c r="A4" t="s">
        <v>4</v>
      </c>
      <c r="B4">
        <v>2013</v>
      </c>
      <c r="C4" s="2">
        <v>0.96408333333333296</v>
      </c>
      <c r="D4" t="s">
        <v>5</v>
      </c>
      <c r="E4">
        <v>2013</v>
      </c>
      <c r="F4" s="2">
        <v>0.97316666666666596</v>
      </c>
      <c r="G4" t="s">
        <v>6</v>
      </c>
      <c r="H4">
        <v>2013</v>
      </c>
      <c r="I4" s="2">
        <v>0.97808333333333297</v>
      </c>
      <c r="J4" t="s">
        <v>7</v>
      </c>
      <c r="K4">
        <v>2013</v>
      </c>
      <c r="L4" s="2">
        <v>0.98016666666666596</v>
      </c>
      <c r="N4" s="2">
        <f t="shared" si="1"/>
        <v>0.97387499999999949</v>
      </c>
      <c r="O4" s="4">
        <f t="shared" si="0"/>
        <v>-2.5895900275999928</v>
      </c>
      <c r="P4" s="2">
        <f t="shared" si="2"/>
        <v>-4.3886831280980698E-2</v>
      </c>
    </row>
    <row r="5" spans="1:17" x14ac:dyDescent="0.3">
      <c r="A5" t="s">
        <v>4</v>
      </c>
      <c r="B5">
        <v>2012</v>
      </c>
      <c r="C5" s="2">
        <v>0.99783333333333302</v>
      </c>
      <c r="D5" t="s">
        <v>5</v>
      </c>
      <c r="E5">
        <v>2012</v>
      </c>
      <c r="F5" s="2">
        <v>0.96508333333333296</v>
      </c>
      <c r="G5" t="s">
        <v>6</v>
      </c>
      <c r="H5">
        <v>2012</v>
      </c>
      <c r="I5" s="2">
        <v>0.99783333333333302</v>
      </c>
      <c r="J5" t="s">
        <v>7</v>
      </c>
      <c r="K5">
        <v>2012</v>
      </c>
      <c r="L5" s="2">
        <v>0.99666666666666603</v>
      </c>
      <c r="N5" s="2">
        <f t="shared" si="1"/>
        <v>0.9893541666666662</v>
      </c>
      <c r="O5" s="4">
        <f t="shared" si="0"/>
        <v>-1.676225027996344</v>
      </c>
      <c r="P5" s="2">
        <f t="shared" si="2"/>
        <v>-2.8407664614313988E-2</v>
      </c>
    </row>
    <row r="6" spans="1:17" x14ac:dyDescent="0.3">
      <c r="A6" t="s">
        <v>4</v>
      </c>
      <c r="B6">
        <v>2011</v>
      </c>
      <c r="C6" s="2">
        <v>0.99549999999999905</v>
      </c>
      <c r="D6" t="s">
        <v>5</v>
      </c>
      <c r="E6">
        <v>2011</v>
      </c>
      <c r="F6" s="2">
        <v>0.97116666666666596</v>
      </c>
      <c r="G6" t="s">
        <v>6</v>
      </c>
      <c r="H6">
        <v>2011</v>
      </c>
      <c r="I6" s="2">
        <v>1.0342499999999999</v>
      </c>
      <c r="J6" t="s">
        <v>7</v>
      </c>
      <c r="K6">
        <v>2011</v>
      </c>
      <c r="L6" s="2">
        <v>1.00616666666666</v>
      </c>
      <c r="N6" s="2">
        <f t="shared" si="1"/>
        <v>1.0017708333333313</v>
      </c>
      <c r="O6" s="4">
        <f t="shared" si="0"/>
        <v>-0.94356615886619133</v>
      </c>
      <c r="P6" s="2">
        <f t="shared" si="2"/>
        <v>-1.5990997947648911E-2</v>
      </c>
    </row>
    <row r="7" spans="1:17" x14ac:dyDescent="0.3">
      <c r="A7" t="s">
        <v>4</v>
      </c>
      <c r="B7">
        <v>2010</v>
      </c>
      <c r="C7" s="2">
        <v>0.99691666666666601</v>
      </c>
      <c r="D7" t="s">
        <v>5</v>
      </c>
      <c r="E7">
        <v>2010</v>
      </c>
      <c r="F7" s="2">
        <v>0.97824999999999995</v>
      </c>
      <c r="G7" t="s">
        <v>6</v>
      </c>
      <c r="H7">
        <v>2010</v>
      </c>
      <c r="I7" s="2">
        <v>1.02475</v>
      </c>
      <c r="J7" t="s">
        <v>7</v>
      </c>
      <c r="K7">
        <v>2010</v>
      </c>
      <c r="L7" s="2">
        <v>1.00183333333333</v>
      </c>
      <c r="N7" s="2">
        <f t="shared" si="1"/>
        <v>1.000437499999999</v>
      </c>
      <c r="O7" s="4">
        <f t="shared" si="0"/>
        <v>-1.022240936759311</v>
      </c>
      <c r="P7" s="2">
        <f t="shared" si="2"/>
        <v>-1.7324331280981209E-2</v>
      </c>
    </row>
    <row r="8" spans="1:17" x14ac:dyDescent="0.3">
      <c r="A8" t="s">
        <v>4</v>
      </c>
      <c r="B8">
        <v>2009</v>
      </c>
      <c r="C8" s="2">
        <v>0.98608333333333298</v>
      </c>
      <c r="D8" t="s">
        <v>5</v>
      </c>
      <c r="E8">
        <v>2009</v>
      </c>
      <c r="F8" s="2">
        <v>0.96433333333333304</v>
      </c>
      <c r="G8" t="s">
        <v>6</v>
      </c>
      <c r="H8">
        <v>2009</v>
      </c>
      <c r="I8" s="2">
        <v>1.0268333333333299</v>
      </c>
      <c r="J8" t="s">
        <v>7</v>
      </c>
      <c r="K8">
        <v>2009</v>
      </c>
      <c r="L8" s="2">
        <v>0.99158333333333304</v>
      </c>
      <c r="N8" s="2">
        <f t="shared" si="1"/>
        <v>0.99220833333333225</v>
      </c>
      <c r="O8" s="4">
        <f t="shared" si="0"/>
        <v>-1.5078118315687905</v>
      </c>
      <c r="P8" s="2">
        <f t="shared" si="2"/>
        <v>-2.5553497947647941E-2</v>
      </c>
    </row>
    <row r="9" spans="1:17" x14ac:dyDescent="0.3">
      <c r="A9" t="s">
        <v>4</v>
      </c>
      <c r="B9">
        <v>2008</v>
      </c>
      <c r="C9" s="2">
        <v>1.0197499999999999</v>
      </c>
      <c r="D9" t="s">
        <v>5</v>
      </c>
      <c r="E9">
        <v>2008</v>
      </c>
      <c r="F9" s="2">
        <v>0.97841666666666605</v>
      </c>
      <c r="G9" t="s">
        <v>6</v>
      </c>
      <c r="H9">
        <v>2008</v>
      </c>
      <c r="I9" s="2">
        <v>1.01508333333333</v>
      </c>
      <c r="J9" t="s">
        <v>7</v>
      </c>
      <c r="K9">
        <v>2008</v>
      </c>
      <c r="L9" s="2">
        <v>1.00016666666666</v>
      </c>
      <c r="N9" s="2">
        <f t="shared" si="1"/>
        <v>1.0033541666666641</v>
      </c>
      <c r="O9" s="4">
        <f t="shared" si="0"/>
        <v>-0.85013986011806908</v>
      </c>
      <c r="P9" s="2">
        <f t="shared" si="2"/>
        <v>-1.4407664614316085E-2</v>
      </c>
    </row>
    <row r="10" spans="1:17" x14ac:dyDescent="0.3">
      <c r="A10" t="s">
        <v>4</v>
      </c>
      <c r="B10">
        <v>2007</v>
      </c>
      <c r="C10" s="2">
        <v>0.99433333333333296</v>
      </c>
      <c r="D10" t="s">
        <v>5</v>
      </c>
      <c r="E10">
        <v>2007</v>
      </c>
      <c r="F10" s="2">
        <v>0.98799999999999999</v>
      </c>
      <c r="G10" t="s">
        <v>6</v>
      </c>
      <c r="H10">
        <v>2007</v>
      </c>
      <c r="I10" s="2">
        <v>1.0256666666666601</v>
      </c>
      <c r="J10" t="s">
        <v>7</v>
      </c>
      <c r="K10">
        <v>2007</v>
      </c>
      <c r="L10" s="2">
        <v>1.02466666666666</v>
      </c>
      <c r="N10" s="2">
        <f t="shared" si="1"/>
        <v>1.0081666666666633</v>
      </c>
      <c r="O10" s="4">
        <f t="shared" si="0"/>
        <v>-0.56617308365991559</v>
      </c>
      <c r="P10" s="2">
        <f t="shared" si="2"/>
        <v>-9.5951646143168645E-3</v>
      </c>
    </row>
    <row r="11" spans="1:17" x14ac:dyDescent="0.3">
      <c r="A11" t="s">
        <v>4</v>
      </c>
      <c r="B11">
        <v>2006</v>
      </c>
      <c r="C11" s="2">
        <v>0.99208333333333298</v>
      </c>
      <c r="D11" t="s">
        <v>5</v>
      </c>
      <c r="E11">
        <v>2006</v>
      </c>
      <c r="F11" s="2">
        <v>0.96541666666666603</v>
      </c>
      <c r="G11" t="s">
        <v>6</v>
      </c>
      <c r="H11">
        <v>2006</v>
      </c>
      <c r="I11" s="2">
        <v>1.05725</v>
      </c>
      <c r="J11" t="s">
        <v>7</v>
      </c>
      <c r="K11">
        <v>2006</v>
      </c>
      <c r="L11" s="2">
        <v>1.02558333333333</v>
      </c>
      <c r="N11" s="2">
        <f t="shared" si="1"/>
        <v>1.0100833333333323</v>
      </c>
      <c r="O11" s="4">
        <f t="shared" si="0"/>
        <v>-0.45307809043832992</v>
      </c>
      <c r="P11" s="2">
        <f t="shared" si="2"/>
        <v>-7.6784979476478554E-3</v>
      </c>
    </row>
    <row r="12" spans="1:17" x14ac:dyDescent="0.3">
      <c r="A12" t="s">
        <v>4</v>
      </c>
      <c r="B12">
        <v>2005</v>
      </c>
      <c r="C12" s="2">
        <v>0.99549999999999905</v>
      </c>
      <c r="D12" t="s">
        <v>5</v>
      </c>
      <c r="E12">
        <v>2005</v>
      </c>
      <c r="F12" s="2">
        <v>0.96174999999999999</v>
      </c>
      <c r="G12" t="s">
        <v>6</v>
      </c>
      <c r="H12">
        <v>2005</v>
      </c>
      <c r="I12" s="2">
        <v>1.0260833333333299</v>
      </c>
      <c r="J12" t="s">
        <v>7</v>
      </c>
      <c r="K12">
        <v>2005</v>
      </c>
      <c r="L12" s="2">
        <v>1.03141666666666</v>
      </c>
      <c r="N12" s="2">
        <f t="shared" si="1"/>
        <v>1.0036874999999972</v>
      </c>
      <c r="O12" s="4">
        <f t="shared" si="0"/>
        <v>-0.83047116564478918</v>
      </c>
      <c r="P12" s="2">
        <f t="shared" si="2"/>
        <v>-1.407433128098301E-2</v>
      </c>
    </row>
    <row r="13" spans="1:17" x14ac:dyDescent="0.3">
      <c r="A13" t="s">
        <v>4</v>
      </c>
      <c r="B13">
        <v>2004</v>
      </c>
      <c r="C13" s="2">
        <v>1.0119166666666599</v>
      </c>
      <c r="D13" t="s">
        <v>5</v>
      </c>
      <c r="E13">
        <v>2004</v>
      </c>
      <c r="F13" s="2">
        <v>0.97099999999999997</v>
      </c>
      <c r="G13" t="s">
        <v>6</v>
      </c>
      <c r="H13">
        <v>2004</v>
      </c>
      <c r="I13" s="2">
        <v>1.0253333333333301</v>
      </c>
      <c r="J13" t="s">
        <v>7</v>
      </c>
      <c r="K13">
        <v>2004</v>
      </c>
      <c r="L13" s="2">
        <v>1.02016666666666</v>
      </c>
      <c r="N13" s="2">
        <f t="shared" si="1"/>
        <v>1.0071041666666625</v>
      </c>
      <c r="O13" s="4">
        <f t="shared" si="0"/>
        <v>-0.62886704729359444</v>
      </c>
      <c r="P13" s="2">
        <f t="shared" si="2"/>
        <v>-1.0657664614317719E-2</v>
      </c>
    </row>
    <row r="14" spans="1:17" x14ac:dyDescent="0.3">
      <c r="A14" t="s">
        <v>4</v>
      </c>
      <c r="B14">
        <v>2003</v>
      </c>
      <c r="C14" s="2">
        <v>1.0165833333333301</v>
      </c>
      <c r="D14" t="s">
        <v>5</v>
      </c>
      <c r="E14">
        <v>2003</v>
      </c>
      <c r="F14" s="2">
        <v>0.97808333333333297</v>
      </c>
      <c r="G14" t="s">
        <v>6</v>
      </c>
      <c r="H14">
        <v>2003</v>
      </c>
      <c r="I14" s="2">
        <v>1.00091666666666</v>
      </c>
      <c r="J14" t="s">
        <v>7</v>
      </c>
      <c r="K14">
        <v>2003</v>
      </c>
      <c r="L14" s="2">
        <v>1.0291666666666599</v>
      </c>
      <c r="N14" s="2">
        <f t="shared" si="1"/>
        <v>1.0061874999999958</v>
      </c>
      <c r="O14" s="4">
        <f t="shared" si="0"/>
        <v>-0.68295595709515688</v>
      </c>
      <c r="P14" s="2">
        <f t="shared" si="2"/>
        <v>-1.1574331280984396E-2</v>
      </c>
    </row>
    <row r="15" spans="1:17" x14ac:dyDescent="0.3">
      <c r="A15" t="s">
        <v>4</v>
      </c>
      <c r="B15">
        <v>2002</v>
      </c>
      <c r="C15" s="2">
        <v>1.0248333333333299</v>
      </c>
      <c r="D15" t="s">
        <v>5</v>
      </c>
      <c r="E15">
        <v>2002</v>
      </c>
      <c r="F15" s="2">
        <v>0.96975</v>
      </c>
      <c r="G15" t="s">
        <v>6</v>
      </c>
      <c r="H15">
        <v>2002</v>
      </c>
      <c r="I15" s="2">
        <v>1.0004166666666601</v>
      </c>
      <c r="J15" t="s">
        <v>7</v>
      </c>
      <c r="K15">
        <v>2002</v>
      </c>
      <c r="L15" s="2">
        <v>1.0177499999999999</v>
      </c>
      <c r="N15" s="2">
        <f t="shared" si="1"/>
        <v>1.0031874999999975</v>
      </c>
      <c r="O15" s="4">
        <f t="shared" si="0"/>
        <v>-0.85997420735471564</v>
      </c>
      <c r="P15" s="2">
        <f t="shared" si="2"/>
        <v>-1.4574331280982733E-2</v>
      </c>
    </row>
    <row r="16" spans="1:17" x14ac:dyDescent="0.3">
      <c r="A16" t="s">
        <v>4</v>
      </c>
      <c r="B16">
        <v>2001</v>
      </c>
      <c r="C16" s="2">
        <v>1.00366666666666</v>
      </c>
      <c r="D16" t="s">
        <v>5</v>
      </c>
      <c r="E16">
        <v>2001</v>
      </c>
      <c r="F16" s="2">
        <v>0.957666666666666</v>
      </c>
      <c r="G16" t="s">
        <v>6</v>
      </c>
      <c r="H16">
        <v>2001</v>
      </c>
      <c r="I16" s="2">
        <v>1.00366666666666</v>
      </c>
      <c r="J16" t="s">
        <v>7</v>
      </c>
      <c r="K16">
        <v>2001</v>
      </c>
      <c r="L16" s="2">
        <v>1.0240833333333299</v>
      </c>
      <c r="N16" s="2">
        <f t="shared" si="1"/>
        <v>0.997270833333329</v>
      </c>
      <c r="O16" s="4">
        <f t="shared" si="0"/>
        <v>-1.2090935342558111</v>
      </c>
      <c r="P16" s="2">
        <f t="shared" si="2"/>
        <v>-2.0490997947651191E-2</v>
      </c>
    </row>
    <row r="17" spans="1:16" x14ac:dyDescent="0.3">
      <c r="A17" t="s">
        <v>4</v>
      </c>
      <c r="B17">
        <v>2000</v>
      </c>
      <c r="C17" s="2">
        <v>1.0249999999999999</v>
      </c>
      <c r="D17" t="s">
        <v>5</v>
      </c>
      <c r="E17">
        <v>2000</v>
      </c>
      <c r="F17" s="2">
        <v>0.96975</v>
      </c>
      <c r="G17" t="s">
        <v>6</v>
      </c>
      <c r="H17">
        <v>2000</v>
      </c>
      <c r="I17" s="2">
        <v>1.0064166666666601</v>
      </c>
      <c r="J17" t="s">
        <v>7</v>
      </c>
      <c r="K17">
        <v>2000</v>
      </c>
      <c r="L17" s="2">
        <v>1.0216666666666601</v>
      </c>
      <c r="N17" s="2">
        <f t="shared" si="1"/>
        <v>1.0057083333333301</v>
      </c>
      <c r="O17" s="4">
        <f t="shared" si="0"/>
        <v>-0.7112297054004616</v>
      </c>
      <c r="P17" s="2">
        <f t="shared" si="2"/>
        <v>-1.2053497947650094E-2</v>
      </c>
    </row>
    <row r="18" spans="1:16" x14ac:dyDescent="0.3">
      <c r="A18" t="s">
        <v>4</v>
      </c>
      <c r="B18">
        <v>1999</v>
      </c>
      <c r="C18" s="2">
        <v>1.03033333333333</v>
      </c>
      <c r="D18" t="s">
        <v>5</v>
      </c>
      <c r="E18">
        <v>1999</v>
      </c>
      <c r="F18" s="2">
        <v>1.0002499999999901</v>
      </c>
      <c r="G18" t="s">
        <v>6</v>
      </c>
      <c r="H18">
        <v>1999</v>
      </c>
      <c r="I18" s="2">
        <v>1.03091666666666</v>
      </c>
      <c r="J18" t="s">
        <v>7</v>
      </c>
      <c r="K18">
        <v>1999</v>
      </c>
      <c r="L18" s="2">
        <v>1.0500833333333299</v>
      </c>
      <c r="N18" s="2">
        <f t="shared" si="1"/>
        <v>1.0278958333333275</v>
      </c>
      <c r="O18" s="4">
        <f t="shared" si="0"/>
        <v>0.59796777047809502</v>
      </c>
      <c r="P18" s="2">
        <f t="shared" si="2"/>
        <v>1.0134002052347268E-2</v>
      </c>
    </row>
    <row r="19" spans="1:16" x14ac:dyDescent="0.3">
      <c r="A19" t="s">
        <v>4</v>
      </c>
      <c r="B19">
        <v>1998</v>
      </c>
      <c r="C19" s="2">
        <v>1.00833333333333</v>
      </c>
      <c r="D19" t="s">
        <v>5</v>
      </c>
      <c r="E19">
        <v>1998</v>
      </c>
      <c r="F19" s="2">
        <v>0.96991666666666598</v>
      </c>
      <c r="G19" t="s">
        <v>6</v>
      </c>
      <c r="H19">
        <v>1998</v>
      </c>
      <c r="I19" s="2">
        <v>0.99708333333333299</v>
      </c>
      <c r="J19" t="s">
        <v>7</v>
      </c>
      <c r="K19">
        <v>1998</v>
      </c>
      <c r="L19" s="2">
        <v>1.024</v>
      </c>
      <c r="N19" s="2">
        <f t="shared" si="1"/>
        <v>0.99983333333333224</v>
      </c>
      <c r="O19" s="4">
        <f t="shared" si="0"/>
        <v>-1.0578904454921629</v>
      </c>
      <c r="P19" s="2">
        <f t="shared" si="2"/>
        <v>-1.7928497947647948E-2</v>
      </c>
    </row>
    <row r="20" spans="1:16" x14ac:dyDescent="0.3">
      <c r="A20" t="s">
        <v>4</v>
      </c>
      <c r="B20">
        <v>1997</v>
      </c>
      <c r="C20" s="2">
        <v>0.98308333333333298</v>
      </c>
      <c r="D20" t="s">
        <v>5</v>
      </c>
      <c r="E20">
        <v>1997</v>
      </c>
      <c r="F20" s="2">
        <v>0.959666666666666</v>
      </c>
      <c r="G20" t="s">
        <v>6</v>
      </c>
      <c r="H20">
        <v>1997</v>
      </c>
      <c r="I20" s="2">
        <v>1.00183333333333</v>
      </c>
      <c r="J20" t="s">
        <v>7</v>
      </c>
      <c r="K20">
        <v>1997</v>
      </c>
      <c r="L20" s="2">
        <v>0.99774999999999903</v>
      </c>
      <c r="N20" s="2">
        <f t="shared" si="1"/>
        <v>0.98558333333333203</v>
      </c>
      <c r="O20" s="4">
        <f t="shared" si="0"/>
        <v>-1.8987271342255452</v>
      </c>
      <c r="P20" s="2">
        <f t="shared" si="2"/>
        <v>-3.2178497947648155E-2</v>
      </c>
    </row>
    <row r="21" spans="1:16" x14ac:dyDescent="0.3">
      <c r="A21" t="s">
        <v>4</v>
      </c>
      <c r="B21">
        <v>1996</v>
      </c>
      <c r="C21" s="2">
        <v>1.03816666666666</v>
      </c>
      <c r="D21" t="s">
        <v>5</v>
      </c>
      <c r="E21">
        <v>1996</v>
      </c>
      <c r="F21" s="2">
        <v>0.99299999999999999</v>
      </c>
      <c r="G21" t="s">
        <v>6</v>
      </c>
      <c r="H21">
        <v>1996</v>
      </c>
      <c r="I21" s="2">
        <v>1.0585833333333301</v>
      </c>
      <c r="J21" t="s">
        <v>7</v>
      </c>
      <c r="K21">
        <v>1996</v>
      </c>
      <c r="L21" s="2">
        <v>1.0234999999999901</v>
      </c>
      <c r="N21" s="2">
        <f t="shared" si="1"/>
        <v>1.0283124999999949</v>
      </c>
      <c r="O21" s="4">
        <f t="shared" si="0"/>
        <v>0.62255363856975721</v>
      </c>
      <c r="P21" s="2">
        <f t="shared" si="2"/>
        <v>1.0550668719014666E-2</v>
      </c>
    </row>
    <row r="22" spans="1:16" x14ac:dyDescent="0.3">
      <c r="A22" t="s">
        <v>4</v>
      </c>
      <c r="B22">
        <v>1995</v>
      </c>
      <c r="C22" s="2">
        <v>1.02633333333333</v>
      </c>
      <c r="D22" t="s">
        <v>5</v>
      </c>
      <c r="E22">
        <v>1995</v>
      </c>
      <c r="F22" s="2">
        <v>0.99516666666666598</v>
      </c>
      <c r="G22" t="s">
        <v>6</v>
      </c>
      <c r="H22">
        <v>1995</v>
      </c>
      <c r="I22" s="2">
        <v>1.06375</v>
      </c>
      <c r="J22" t="s">
        <v>7</v>
      </c>
      <c r="K22">
        <v>1995</v>
      </c>
      <c r="L22" s="2">
        <v>1.0199166666666599</v>
      </c>
      <c r="N22" s="2">
        <f t="shared" si="1"/>
        <v>1.0262916666666639</v>
      </c>
      <c r="O22" s="4">
        <f t="shared" si="0"/>
        <v>0.50331217832554753</v>
      </c>
      <c r="P22" s="2">
        <f t="shared" si="2"/>
        <v>8.5298353856837483E-3</v>
      </c>
    </row>
    <row r="23" spans="1:16" x14ac:dyDescent="0.3">
      <c r="A23" t="s">
        <v>4</v>
      </c>
      <c r="B23">
        <v>1994</v>
      </c>
      <c r="C23" s="2">
        <v>1.01383333333333</v>
      </c>
      <c r="D23" t="s">
        <v>5</v>
      </c>
      <c r="E23">
        <v>1994</v>
      </c>
      <c r="F23" s="2">
        <v>0.98708333333333298</v>
      </c>
      <c r="G23" t="s">
        <v>6</v>
      </c>
      <c r="H23">
        <v>1994</v>
      </c>
      <c r="I23" s="2">
        <v>1.08083333333333</v>
      </c>
      <c r="J23" t="s">
        <v>7</v>
      </c>
      <c r="K23">
        <v>1994</v>
      </c>
      <c r="L23" s="2">
        <v>1.0046666666666599</v>
      </c>
      <c r="N23" s="2">
        <f t="shared" si="1"/>
        <v>1.0216041666666633</v>
      </c>
      <c r="O23" s="4">
        <f t="shared" si="0"/>
        <v>0.22672116229479697</v>
      </c>
      <c r="P23" s="2">
        <f t="shared" si="2"/>
        <v>3.8423353856831266E-3</v>
      </c>
    </row>
    <row r="24" spans="1:16" x14ac:dyDescent="0.3">
      <c r="A24" t="s">
        <v>4</v>
      </c>
      <c r="B24">
        <v>1993</v>
      </c>
      <c r="C24" s="2">
        <v>1.02125</v>
      </c>
      <c r="D24" t="s">
        <v>5</v>
      </c>
      <c r="E24">
        <v>1993</v>
      </c>
      <c r="F24" s="2">
        <v>1.0006666666666599</v>
      </c>
      <c r="G24" t="s">
        <v>6</v>
      </c>
      <c r="H24">
        <v>1993</v>
      </c>
      <c r="I24" s="2">
        <v>1.04341666666666</v>
      </c>
      <c r="J24" t="s">
        <v>7</v>
      </c>
      <c r="K24">
        <v>1993</v>
      </c>
      <c r="L24" s="2">
        <v>1.0113333333333301</v>
      </c>
      <c r="N24" s="2">
        <f t="shared" si="1"/>
        <v>1.0191666666666626</v>
      </c>
      <c r="O24" s="4">
        <f t="shared" si="0"/>
        <v>8.2893833958780999E-2</v>
      </c>
      <c r="P24" s="2">
        <f t="shared" si="2"/>
        <v>1.4048353856823681E-3</v>
      </c>
    </row>
    <row r="25" spans="1:16" x14ac:dyDescent="0.3">
      <c r="A25" t="s">
        <v>4</v>
      </c>
      <c r="B25">
        <v>1992</v>
      </c>
      <c r="C25" s="2">
        <v>0.99616666666666598</v>
      </c>
      <c r="D25" t="s">
        <v>5</v>
      </c>
      <c r="E25">
        <v>1992</v>
      </c>
      <c r="F25" s="2">
        <v>0.99158333333333304</v>
      </c>
      <c r="G25" t="s">
        <v>6</v>
      </c>
      <c r="H25">
        <v>1992</v>
      </c>
      <c r="I25" s="2">
        <v>1.0356666666666601</v>
      </c>
      <c r="J25" t="s">
        <v>7</v>
      </c>
      <c r="K25">
        <v>1992</v>
      </c>
      <c r="L25" s="2">
        <v>1.0169999999999999</v>
      </c>
      <c r="N25" s="2">
        <f t="shared" si="1"/>
        <v>1.0101041666666646</v>
      </c>
      <c r="O25" s="4">
        <f t="shared" si="0"/>
        <v>-0.45184879703381298</v>
      </c>
      <c r="P25" s="2">
        <f t="shared" si="2"/>
        <v>-7.6576646143156069E-3</v>
      </c>
    </row>
    <row r="26" spans="1:16" x14ac:dyDescent="0.3">
      <c r="A26" t="s">
        <v>4</v>
      </c>
      <c r="B26">
        <v>1991</v>
      </c>
      <c r="C26" s="2">
        <v>1.0179166666666599</v>
      </c>
      <c r="D26" t="s">
        <v>5</v>
      </c>
      <c r="E26">
        <v>1991</v>
      </c>
      <c r="F26" s="2">
        <v>0.99941666666666595</v>
      </c>
      <c r="G26" t="s">
        <v>6</v>
      </c>
      <c r="H26">
        <v>1991</v>
      </c>
      <c r="I26" s="2">
        <v>1.0471666666666599</v>
      </c>
      <c r="J26" t="s">
        <v>7</v>
      </c>
      <c r="K26">
        <v>1991</v>
      </c>
      <c r="L26" s="2">
        <v>1.0337499999999999</v>
      </c>
      <c r="N26" s="2">
        <f t="shared" si="1"/>
        <v>1.0245624999999965</v>
      </c>
      <c r="O26" s="4">
        <f t="shared" si="0"/>
        <v>0.40128082574528251</v>
      </c>
      <c r="P26" s="2">
        <f t="shared" si="2"/>
        <v>6.8006687190163007E-3</v>
      </c>
    </row>
    <row r="27" spans="1:16" x14ac:dyDescent="0.3">
      <c r="A27" t="s">
        <v>4</v>
      </c>
      <c r="B27">
        <v>1990</v>
      </c>
      <c r="C27" s="2">
        <v>1.02325</v>
      </c>
      <c r="D27" t="s">
        <v>5</v>
      </c>
      <c r="E27">
        <v>1990</v>
      </c>
      <c r="F27" s="2">
        <v>1.01275</v>
      </c>
      <c r="G27" t="s">
        <v>6</v>
      </c>
      <c r="H27">
        <v>1990</v>
      </c>
      <c r="I27" s="2">
        <v>1.0689166666666601</v>
      </c>
      <c r="J27" t="s">
        <v>7</v>
      </c>
      <c r="K27">
        <v>1990</v>
      </c>
      <c r="L27" s="2">
        <v>1.0555000000000001</v>
      </c>
      <c r="N27" s="2">
        <f t="shared" si="1"/>
        <v>1.0401041666666651</v>
      </c>
      <c r="O27" s="4">
        <f t="shared" si="0"/>
        <v>1.3183337055627835</v>
      </c>
      <c r="P27" s="2">
        <f t="shared" si="2"/>
        <v>2.2342335385684864E-2</v>
      </c>
    </row>
    <row r="28" spans="1:16" x14ac:dyDescent="0.3">
      <c r="A28" t="s">
        <v>4</v>
      </c>
      <c r="B28">
        <v>1989</v>
      </c>
      <c r="C28" s="2">
        <v>1.03216666666666</v>
      </c>
      <c r="D28" t="s">
        <v>5</v>
      </c>
      <c r="E28">
        <v>1989</v>
      </c>
      <c r="F28" s="2">
        <v>1.00125</v>
      </c>
      <c r="G28" t="s">
        <v>6</v>
      </c>
      <c r="H28">
        <v>1989</v>
      </c>
      <c r="I28" s="2">
        <v>1.077</v>
      </c>
      <c r="J28" t="s">
        <v>7</v>
      </c>
      <c r="K28">
        <v>1989</v>
      </c>
      <c r="L28" s="2">
        <v>1.04575</v>
      </c>
      <c r="N28" s="2">
        <f t="shared" si="1"/>
        <v>1.0390416666666649</v>
      </c>
      <c r="O28" s="4">
        <f t="shared" si="0"/>
        <v>1.2556397419291438</v>
      </c>
      <c r="P28" s="2">
        <f t="shared" si="2"/>
        <v>2.1279835385684676E-2</v>
      </c>
    </row>
    <row r="29" spans="1:16" x14ac:dyDescent="0.3">
      <c r="A29" t="s">
        <v>4</v>
      </c>
      <c r="B29">
        <v>1988</v>
      </c>
      <c r="C29" s="2">
        <v>1.03705410241666</v>
      </c>
      <c r="D29" t="s">
        <v>5</v>
      </c>
      <c r="E29">
        <v>1988</v>
      </c>
      <c r="F29" s="2">
        <v>0.99774999999999903</v>
      </c>
      <c r="G29" t="s">
        <v>6</v>
      </c>
      <c r="H29">
        <v>1988</v>
      </c>
      <c r="I29" s="2">
        <v>1.0564166666666599</v>
      </c>
      <c r="J29" t="s">
        <v>7</v>
      </c>
      <c r="K29">
        <v>1988</v>
      </c>
      <c r="L29" s="2">
        <v>1.04216666666666</v>
      </c>
      <c r="N29" s="2">
        <f t="shared" si="1"/>
        <v>1.0333468589374948</v>
      </c>
      <c r="O29" s="4">
        <f t="shared" si="0"/>
        <v>0.91961144200152467</v>
      </c>
      <c r="P29" s="2">
        <f t="shared" si="2"/>
        <v>1.5585027656514594E-2</v>
      </c>
    </row>
    <row r="30" spans="1:16" x14ac:dyDescent="0.3">
      <c r="A30" t="s">
        <v>4</v>
      </c>
      <c r="B30">
        <v>1987</v>
      </c>
      <c r="C30" s="2">
        <v>1.0229430473333301</v>
      </c>
      <c r="D30" t="s">
        <v>5</v>
      </c>
      <c r="E30">
        <v>1987</v>
      </c>
      <c r="F30" s="2">
        <v>0.99958333333333305</v>
      </c>
      <c r="G30" t="s">
        <v>6</v>
      </c>
      <c r="H30">
        <v>1987</v>
      </c>
      <c r="I30" s="2">
        <v>1.0345</v>
      </c>
      <c r="J30" t="s">
        <v>7</v>
      </c>
      <c r="K30">
        <v>1987</v>
      </c>
      <c r="L30" s="2">
        <v>1.0125</v>
      </c>
      <c r="N30" s="2">
        <f t="shared" si="1"/>
        <v>1.0173815951666656</v>
      </c>
      <c r="O30" s="4">
        <f t="shared" si="0"/>
        <v>-2.2436243880499956E-2</v>
      </c>
      <c r="P30" s="2">
        <f t="shared" si="2"/>
        <v>-3.8023611431459159E-4</v>
      </c>
    </row>
    <row r="31" spans="1:16" x14ac:dyDescent="0.3">
      <c r="A31" t="s">
        <v>4</v>
      </c>
      <c r="B31">
        <v>1986</v>
      </c>
      <c r="C31" s="2">
        <v>1.0263941015</v>
      </c>
      <c r="D31" t="s">
        <v>5</v>
      </c>
      <c r="E31">
        <v>1986</v>
      </c>
      <c r="F31" s="2">
        <v>0.99608333333333299</v>
      </c>
      <c r="G31" t="s">
        <v>6</v>
      </c>
      <c r="H31">
        <v>1986</v>
      </c>
      <c r="I31" s="2">
        <v>1.05591666666666</v>
      </c>
      <c r="J31" t="s">
        <v>7</v>
      </c>
      <c r="K31">
        <v>1986</v>
      </c>
      <c r="L31" s="2">
        <v>1.00708333333333</v>
      </c>
      <c r="N31" s="2">
        <f t="shared" si="1"/>
        <v>1.0213693587083308</v>
      </c>
      <c r="O31" s="4">
        <f t="shared" si="0"/>
        <v>0.2128660643177748</v>
      </c>
      <c r="P31" s="2">
        <f t="shared" si="2"/>
        <v>3.6075274273505986E-3</v>
      </c>
    </row>
    <row r="32" spans="1:16" x14ac:dyDescent="0.3">
      <c r="A32" t="s">
        <v>4</v>
      </c>
      <c r="B32">
        <v>1985</v>
      </c>
      <c r="C32" s="2">
        <v>1.02783837741666</v>
      </c>
      <c r="D32" t="s">
        <v>5</v>
      </c>
      <c r="E32">
        <v>1985</v>
      </c>
      <c r="F32" s="2">
        <v>0.99649999999999905</v>
      </c>
      <c r="G32" t="s">
        <v>6</v>
      </c>
      <c r="H32">
        <v>1985</v>
      </c>
      <c r="I32" s="2">
        <v>1.046</v>
      </c>
      <c r="J32" t="s">
        <v>7</v>
      </c>
      <c r="K32">
        <v>1985</v>
      </c>
      <c r="L32" s="2">
        <v>1.0028333333333299</v>
      </c>
      <c r="N32" s="2">
        <f t="shared" si="1"/>
        <v>1.0182929276874972</v>
      </c>
      <c r="O32" s="4">
        <f t="shared" si="0"/>
        <v>3.133791886694659E-2</v>
      </c>
      <c r="P32" s="2">
        <f t="shared" si="2"/>
        <v>5.3109640651705092E-4</v>
      </c>
    </row>
    <row r="33" spans="1:16" x14ac:dyDescent="0.3">
      <c r="A33" t="s">
        <v>4</v>
      </c>
      <c r="B33">
        <v>1984</v>
      </c>
      <c r="C33" s="2">
        <v>1.04564708883333</v>
      </c>
      <c r="D33" t="s">
        <v>5</v>
      </c>
      <c r="E33">
        <v>1984</v>
      </c>
      <c r="F33" s="2">
        <v>1.0079166666666599</v>
      </c>
      <c r="G33" t="s">
        <v>6</v>
      </c>
      <c r="H33">
        <v>1984</v>
      </c>
      <c r="I33" s="2">
        <v>1.0356666666666601</v>
      </c>
      <c r="J33" t="s">
        <v>7</v>
      </c>
      <c r="K33">
        <v>1984</v>
      </c>
      <c r="L33" s="2">
        <v>1.0045833333333301</v>
      </c>
      <c r="N33" s="2">
        <f t="shared" si="1"/>
        <v>1.023453438874995</v>
      </c>
      <c r="O33" s="4">
        <f t="shared" si="0"/>
        <v>0.33583947248568996</v>
      </c>
      <c r="P33" s="2">
        <f t="shared" si="2"/>
        <v>5.6916075940147692E-3</v>
      </c>
    </row>
    <row r="34" spans="1:16" x14ac:dyDescent="0.3">
      <c r="A34" t="s">
        <v>4</v>
      </c>
      <c r="B34">
        <v>1983</v>
      </c>
      <c r="C34" s="2">
        <v>1.01718703166666</v>
      </c>
      <c r="D34" t="s">
        <v>5</v>
      </c>
      <c r="E34">
        <v>1983</v>
      </c>
      <c r="F34" s="2">
        <v>0.998</v>
      </c>
      <c r="G34" t="s">
        <v>6</v>
      </c>
      <c r="H34">
        <v>1983</v>
      </c>
      <c r="I34" s="2">
        <v>1.0137499999999999</v>
      </c>
      <c r="J34" t="s">
        <v>7</v>
      </c>
      <c r="K34">
        <v>1983</v>
      </c>
      <c r="L34" s="2">
        <v>1.022</v>
      </c>
      <c r="N34" s="2">
        <f t="shared" si="1"/>
        <v>1.0127342579166652</v>
      </c>
      <c r="O34" s="4">
        <f t="shared" si="0"/>
        <v>-0.29665741333436768</v>
      </c>
      <c r="P34" s="2">
        <f t="shared" si="2"/>
        <v>-5.02757336431503E-3</v>
      </c>
    </row>
    <row r="35" spans="1:16" x14ac:dyDescent="0.3">
      <c r="A35" t="s">
        <v>4</v>
      </c>
      <c r="B35">
        <v>1982</v>
      </c>
      <c r="C35" s="2">
        <v>1.0290533209999999</v>
      </c>
      <c r="D35" t="s">
        <v>5</v>
      </c>
      <c r="E35">
        <v>1982</v>
      </c>
      <c r="F35" s="2">
        <v>0.99308333333333298</v>
      </c>
      <c r="G35" t="s">
        <v>6</v>
      </c>
      <c r="H35">
        <v>1982</v>
      </c>
      <c r="I35" s="2">
        <v>1.0347500000000001</v>
      </c>
      <c r="J35" t="s">
        <v>7</v>
      </c>
      <c r="K35">
        <v>1982</v>
      </c>
      <c r="L35" s="2">
        <v>1.0235000000000001</v>
      </c>
      <c r="N35" s="2">
        <f t="shared" si="1"/>
        <v>1.0200966635833333</v>
      </c>
      <c r="O35" s="4">
        <f t="shared" si="0"/>
        <v>0.1377693096040904</v>
      </c>
      <c r="P35" s="2">
        <f t="shared" si="2"/>
        <v>2.3348323023530959E-3</v>
      </c>
    </row>
    <row r="36" spans="1:16" x14ac:dyDescent="0.3">
      <c r="D36" t="s">
        <v>5</v>
      </c>
      <c r="E36">
        <v>1981</v>
      </c>
      <c r="F36" s="2">
        <v>1.00925</v>
      </c>
      <c r="G36" t="s">
        <v>6</v>
      </c>
      <c r="H36">
        <v>1981</v>
      </c>
      <c r="I36" s="2">
        <v>1.0753333333333299</v>
      </c>
      <c r="J36" t="s">
        <v>7</v>
      </c>
      <c r="K36">
        <v>1981</v>
      </c>
      <c r="L36" s="2">
        <v>1.04508333333333</v>
      </c>
      <c r="N36" s="2">
        <f t="shared" si="1"/>
        <v>1.0432222222222201</v>
      </c>
      <c r="P36" s="2">
        <f t="shared" si="2"/>
        <v>2.5460390941239863E-2</v>
      </c>
    </row>
    <row r="37" spans="1:16" x14ac:dyDescent="0.3">
      <c r="D37" t="s">
        <v>5</v>
      </c>
      <c r="E37">
        <v>1980</v>
      </c>
      <c r="F37" s="2">
        <v>0.99124999999999996</v>
      </c>
      <c r="G37" t="s">
        <v>6</v>
      </c>
      <c r="H37">
        <v>1980</v>
      </c>
      <c r="I37" s="2">
        <v>1.0511666666666599</v>
      </c>
      <c r="J37" t="s">
        <v>7</v>
      </c>
      <c r="K37">
        <v>1980</v>
      </c>
      <c r="L37" s="2">
        <v>1.02725</v>
      </c>
      <c r="N37" s="2">
        <f t="shared" si="1"/>
        <v>1.02322222222222</v>
      </c>
      <c r="P37" s="2">
        <f t="shared" si="2"/>
        <v>5.4603909412398455E-3</v>
      </c>
    </row>
    <row r="38" spans="1:16" x14ac:dyDescent="0.3">
      <c r="D38" t="s">
        <v>5</v>
      </c>
      <c r="E38">
        <v>1979</v>
      </c>
      <c r="F38" s="2">
        <v>1.01</v>
      </c>
      <c r="G38" t="s">
        <v>6</v>
      </c>
      <c r="H38">
        <v>1979</v>
      </c>
      <c r="I38" s="2">
        <v>1.04066666666666</v>
      </c>
      <c r="J38" t="s">
        <v>7</v>
      </c>
      <c r="K38">
        <v>1979</v>
      </c>
      <c r="L38" s="2">
        <v>1.05941666666666</v>
      </c>
      <c r="N38" s="2">
        <f t="shared" si="1"/>
        <v>1.0366944444444399</v>
      </c>
      <c r="P38" s="2">
        <f t="shared" si="2"/>
        <v>1.8932613163459733E-2</v>
      </c>
    </row>
    <row r="39" spans="1:16" x14ac:dyDescent="0.3">
      <c r="D39" t="s">
        <v>5</v>
      </c>
      <c r="E39">
        <v>1978</v>
      </c>
      <c r="F39" s="2">
        <v>1.00541666666666</v>
      </c>
      <c r="G39" t="s">
        <v>6</v>
      </c>
      <c r="H39">
        <v>1978</v>
      </c>
      <c r="I39" s="2">
        <v>1.0573333333333299</v>
      </c>
      <c r="J39" t="s">
        <v>7</v>
      </c>
      <c r="K39">
        <v>1978</v>
      </c>
      <c r="L39" s="2">
        <v>1.0627500000000001</v>
      </c>
      <c r="N39" s="2">
        <f t="shared" si="1"/>
        <v>1.0418333333333301</v>
      </c>
      <c r="P39" s="2">
        <f t="shared" si="2"/>
        <v>2.4071502052349869E-2</v>
      </c>
    </row>
    <row r="40" spans="1:16" x14ac:dyDescent="0.3">
      <c r="D40" t="s">
        <v>5</v>
      </c>
      <c r="E40">
        <v>1977</v>
      </c>
      <c r="F40" s="2">
        <v>0.99891666666666601</v>
      </c>
      <c r="G40" t="s">
        <v>6</v>
      </c>
      <c r="H40">
        <v>1977</v>
      </c>
      <c r="I40" s="2">
        <v>1.03925</v>
      </c>
      <c r="J40" t="s">
        <v>7</v>
      </c>
      <c r="K40">
        <v>1977</v>
      </c>
      <c r="L40" s="2">
        <v>1.0458333333333301</v>
      </c>
      <c r="N40" s="2">
        <f t="shared" si="1"/>
        <v>1.0279999999999987</v>
      </c>
      <c r="P40" s="2">
        <f t="shared" si="2"/>
        <v>1.0238168719018503E-2</v>
      </c>
    </row>
    <row r="41" spans="1:16" x14ac:dyDescent="0.3">
      <c r="D41" t="s">
        <v>5</v>
      </c>
      <c r="E41">
        <v>1976</v>
      </c>
      <c r="F41" s="2">
        <v>0.99758333333333304</v>
      </c>
      <c r="G41" t="s">
        <v>6</v>
      </c>
      <c r="H41">
        <v>1976</v>
      </c>
      <c r="I41" s="2">
        <v>1.0525833333333301</v>
      </c>
      <c r="J41" t="s">
        <v>7</v>
      </c>
      <c r="K41">
        <v>1976</v>
      </c>
      <c r="L41" s="2">
        <v>1.0496666666666601</v>
      </c>
      <c r="N41" s="2">
        <f t="shared" si="1"/>
        <v>1.0332777777777744</v>
      </c>
      <c r="P41" s="2">
        <f t="shared" si="2"/>
        <v>1.551594649679422E-2</v>
      </c>
    </row>
    <row r="42" spans="1:16" x14ac:dyDescent="0.3">
      <c r="D42" t="s">
        <v>5</v>
      </c>
      <c r="E42">
        <v>1975</v>
      </c>
      <c r="F42" s="2">
        <v>1.01525</v>
      </c>
      <c r="G42" t="s">
        <v>6</v>
      </c>
      <c r="H42">
        <v>1975</v>
      </c>
      <c r="I42" s="2">
        <v>1.0308333333333299</v>
      </c>
      <c r="J42" t="s">
        <v>7</v>
      </c>
      <c r="K42">
        <v>1975</v>
      </c>
      <c r="L42" s="2">
        <v>1.0527500000000001</v>
      </c>
      <c r="N42" s="2">
        <f t="shared" si="1"/>
        <v>1.0329444444444433</v>
      </c>
      <c r="P42" s="2">
        <f t="shared" si="2"/>
        <v>1.5182613163463143E-2</v>
      </c>
    </row>
    <row r="43" spans="1:16" x14ac:dyDescent="0.3">
      <c r="D43" t="s">
        <v>5</v>
      </c>
      <c r="E43">
        <v>1974</v>
      </c>
      <c r="F43" s="2">
        <v>1.0025833333333301</v>
      </c>
      <c r="G43" t="s">
        <v>6</v>
      </c>
      <c r="H43">
        <v>1974</v>
      </c>
      <c r="I43" s="2">
        <v>1.0017499999999999</v>
      </c>
      <c r="J43" t="s">
        <v>7</v>
      </c>
      <c r="K43">
        <v>1974</v>
      </c>
      <c r="L43" s="2">
        <v>1.02983333333333</v>
      </c>
      <c r="N43" s="2">
        <f t="shared" si="1"/>
        <v>1.0113888888888869</v>
      </c>
      <c r="P43" s="2">
        <f t="shared" si="2"/>
        <v>-6.3729423920932948E-3</v>
      </c>
    </row>
    <row r="44" spans="1:16" x14ac:dyDescent="0.3">
      <c r="D44" t="s">
        <v>5</v>
      </c>
      <c r="E44">
        <v>1973</v>
      </c>
      <c r="F44" s="2">
        <v>1.0106666666666599</v>
      </c>
      <c r="G44" t="s">
        <v>6</v>
      </c>
      <c r="H44">
        <v>1973</v>
      </c>
      <c r="I44" s="2">
        <v>1.0142499999999901</v>
      </c>
      <c r="J44" t="s">
        <v>7</v>
      </c>
      <c r="K44">
        <v>1973</v>
      </c>
      <c r="L44" s="2">
        <v>1.0322499999999999</v>
      </c>
      <c r="N44" s="2">
        <f t="shared" si="1"/>
        <v>1.0190555555555501</v>
      </c>
      <c r="P44" s="2">
        <f t="shared" si="2"/>
        <v>1.2937242745698629E-3</v>
      </c>
    </row>
    <row r="45" spans="1:16" x14ac:dyDescent="0.3">
      <c r="D45" t="s">
        <v>5</v>
      </c>
      <c r="E45">
        <v>1972</v>
      </c>
      <c r="F45" s="2">
        <v>1.0025833333333301</v>
      </c>
      <c r="G45" t="s">
        <v>6</v>
      </c>
      <c r="H45">
        <v>1972</v>
      </c>
      <c r="I45" s="2">
        <v>1.0033333333333301</v>
      </c>
      <c r="J45" t="s">
        <v>7</v>
      </c>
      <c r="K45">
        <v>1972</v>
      </c>
      <c r="L45" s="2">
        <v>1.0245833333333301</v>
      </c>
      <c r="N45" s="2">
        <f t="shared" si="1"/>
        <v>1.0101666666666633</v>
      </c>
      <c r="P45" s="2">
        <f t="shared" si="2"/>
        <v>-7.5951646143168627E-3</v>
      </c>
    </row>
    <row r="46" spans="1:16" x14ac:dyDescent="0.3">
      <c r="D46" t="s">
        <v>5</v>
      </c>
      <c r="E46">
        <v>1971</v>
      </c>
      <c r="F46" s="2">
        <v>1.01725</v>
      </c>
      <c r="G46" t="s">
        <v>6</v>
      </c>
      <c r="H46">
        <v>1971</v>
      </c>
      <c r="I46" s="2">
        <v>0.99333333333333296</v>
      </c>
      <c r="J46" t="s">
        <v>7</v>
      </c>
      <c r="K46">
        <v>1971</v>
      </c>
      <c r="L46" s="2">
        <v>1.036</v>
      </c>
      <c r="N46" s="2">
        <f t="shared" si="1"/>
        <v>1.0155277777777776</v>
      </c>
      <c r="P46" s="2">
        <f t="shared" si="2"/>
        <v>-2.2340535032026043E-3</v>
      </c>
    </row>
    <row r="47" spans="1:16" x14ac:dyDescent="0.3">
      <c r="D47" t="s">
        <v>5</v>
      </c>
      <c r="E47">
        <v>1970</v>
      </c>
      <c r="F47" s="2">
        <v>1.0225</v>
      </c>
      <c r="G47" t="s">
        <v>6</v>
      </c>
      <c r="H47">
        <v>1970</v>
      </c>
      <c r="I47" s="2">
        <v>1.0073333333333301</v>
      </c>
      <c r="J47" t="s">
        <v>7</v>
      </c>
      <c r="K47">
        <v>1970</v>
      </c>
      <c r="L47" s="2">
        <v>1.03866666666666</v>
      </c>
      <c r="N47" s="2">
        <f t="shared" si="1"/>
        <v>1.0228333333333299</v>
      </c>
      <c r="P47" s="2">
        <f t="shared" si="2"/>
        <v>5.0715020523497412E-3</v>
      </c>
    </row>
    <row r="48" spans="1:16" x14ac:dyDescent="0.3">
      <c r="D48" t="s">
        <v>5</v>
      </c>
      <c r="E48">
        <v>1969</v>
      </c>
      <c r="F48" s="2">
        <v>1.0267500000000001</v>
      </c>
      <c r="G48" t="s">
        <v>6</v>
      </c>
      <c r="H48">
        <v>1969</v>
      </c>
      <c r="I48" s="2">
        <v>1.022</v>
      </c>
      <c r="J48" t="s">
        <v>7</v>
      </c>
      <c r="K48">
        <v>1969</v>
      </c>
      <c r="L48" s="2">
        <v>1.0373333333333301</v>
      </c>
      <c r="N48" s="2">
        <f t="shared" si="1"/>
        <v>1.0286944444444435</v>
      </c>
      <c r="P48" s="2">
        <f t="shared" si="2"/>
        <v>1.0932613163463278E-2</v>
      </c>
    </row>
    <row r="49" spans="4:16" x14ac:dyDescent="0.3">
      <c r="D49" t="s">
        <v>5</v>
      </c>
      <c r="E49">
        <v>1968</v>
      </c>
      <c r="F49" s="2">
        <v>0.99966666666666604</v>
      </c>
      <c r="G49" t="s">
        <v>6</v>
      </c>
      <c r="H49">
        <v>1968</v>
      </c>
      <c r="I49" s="2">
        <v>1.0115833333333299</v>
      </c>
      <c r="J49" t="s">
        <v>7</v>
      </c>
      <c r="K49">
        <v>1968</v>
      </c>
      <c r="L49" s="2">
        <v>1.04558333333333</v>
      </c>
      <c r="N49" s="2">
        <f t="shared" si="1"/>
        <v>1.0189444444444422</v>
      </c>
      <c r="P49" s="2">
        <f t="shared" si="2"/>
        <v>1.1826131634620207E-3</v>
      </c>
    </row>
    <row r="50" spans="4:16" x14ac:dyDescent="0.3">
      <c r="D50" t="s">
        <v>5</v>
      </c>
      <c r="E50">
        <v>1967</v>
      </c>
      <c r="F50" s="2">
        <v>1.0089999999999999</v>
      </c>
      <c r="G50" t="s">
        <v>6</v>
      </c>
      <c r="H50">
        <v>1967</v>
      </c>
      <c r="I50" s="2">
        <v>1.0220833333333299</v>
      </c>
      <c r="J50" t="s">
        <v>7</v>
      </c>
      <c r="K50">
        <v>1967</v>
      </c>
      <c r="L50" s="2">
        <v>1.0302499999999899</v>
      </c>
      <c r="N50" s="2">
        <f t="shared" si="1"/>
        <v>1.02044444444444</v>
      </c>
      <c r="P50" s="2">
        <f t="shared" si="2"/>
        <v>2.6826131634598571E-3</v>
      </c>
    </row>
    <row r="51" spans="4:16" x14ac:dyDescent="0.3">
      <c r="D51" t="s">
        <v>5</v>
      </c>
      <c r="E51">
        <v>1966</v>
      </c>
      <c r="F51" s="2">
        <v>1.0180833333333299</v>
      </c>
      <c r="G51" t="s">
        <v>6</v>
      </c>
      <c r="H51">
        <v>1966</v>
      </c>
      <c r="I51" s="2">
        <v>1.02</v>
      </c>
      <c r="J51" t="s">
        <v>7</v>
      </c>
      <c r="K51">
        <v>1966</v>
      </c>
      <c r="L51" s="2">
        <v>1.0254999999999901</v>
      </c>
      <c r="N51" s="2">
        <f t="shared" si="1"/>
        <v>1.0211944444444399</v>
      </c>
      <c r="P51" s="2">
        <f t="shared" si="2"/>
        <v>3.4326131634596635E-3</v>
      </c>
    </row>
    <row r="52" spans="4:16" x14ac:dyDescent="0.3">
      <c r="D52" t="s">
        <v>5</v>
      </c>
      <c r="E52">
        <v>1965</v>
      </c>
      <c r="F52" s="2">
        <v>0.98916666666666597</v>
      </c>
      <c r="G52" t="s">
        <v>6</v>
      </c>
      <c r="H52">
        <v>1965</v>
      </c>
      <c r="I52" s="2">
        <v>0.99708333333333299</v>
      </c>
      <c r="J52" t="s">
        <v>7</v>
      </c>
      <c r="K52">
        <v>1965</v>
      </c>
      <c r="L52" s="2">
        <v>1.0293333333333301</v>
      </c>
      <c r="N52" s="2">
        <f t="shared" si="1"/>
        <v>1.0051944444444429</v>
      </c>
      <c r="P52" s="2">
        <f t="shared" si="2"/>
        <v>-1.2567386836537242E-2</v>
      </c>
    </row>
    <row r="53" spans="4:16" x14ac:dyDescent="0.3">
      <c r="D53" t="s">
        <v>5</v>
      </c>
      <c r="E53">
        <v>1964</v>
      </c>
      <c r="F53" s="2">
        <v>0.99891666666666601</v>
      </c>
      <c r="G53" t="s">
        <v>6</v>
      </c>
      <c r="H53">
        <v>1964</v>
      </c>
      <c r="I53" s="2">
        <v>1.0120833333333299</v>
      </c>
      <c r="J53" t="s">
        <v>7</v>
      </c>
      <c r="K53">
        <v>1964</v>
      </c>
      <c r="L53" s="2">
        <v>1.0115833333333299</v>
      </c>
      <c r="N53" s="2">
        <f t="shared" si="1"/>
        <v>1.0075277777777754</v>
      </c>
      <c r="P53" s="2">
        <f t="shared" si="2"/>
        <v>-1.0234053503204832E-2</v>
      </c>
    </row>
    <row r="54" spans="4:16" x14ac:dyDescent="0.3">
      <c r="D54" t="s">
        <v>5</v>
      </c>
      <c r="E54">
        <v>1963</v>
      </c>
      <c r="F54" s="2">
        <v>1.00633333333333</v>
      </c>
      <c r="G54" t="s">
        <v>6</v>
      </c>
      <c r="H54">
        <v>1963</v>
      </c>
      <c r="I54" s="2">
        <v>1.02141666666666</v>
      </c>
      <c r="J54" t="s">
        <v>7</v>
      </c>
      <c r="K54">
        <v>1963</v>
      </c>
      <c r="L54" s="2">
        <v>1.0285</v>
      </c>
      <c r="N54" s="2">
        <f t="shared" si="1"/>
        <v>1.0187499999999967</v>
      </c>
      <c r="P54" s="2">
        <f t="shared" si="2"/>
        <v>9.8816871901652448E-4</v>
      </c>
    </row>
    <row r="55" spans="4:16" x14ac:dyDescent="0.3">
      <c r="D55" t="s">
        <v>5</v>
      </c>
      <c r="E55">
        <v>1962</v>
      </c>
      <c r="F55" s="2">
        <v>1.02</v>
      </c>
      <c r="G55" t="s">
        <v>6</v>
      </c>
      <c r="H55">
        <v>1962</v>
      </c>
      <c r="I55" s="2">
        <v>1.01958333333333</v>
      </c>
      <c r="J55" t="s">
        <v>7</v>
      </c>
      <c r="K55">
        <v>1962</v>
      </c>
      <c r="L55" s="2">
        <v>1.0211666666666599</v>
      </c>
      <c r="N55" s="2">
        <f t="shared" si="1"/>
        <v>1.0202499999999965</v>
      </c>
      <c r="P55" s="2">
        <f t="shared" si="2"/>
        <v>2.4881687190163593E-3</v>
      </c>
    </row>
    <row r="56" spans="4:16" x14ac:dyDescent="0.3">
      <c r="D56" t="s">
        <v>5</v>
      </c>
      <c r="E56">
        <v>1961</v>
      </c>
      <c r="F56" s="2">
        <v>1.00833333333333</v>
      </c>
      <c r="G56" t="s">
        <v>6</v>
      </c>
      <c r="H56">
        <v>1961</v>
      </c>
      <c r="I56" s="2">
        <v>1.0389999999999999</v>
      </c>
      <c r="J56" t="s">
        <v>7</v>
      </c>
      <c r="K56">
        <v>1961</v>
      </c>
      <c r="L56" s="2">
        <v>1.0297499999999999</v>
      </c>
      <c r="N56" s="2">
        <f t="shared" si="1"/>
        <v>1.0256944444444434</v>
      </c>
      <c r="P56" s="2">
        <f t="shared" si="2"/>
        <v>7.9326131634631647E-3</v>
      </c>
    </row>
    <row r="57" spans="4:16" x14ac:dyDescent="0.3">
      <c r="D57" t="s">
        <v>5</v>
      </c>
      <c r="E57">
        <v>1960</v>
      </c>
      <c r="F57" s="2">
        <v>1.01725</v>
      </c>
      <c r="G57" t="s">
        <v>6</v>
      </c>
      <c r="H57">
        <v>1960</v>
      </c>
      <c r="I57" s="2">
        <v>1.04908333333333</v>
      </c>
      <c r="J57" t="s">
        <v>7</v>
      </c>
      <c r="K57">
        <v>1960</v>
      </c>
      <c r="L57" s="2">
        <v>1.03033333333333</v>
      </c>
      <c r="N57" s="2">
        <f t="shared" si="1"/>
        <v>1.0322222222222199</v>
      </c>
      <c r="P57" s="2">
        <f t="shared" si="2"/>
        <v>1.4460390941239742E-2</v>
      </c>
    </row>
    <row r="58" spans="4:16" x14ac:dyDescent="0.3">
      <c r="D58" t="s">
        <v>5</v>
      </c>
      <c r="E58">
        <v>1959</v>
      </c>
      <c r="F58" s="2">
        <v>1.006</v>
      </c>
      <c r="G58" t="s">
        <v>6</v>
      </c>
      <c r="H58">
        <v>1959</v>
      </c>
      <c r="I58" s="2">
        <v>1.0459166666666599</v>
      </c>
      <c r="J58" t="s">
        <v>7</v>
      </c>
      <c r="K58">
        <v>1959</v>
      </c>
      <c r="L58" s="2">
        <v>1.0220833333333299</v>
      </c>
      <c r="N58" s="2">
        <f t="shared" si="1"/>
        <v>1.0246666666666633</v>
      </c>
      <c r="P58" s="2">
        <f t="shared" si="2"/>
        <v>6.9048353856830946E-3</v>
      </c>
    </row>
    <row r="59" spans="4:16" x14ac:dyDescent="0.3">
      <c r="D59" t="s">
        <v>5</v>
      </c>
      <c r="E59">
        <v>1958</v>
      </c>
      <c r="F59" s="2">
        <v>1.01725</v>
      </c>
      <c r="G59" t="s">
        <v>6</v>
      </c>
      <c r="H59">
        <v>1958</v>
      </c>
      <c r="I59" s="2">
        <v>1.0296666666666601</v>
      </c>
      <c r="J59" t="s">
        <v>7</v>
      </c>
      <c r="K59">
        <v>1958</v>
      </c>
      <c r="L59" s="2">
        <v>1.0251666666666599</v>
      </c>
      <c r="N59" s="2">
        <f t="shared" si="1"/>
        <v>1.0240277777777733</v>
      </c>
      <c r="P59" s="2">
        <f t="shared" si="2"/>
        <v>6.2659464967931289E-3</v>
      </c>
    </row>
    <row r="60" spans="4:16" x14ac:dyDescent="0.3">
      <c r="D60" t="s">
        <v>5</v>
      </c>
      <c r="E60">
        <v>1957</v>
      </c>
      <c r="F60" s="2">
        <v>1.00766666666666</v>
      </c>
      <c r="G60" t="s">
        <v>6</v>
      </c>
      <c r="H60">
        <v>1957</v>
      </c>
      <c r="I60" s="2">
        <v>1.02508333333333</v>
      </c>
      <c r="J60" t="s">
        <v>7</v>
      </c>
      <c r="K60">
        <v>1957</v>
      </c>
      <c r="L60" s="2">
        <v>1.0249999999999999</v>
      </c>
      <c r="N60" s="2">
        <f t="shared" si="1"/>
        <v>1.0192499999999967</v>
      </c>
      <c r="P60" s="2">
        <f t="shared" si="2"/>
        <v>1.4881687190164694E-3</v>
      </c>
    </row>
    <row r="61" spans="4:16" x14ac:dyDescent="0.3">
      <c r="D61" t="s">
        <v>5</v>
      </c>
      <c r="E61">
        <v>1956</v>
      </c>
      <c r="F61" s="2">
        <v>1.0425</v>
      </c>
      <c r="G61" t="s">
        <v>6</v>
      </c>
      <c r="H61">
        <v>1956</v>
      </c>
      <c r="I61" s="2">
        <v>1.05141666666666</v>
      </c>
      <c r="J61" t="s">
        <v>7</v>
      </c>
      <c r="K61">
        <v>1956</v>
      </c>
      <c r="L61" s="2">
        <v>1.04958333333333</v>
      </c>
      <c r="N61" s="2">
        <f t="shared" si="1"/>
        <v>1.0478333333333301</v>
      </c>
      <c r="P61" s="2">
        <f t="shared" si="2"/>
        <v>3.0071502052349874E-2</v>
      </c>
    </row>
    <row r="62" spans="4:16" x14ac:dyDescent="0.3">
      <c r="D62" t="s">
        <v>5</v>
      </c>
      <c r="E62">
        <v>1955</v>
      </c>
      <c r="F62" s="2">
        <v>1.0529999999999999</v>
      </c>
      <c r="G62" t="s">
        <v>6</v>
      </c>
      <c r="H62">
        <v>1955</v>
      </c>
      <c r="I62" s="2">
        <v>1.04158333333333</v>
      </c>
      <c r="J62" t="s">
        <v>7</v>
      </c>
      <c r="K62">
        <v>1955</v>
      </c>
      <c r="L62" s="2">
        <v>1.032</v>
      </c>
      <c r="N62" s="2">
        <f t="shared" si="1"/>
        <v>1.0421944444444433</v>
      </c>
      <c r="P62" s="2">
        <f t="shared" si="2"/>
        <v>2.4432613163463124E-2</v>
      </c>
    </row>
    <row r="63" spans="4:16" x14ac:dyDescent="0.3">
      <c r="D63" t="s">
        <v>5</v>
      </c>
      <c r="E63">
        <v>1954</v>
      </c>
      <c r="F63" s="2">
        <v>1.0568859638333299</v>
      </c>
      <c r="G63" t="s">
        <v>6</v>
      </c>
      <c r="H63">
        <v>1954</v>
      </c>
      <c r="I63" s="2">
        <v>1.0282499999999899</v>
      </c>
      <c r="J63" t="s">
        <v>7</v>
      </c>
      <c r="K63">
        <v>1954</v>
      </c>
      <c r="L63" s="2">
        <v>1.03291666666666</v>
      </c>
      <c r="N63" s="2">
        <f t="shared" si="1"/>
        <v>1.0393508768333266</v>
      </c>
      <c r="P63" s="2">
        <f t="shared" si="2"/>
        <v>2.158904555234642E-2</v>
      </c>
    </row>
    <row r="64" spans="4:16" x14ac:dyDescent="0.3">
      <c r="G64" t="s">
        <v>6</v>
      </c>
      <c r="H64">
        <v>1953</v>
      </c>
      <c r="I64" s="2">
        <v>1.03633333333333</v>
      </c>
      <c r="J64" t="s">
        <v>7</v>
      </c>
      <c r="K64">
        <v>1953</v>
      </c>
      <c r="L64" s="2">
        <v>1.0175000000000001</v>
      </c>
      <c r="N64" s="2">
        <f t="shared" si="1"/>
        <v>1.0269166666666649</v>
      </c>
      <c r="P64" s="2">
        <f t="shared" si="2"/>
        <v>9.1548353856847342E-3</v>
      </c>
    </row>
    <row r="65" spans="7:16" x14ac:dyDescent="0.3">
      <c r="G65" t="s">
        <v>6</v>
      </c>
      <c r="H65">
        <v>1952</v>
      </c>
      <c r="I65" s="2">
        <v>1.0409166666666601</v>
      </c>
      <c r="J65" t="s">
        <v>7</v>
      </c>
      <c r="K65">
        <v>1952</v>
      </c>
      <c r="L65" s="2">
        <v>1.0302500000000001</v>
      </c>
      <c r="N65" s="2">
        <f t="shared" si="1"/>
        <v>1.0355833333333302</v>
      </c>
      <c r="P65" s="2">
        <f t="shared" si="2"/>
        <v>1.7821502052350002E-2</v>
      </c>
    </row>
    <row r="66" spans="7:16" x14ac:dyDescent="0.3">
      <c r="G66" t="s">
        <v>6</v>
      </c>
      <c r="H66">
        <v>1951</v>
      </c>
      <c r="I66" s="2">
        <v>1.0629166666666601</v>
      </c>
      <c r="J66" t="s">
        <v>7</v>
      </c>
      <c r="K66">
        <v>1951</v>
      </c>
      <c r="L66" s="2">
        <v>1.0385833333333301</v>
      </c>
      <c r="N66" s="2">
        <f t="shared" si="1"/>
        <v>1.050749999999995</v>
      </c>
      <c r="P66" s="2">
        <f t="shared" si="2"/>
        <v>3.2988168719014777E-2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0D66-8CE6-424E-B1F2-F32778C5AA83}">
  <dimension ref="A1:Y36"/>
  <sheetViews>
    <sheetView tabSelected="1" zoomScaleNormal="100" workbookViewId="0">
      <selection activeCell="F7" sqref="F7"/>
    </sheetView>
  </sheetViews>
  <sheetFormatPr baseColWidth="10" defaultRowHeight="14.4" x14ac:dyDescent="0.3"/>
  <cols>
    <col min="3" max="3" width="7.21875" customWidth="1"/>
    <col min="4" max="4" width="6.5546875" customWidth="1"/>
    <col min="5" max="5" width="6.109375" customWidth="1"/>
    <col min="6" max="6" width="7.88671875" customWidth="1"/>
    <col min="7" max="8" width="7.109375" customWidth="1"/>
    <col min="9" max="9" width="6.5546875" customWidth="1"/>
  </cols>
  <sheetData>
    <row r="1" spans="1:25" x14ac:dyDescent="0.3">
      <c r="A1" t="s">
        <v>1</v>
      </c>
      <c r="B1" t="s">
        <v>9</v>
      </c>
      <c r="C1" t="s">
        <v>34</v>
      </c>
      <c r="D1" t="s">
        <v>33</v>
      </c>
      <c r="E1" t="s">
        <v>35</v>
      </c>
      <c r="F1" t="s">
        <v>30</v>
      </c>
      <c r="G1" t="s">
        <v>31</v>
      </c>
      <c r="H1" t="s">
        <v>32</v>
      </c>
      <c r="I1" s="4">
        <f>AVERAGE(B2:B36)</f>
        <v>365.18504901960779</v>
      </c>
    </row>
    <row r="2" spans="1:25" x14ac:dyDescent="0.3">
      <c r="A2">
        <v>2015</v>
      </c>
      <c r="B2" s="3">
        <v>259.74166666666667</v>
      </c>
      <c r="C2" s="3">
        <f>B2-I$1</f>
        <v>-105.44338235294111</v>
      </c>
      <c r="D2" s="4">
        <f t="shared" ref="D2:D35" si="0">STANDARDIZE(B2,I$1,I$2)</f>
        <v>-1.0751984741460796</v>
      </c>
      <c r="E2" s="5">
        <v>-2.0659110372486018</v>
      </c>
      <c r="F2" s="5">
        <f>AVERAGE(D2:D3)</f>
        <v>-0.7358107533054159</v>
      </c>
      <c r="G2" s="5">
        <f>AVERAGE(E2:E3)</f>
        <v>-2.3670879213708833</v>
      </c>
      <c r="H2" s="5">
        <f>AVERAGE(E2:E4)</f>
        <v>-2.44125529011392</v>
      </c>
      <c r="I2" s="4">
        <f>_xlfn.STDEV.S(B2:B36)</f>
        <v>98.068761152850442</v>
      </c>
      <c r="R2" t="s">
        <v>12</v>
      </c>
    </row>
    <row r="3" spans="1:25" x14ac:dyDescent="0.3">
      <c r="A3">
        <v>2014</v>
      </c>
      <c r="B3" s="3">
        <v>326.30833333333334</v>
      </c>
      <c r="C3" s="3">
        <f t="shared" ref="C3:C35" si="1">B3-I$1</f>
        <v>-38.876715686274451</v>
      </c>
      <c r="D3" s="4">
        <f t="shared" si="0"/>
        <v>-0.39642303246475213</v>
      </c>
      <c r="E3" s="5">
        <v>-2.6682648054931648</v>
      </c>
      <c r="F3" s="5">
        <f>AVERAGE(D2:D4)</f>
        <v>-0.73232680324170352</v>
      </c>
      <c r="G3" s="5">
        <f>AVERAGE(E2:E4)</f>
        <v>-2.44125529011392</v>
      </c>
      <c r="H3" s="5">
        <f>AVERAGE(E2:E5)</f>
        <v>-2.2499977245845257</v>
      </c>
      <c r="R3" t="s">
        <v>13</v>
      </c>
    </row>
    <row r="4" spans="1:25" x14ac:dyDescent="0.3">
      <c r="A4">
        <v>2013</v>
      </c>
      <c r="B4" s="3">
        <v>294.05</v>
      </c>
      <c r="C4" s="3">
        <f t="shared" si="1"/>
        <v>-71.135049019607777</v>
      </c>
      <c r="D4" s="4">
        <f t="shared" si="0"/>
        <v>-0.72535890311427864</v>
      </c>
      <c r="E4" s="5">
        <v>-2.5895900275999928</v>
      </c>
      <c r="F4" s="5">
        <f t="shared" ref="F4:F34" si="2">AVERAGE(D3:D5)</f>
        <v>-0.40353255657850678</v>
      </c>
      <c r="G4" s="5">
        <f t="shared" ref="G4:G34" si="3">AVERAGE(E3:E5)</f>
        <v>-2.3113599536965004</v>
      </c>
      <c r="H4" s="5">
        <f>AVERAGE(E2:E6)</f>
        <v>-1.9887114114408591</v>
      </c>
      <c r="R4" t="s">
        <v>14</v>
      </c>
    </row>
    <row r="5" spans="1:25" x14ac:dyDescent="0.3">
      <c r="A5">
        <v>2012</v>
      </c>
      <c r="B5" s="3">
        <v>356.47499999999997</v>
      </c>
      <c r="C5" s="3">
        <f t="shared" si="1"/>
        <v>-8.7100490196078226</v>
      </c>
      <c r="D5" s="4">
        <f t="shared" si="0"/>
        <v>-8.8815734156489426E-2</v>
      </c>
      <c r="E5" s="5">
        <v>-1.676225027996344</v>
      </c>
      <c r="F5" s="5">
        <f t="shared" si="2"/>
        <v>0.24085658122195261</v>
      </c>
      <c r="G5" s="5">
        <f t="shared" si="3"/>
        <v>-1.7364604048208425</v>
      </c>
      <c r="H5" s="5">
        <f t="shared" ref="H5:H33" si="4">AVERAGE(E3:E7)</f>
        <v>-1.7799773913430006</v>
      </c>
    </row>
    <row r="6" spans="1:25" x14ac:dyDescent="0.3">
      <c r="A6">
        <v>2011</v>
      </c>
      <c r="B6" s="3">
        <v>515.89166666666677</v>
      </c>
      <c r="C6" s="3">
        <f t="shared" si="1"/>
        <v>150.70661764705898</v>
      </c>
      <c r="D6" s="4">
        <f t="shared" si="0"/>
        <v>1.5367443809366259</v>
      </c>
      <c r="E6" s="5">
        <v>-0.94356615886619133</v>
      </c>
      <c r="F6" s="5">
        <f t="shared" si="2"/>
        <v>0.82307278902364145</v>
      </c>
      <c r="G6" s="5">
        <f t="shared" si="3"/>
        <v>-1.2140107078739488</v>
      </c>
      <c r="H6" s="5">
        <f t="shared" si="4"/>
        <v>-1.5478867965581258</v>
      </c>
    </row>
    <row r="7" spans="1:25" x14ac:dyDescent="0.3">
      <c r="A7">
        <v>2010</v>
      </c>
      <c r="B7" s="3">
        <v>465.34166666666653</v>
      </c>
      <c r="C7" s="3">
        <f t="shared" si="1"/>
        <v>100.15661764705874</v>
      </c>
      <c r="D7" s="4">
        <f t="shared" si="0"/>
        <v>1.0212897202907882</v>
      </c>
      <c r="E7" s="5">
        <v>-1.022240936759311</v>
      </c>
      <c r="F7" s="5">
        <f t="shared" si="2"/>
        <v>1.0364718116253411</v>
      </c>
      <c r="G7" s="5">
        <f t="shared" si="3"/>
        <v>-1.157872975731431</v>
      </c>
      <c r="H7" s="5">
        <f t="shared" si="4"/>
        <v>-1.199996763061741</v>
      </c>
    </row>
    <row r="8" spans="1:25" x14ac:dyDescent="0.3">
      <c r="A8">
        <v>2009</v>
      </c>
      <c r="B8" s="3">
        <v>419.25833333333338</v>
      </c>
      <c r="C8" s="3">
        <f t="shared" si="1"/>
        <v>54.073284313725594</v>
      </c>
      <c r="D8" s="4">
        <f t="shared" si="0"/>
        <v>0.5513813336486092</v>
      </c>
      <c r="E8" s="5">
        <v>-1.5078118315687905</v>
      </c>
      <c r="F8" s="5">
        <f t="shared" si="2"/>
        <v>1.188094451389994</v>
      </c>
      <c r="G8" s="5">
        <f t="shared" si="3"/>
        <v>-1.1267308761487236</v>
      </c>
      <c r="H8" s="5">
        <f t="shared" si="4"/>
        <v>-0.97798637419445544</v>
      </c>
      <c r="R8" t="s">
        <v>15</v>
      </c>
    </row>
    <row r="9" spans="1:25" ht="15" thickBot="1" x14ac:dyDescent="0.35">
      <c r="A9">
        <v>2008</v>
      </c>
      <c r="B9" s="3">
        <v>560.5</v>
      </c>
      <c r="C9" s="3">
        <f t="shared" si="1"/>
        <v>195.31495098039221</v>
      </c>
      <c r="D9" s="4">
        <f t="shared" si="0"/>
        <v>1.9916123002305841</v>
      </c>
      <c r="E9" s="5">
        <v>-0.85013986011806908</v>
      </c>
      <c r="F9" s="5">
        <f t="shared" si="2"/>
        <v>1.3475630599973165</v>
      </c>
      <c r="G9" s="5">
        <f t="shared" si="3"/>
        <v>-0.97470825844892506</v>
      </c>
      <c r="H9" s="5">
        <f t="shared" si="4"/>
        <v>-0.87988876050888332</v>
      </c>
    </row>
    <row r="10" spans="1:25" x14ac:dyDescent="0.3">
      <c r="A10">
        <v>2007</v>
      </c>
      <c r="B10" s="3">
        <v>512.25833333333333</v>
      </c>
      <c r="C10" s="3">
        <f t="shared" si="1"/>
        <v>147.07328431372554</v>
      </c>
      <c r="D10" s="4">
        <f t="shared" si="0"/>
        <v>1.4996955461127566</v>
      </c>
      <c r="E10" s="5">
        <v>-0.56617308365991559</v>
      </c>
      <c r="F10" s="5">
        <f t="shared" si="2"/>
        <v>1.5622083736787176</v>
      </c>
      <c r="G10" s="5">
        <f t="shared" si="3"/>
        <v>-0.62313034473877149</v>
      </c>
      <c r="H10" s="5">
        <f t="shared" si="4"/>
        <v>-0.84153480628597888</v>
      </c>
      <c r="R10" s="6" t="s">
        <v>16</v>
      </c>
      <c r="S10" s="7" t="s">
        <v>17</v>
      </c>
      <c r="T10" s="7" t="s">
        <v>18</v>
      </c>
      <c r="U10" s="7" t="s">
        <v>19</v>
      </c>
      <c r="V10" s="7" t="s">
        <v>20</v>
      </c>
      <c r="W10" s="7" t="s">
        <v>21</v>
      </c>
      <c r="X10" s="7" t="s">
        <v>22</v>
      </c>
      <c r="Y10" s="7" t="s">
        <v>23</v>
      </c>
    </row>
    <row r="11" spans="1:25" x14ac:dyDescent="0.3">
      <c r="A11">
        <v>2006</v>
      </c>
      <c r="B11" s="3">
        <v>482.4083333333333</v>
      </c>
      <c r="C11" s="3">
        <f t="shared" si="1"/>
        <v>117.22328431372551</v>
      </c>
      <c r="D11" s="4">
        <f t="shared" si="0"/>
        <v>1.195317274692812</v>
      </c>
      <c r="E11" s="5">
        <v>-0.45307809043832992</v>
      </c>
      <c r="F11" s="5">
        <f t="shared" si="2"/>
        <v>1.0227909345458848</v>
      </c>
      <c r="G11" s="5">
        <f t="shared" si="3"/>
        <v>-0.61657411324767819</v>
      </c>
      <c r="H11" s="5">
        <f t="shared" si="4"/>
        <v>-0.66574584943093962</v>
      </c>
      <c r="R11" s="8" t="s">
        <v>10</v>
      </c>
      <c r="S11" s="8">
        <v>34</v>
      </c>
      <c r="T11" s="8">
        <v>0</v>
      </c>
      <c r="U11" s="8">
        <v>34</v>
      </c>
      <c r="V11" s="10">
        <v>-2.1226778018383334</v>
      </c>
      <c r="W11" s="10">
        <v>1.9916123002305841</v>
      </c>
      <c r="X11" s="10">
        <v>5.4817261840867104E-16</v>
      </c>
      <c r="Y11" s="10">
        <v>0.99999999999999678</v>
      </c>
    </row>
    <row r="12" spans="1:25" ht="15" thickBot="1" x14ac:dyDescent="0.35">
      <c r="A12">
        <v>2005</v>
      </c>
      <c r="B12" s="3">
        <v>401.79999999999995</v>
      </c>
      <c r="C12" s="3">
        <f t="shared" si="1"/>
        <v>36.614950980392166</v>
      </c>
      <c r="D12" s="4">
        <f t="shared" si="0"/>
        <v>0.37335998283208582</v>
      </c>
      <c r="E12" s="5">
        <v>-0.83047116564478918</v>
      </c>
      <c r="F12" s="5">
        <f t="shared" si="2"/>
        <v>0.54192085136177981</v>
      </c>
      <c r="G12" s="5">
        <f t="shared" si="3"/>
        <v>-0.63747210112557118</v>
      </c>
      <c r="H12" s="5">
        <f t="shared" si="4"/>
        <v>-0.63230906882635707</v>
      </c>
      <c r="R12" s="9" t="s">
        <v>11</v>
      </c>
      <c r="S12" s="9">
        <v>34</v>
      </c>
      <c r="T12" s="9">
        <v>0</v>
      </c>
      <c r="U12" s="9">
        <v>34</v>
      </c>
      <c r="V12" s="11">
        <v>-2.6682648054931648</v>
      </c>
      <c r="W12" s="11">
        <v>1.3183337055627835</v>
      </c>
      <c r="X12" s="11">
        <v>-0.4807948660770418</v>
      </c>
      <c r="Y12" s="11">
        <v>1.0050348901743253</v>
      </c>
    </row>
    <row r="13" spans="1:25" x14ac:dyDescent="0.3">
      <c r="A13">
        <v>2004</v>
      </c>
      <c r="B13" s="3">
        <v>370.78333333333336</v>
      </c>
      <c r="C13" s="3">
        <f t="shared" si="1"/>
        <v>5.5982843137255713</v>
      </c>
      <c r="D13" s="4">
        <f t="shared" si="0"/>
        <v>5.7085296560441492E-2</v>
      </c>
      <c r="E13" s="5">
        <v>-0.62886704729359444</v>
      </c>
      <c r="F13" s="5">
        <f t="shared" si="2"/>
        <v>0.14959408443104774</v>
      </c>
      <c r="G13" s="5">
        <f t="shared" si="3"/>
        <v>-0.71409805667784687</v>
      </c>
      <c r="H13" s="5">
        <f t="shared" si="4"/>
        <v>-0.69106929356531721</v>
      </c>
    </row>
    <row r="14" spans="1:25" x14ac:dyDescent="0.3">
      <c r="A14">
        <v>2003</v>
      </c>
      <c r="B14" s="3">
        <v>366.98333333333335</v>
      </c>
      <c r="C14" s="3">
        <f t="shared" si="1"/>
        <v>1.79828431372556</v>
      </c>
      <c r="D14" s="4">
        <f t="shared" si="0"/>
        <v>1.833697390061597E-2</v>
      </c>
      <c r="E14" s="5">
        <v>-0.68295595709515688</v>
      </c>
      <c r="F14" s="5">
        <f t="shared" si="2"/>
        <v>1.2813638433754894E-2</v>
      </c>
      <c r="G14" s="5">
        <f t="shared" si="3"/>
        <v>-0.72393240391448899</v>
      </c>
      <c r="H14" s="5">
        <f t="shared" si="4"/>
        <v>-0.84227238232881363</v>
      </c>
    </row>
    <row r="15" spans="1:25" x14ac:dyDescent="0.3">
      <c r="A15">
        <v>2002</v>
      </c>
      <c r="B15" s="3">
        <v>361.55833333333334</v>
      </c>
      <c r="C15" s="3">
        <f t="shared" si="1"/>
        <v>-3.6267156862744514</v>
      </c>
      <c r="D15" s="4">
        <f t="shared" si="0"/>
        <v>-3.6981355159792777E-2</v>
      </c>
      <c r="E15" s="5">
        <v>-0.85997420735471564</v>
      </c>
      <c r="F15" s="5">
        <f t="shared" si="2"/>
        <v>-0.27927167097276545</v>
      </c>
      <c r="G15" s="5">
        <f t="shared" si="3"/>
        <v>-0.91734123290189462</v>
      </c>
      <c r="H15" s="5">
        <f t="shared" si="4"/>
        <v>-0.818424090279948</v>
      </c>
      <c r="R15" t="s">
        <v>24</v>
      </c>
    </row>
    <row r="16" spans="1:25" ht="15" thickBot="1" x14ac:dyDescent="0.35">
      <c r="A16">
        <v>2001</v>
      </c>
      <c r="B16" s="3">
        <v>284.84999999999997</v>
      </c>
      <c r="C16" s="3">
        <f t="shared" si="1"/>
        <v>-80.335049019607823</v>
      </c>
      <c r="D16" s="4">
        <f t="shared" si="0"/>
        <v>-0.81917063165911952</v>
      </c>
      <c r="E16" s="5">
        <v>-1.2090935342558111</v>
      </c>
      <c r="F16" s="5">
        <f t="shared" si="2"/>
        <v>0.21287168152318961</v>
      </c>
      <c r="G16" s="5">
        <f t="shared" si="3"/>
        <v>-0.92676581567032945</v>
      </c>
      <c r="H16" s="5">
        <f t="shared" si="4"/>
        <v>-0.57305712672561016</v>
      </c>
    </row>
    <row r="17" spans="1:20" x14ac:dyDescent="0.3">
      <c r="A17">
        <v>2000</v>
      </c>
      <c r="B17" s="3">
        <v>511.77500000000003</v>
      </c>
      <c r="C17" s="3">
        <f t="shared" si="1"/>
        <v>146.58995098039225</v>
      </c>
      <c r="D17" s="4">
        <f t="shared" si="0"/>
        <v>1.4947670313884811</v>
      </c>
      <c r="E17" s="5">
        <v>-0.7112297054004616</v>
      </c>
      <c r="F17" s="5">
        <f t="shared" si="2"/>
        <v>0.81202611808991987</v>
      </c>
      <c r="G17" s="5">
        <f t="shared" si="3"/>
        <v>-0.44078515639272592</v>
      </c>
      <c r="H17" s="5">
        <f t="shared" si="4"/>
        <v>-0.64804402440501119</v>
      </c>
      <c r="R17" s="6" t="s">
        <v>25</v>
      </c>
      <c r="S17" s="7" t="s">
        <v>10</v>
      </c>
      <c r="T17" s="7" t="s">
        <v>11</v>
      </c>
    </row>
    <row r="18" spans="1:20" x14ac:dyDescent="0.3">
      <c r="A18">
        <v>1999</v>
      </c>
      <c r="B18" s="3">
        <v>537.83333333333337</v>
      </c>
      <c r="C18" s="3">
        <f t="shared" si="1"/>
        <v>172.64828431372558</v>
      </c>
      <c r="D18" s="4">
        <f t="shared" si="0"/>
        <v>1.7604819545403978</v>
      </c>
      <c r="E18" s="5">
        <v>0.59796777047809502</v>
      </c>
      <c r="F18" s="5">
        <f t="shared" si="2"/>
        <v>1.0618225051783703</v>
      </c>
      <c r="G18" s="5">
        <f t="shared" si="3"/>
        <v>-0.39038412680484313</v>
      </c>
      <c r="H18" s="5">
        <f t="shared" si="4"/>
        <v>-0.85579460977917721</v>
      </c>
      <c r="R18" s="12" t="s">
        <v>10</v>
      </c>
      <c r="S18" s="13">
        <v>1</v>
      </c>
      <c r="T18" s="10">
        <v>0.1022248488675736</v>
      </c>
    </row>
    <row r="19" spans="1:20" ht="15" thickBot="1" x14ac:dyDescent="0.35">
      <c r="A19">
        <v>1998</v>
      </c>
      <c r="B19" s="3">
        <v>358.34166666666664</v>
      </c>
      <c r="C19" s="3">
        <f t="shared" si="1"/>
        <v>-6.8433823529411484</v>
      </c>
      <c r="D19" s="4">
        <f t="shared" si="0"/>
        <v>-6.97814703937681E-2</v>
      </c>
      <c r="E19" s="5">
        <v>-1.0578904454921629</v>
      </c>
      <c r="F19" s="5">
        <f t="shared" si="2"/>
        <v>5.1788559471707796E-2</v>
      </c>
      <c r="G19" s="5">
        <f t="shared" si="3"/>
        <v>-0.78621660307987096</v>
      </c>
      <c r="H19" s="5">
        <f t="shared" si="4"/>
        <v>-0.48946517521406357</v>
      </c>
      <c r="R19" s="14" t="s">
        <v>11</v>
      </c>
      <c r="S19" s="11">
        <v>0.1022248488675736</v>
      </c>
      <c r="T19" s="15">
        <v>1</v>
      </c>
    </row>
    <row r="20" spans="1:20" x14ac:dyDescent="0.3">
      <c r="A20">
        <v>1997</v>
      </c>
      <c r="B20" s="3">
        <v>214.61666666666665</v>
      </c>
      <c r="C20" s="3">
        <f t="shared" si="1"/>
        <v>-150.56838235294114</v>
      </c>
      <c r="D20" s="4">
        <f t="shared" si="0"/>
        <v>-1.5353348057315064</v>
      </c>
      <c r="E20" s="5">
        <v>-1.8987271342255452</v>
      </c>
      <c r="F20" s="5">
        <f t="shared" si="2"/>
        <v>-0.39146619294321039</v>
      </c>
      <c r="G20" s="5">
        <f t="shared" si="3"/>
        <v>-0.77802131371598371</v>
      </c>
      <c r="H20" s="5">
        <f t="shared" si="4"/>
        <v>-0.24655679846886161</v>
      </c>
      <c r="R20" s="16" t="s">
        <v>26</v>
      </c>
    </row>
    <row r="21" spans="1:20" x14ac:dyDescent="0.3">
      <c r="A21">
        <v>1996</v>
      </c>
      <c r="B21" s="3">
        <v>407.42499999999995</v>
      </c>
      <c r="C21" s="3">
        <f t="shared" si="1"/>
        <v>42.239950980392166</v>
      </c>
      <c r="D21" s="4">
        <f t="shared" si="0"/>
        <v>0.43071769729564319</v>
      </c>
      <c r="E21" s="5">
        <v>0.62255363856975721</v>
      </c>
      <c r="F21" s="5">
        <f t="shared" si="2"/>
        <v>-0.27867685023018041</v>
      </c>
      <c r="G21" s="5">
        <f t="shared" si="3"/>
        <v>-0.25762043911008015</v>
      </c>
      <c r="H21" s="5">
        <f t="shared" si="4"/>
        <v>-0.32080612010552134</v>
      </c>
    </row>
    <row r="22" spans="1:20" x14ac:dyDescent="0.3">
      <c r="A22">
        <v>1995</v>
      </c>
      <c r="B22" s="3">
        <v>391.52500000000003</v>
      </c>
      <c r="C22" s="3">
        <f t="shared" si="1"/>
        <v>26.339950980392246</v>
      </c>
      <c r="D22" s="4">
        <f t="shared" si="0"/>
        <v>0.26858655774532192</v>
      </c>
      <c r="E22" s="5">
        <v>0.50331217832554753</v>
      </c>
      <c r="F22" s="5">
        <f t="shared" si="2"/>
        <v>0.30045195466951985</v>
      </c>
      <c r="G22" s="5">
        <f t="shared" si="3"/>
        <v>0.4508623263967006</v>
      </c>
      <c r="H22" s="5">
        <f t="shared" si="4"/>
        <v>-9.2649264215332483E-2</v>
      </c>
    </row>
    <row r="23" spans="1:20" x14ac:dyDescent="0.3">
      <c r="A23">
        <v>1994</v>
      </c>
      <c r="B23" s="3">
        <v>384.99999999999994</v>
      </c>
      <c r="C23" s="3">
        <f t="shared" si="1"/>
        <v>19.814950980392155</v>
      </c>
      <c r="D23" s="4">
        <f t="shared" si="0"/>
        <v>0.20205160896759444</v>
      </c>
      <c r="E23" s="5">
        <v>0.22672116229479697</v>
      </c>
      <c r="F23" s="5">
        <f t="shared" si="2"/>
        <v>1.7458905185371226E-2</v>
      </c>
      <c r="G23" s="5">
        <f t="shared" si="3"/>
        <v>0.2709757248597085</v>
      </c>
      <c r="H23" s="5">
        <f t="shared" si="4"/>
        <v>0.19672640322301396</v>
      </c>
      <c r="R23" t="s">
        <v>27</v>
      </c>
    </row>
    <row r="24" spans="1:20" ht="15" thickBot="1" x14ac:dyDescent="0.35">
      <c r="A24">
        <v>1993</v>
      </c>
      <c r="B24" s="3">
        <v>324.16666666666669</v>
      </c>
      <c r="C24" s="3">
        <f t="shared" si="1"/>
        <v>-41.018382352941103</v>
      </c>
      <c r="D24" s="4">
        <f t="shared" si="0"/>
        <v>-0.41826145115680269</v>
      </c>
      <c r="E24" s="5">
        <v>8.2893833958780999E-2</v>
      </c>
      <c r="F24" s="5">
        <f t="shared" si="2"/>
        <v>-0.46751827360229736</v>
      </c>
      <c r="G24" s="5">
        <f t="shared" si="3"/>
        <v>-4.7411266926745001E-2</v>
      </c>
      <c r="H24" s="5">
        <f t="shared" si="4"/>
        <v>0.152471840658119</v>
      </c>
    </row>
    <row r="25" spans="1:20" x14ac:dyDescent="0.3">
      <c r="A25">
        <v>1992</v>
      </c>
      <c r="B25" s="3">
        <v>248.8416666666667</v>
      </c>
      <c r="C25" s="3">
        <f t="shared" si="1"/>
        <v>-116.34338235294109</v>
      </c>
      <c r="D25" s="4">
        <f t="shared" si="0"/>
        <v>-1.1863449786176838</v>
      </c>
      <c r="E25" s="5">
        <v>-0.45184879703381298</v>
      </c>
      <c r="F25" s="5">
        <f t="shared" si="2"/>
        <v>-0.95085261414854039</v>
      </c>
      <c r="G25" s="5">
        <f t="shared" si="3"/>
        <v>1.0775287556750187E-2</v>
      </c>
      <c r="H25" s="5">
        <f t="shared" si="4"/>
        <v>0.31547614610556618</v>
      </c>
      <c r="R25" s="6" t="s">
        <v>25</v>
      </c>
      <c r="S25" s="7" t="s">
        <v>10</v>
      </c>
      <c r="T25" s="7" t="s">
        <v>11</v>
      </c>
    </row>
    <row r="26" spans="1:20" x14ac:dyDescent="0.3">
      <c r="A26">
        <v>1991</v>
      </c>
      <c r="B26" s="3">
        <v>242.79999999999998</v>
      </c>
      <c r="C26" s="3">
        <f t="shared" si="1"/>
        <v>-122.38504901960781</v>
      </c>
      <c r="D26" s="4">
        <f t="shared" si="0"/>
        <v>-1.2479514126711346</v>
      </c>
      <c r="E26" s="5">
        <v>0.40128082574528251</v>
      </c>
      <c r="F26" s="5">
        <f t="shared" si="2"/>
        <v>-0.97824269310471823</v>
      </c>
      <c r="G26" s="5">
        <f t="shared" si="3"/>
        <v>0.42258857809141764</v>
      </c>
      <c r="H26" s="5">
        <f t="shared" si="4"/>
        <v>0.52125986203243557</v>
      </c>
      <c r="R26" s="12" t="s">
        <v>10</v>
      </c>
      <c r="S26" s="13">
        <v>0</v>
      </c>
      <c r="T26" s="10">
        <v>0.56509980556847084</v>
      </c>
    </row>
    <row r="27" spans="1:20" ht="15" thickBot="1" x14ac:dyDescent="0.35">
      <c r="A27">
        <v>1990</v>
      </c>
      <c r="B27" s="3">
        <v>316.10833333333335</v>
      </c>
      <c r="C27" s="3">
        <f t="shared" si="1"/>
        <v>-49.07671568627444</v>
      </c>
      <c r="D27" s="4">
        <f t="shared" si="0"/>
        <v>-0.500431688025336</v>
      </c>
      <c r="E27" s="5">
        <v>1.3183337055627835</v>
      </c>
      <c r="F27" s="5">
        <f t="shared" si="2"/>
        <v>-0.56877942382808377</v>
      </c>
      <c r="G27" s="5">
        <f t="shared" si="3"/>
        <v>0.99175142441240327</v>
      </c>
      <c r="H27" s="5">
        <f t="shared" si="4"/>
        <v>0.68860338364098439</v>
      </c>
      <c r="R27" s="14" t="s">
        <v>11</v>
      </c>
      <c r="S27" s="11">
        <v>0.56509980556847084</v>
      </c>
      <c r="T27" s="17">
        <v>0</v>
      </c>
    </row>
    <row r="28" spans="1:20" x14ac:dyDescent="0.3">
      <c r="A28">
        <v>1989</v>
      </c>
      <c r="B28" s="3">
        <v>369.30833333333334</v>
      </c>
      <c r="C28" s="3">
        <f t="shared" si="1"/>
        <v>4.1232843137255486</v>
      </c>
      <c r="D28" s="4">
        <f t="shared" si="0"/>
        <v>4.2044829212219553E-2</v>
      </c>
      <c r="E28" s="5">
        <v>1.2556397419291438</v>
      </c>
      <c r="F28" s="5">
        <f t="shared" si="2"/>
        <v>9.1924797197565009E-2</v>
      </c>
      <c r="G28" s="5">
        <f t="shared" si="3"/>
        <v>1.1645282964978174</v>
      </c>
      <c r="H28" s="5">
        <f t="shared" si="4"/>
        <v>0.77448589427164682</v>
      </c>
      <c r="R28" s="16" t="s">
        <v>26</v>
      </c>
    </row>
    <row r="29" spans="1:20" x14ac:dyDescent="0.3">
      <c r="A29">
        <v>1988</v>
      </c>
      <c r="B29" s="3">
        <v>437.18333333333334</v>
      </c>
      <c r="C29" s="3">
        <f t="shared" si="1"/>
        <v>71.998284313725549</v>
      </c>
      <c r="D29" s="4">
        <f t="shared" si="0"/>
        <v>0.73416125040581148</v>
      </c>
      <c r="E29" s="5">
        <v>0.91961144200152467</v>
      </c>
      <c r="F29" s="5">
        <f t="shared" si="2"/>
        <v>7.9801783967736586E-2</v>
      </c>
      <c r="G29" s="5">
        <f t="shared" si="3"/>
        <v>0.71760498001672268</v>
      </c>
      <c r="H29" s="5">
        <f t="shared" si="4"/>
        <v>0.73680294198614538</v>
      </c>
    </row>
    <row r="30" spans="1:20" x14ac:dyDescent="0.3">
      <c r="A30">
        <v>1987</v>
      </c>
      <c r="B30" s="3">
        <v>312.54166666666669</v>
      </c>
      <c r="C30" s="3">
        <f t="shared" si="1"/>
        <v>-52.643382352941103</v>
      </c>
      <c r="D30" s="4">
        <f t="shared" si="0"/>
        <v>-0.53680072771482124</v>
      </c>
      <c r="E30" s="5">
        <v>-2.2436243880499956E-2</v>
      </c>
      <c r="F30" s="5">
        <f t="shared" si="2"/>
        <v>-9.7058250160881585E-2</v>
      </c>
      <c r="G30" s="5">
        <f t="shared" si="3"/>
        <v>0.37001375414626653</v>
      </c>
      <c r="H30" s="5">
        <f t="shared" si="4"/>
        <v>0.47940378464697792</v>
      </c>
    </row>
    <row r="31" spans="1:20" x14ac:dyDescent="0.3">
      <c r="A31">
        <v>1986</v>
      </c>
      <c r="B31" s="3">
        <v>317.27500000000003</v>
      </c>
      <c r="C31" s="3">
        <f t="shared" si="1"/>
        <v>-47.910049019607754</v>
      </c>
      <c r="D31" s="4">
        <f t="shared" si="0"/>
        <v>-0.48853527317363499</v>
      </c>
      <c r="E31" s="5">
        <v>0.2128660643177748</v>
      </c>
      <c r="F31" s="5">
        <f t="shared" si="2"/>
        <v>-0.54963186087629834</v>
      </c>
      <c r="G31" s="5">
        <f t="shared" si="3"/>
        <v>7.3922579768073815E-2</v>
      </c>
      <c r="H31" s="5">
        <f t="shared" si="4"/>
        <v>0.29544373075828723</v>
      </c>
      <c r="R31" t="s">
        <v>28</v>
      </c>
    </row>
    <row r="32" spans="1:20" ht="15" thickBot="1" x14ac:dyDescent="0.35">
      <c r="A32">
        <v>1985</v>
      </c>
      <c r="B32" s="3">
        <v>304.03333333333336</v>
      </c>
      <c r="C32" s="3">
        <f t="shared" si="1"/>
        <v>-61.151715686274429</v>
      </c>
      <c r="D32" s="4">
        <f t="shared" si="0"/>
        <v>-0.62355958174043891</v>
      </c>
      <c r="E32" s="5">
        <v>3.133791886694659E-2</v>
      </c>
      <c r="F32" s="5">
        <f t="shared" si="2"/>
        <v>-0.37954145329424321</v>
      </c>
      <c r="G32" s="5">
        <f t="shared" si="3"/>
        <v>0.1933478185568038</v>
      </c>
      <c r="H32" s="5">
        <f t="shared" si="4"/>
        <v>5.2189959691108734E-2</v>
      </c>
    </row>
    <row r="33" spans="1:20" x14ac:dyDescent="0.3">
      <c r="A33">
        <v>1984</v>
      </c>
      <c r="B33" s="3">
        <v>362.58333333333331</v>
      </c>
      <c r="C33" s="3">
        <f t="shared" si="1"/>
        <v>-2.6017156862744741</v>
      </c>
      <c r="D33" s="4">
        <f t="shared" si="0"/>
        <v>-2.6529504968655897E-2</v>
      </c>
      <c r="E33" s="5">
        <v>0.33583947248568996</v>
      </c>
      <c r="F33" s="5">
        <f t="shared" si="2"/>
        <v>-0.92425562951580942</v>
      </c>
      <c r="G33" s="5">
        <f t="shared" si="3"/>
        <v>2.3506659339422958E-2</v>
      </c>
      <c r="H33" s="5">
        <f t="shared" si="4"/>
        <v>8.4231070388026824E-2</v>
      </c>
      <c r="R33" s="6" t="s">
        <v>25</v>
      </c>
      <c r="S33" s="7" t="s">
        <v>10</v>
      </c>
      <c r="T33" s="7" t="s">
        <v>11</v>
      </c>
    </row>
    <row r="34" spans="1:20" x14ac:dyDescent="0.3">
      <c r="A34">
        <v>1983</v>
      </c>
      <c r="B34" s="3">
        <v>157.01666666666668</v>
      </c>
      <c r="C34" s="3">
        <f t="shared" si="1"/>
        <v>-208.16838235294111</v>
      </c>
      <c r="D34" s="4">
        <f t="shared" si="0"/>
        <v>-2.1226778018383334</v>
      </c>
      <c r="E34" s="5">
        <v>-0.29665741333436768</v>
      </c>
      <c r="F34" s="5">
        <f t="shared" si="2"/>
        <v>-1.1428947396117104</v>
      </c>
      <c r="G34" s="5">
        <f t="shared" si="3"/>
        <v>5.8983789585137558E-2</v>
      </c>
      <c r="H34" s="5">
        <f>AVERAGE(E32:E35)</f>
        <v>5.2072321905589816E-2</v>
      </c>
      <c r="R34" s="12" t="s">
        <v>10</v>
      </c>
      <c r="S34" s="13">
        <v>1</v>
      </c>
      <c r="T34" s="10">
        <v>1.0449919725998263E-2</v>
      </c>
    </row>
    <row r="35" spans="1:20" ht="15" thickBot="1" x14ac:dyDescent="0.35">
      <c r="A35">
        <v>1982</v>
      </c>
      <c r="B35" s="3">
        <v>239.70833333333334</v>
      </c>
      <c r="C35" s="3">
        <f t="shared" si="1"/>
        <v>-125.47671568627445</v>
      </c>
      <c r="D35" s="4">
        <f t="shared" si="0"/>
        <v>-1.2794769120281415</v>
      </c>
      <c r="E35" s="5">
        <v>0.1377693096040904</v>
      </c>
      <c r="F35" s="5">
        <f>AVERAGE(D34:D35)</f>
        <v>-1.7010773569332374</v>
      </c>
      <c r="G35" s="5">
        <f>AVERAGE(E34:E35)</f>
        <v>-7.9444051865138643E-2</v>
      </c>
      <c r="H35" s="5">
        <f>AVERAGE(E33:E35)</f>
        <v>5.8983789585137558E-2</v>
      </c>
      <c r="R35" s="14" t="s">
        <v>11</v>
      </c>
      <c r="S35" s="11">
        <v>1.0449919725998263E-2</v>
      </c>
      <c r="T35" s="15">
        <v>1</v>
      </c>
    </row>
    <row r="36" spans="1:20" x14ac:dyDescent="0.3">
      <c r="B36" s="3"/>
      <c r="C36" s="3"/>
      <c r="D36" s="4"/>
    </row>
  </sheetData>
  <pageMargins left="0.7" right="0.7" top="0.75" bottom="0.75" header="0.3" footer="0.3"/>
  <ignoredErrors>
    <ignoredError sqref="A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indexed</vt:lpstr>
      <vt:lpstr>columns</vt:lpstr>
      <vt:lpstr>waterflow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Lizcano</dc:creator>
  <cp:lastModifiedBy>LUIS DAVID LIZCANO SANDOVAL</cp:lastModifiedBy>
  <dcterms:created xsi:type="dcterms:W3CDTF">2021-04-17T23:07:58Z</dcterms:created>
  <dcterms:modified xsi:type="dcterms:W3CDTF">2025-12-04T14:29:30Z</dcterms:modified>
</cp:coreProperties>
</file>