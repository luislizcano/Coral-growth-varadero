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\"/>
    </mc:Choice>
  </mc:AlternateContent>
  <xr:revisionPtr revIDLastSave="0" documentId="13_ncr:1_{32DD6612-20DE-414B-A5B1-052632BCDF54}" xr6:coauthVersionLast="47" xr6:coauthVersionMax="47" xr10:uidLastSave="{00000000-0000-0000-0000-000000000000}"/>
  <bookViews>
    <workbookView xWindow="-108" yWindow="-108" windowWidth="23256" windowHeight="12456" activeTab="1" xr2:uid="{36D0C925-08D7-451E-8993-763FD046DB2C}"/>
  </bookViews>
  <sheets>
    <sheet name="indexed" sheetId="1" r:id="rId1"/>
    <sheet name="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O7" i="1"/>
  <c r="M7" i="1"/>
  <c r="K7" i="1"/>
  <c r="L7" i="1"/>
  <c r="J7" i="1"/>
  <c r="W3" i="2"/>
  <c r="X3" i="2"/>
  <c r="W4" i="2"/>
  <c r="X4" i="2"/>
  <c r="W5" i="2"/>
  <c r="X5" i="2"/>
  <c r="W6" i="2"/>
  <c r="X6" i="2"/>
  <c r="W7" i="2"/>
  <c r="X7" i="2"/>
  <c r="W8" i="2"/>
  <c r="X8" i="2"/>
  <c r="W9" i="2"/>
  <c r="X9" i="2"/>
  <c r="W10" i="2"/>
  <c r="X10" i="2"/>
  <c r="W11" i="2"/>
  <c r="X11" i="2"/>
  <c r="W12" i="2"/>
  <c r="X12" i="2"/>
  <c r="W13" i="2"/>
  <c r="X13" i="2"/>
  <c r="W14" i="2"/>
  <c r="X14" i="2"/>
  <c r="W15" i="2"/>
  <c r="X15" i="2"/>
  <c r="W16" i="2"/>
  <c r="X16" i="2"/>
  <c r="W17" i="2"/>
  <c r="X17" i="2"/>
  <c r="W18" i="2"/>
  <c r="X18" i="2"/>
  <c r="W19" i="2"/>
  <c r="X19" i="2"/>
  <c r="W20" i="2"/>
  <c r="X20" i="2"/>
  <c r="W21" i="2"/>
  <c r="X21" i="2"/>
  <c r="W22" i="2"/>
  <c r="X22" i="2"/>
  <c r="W23" i="2"/>
  <c r="X23" i="2"/>
  <c r="W24" i="2"/>
  <c r="X24" i="2"/>
  <c r="W25" i="2"/>
  <c r="X25" i="2"/>
  <c r="W26" i="2"/>
  <c r="X26" i="2"/>
  <c r="W27" i="2"/>
  <c r="X27" i="2"/>
  <c r="W28" i="2"/>
  <c r="X28" i="2"/>
  <c r="W29" i="2"/>
  <c r="X29" i="2"/>
  <c r="W30" i="2"/>
  <c r="X30" i="2"/>
  <c r="W31" i="2"/>
  <c r="X31" i="2"/>
  <c r="W32" i="2"/>
  <c r="X32" i="2"/>
  <c r="W33" i="2"/>
  <c r="X33" i="2"/>
  <c r="W34" i="2"/>
  <c r="X34" i="2"/>
  <c r="W35" i="2"/>
  <c r="X35" i="2"/>
  <c r="W36" i="2"/>
  <c r="X36" i="2"/>
  <c r="W37" i="2"/>
  <c r="X37" i="2"/>
  <c r="W38" i="2"/>
  <c r="X38" i="2"/>
  <c r="W39" i="2"/>
  <c r="X39" i="2"/>
  <c r="W40" i="2"/>
  <c r="X40" i="2"/>
  <c r="W41" i="2"/>
  <c r="X41" i="2"/>
  <c r="W42" i="2"/>
  <c r="X42" i="2"/>
  <c r="W43" i="2"/>
  <c r="X43" i="2"/>
  <c r="W44" i="2"/>
  <c r="X44" i="2"/>
  <c r="W45" i="2"/>
  <c r="X45" i="2"/>
  <c r="W46" i="2"/>
  <c r="X46" i="2"/>
  <c r="W47" i="2"/>
  <c r="X47" i="2"/>
  <c r="W48" i="2"/>
  <c r="X48" i="2"/>
  <c r="W49" i="2"/>
  <c r="X49" i="2"/>
  <c r="W50" i="2"/>
  <c r="X50" i="2"/>
  <c r="W51" i="2"/>
  <c r="X51" i="2"/>
  <c r="W52" i="2"/>
  <c r="X52" i="2"/>
  <c r="W53" i="2"/>
  <c r="X53" i="2"/>
  <c r="W54" i="2"/>
  <c r="X54" i="2"/>
  <c r="W55" i="2"/>
  <c r="X55" i="2"/>
  <c r="W56" i="2"/>
  <c r="X56" i="2"/>
  <c r="W57" i="2"/>
  <c r="X57" i="2"/>
  <c r="W58" i="2"/>
  <c r="X58" i="2"/>
  <c r="W59" i="2"/>
  <c r="X59" i="2"/>
  <c r="W60" i="2"/>
  <c r="X60" i="2"/>
  <c r="W61" i="2"/>
  <c r="X61" i="2"/>
  <c r="W62" i="2"/>
  <c r="X62" i="2"/>
  <c r="W63" i="2"/>
  <c r="X63" i="2"/>
  <c r="W64" i="2"/>
  <c r="X64" i="2"/>
  <c r="W65" i="2"/>
  <c r="X65" i="2"/>
  <c r="W66" i="2"/>
  <c r="X66" i="2"/>
  <c r="X2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2" i="2"/>
  <c r="L4" i="1"/>
  <c r="N6" i="1" l="1"/>
  <c r="O6" i="1"/>
  <c r="M6" i="1"/>
  <c r="N5" i="1"/>
  <c r="O5" i="1"/>
  <c r="M5" i="1"/>
  <c r="N4" i="1"/>
  <c r="O4" i="1"/>
  <c r="M4" i="1"/>
  <c r="K6" i="1"/>
  <c r="L6" i="1"/>
  <c r="J6" i="1"/>
  <c r="K5" i="1"/>
  <c r="L5" i="1"/>
  <c r="J5" i="1"/>
  <c r="K4" i="1"/>
  <c r="J4" i="1"/>
  <c r="N3" i="1"/>
  <c r="O3" i="1"/>
  <c r="M3" i="1"/>
  <c r="L3" i="1"/>
  <c r="K3" i="1"/>
  <c r="J3" i="1"/>
</calcChain>
</file>

<file path=xl/sharedStrings.xml><?xml version="1.0" encoding="utf-8"?>
<sst xmlns="http://schemas.openxmlformats.org/spreadsheetml/2006/main" count="523" uniqueCount="17">
  <si>
    <t>Extension</t>
  </si>
  <si>
    <t>Core</t>
  </si>
  <si>
    <t>Year</t>
  </si>
  <si>
    <t>Density</t>
  </si>
  <si>
    <t>Calcification</t>
  </si>
  <si>
    <t>VAR1</t>
  </si>
  <si>
    <t>VAR2</t>
  </si>
  <si>
    <t>VAR3</t>
  </si>
  <si>
    <t>VAR4</t>
  </si>
  <si>
    <t>Mean</t>
  </si>
  <si>
    <t>Specimen</t>
  </si>
  <si>
    <t>Time span</t>
  </si>
  <si>
    <t>n</t>
  </si>
  <si>
    <t>1982-2015</t>
  </si>
  <si>
    <t>1951-2015</t>
  </si>
  <si>
    <t>1942-2015</t>
  </si>
  <si>
    <t>1950-2015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</si>
</sst>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2" xfId="0" applyFont="1" applyBorder="1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051E-5AD9-49A4-B036-CA0D2592AD18}">
  <dimension ref="A1:O240"/>
  <sheetViews>
    <sheetView workbookViewId="0">
      <selection activeCell="E20" sqref="E20"/>
    </sheetView>
  </sheetViews>
  <sheetFormatPr baseColWidth="10" defaultRowHeight="14.4" x14ac:dyDescent="0.3"/>
  <cols>
    <col min="1" max="1" width="11.5546875" customWidth="1"/>
    <col min="3" max="5" width="12.5546875" bestFit="1" customWidth="1"/>
    <col min="9" max="9" width="4.77734375" customWidth="1"/>
    <col min="10" max="10" width="8.6640625" customWidth="1"/>
    <col min="11" max="11" width="9.5546875" customWidth="1"/>
    <col min="12" max="12" width="11" customWidth="1"/>
    <col min="13" max="13" width="5.44140625" customWidth="1"/>
    <col min="14" max="14" width="5.21875" customWidth="1"/>
    <col min="15" max="15" width="5.5546875" customWidth="1"/>
  </cols>
  <sheetData>
    <row r="1" spans="1:15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</row>
    <row r="2" spans="1:15" x14ac:dyDescent="0.3">
      <c r="A2" t="s">
        <v>5</v>
      </c>
      <c r="B2">
        <v>2015</v>
      </c>
      <c r="C2" s="1">
        <v>0.68516075480084349</v>
      </c>
      <c r="D2" s="1">
        <v>1.4472000000000003</v>
      </c>
      <c r="E2" s="1">
        <v>0.99156464434778091</v>
      </c>
      <c r="G2" s="3" t="s">
        <v>10</v>
      </c>
      <c r="H2" s="3" t="s">
        <v>11</v>
      </c>
      <c r="I2" s="3" t="s">
        <v>12</v>
      </c>
      <c r="J2" s="3" t="s">
        <v>3</v>
      </c>
      <c r="K2" s="3" t="s">
        <v>0</v>
      </c>
      <c r="L2" s="3" t="s">
        <v>4</v>
      </c>
    </row>
    <row r="3" spans="1:15" x14ac:dyDescent="0.3">
      <c r="A3" t="s">
        <v>5</v>
      </c>
      <c r="B3">
        <v>2014</v>
      </c>
      <c r="C3" s="1">
        <v>0.64420237085499898</v>
      </c>
      <c r="D3" s="1">
        <v>1.6300000000000003</v>
      </c>
      <c r="E3" s="1">
        <v>1.0500498644936485</v>
      </c>
      <c r="G3" t="s">
        <v>5</v>
      </c>
      <c r="H3" t="s">
        <v>13</v>
      </c>
      <c r="I3">
        <v>34</v>
      </c>
      <c r="J3" s="2">
        <f>AVERAGE(C2:C35)</f>
        <v>0.69196932608459405</v>
      </c>
      <c r="K3" s="2">
        <f>AVERAGE(D2:D35)</f>
        <v>1.3323832352941807</v>
      </c>
      <c r="L3" s="2">
        <f>AVERAGE(E2:E35)</f>
        <v>0.91393331885473006</v>
      </c>
      <c r="M3">
        <f>_xlfn.STDEV.S(C2:C35)</f>
        <v>8.4329861293706398E-2</v>
      </c>
      <c r="N3">
        <f t="shared" ref="N3:O3" si="0">_xlfn.STDEV.S(D2:D35)</f>
        <v>0.34926140400217981</v>
      </c>
      <c r="O3">
        <f t="shared" si="0"/>
        <v>0.23690114609834975</v>
      </c>
    </row>
    <row r="4" spans="1:15" x14ac:dyDescent="0.3">
      <c r="A4" t="s">
        <v>5</v>
      </c>
      <c r="B4">
        <v>2013</v>
      </c>
      <c r="C4" s="1">
        <v>0.61752516082970488</v>
      </c>
      <c r="D4" s="1">
        <v>1.63</v>
      </c>
      <c r="E4" s="1">
        <v>1.0065660121524189</v>
      </c>
      <c r="G4" t="s">
        <v>6</v>
      </c>
      <c r="H4" t="s">
        <v>14</v>
      </c>
      <c r="I4">
        <v>65</v>
      </c>
      <c r="J4" s="2">
        <f>AVERAGE(C36:C100)</f>
        <v>0.73483733407675444</v>
      </c>
      <c r="K4" s="2">
        <f t="shared" ref="K4" si="1">AVERAGE(D36:D100)</f>
        <v>1.0353561538461606</v>
      </c>
      <c r="L4" s="2">
        <f>AVERAGE(E36:E100)</f>
        <v>0.76623603743180901</v>
      </c>
      <c r="M4">
        <f>_xlfn.STDEV.S(C36:C100)</f>
        <v>0.13832799423954362</v>
      </c>
      <c r="N4">
        <f t="shared" ref="N4:O4" si="2">_xlfn.STDEV.S(D36:D100)</f>
        <v>0.20441029769874439</v>
      </c>
      <c r="O4">
        <f t="shared" si="2"/>
        <v>0.21918403279752907</v>
      </c>
    </row>
    <row r="5" spans="1:15" x14ac:dyDescent="0.3">
      <c r="A5" t="s">
        <v>5</v>
      </c>
      <c r="B5">
        <v>2012</v>
      </c>
      <c r="C5" s="1">
        <v>0.61419012154780461</v>
      </c>
      <c r="D5" s="1">
        <v>1.9499999999999993</v>
      </c>
      <c r="E5" s="1">
        <v>1.1976707370182185</v>
      </c>
      <c r="G5" t="s">
        <v>7</v>
      </c>
      <c r="H5" t="s">
        <v>15</v>
      </c>
      <c r="I5">
        <v>74</v>
      </c>
      <c r="J5" s="2">
        <f>AVERAGE(C101:C174)</f>
        <v>0.80262653102557502</v>
      </c>
      <c r="K5" s="2">
        <f t="shared" ref="K5:L5" si="3">AVERAGE(D101:D174)</f>
        <v>0.91368668918919971</v>
      </c>
      <c r="L5" s="2">
        <f t="shared" si="3"/>
        <v>0.735439812538763</v>
      </c>
      <c r="M5">
        <f>_xlfn.STDEV.S(C101:C174)</f>
        <v>0.12116640267773907</v>
      </c>
      <c r="N5">
        <f t="shared" ref="N5:O5" si="4">_xlfn.STDEV.S(D101:D174)</f>
        <v>0.22282152232943719</v>
      </c>
      <c r="O5">
        <f t="shared" si="4"/>
        <v>0.22811427518755456</v>
      </c>
    </row>
    <row r="6" spans="1:15" x14ac:dyDescent="0.3">
      <c r="A6" t="s">
        <v>5</v>
      </c>
      <c r="B6">
        <v>2011</v>
      </c>
      <c r="C6" s="1">
        <v>0.4988369422880844</v>
      </c>
      <c r="D6" s="1">
        <v>1.3711000000000002</v>
      </c>
      <c r="E6" s="1">
        <v>0.68395533157119259</v>
      </c>
      <c r="G6" t="s">
        <v>8</v>
      </c>
      <c r="H6" t="s">
        <v>16</v>
      </c>
      <c r="I6">
        <v>66</v>
      </c>
      <c r="J6" s="2">
        <f>AVERAGE(C175:C240)</f>
        <v>0.6655105522959015</v>
      </c>
      <c r="K6" s="2">
        <f t="shared" ref="K6:L6" si="5">AVERAGE(D175:D240)</f>
        <v>1.0152280303030319</v>
      </c>
      <c r="L6" s="2">
        <f t="shared" si="5"/>
        <v>0.66761250672422112</v>
      </c>
      <c r="M6">
        <f>_xlfn.STDEV.S(C175:C240)</f>
        <v>0.12766299270621007</v>
      </c>
      <c r="N6">
        <f t="shared" ref="N6:O6" si="6">_xlfn.STDEV.S(D175:D240)</f>
        <v>0.20346213466066251</v>
      </c>
      <c r="O6">
        <f t="shared" si="6"/>
        <v>0.1526244346107945</v>
      </c>
    </row>
    <row r="7" spans="1:15" x14ac:dyDescent="0.3">
      <c r="A7" t="s">
        <v>5</v>
      </c>
      <c r="B7">
        <v>2010</v>
      </c>
      <c r="C7" s="1">
        <v>0.63175884013242101</v>
      </c>
      <c r="D7" s="1">
        <v>1.4930000000000003</v>
      </c>
      <c r="E7" s="1">
        <v>0.94321594831770472</v>
      </c>
      <c r="G7" s="4" t="s">
        <v>9</v>
      </c>
      <c r="H7" s="4" t="s">
        <v>14</v>
      </c>
      <c r="I7" s="4">
        <v>65</v>
      </c>
      <c r="J7" s="5">
        <f>AVERAGE(columns!V2:V75)</f>
        <v>0.72930473547212027</v>
      </c>
      <c r="K7" s="5">
        <f>AVERAGE(columns!W2:W75)</f>
        <v>1.024846089743602</v>
      </c>
      <c r="L7" s="5">
        <f>AVERAGE(columns!X2:X75)</f>
        <v>0.74248896711320889</v>
      </c>
      <c r="M7" s="2">
        <f>_xlfn.STDEV.S(columns!V2:V75)</f>
        <v>7.1060726118322384E-2</v>
      </c>
      <c r="N7" s="2">
        <f>_xlfn.STDEV.S(columns!W2:W75)</f>
        <v>0.13167441867303342</v>
      </c>
      <c r="O7" s="2">
        <f>_xlfn.STDEV.S(columns!X2:X75)</f>
        <v>0.10151211574935473</v>
      </c>
    </row>
    <row r="8" spans="1:15" x14ac:dyDescent="0.3">
      <c r="A8" t="s">
        <v>5</v>
      </c>
      <c r="B8">
        <v>2009</v>
      </c>
      <c r="C8" s="1">
        <v>0.56872467451258357</v>
      </c>
      <c r="D8" s="1">
        <v>1.0968999999999998</v>
      </c>
      <c r="E8" s="1">
        <v>0.62383409547285273</v>
      </c>
    </row>
    <row r="9" spans="1:15" x14ac:dyDescent="0.3">
      <c r="A9" t="s">
        <v>5</v>
      </c>
      <c r="B9">
        <v>2008</v>
      </c>
      <c r="C9" s="1">
        <v>0.66884488872990155</v>
      </c>
      <c r="D9" s="1">
        <v>1.234</v>
      </c>
      <c r="E9" s="1">
        <v>0.82535459269269851</v>
      </c>
    </row>
    <row r="10" spans="1:15" x14ac:dyDescent="0.3">
      <c r="A10" t="s">
        <v>5</v>
      </c>
      <c r="B10">
        <v>2007</v>
      </c>
      <c r="C10" s="1">
        <v>0.64346527424406053</v>
      </c>
      <c r="D10" s="1">
        <v>1.4473000000000003</v>
      </c>
      <c r="E10" s="1">
        <v>0.93128729141342892</v>
      </c>
    </row>
    <row r="11" spans="1:15" x14ac:dyDescent="0.3">
      <c r="A11" t="s">
        <v>5</v>
      </c>
      <c r="B11">
        <v>2006</v>
      </c>
      <c r="C11" s="1">
        <v>0.70462818863201526</v>
      </c>
      <c r="D11" s="1">
        <v>0.79219999999999935</v>
      </c>
      <c r="E11" s="1">
        <v>0.55820645103428201</v>
      </c>
    </row>
    <row r="12" spans="1:15" x14ac:dyDescent="0.3">
      <c r="A12" t="s">
        <v>5</v>
      </c>
      <c r="B12">
        <v>2005</v>
      </c>
      <c r="C12" s="1">
        <v>0.64314227048131334</v>
      </c>
      <c r="D12" s="1">
        <v>2.011000000000001</v>
      </c>
      <c r="E12" s="1">
        <v>1.2933591059379217</v>
      </c>
    </row>
    <row r="13" spans="1:15" x14ac:dyDescent="0.3">
      <c r="A13" t="s">
        <v>5</v>
      </c>
      <c r="B13">
        <v>2004</v>
      </c>
      <c r="C13" s="1">
        <v>0.61592095412051839</v>
      </c>
      <c r="D13" s="1">
        <v>1.2491999999999983</v>
      </c>
      <c r="E13" s="1">
        <v>0.76940845588735052</v>
      </c>
    </row>
    <row r="14" spans="1:15" x14ac:dyDescent="0.3">
      <c r="A14" t="s">
        <v>5</v>
      </c>
      <c r="B14">
        <v>2003</v>
      </c>
      <c r="C14" s="1">
        <v>0.63199033945172534</v>
      </c>
      <c r="D14" s="1">
        <v>1.1730000000000018</v>
      </c>
      <c r="E14" s="1">
        <v>0.74132466817687492</v>
      </c>
    </row>
    <row r="15" spans="1:15" x14ac:dyDescent="0.3">
      <c r="A15" t="s">
        <v>5</v>
      </c>
      <c r="B15">
        <v>2002</v>
      </c>
      <c r="C15" s="1">
        <v>0.67841986217550831</v>
      </c>
      <c r="D15" s="1">
        <v>1.3101999999999983</v>
      </c>
      <c r="E15" s="1">
        <v>0.88886570342234983</v>
      </c>
    </row>
    <row r="16" spans="1:15" x14ac:dyDescent="0.3">
      <c r="A16" t="s">
        <v>5</v>
      </c>
      <c r="B16">
        <v>2001</v>
      </c>
      <c r="C16" s="1">
        <v>0.68850185521429286</v>
      </c>
      <c r="D16" s="1">
        <v>1.9194999999999993</v>
      </c>
      <c r="E16" s="1">
        <v>1.3215793110838348</v>
      </c>
    </row>
    <row r="17" spans="1:5" x14ac:dyDescent="0.3">
      <c r="A17" t="s">
        <v>5</v>
      </c>
      <c r="B17">
        <v>2000</v>
      </c>
      <c r="C17" s="1">
        <v>0.62470719277071884</v>
      </c>
      <c r="D17" s="1">
        <v>1.5234000000000023</v>
      </c>
      <c r="E17" s="1">
        <v>0.95167893746691457</v>
      </c>
    </row>
    <row r="18" spans="1:5" x14ac:dyDescent="0.3">
      <c r="A18" t="s">
        <v>5</v>
      </c>
      <c r="B18">
        <v>1999</v>
      </c>
      <c r="C18" s="1">
        <v>0.70055476321953836</v>
      </c>
      <c r="D18" s="1">
        <v>1.7061999999999991</v>
      </c>
      <c r="E18" s="1">
        <v>1.1952865370051757</v>
      </c>
    </row>
    <row r="19" spans="1:5" x14ac:dyDescent="0.3">
      <c r="A19" t="s">
        <v>5</v>
      </c>
      <c r="B19">
        <v>1998</v>
      </c>
      <c r="C19" s="1">
        <v>0.6600458248145854</v>
      </c>
      <c r="D19" s="1">
        <v>1.4316299999999167</v>
      </c>
      <c r="E19" s="1">
        <v>0.94494140417924988</v>
      </c>
    </row>
    <row r="20" spans="1:5" x14ac:dyDescent="0.3">
      <c r="A20" t="s">
        <v>5</v>
      </c>
      <c r="B20">
        <v>1997</v>
      </c>
      <c r="C20" s="1">
        <v>0.65863837292458283</v>
      </c>
      <c r="D20" s="1">
        <v>0.92902999999993696</v>
      </c>
      <c r="E20" s="1">
        <v>0.61189480759808368</v>
      </c>
    </row>
    <row r="21" spans="1:5" x14ac:dyDescent="0.3">
      <c r="A21" t="s">
        <v>5</v>
      </c>
      <c r="B21">
        <v>1996</v>
      </c>
      <c r="C21" s="1">
        <v>0.62495721684407146</v>
      </c>
      <c r="D21" s="1">
        <v>1.4620799999999008</v>
      </c>
      <c r="E21" s="1">
        <v>0.91373744760331799</v>
      </c>
    </row>
    <row r="22" spans="1:5" x14ac:dyDescent="0.3">
      <c r="A22" t="s">
        <v>5</v>
      </c>
      <c r="B22">
        <v>1995</v>
      </c>
      <c r="C22" s="1">
        <v>0.76493760761763485</v>
      </c>
      <c r="D22" s="1">
        <v>1.0813299999999266</v>
      </c>
      <c r="E22" s="1">
        <v>0.82714998324512101</v>
      </c>
    </row>
    <row r="23" spans="1:5" x14ac:dyDescent="0.3">
      <c r="A23" t="s">
        <v>5</v>
      </c>
      <c r="B23">
        <v>1994</v>
      </c>
      <c r="C23" s="1">
        <v>0.76138875784810711</v>
      </c>
      <c r="D23" s="1">
        <v>1.2793200000001228</v>
      </c>
      <c r="E23" s="1">
        <v>0.97405986569033387</v>
      </c>
    </row>
    <row r="24" spans="1:5" x14ac:dyDescent="0.3">
      <c r="A24" t="s">
        <v>5</v>
      </c>
      <c r="B24">
        <v>1993</v>
      </c>
      <c r="C24" s="1">
        <v>0.70068539995430679</v>
      </c>
      <c r="D24" s="1">
        <v>1.3554700000002242</v>
      </c>
      <c r="E24" s="1">
        <v>0.94975803907622136</v>
      </c>
    </row>
    <row r="25" spans="1:5" x14ac:dyDescent="0.3">
      <c r="A25" t="s">
        <v>5</v>
      </c>
      <c r="B25">
        <v>1992</v>
      </c>
      <c r="C25" s="1">
        <v>0.72845399828482826</v>
      </c>
      <c r="D25" s="1">
        <v>1.3707000000002267</v>
      </c>
      <c r="E25" s="1">
        <v>0.99849189544917927</v>
      </c>
    </row>
    <row r="26" spans="1:5" x14ac:dyDescent="0.3">
      <c r="A26" t="s">
        <v>5</v>
      </c>
      <c r="B26">
        <v>1991</v>
      </c>
      <c r="C26" s="1">
        <v>0.78127200406874742</v>
      </c>
      <c r="D26" s="1">
        <v>1.1574800000001915</v>
      </c>
      <c r="E26" s="1">
        <v>0.90430671926964334</v>
      </c>
    </row>
    <row r="27" spans="1:5" x14ac:dyDescent="0.3">
      <c r="A27" t="s">
        <v>5</v>
      </c>
      <c r="B27">
        <v>1990</v>
      </c>
      <c r="C27" s="1">
        <v>0.75557288227660302</v>
      </c>
      <c r="D27" s="1">
        <v>1.1422500000001889</v>
      </c>
      <c r="E27" s="1">
        <v>0.8630531247805926</v>
      </c>
    </row>
    <row r="28" spans="1:5" x14ac:dyDescent="0.3">
      <c r="A28" t="s">
        <v>5</v>
      </c>
      <c r="B28">
        <v>1989</v>
      </c>
      <c r="C28" s="1">
        <v>0.60147413784412451</v>
      </c>
      <c r="D28" s="1">
        <v>0.80719000000013352</v>
      </c>
      <c r="E28" s="1">
        <v>0.48550390932647919</v>
      </c>
    </row>
    <row r="29" spans="1:5" x14ac:dyDescent="0.3">
      <c r="A29" t="s">
        <v>5</v>
      </c>
      <c r="B29">
        <v>1988</v>
      </c>
      <c r="C29" s="1">
        <v>0.76226637929128449</v>
      </c>
      <c r="D29" s="1">
        <v>1.7362200000002872</v>
      </c>
      <c r="E29" s="1">
        <v>1.3234621330533329</v>
      </c>
    </row>
    <row r="30" spans="1:5" x14ac:dyDescent="0.3">
      <c r="A30" t="s">
        <v>5</v>
      </c>
      <c r="B30">
        <v>1987</v>
      </c>
      <c r="C30" s="1">
        <v>0.79306361067364506</v>
      </c>
      <c r="D30" s="1">
        <v>0.62443000000010329</v>
      </c>
      <c r="E30" s="1">
        <v>0.49521271041302611</v>
      </c>
    </row>
    <row r="31" spans="1:5" x14ac:dyDescent="0.3">
      <c r="A31" t="s">
        <v>5</v>
      </c>
      <c r="B31">
        <v>1986</v>
      </c>
      <c r="C31" s="1">
        <v>0.74093721810166024</v>
      </c>
      <c r="D31" s="1">
        <v>1.8428300000003048</v>
      </c>
      <c r="E31" s="1">
        <v>1.3654213336345085</v>
      </c>
    </row>
    <row r="32" spans="1:5" x14ac:dyDescent="0.3">
      <c r="A32" t="s">
        <v>5</v>
      </c>
      <c r="B32">
        <v>1985</v>
      </c>
      <c r="C32" s="1">
        <v>0.91683388290840029</v>
      </c>
      <c r="D32" s="1">
        <v>1.2945500000002141</v>
      </c>
      <c r="E32" s="1">
        <v>1.1868873031192659</v>
      </c>
    </row>
    <row r="33" spans="1:5" x14ac:dyDescent="0.3">
      <c r="A33" t="s">
        <v>5</v>
      </c>
      <c r="B33">
        <v>1984</v>
      </c>
      <c r="C33" s="1">
        <v>0.80486669348556328</v>
      </c>
      <c r="D33" s="1">
        <v>1.0965600000001814</v>
      </c>
      <c r="E33" s="1">
        <v>0.88258462140867522</v>
      </c>
    </row>
    <row r="34" spans="1:5" x14ac:dyDescent="0.3">
      <c r="A34" t="s">
        <v>5</v>
      </c>
      <c r="B34">
        <v>1983</v>
      </c>
      <c r="C34" s="1">
        <v>0.80811610157442026</v>
      </c>
      <c r="D34" s="1">
        <v>0.8681100000001436</v>
      </c>
      <c r="E34" s="1">
        <v>0.70153366893788605</v>
      </c>
    </row>
    <row r="35" spans="1:5" x14ac:dyDescent="0.3">
      <c r="A35" t="s">
        <v>5</v>
      </c>
      <c r="B35">
        <v>1982</v>
      </c>
      <c r="C35" s="1">
        <v>0.80287254435759992</v>
      </c>
      <c r="D35" s="1">
        <v>0.83765000000013856</v>
      </c>
      <c r="E35" s="1">
        <v>0.67252618678125486</v>
      </c>
    </row>
    <row r="36" spans="1:5" x14ac:dyDescent="0.3">
      <c r="A36" t="s">
        <v>6</v>
      </c>
      <c r="B36">
        <v>2015</v>
      </c>
      <c r="C36" s="1">
        <v>0.61826624255645168</v>
      </c>
      <c r="D36" s="1">
        <v>0.86139999999999972</v>
      </c>
      <c r="E36" s="1">
        <v>0.53257454133812732</v>
      </c>
    </row>
    <row r="37" spans="1:5" x14ac:dyDescent="0.3">
      <c r="A37" t="s">
        <v>6</v>
      </c>
      <c r="B37">
        <v>2014</v>
      </c>
      <c r="C37" s="1">
        <v>0.64569230055696591</v>
      </c>
      <c r="D37" s="1">
        <v>1.5382999999999998</v>
      </c>
      <c r="E37" s="1">
        <v>1.0090895711487804</v>
      </c>
    </row>
    <row r="38" spans="1:5" x14ac:dyDescent="0.3">
      <c r="A38" t="s">
        <v>6</v>
      </c>
      <c r="B38">
        <v>2013</v>
      </c>
      <c r="C38" s="1">
        <v>0.57526658898284655</v>
      </c>
      <c r="D38" s="1">
        <v>1.3536499999999996</v>
      </c>
      <c r="E38" s="1">
        <v>0.76657250770141994</v>
      </c>
    </row>
    <row r="39" spans="1:5" x14ac:dyDescent="0.3">
      <c r="A39" t="s">
        <v>6</v>
      </c>
      <c r="B39">
        <v>2012</v>
      </c>
      <c r="C39" s="1">
        <v>0.51892141838754657</v>
      </c>
      <c r="D39" s="1">
        <v>0.9845000000000006</v>
      </c>
      <c r="E39" s="1">
        <v>0.53274885587988385</v>
      </c>
    </row>
    <row r="40" spans="1:5" x14ac:dyDescent="0.3">
      <c r="A40" t="s">
        <v>6</v>
      </c>
      <c r="B40">
        <v>2011</v>
      </c>
      <c r="C40" s="1">
        <v>0.61377614193891739</v>
      </c>
      <c r="D40" s="1">
        <v>0.92300000000000093</v>
      </c>
      <c r="E40" s="1">
        <v>0.54661248434118581</v>
      </c>
    </row>
    <row r="41" spans="1:5" x14ac:dyDescent="0.3">
      <c r="A41" t="s">
        <v>6</v>
      </c>
      <c r="B41">
        <v>2010</v>
      </c>
      <c r="C41" s="1">
        <v>0.74819628346308675</v>
      </c>
      <c r="D41" s="1">
        <v>0.79985000000000017</v>
      </c>
      <c r="E41" s="1">
        <v>0.59346543125775031</v>
      </c>
    </row>
    <row r="42" spans="1:5" x14ac:dyDescent="0.3">
      <c r="A42" t="s">
        <v>6</v>
      </c>
      <c r="B42">
        <v>2009</v>
      </c>
      <c r="C42" s="1">
        <v>0.65715558406044816</v>
      </c>
      <c r="D42" s="1">
        <v>0.76909999999999989</v>
      </c>
      <c r="E42" s="1">
        <v>0.50735544257476473</v>
      </c>
    </row>
    <row r="43" spans="1:5" x14ac:dyDescent="0.3">
      <c r="A43" t="s">
        <v>6</v>
      </c>
      <c r="B43">
        <v>2008</v>
      </c>
      <c r="C43" s="1">
        <v>0.67840809448974282</v>
      </c>
      <c r="D43" s="1">
        <v>1.2613999999999992</v>
      </c>
      <c r="E43" s="1">
        <v>0.86982506766241463</v>
      </c>
    </row>
    <row r="44" spans="1:5" x14ac:dyDescent="0.3">
      <c r="A44" t="s">
        <v>6</v>
      </c>
      <c r="B44">
        <v>2007</v>
      </c>
      <c r="C44" s="1">
        <v>0.65501788309176101</v>
      </c>
      <c r="D44" s="1">
        <v>1.0460499999999993</v>
      </c>
      <c r="E44" s="1">
        <v>0.67909473902468953</v>
      </c>
    </row>
    <row r="45" spans="1:5" x14ac:dyDescent="0.3">
      <c r="A45" t="s">
        <v>6</v>
      </c>
      <c r="B45">
        <v>2006</v>
      </c>
      <c r="C45" s="1">
        <v>0.6845389978120936</v>
      </c>
      <c r="D45" s="1">
        <v>1.1690500000000004</v>
      </c>
      <c r="E45" s="1">
        <v>0.80458147587201401</v>
      </c>
    </row>
    <row r="46" spans="1:5" x14ac:dyDescent="0.3">
      <c r="A46" t="s">
        <v>6</v>
      </c>
      <c r="B46">
        <v>2005</v>
      </c>
      <c r="C46" s="1">
        <v>0.71589704733561366</v>
      </c>
      <c r="D46" s="1">
        <v>1.1075500000000007</v>
      </c>
      <c r="E46" s="1">
        <v>0.78300006651697984</v>
      </c>
    </row>
    <row r="47" spans="1:5" x14ac:dyDescent="0.3">
      <c r="A47" t="s">
        <v>6</v>
      </c>
      <c r="B47">
        <v>2004</v>
      </c>
      <c r="C47" s="1">
        <v>0.62225655958704973</v>
      </c>
      <c r="D47" s="1">
        <v>0.95375000000000032</v>
      </c>
      <c r="E47" s="1">
        <v>0.57665741130969561</v>
      </c>
    </row>
    <row r="48" spans="1:5" x14ac:dyDescent="0.3">
      <c r="A48" t="s">
        <v>6</v>
      </c>
      <c r="B48">
        <v>2003</v>
      </c>
      <c r="C48" s="1">
        <v>0.54959937264975833</v>
      </c>
      <c r="D48" s="1">
        <v>1.2306500000000025</v>
      </c>
      <c r="E48" s="1">
        <v>0.68592308708048333</v>
      </c>
    </row>
    <row r="49" spans="1:5" x14ac:dyDescent="0.3">
      <c r="A49" t="s">
        <v>6</v>
      </c>
      <c r="B49">
        <v>2002</v>
      </c>
      <c r="C49" s="1">
        <v>0.47976431786340634</v>
      </c>
      <c r="D49" s="1">
        <v>1.3537000000000008</v>
      </c>
      <c r="E49" s="1">
        <v>0.64512452118904084</v>
      </c>
    </row>
    <row r="50" spans="1:5" x14ac:dyDescent="0.3">
      <c r="A50" t="s">
        <v>6</v>
      </c>
      <c r="B50">
        <v>2001</v>
      </c>
      <c r="C50" s="1">
        <v>0.59815422903421167</v>
      </c>
      <c r="D50" s="1">
        <v>0.76914999999999978</v>
      </c>
      <c r="E50" s="1">
        <v>0.45457392439469047</v>
      </c>
    </row>
    <row r="51" spans="1:5" x14ac:dyDescent="0.3">
      <c r="A51" t="s">
        <v>6</v>
      </c>
      <c r="B51">
        <v>2000</v>
      </c>
      <c r="C51" s="1">
        <v>0.69591070088890672</v>
      </c>
      <c r="D51" s="1">
        <v>1.3229500000000005</v>
      </c>
      <c r="E51" s="1">
        <v>0.98044872201187827</v>
      </c>
    </row>
    <row r="52" spans="1:5" x14ac:dyDescent="0.3">
      <c r="A52" t="s">
        <v>6</v>
      </c>
      <c r="B52">
        <v>1999</v>
      </c>
      <c r="C52" s="1">
        <v>0.60405952334951984</v>
      </c>
      <c r="D52" s="1">
        <v>0.92295000000000016</v>
      </c>
      <c r="E52" s="1">
        <v>0.5688426062547991</v>
      </c>
    </row>
    <row r="53" spans="1:5" x14ac:dyDescent="0.3">
      <c r="A53" t="s">
        <v>6</v>
      </c>
      <c r="B53">
        <v>1998</v>
      </c>
      <c r="C53" s="1">
        <v>0.53454276195179018</v>
      </c>
      <c r="D53" s="1">
        <v>1.3229500000000005</v>
      </c>
      <c r="E53" s="1">
        <v>0.7079827845566643</v>
      </c>
    </row>
    <row r="54" spans="1:5" x14ac:dyDescent="0.3">
      <c r="A54" t="s">
        <v>6</v>
      </c>
      <c r="B54">
        <v>1997</v>
      </c>
      <c r="C54" s="1">
        <v>0.55737698402762337</v>
      </c>
      <c r="D54" s="1">
        <v>1.0152999999999981</v>
      </c>
      <c r="E54" s="1">
        <v>0.56754457843994666</v>
      </c>
    </row>
    <row r="55" spans="1:5" x14ac:dyDescent="0.3">
      <c r="A55" t="s">
        <v>6</v>
      </c>
      <c r="B55">
        <v>1996</v>
      </c>
      <c r="C55" s="1">
        <v>0.60248732314532139</v>
      </c>
      <c r="D55" s="1">
        <v>1.1998499999999996</v>
      </c>
      <c r="E55" s="1">
        <v>0.73042642307553118</v>
      </c>
    </row>
    <row r="56" spans="1:5" x14ac:dyDescent="0.3">
      <c r="A56" t="s">
        <v>6</v>
      </c>
      <c r="B56">
        <v>1995</v>
      </c>
      <c r="C56" s="1">
        <v>0.74133274128759408</v>
      </c>
      <c r="D56" s="1">
        <v>1.01525</v>
      </c>
      <c r="E56" s="1">
        <v>0.74221923116165744</v>
      </c>
    </row>
    <row r="57" spans="1:5" x14ac:dyDescent="0.3">
      <c r="A57" t="s">
        <v>6</v>
      </c>
      <c r="B57">
        <v>1994</v>
      </c>
      <c r="C57" s="1">
        <v>0.91691216473193526</v>
      </c>
      <c r="D57" s="1">
        <v>0.98449999999999704</v>
      </c>
      <c r="E57" s="1">
        <v>0.88079251201418152</v>
      </c>
    </row>
    <row r="58" spans="1:5" x14ac:dyDescent="0.3">
      <c r="A58" t="s">
        <v>6</v>
      </c>
      <c r="B58">
        <v>1993</v>
      </c>
      <c r="C58" s="1">
        <v>0.76749040592229756</v>
      </c>
      <c r="D58" s="1">
        <v>0.83070000000000199</v>
      </c>
      <c r="E58" s="1">
        <v>0.63955688640168196</v>
      </c>
    </row>
    <row r="59" spans="1:5" x14ac:dyDescent="0.3">
      <c r="A59" t="s">
        <v>6</v>
      </c>
      <c r="B59">
        <v>1992</v>
      </c>
      <c r="C59" s="1">
        <v>0.64267102207842819</v>
      </c>
      <c r="D59" s="1">
        <v>0.67684999999999995</v>
      </c>
      <c r="E59" s="1">
        <v>0.43499455444849533</v>
      </c>
    </row>
    <row r="60" spans="1:5" x14ac:dyDescent="0.3">
      <c r="A60" t="s">
        <v>6</v>
      </c>
      <c r="B60">
        <v>1991</v>
      </c>
      <c r="C60" s="1">
        <v>0.60191129171930791</v>
      </c>
      <c r="D60" s="1">
        <v>0.67684999999999818</v>
      </c>
      <c r="E60" s="1">
        <v>0.42087791896779247</v>
      </c>
    </row>
    <row r="61" spans="1:5" x14ac:dyDescent="0.3">
      <c r="A61" t="s">
        <v>6</v>
      </c>
      <c r="B61">
        <v>1990</v>
      </c>
      <c r="C61" s="1">
        <v>0.60608975170053259</v>
      </c>
      <c r="D61" s="1">
        <v>1.1691000000000003</v>
      </c>
      <c r="E61" s="1">
        <v>0.70857952871309249</v>
      </c>
    </row>
    <row r="62" spans="1:5" x14ac:dyDescent="0.3">
      <c r="A62" t="s">
        <v>6</v>
      </c>
      <c r="B62">
        <v>1989</v>
      </c>
      <c r="C62" s="1">
        <v>0.58451913989618953</v>
      </c>
      <c r="D62" s="1">
        <v>0.70754999999999946</v>
      </c>
      <c r="E62" s="1">
        <v>0.38331467622569965</v>
      </c>
    </row>
    <row r="63" spans="1:5" x14ac:dyDescent="0.3">
      <c r="A63" t="s">
        <v>6</v>
      </c>
      <c r="B63">
        <v>1988</v>
      </c>
      <c r="C63" s="1">
        <v>0.52261711218186346</v>
      </c>
      <c r="D63" s="1">
        <v>0.92295000000000194</v>
      </c>
      <c r="E63" s="1">
        <v>0.49827720647785534</v>
      </c>
    </row>
    <row r="64" spans="1:5" x14ac:dyDescent="0.3">
      <c r="A64" t="s">
        <v>6</v>
      </c>
      <c r="B64">
        <v>1987</v>
      </c>
      <c r="C64" s="1">
        <v>0.55030689828165269</v>
      </c>
      <c r="D64" s="1">
        <v>1.076400000000012</v>
      </c>
      <c r="E64" s="1">
        <v>0.59154951805883338</v>
      </c>
    </row>
    <row r="65" spans="1:5" x14ac:dyDescent="0.3">
      <c r="A65" t="s">
        <v>6</v>
      </c>
      <c r="B65">
        <v>1986</v>
      </c>
      <c r="C65" s="1">
        <v>0.69572265011782086</v>
      </c>
      <c r="D65" s="1">
        <v>0.67670000000000385</v>
      </c>
      <c r="E65" s="1">
        <v>0.48589332175633448</v>
      </c>
    </row>
    <row r="66" spans="1:5" x14ac:dyDescent="0.3">
      <c r="A66" t="s">
        <v>6</v>
      </c>
      <c r="B66">
        <v>1985</v>
      </c>
      <c r="C66" s="1">
        <v>0.79392222727547201</v>
      </c>
      <c r="D66" s="1">
        <v>0.83050000000000779</v>
      </c>
      <c r="E66" s="1">
        <v>0.77540454762132394</v>
      </c>
    </row>
    <row r="67" spans="1:5" x14ac:dyDescent="0.3">
      <c r="A67" t="s">
        <v>6</v>
      </c>
      <c r="B67">
        <v>1984</v>
      </c>
      <c r="C67" s="1">
        <v>0.6654122051999436</v>
      </c>
      <c r="D67" s="1">
        <v>0.79970000000000496</v>
      </c>
      <c r="E67" s="1">
        <v>0.55387888685753328</v>
      </c>
    </row>
    <row r="68" spans="1:5" x14ac:dyDescent="0.3">
      <c r="A68" t="s">
        <v>6</v>
      </c>
      <c r="B68">
        <v>1983</v>
      </c>
      <c r="C68" s="1">
        <v>0.76866075058219063</v>
      </c>
      <c r="D68" s="1">
        <v>0.8612500000000054</v>
      </c>
      <c r="E68" s="1">
        <v>0.71133204241418713</v>
      </c>
    </row>
    <row r="69" spans="1:5" x14ac:dyDescent="0.3">
      <c r="A69" t="s">
        <v>6</v>
      </c>
      <c r="B69">
        <v>1982</v>
      </c>
      <c r="C69" s="1">
        <v>0.76802462183885967</v>
      </c>
      <c r="D69" s="1">
        <v>0.83050000000000423</v>
      </c>
      <c r="E69" s="1">
        <v>0.65622899000483037</v>
      </c>
    </row>
    <row r="70" spans="1:5" x14ac:dyDescent="0.3">
      <c r="A70" t="s">
        <v>6</v>
      </c>
      <c r="B70">
        <v>1981</v>
      </c>
      <c r="C70" s="1">
        <v>0.88238869918918783</v>
      </c>
      <c r="D70" s="1">
        <v>1.4764500000000069</v>
      </c>
      <c r="E70" s="1">
        <v>1.4046179247433019</v>
      </c>
    </row>
    <row r="71" spans="1:5" x14ac:dyDescent="0.3">
      <c r="A71" t="s">
        <v>6</v>
      </c>
      <c r="B71">
        <v>1980</v>
      </c>
      <c r="C71" s="1">
        <v>0.86423416700091316</v>
      </c>
      <c r="D71" s="1">
        <v>1.0457000000000072</v>
      </c>
      <c r="E71" s="1">
        <v>0.87109419079340533</v>
      </c>
    </row>
    <row r="72" spans="1:5" x14ac:dyDescent="0.3">
      <c r="A72" t="s">
        <v>6</v>
      </c>
      <c r="B72">
        <v>1979</v>
      </c>
      <c r="C72" s="1">
        <v>0.81659445928667063</v>
      </c>
      <c r="D72" s="1">
        <v>1.0457000000000107</v>
      </c>
      <c r="E72" s="1">
        <v>0.82147586323326416</v>
      </c>
    </row>
    <row r="73" spans="1:5" x14ac:dyDescent="0.3">
      <c r="A73" t="s">
        <v>6</v>
      </c>
      <c r="B73">
        <v>1978</v>
      </c>
      <c r="C73" s="1">
        <v>0.96573299560200943</v>
      </c>
      <c r="D73" s="1">
        <v>1.1996000000000038</v>
      </c>
      <c r="E73" s="1">
        <v>1.1607863406363363</v>
      </c>
    </row>
    <row r="74" spans="1:5" x14ac:dyDescent="0.3">
      <c r="A74" t="s">
        <v>6</v>
      </c>
      <c r="B74">
        <v>1977</v>
      </c>
      <c r="C74" s="1">
        <v>0.91029411115037995</v>
      </c>
      <c r="D74" s="1">
        <v>0.83030000000001181</v>
      </c>
      <c r="E74" s="1">
        <v>0.74969729524898088</v>
      </c>
    </row>
    <row r="75" spans="1:5" x14ac:dyDescent="0.3">
      <c r="A75" t="s">
        <v>6</v>
      </c>
      <c r="B75">
        <v>1976</v>
      </c>
      <c r="C75" s="1">
        <v>0.88349843161035846</v>
      </c>
      <c r="D75" s="1">
        <v>1.0762500000000159</v>
      </c>
      <c r="E75" s="1">
        <v>0.94675935240949616</v>
      </c>
    </row>
    <row r="76" spans="1:5" x14ac:dyDescent="0.3">
      <c r="A76" t="s">
        <v>6</v>
      </c>
      <c r="B76">
        <v>1975</v>
      </c>
      <c r="C76" s="1">
        <v>0.86893447809268709</v>
      </c>
      <c r="D76" s="1">
        <v>1.0455000000000148</v>
      </c>
      <c r="E76" s="1">
        <v>0.90847099684591759</v>
      </c>
    </row>
    <row r="77" spans="1:5" x14ac:dyDescent="0.3">
      <c r="A77" t="s">
        <v>6</v>
      </c>
      <c r="B77">
        <v>1974</v>
      </c>
      <c r="C77" s="1">
        <v>1.0419176981666902</v>
      </c>
      <c r="D77" s="1">
        <v>1.0455000000000148</v>
      </c>
      <c r="E77" s="1">
        <v>1.192919919935111</v>
      </c>
    </row>
    <row r="78" spans="1:5" x14ac:dyDescent="0.3">
      <c r="A78" t="s">
        <v>6</v>
      </c>
      <c r="B78">
        <v>1973</v>
      </c>
      <c r="C78" s="1">
        <v>1.1644081362741523</v>
      </c>
      <c r="D78" s="1">
        <v>0.98400000000001242</v>
      </c>
      <c r="E78" s="1">
        <v>1.1457776060937812</v>
      </c>
    </row>
    <row r="79" spans="1:5" x14ac:dyDescent="0.3">
      <c r="A79" t="s">
        <v>6</v>
      </c>
      <c r="B79">
        <v>1972</v>
      </c>
      <c r="C79" s="1">
        <v>0.90072847875662587</v>
      </c>
      <c r="D79" s="1">
        <v>0.8302500000000137</v>
      </c>
      <c r="E79" s="1">
        <v>0.75003110122727135</v>
      </c>
    </row>
    <row r="80" spans="1:5" x14ac:dyDescent="0.3">
      <c r="A80" t="s">
        <v>6</v>
      </c>
      <c r="B80">
        <v>1971</v>
      </c>
      <c r="C80" s="1">
        <v>0.85406953566278654</v>
      </c>
      <c r="D80" s="1">
        <v>1.0455000000000148</v>
      </c>
      <c r="E80" s="1">
        <v>0.90411069035289593</v>
      </c>
    </row>
    <row r="81" spans="1:5" x14ac:dyDescent="0.3">
      <c r="A81" t="s">
        <v>6</v>
      </c>
      <c r="B81">
        <v>1970</v>
      </c>
      <c r="C81" s="1">
        <v>0.86759741578529048</v>
      </c>
      <c r="D81" s="1">
        <v>1.2300000000000182</v>
      </c>
      <c r="E81" s="1">
        <v>1.037037551615986</v>
      </c>
    </row>
    <row r="82" spans="1:5" x14ac:dyDescent="0.3">
      <c r="A82" t="s">
        <v>6</v>
      </c>
      <c r="B82">
        <v>1969</v>
      </c>
      <c r="C82" s="1">
        <v>0.78282949437071014</v>
      </c>
      <c r="D82" s="1">
        <v>0.92250000000001364</v>
      </c>
      <c r="E82" s="1">
        <v>0.74573948547449986</v>
      </c>
    </row>
    <row r="83" spans="1:5" x14ac:dyDescent="0.3">
      <c r="A83" t="s">
        <v>6</v>
      </c>
      <c r="B83">
        <v>1968</v>
      </c>
      <c r="C83" s="1">
        <v>0.81240493154126869</v>
      </c>
      <c r="D83" s="1">
        <v>0.92250000000001009</v>
      </c>
      <c r="E83" s="1">
        <v>0.72350098338134983</v>
      </c>
    </row>
    <row r="84" spans="1:5" x14ac:dyDescent="0.3">
      <c r="A84" t="s">
        <v>6</v>
      </c>
      <c r="B84">
        <v>1967</v>
      </c>
      <c r="C84" s="1">
        <v>0.77752196143556551</v>
      </c>
      <c r="D84" s="1">
        <v>0.95325000000001125</v>
      </c>
      <c r="E84" s="1">
        <v>0.71777299533270855</v>
      </c>
    </row>
    <row r="85" spans="1:5" x14ac:dyDescent="0.3">
      <c r="A85" t="s">
        <v>6</v>
      </c>
      <c r="B85">
        <v>1966</v>
      </c>
      <c r="C85" s="1">
        <v>0.73307292893477238</v>
      </c>
      <c r="D85" s="1">
        <v>1.1377500000000147</v>
      </c>
      <c r="E85" s="1">
        <v>0.8122184116684158</v>
      </c>
    </row>
    <row r="86" spans="1:5" x14ac:dyDescent="0.3">
      <c r="A86" t="s">
        <v>6</v>
      </c>
      <c r="B86">
        <v>1965</v>
      </c>
      <c r="C86" s="1">
        <v>0.66013972589681447</v>
      </c>
      <c r="D86" s="1">
        <v>0.92250000000001364</v>
      </c>
      <c r="E86" s="1">
        <v>0.60274765421289689</v>
      </c>
    </row>
    <row r="87" spans="1:5" x14ac:dyDescent="0.3">
      <c r="A87" t="s">
        <v>6</v>
      </c>
      <c r="B87">
        <v>1964</v>
      </c>
      <c r="C87" s="1">
        <v>0.65033474771932753</v>
      </c>
      <c r="D87" s="1">
        <v>1.0147500000000136</v>
      </c>
      <c r="E87" s="1">
        <v>0.64401216249822357</v>
      </c>
    </row>
    <row r="88" spans="1:5" x14ac:dyDescent="0.3">
      <c r="A88" t="s">
        <v>6</v>
      </c>
      <c r="B88">
        <v>1963</v>
      </c>
      <c r="C88" s="1">
        <v>0.81664784671890667</v>
      </c>
      <c r="D88" s="1">
        <v>1.0762500000000159</v>
      </c>
      <c r="E88" s="1">
        <v>0.8660029562787448</v>
      </c>
    </row>
    <row r="89" spans="1:5" x14ac:dyDescent="0.3">
      <c r="A89" t="s">
        <v>6</v>
      </c>
      <c r="B89">
        <v>1962</v>
      </c>
      <c r="C89" s="1">
        <v>0.94816725294691451</v>
      </c>
      <c r="D89" s="1">
        <v>1.1685000000000194</v>
      </c>
      <c r="E89" s="1">
        <v>1.0802203862631958</v>
      </c>
    </row>
    <row r="90" spans="1:5" x14ac:dyDescent="0.3">
      <c r="A90" t="s">
        <v>6</v>
      </c>
      <c r="B90">
        <v>1961</v>
      </c>
      <c r="C90" s="1">
        <v>0.9509120386641845</v>
      </c>
      <c r="D90" s="1">
        <v>1.3530000000000157</v>
      </c>
      <c r="E90" s="1">
        <v>1.2911927538522496</v>
      </c>
    </row>
    <row r="91" spans="1:5" x14ac:dyDescent="0.3">
      <c r="A91" t="s">
        <v>6</v>
      </c>
      <c r="B91">
        <v>1960</v>
      </c>
      <c r="C91" s="1">
        <v>0.7756487813045071</v>
      </c>
      <c r="D91" s="1">
        <v>1.1685000000000194</v>
      </c>
      <c r="E91" s="1">
        <v>0.88995711927943022</v>
      </c>
    </row>
    <row r="92" spans="1:5" x14ac:dyDescent="0.3">
      <c r="A92" t="s">
        <v>6</v>
      </c>
      <c r="B92">
        <v>1959</v>
      </c>
      <c r="C92" s="1">
        <v>0.85931304920909435</v>
      </c>
      <c r="D92" s="1">
        <v>1.3530000000000157</v>
      </c>
      <c r="E92" s="1">
        <v>1.1685352906170372</v>
      </c>
    </row>
    <row r="93" spans="1:5" x14ac:dyDescent="0.3">
      <c r="A93" t="s">
        <v>6</v>
      </c>
      <c r="B93">
        <v>1958</v>
      </c>
      <c r="C93" s="1">
        <v>0.69495741568664182</v>
      </c>
      <c r="D93" s="1">
        <v>0.98400000000001242</v>
      </c>
      <c r="E93" s="1">
        <v>0.68383809703566412</v>
      </c>
    </row>
    <row r="94" spans="1:5" x14ac:dyDescent="0.3">
      <c r="A94" t="s">
        <v>6</v>
      </c>
      <c r="B94">
        <v>1957</v>
      </c>
      <c r="C94" s="1">
        <v>0.75476225833748178</v>
      </c>
      <c r="D94" s="1">
        <v>0.86100000000001842</v>
      </c>
      <c r="E94" s="1">
        <v>0.64985030442858571</v>
      </c>
    </row>
    <row r="95" spans="1:5" x14ac:dyDescent="0.3">
      <c r="A95" t="s">
        <v>6</v>
      </c>
      <c r="B95">
        <v>1956</v>
      </c>
      <c r="C95" s="1">
        <v>0.71651219800935206</v>
      </c>
      <c r="D95" s="1">
        <v>1.1377500000000182</v>
      </c>
      <c r="E95" s="1">
        <v>0.83399752085881196</v>
      </c>
    </row>
    <row r="96" spans="1:5" x14ac:dyDescent="0.3">
      <c r="A96" t="s">
        <v>6</v>
      </c>
      <c r="B96">
        <v>1955</v>
      </c>
      <c r="C96" s="1">
        <v>0.736849402933895</v>
      </c>
      <c r="D96" s="1">
        <v>1.1377500000000111</v>
      </c>
      <c r="E96" s="1">
        <v>0.83453064234348162</v>
      </c>
    </row>
    <row r="97" spans="1:5" x14ac:dyDescent="0.3">
      <c r="A97" t="s">
        <v>6</v>
      </c>
      <c r="B97">
        <v>1954</v>
      </c>
      <c r="C97" s="1">
        <v>0.73111334533416827</v>
      </c>
      <c r="D97" s="1">
        <v>1.3837500000000134</v>
      </c>
      <c r="E97" s="1">
        <v>1.0117887869063482</v>
      </c>
    </row>
    <row r="98" spans="1:5" x14ac:dyDescent="0.3">
      <c r="A98" t="s">
        <v>6</v>
      </c>
      <c r="B98">
        <v>1953</v>
      </c>
      <c r="C98" s="1">
        <v>0.73017901647306982</v>
      </c>
      <c r="D98" s="1">
        <v>0.8302500000000137</v>
      </c>
      <c r="E98" s="1">
        <v>0.59257348872642435</v>
      </c>
    </row>
    <row r="99" spans="1:5" x14ac:dyDescent="0.3">
      <c r="A99" t="s">
        <v>6</v>
      </c>
      <c r="B99">
        <v>1952</v>
      </c>
      <c r="C99" s="1">
        <v>0.75909951924347085</v>
      </c>
      <c r="D99" s="1">
        <v>1.2300000000000182</v>
      </c>
      <c r="E99" s="1">
        <v>0.933692408669483</v>
      </c>
    </row>
    <row r="100" spans="1:5" x14ac:dyDescent="0.3">
      <c r="A100" t="s">
        <v>6</v>
      </c>
      <c r="B100">
        <v>1951</v>
      </c>
      <c r="C100" s="1">
        <v>0.87268085566399811</v>
      </c>
      <c r="D100" s="1">
        <v>0.92250000000001364</v>
      </c>
      <c r="E100" s="1">
        <v>0.80504808935005012</v>
      </c>
    </row>
    <row r="101" spans="1:5" x14ac:dyDescent="0.3">
      <c r="A101" t="s">
        <v>7</v>
      </c>
      <c r="B101">
        <v>2015</v>
      </c>
      <c r="C101" s="1">
        <v>0.98136432445887689</v>
      </c>
      <c r="D101" s="1">
        <v>0.67683500000000008</v>
      </c>
      <c r="E101" s="1">
        <v>0.65441332185316936</v>
      </c>
    </row>
    <row r="102" spans="1:5" x14ac:dyDescent="0.3">
      <c r="A102" t="s">
        <v>7</v>
      </c>
      <c r="B102">
        <v>2014</v>
      </c>
      <c r="C102" s="1">
        <v>0.75258523929622045</v>
      </c>
      <c r="D102" s="1">
        <v>0.9229500000000006</v>
      </c>
      <c r="E102" s="1">
        <v>0.74916116185465242</v>
      </c>
    </row>
    <row r="103" spans="1:5" x14ac:dyDescent="0.3">
      <c r="A103" t="s">
        <v>7</v>
      </c>
      <c r="B103">
        <v>2013</v>
      </c>
      <c r="C103" s="1">
        <v>0.70528640202187454</v>
      </c>
      <c r="D103" s="1">
        <v>0.52304999999999913</v>
      </c>
      <c r="E103" s="1">
        <v>0.37217135409926483</v>
      </c>
    </row>
    <row r="104" spans="1:5" x14ac:dyDescent="0.3">
      <c r="A104" t="s">
        <v>7</v>
      </c>
      <c r="B104">
        <v>2012</v>
      </c>
      <c r="C104" s="1">
        <v>0.83413083069902993</v>
      </c>
      <c r="D104" s="1">
        <v>0.52301999999999893</v>
      </c>
      <c r="E104" s="1">
        <v>0.43796569425870319</v>
      </c>
    </row>
    <row r="105" spans="1:5" x14ac:dyDescent="0.3">
      <c r="A105" t="s">
        <v>7</v>
      </c>
      <c r="B105">
        <v>2011</v>
      </c>
      <c r="C105" s="1">
        <v>1.1135077965447886</v>
      </c>
      <c r="D105" s="1">
        <v>0.70760499999999871</v>
      </c>
      <c r="E105" s="1">
        <v>0.83743763078268463</v>
      </c>
    </row>
    <row r="106" spans="1:5" x14ac:dyDescent="0.3">
      <c r="A106" t="s">
        <v>7</v>
      </c>
      <c r="B106">
        <v>2010</v>
      </c>
      <c r="C106" s="1">
        <v>0.85723376468972545</v>
      </c>
      <c r="D106" s="1">
        <v>0.73837999999999848</v>
      </c>
      <c r="E106" s="1">
        <v>0.63296342313565024</v>
      </c>
    </row>
    <row r="107" spans="1:5" x14ac:dyDescent="0.3">
      <c r="A107" t="s">
        <v>7</v>
      </c>
      <c r="B107">
        <v>2009</v>
      </c>
      <c r="C107" s="1">
        <v>0.76676624955614425</v>
      </c>
      <c r="D107" s="1">
        <v>0.7383999999999995</v>
      </c>
      <c r="E107" s="1">
        <v>0.56102507071263863</v>
      </c>
    </row>
    <row r="108" spans="1:5" x14ac:dyDescent="0.3">
      <c r="A108" t="s">
        <v>7</v>
      </c>
      <c r="B108">
        <v>2008</v>
      </c>
      <c r="C108" s="1">
        <v>0.69914532912846994</v>
      </c>
      <c r="D108" s="1">
        <v>0.49223500000000175</v>
      </c>
      <c r="E108" s="1">
        <v>0.34560138505290883</v>
      </c>
    </row>
    <row r="109" spans="1:5" x14ac:dyDescent="0.3">
      <c r="A109" t="s">
        <v>7</v>
      </c>
      <c r="B109">
        <v>2007</v>
      </c>
      <c r="C109" s="1">
        <v>0.68436046820977614</v>
      </c>
      <c r="D109" s="1">
        <v>0.86147000000000196</v>
      </c>
      <c r="E109" s="1">
        <v>0.58907401639327017</v>
      </c>
    </row>
    <row r="110" spans="1:5" x14ac:dyDescent="0.3">
      <c r="A110" t="s">
        <v>7</v>
      </c>
      <c r="B110">
        <v>2006</v>
      </c>
      <c r="C110" s="1">
        <v>0.83323335261291043</v>
      </c>
      <c r="D110" s="1">
        <v>0.67681500000000216</v>
      </c>
      <c r="E110" s="1">
        <v>0.56394255406246652</v>
      </c>
    </row>
    <row r="111" spans="1:5" x14ac:dyDescent="0.3">
      <c r="A111" t="s">
        <v>7</v>
      </c>
      <c r="B111">
        <v>2005</v>
      </c>
      <c r="C111" s="1">
        <v>0.77716948677305542</v>
      </c>
      <c r="D111" s="1">
        <v>1.2305900000000047</v>
      </c>
      <c r="E111" s="1">
        <v>0.90700774724120892</v>
      </c>
    </row>
    <row r="112" spans="1:5" x14ac:dyDescent="0.3">
      <c r="A112" t="s">
        <v>7</v>
      </c>
      <c r="B112">
        <v>2004</v>
      </c>
      <c r="C112" s="1">
        <v>0.69959442626080459</v>
      </c>
      <c r="D112" s="1">
        <v>0.52301000000000109</v>
      </c>
      <c r="E112" s="1">
        <v>0.32511268607341032</v>
      </c>
    </row>
    <row r="113" spans="1:5" x14ac:dyDescent="0.3">
      <c r="A113" t="s">
        <v>7</v>
      </c>
      <c r="B113">
        <v>2003</v>
      </c>
      <c r="C113" s="1">
        <v>0.59065026346580529</v>
      </c>
      <c r="D113" s="1">
        <v>0.7691400000000046</v>
      </c>
      <c r="E113" s="1">
        <v>0.44785491776285613</v>
      </c>
    </row>
    <row r="114" spans="1:5" x14ac:dyDescent="0.3">
      <c r="A114" t="s">
        <v>7</v>
      </c>
      <c r="B114">
        <v>2002</v>
      </c>
      <c r="C114" s="1">
        <v>0.64487084620311697</v>
      </c>
      <c r="D114" s="1">
        <v>0.98450000000000415</v>
      </c>
      <c r="E114" s="1">
        <v>0.59870257471001875</v>
      </c>
    </row>
    <row r="115" spans="1:5" x14ac:dyDescent="0.3">
      <c r="A115" t="s">
        <v>7</v>
      </c>
      <c r="B115">
        <v>2001</v>
      </c>
      <c r="C115" s="1">
        <v>0.56453557684710165</v>
      </c>
      <c r="D115" s="1">
        <v>0.79991500000000215</v>
      </c>
      <c r="E115" s="1">
        <v>0.45753407319870842</v>
      </c>
    </row>
    <row r="116" spans="1:5" x14ac:dyDescent="0.3">
      <c r="A116" t="s">
        <v>7</v>
      </c>
      <c r="B116">
        <v>2000</v>
      </c>
      <c r="C116" s="1">
        <v>0.69488594934551751</v>
      </c>
      <c r="D116" s="1">
        <v>0.83067999999999831</v>
      </c>
      <c r="E116" s="1">
        <v>0.57158629616924994</v>
      </c>
    </row>
    <row r="117" spans="1:5" x14ac:dyDescent="0.3">
      <c r="A117" t="s">
        <v>7</v>
      </c>
      <c r="B117">
        <v>1999</v>
      </c>
      <c r="C117" s="1">
        <v>0.7674605222316635</v>
      </c>
      <c r="D117" s="1">
        <v>0.98446999999999196</v>
      </c>
      <c r="E117" s="1">
        <v>0.75513241099696948</v>
      </c>
    </row>
    <row r="118" spans="1:5" x14ac:dyDescent="0.3">
      <c r="A118" t="s">
        <v>7</v>
      </c>
      <c r="B118">
        <v>1998</v>
      </c>
      <c r="C118" s="1">
        <v>0.85946627769751083</v>
      </c>
      <c r="D118" s="1">
        <v>0.61528499999999564</v>
      </c>
      <c r="E118" s="1">
        <v>0.54200702788059651</v>
      </c>
    </row>
    <row r="119" spans="1:5" x14ac:dyDescent="0.3">
      <c r="A119" t="s">
        <v>7</v>
      </c>
      <c r="B119">
        <v>1997</v>
      </c>
      <c r="C119" s="1">
        <v>0.91925493779757161</v>
      </c>
      <c r="D119" s="1">
        <v>0.86138499999999141</v>
      </c>
      <c r="E119" s="1">
        <v>0.73503447410960221</v>
      </c>
    </row>
    <row r="120" spans="1:5" x14ac:dyDescent="0.3">
      <c r="A120" t="s">
        <v>7</v>
      </c>
      <c r="B120">
        <v>1996</v>
      </c>
      <c r="C120" s="1">
        <v>0.93880927219406818</v>
      </c>
      <c r="D120" s="1">
        <v>0.70759999999999579</v>
      </c>
      <c r="E120" s="1">
        <v>0.67054371679209213</v>
      </c>
    </row>
    <row r="121" spans="1:5" x14ac:dyDescent="0.3">
      <c r="A121" t="s">
        <v>7</v>
      </c>
      <c r="B121">
        <v>1995</v>
      </c>
      <c r="C121" s="1">
        <v>0.90711328540909153</v>
      </c>
      <c r="D121" s="1">
        <v>0.86144999999999605</v>
      </c>
      <c r="E121" s="1">
        <v>0.79198828243394515</v>
      </c>
    </row>
    <row r="122" spans="1:5" x14ac:dyDescent="0.3">
      <c r="A122" t="s">
        <v>7</v>
      </c>
      <c r="B122">
        <v>1994</v>
      </c>
      <c r="C122" s="1">
        <v>0.83303200428471746</v>
      </c>
      <c r="D122" s="1">
        <v>0.6768499999999964</v>
      </c>
      <c r="E122" s="1">
        <v>0.56269101811651479</v>
      </c>
    </row>
    <row r="123" spans="1:5" x14ac:dyDescent="0.3">
      <c r="A123" t="s">
        <v>7</v>
      </c>
      <c r="B123">
        <v>1993</v>
      </c>
      <c r="C123" s="1">
        <v>0.8035022160852332</v>
      </c>
      <c r="D123" s="1">
        <v>0.83067999999999564</v>
      </c>
      <c r="E123" s="1">
        <v>0.65195686299293909</v>
      </c>
    </row>
    <row r="124" spans="1:5" x14ac:dyDescent="0.3">
      <c r="A124" t="s">
        <v>7</v>
      </c>
      <c r="B124">
        <v>1992</v>
      </c>
      <c r="C124" s="1">
        <v>0.74408103673432935</v>
      </c>
      <c r="D124" s="1">
        <v>1.3229049999999933</v>
      </c>
      <c r="E124" s="1">
        <v>0.95768095321105662</v>
      </c>
    </row>
    <row r="125" spans="1:5" x14ac:dyDescent="0.3">
      <c r="A125" t="s">
        <v>7</v>
      </c>
      <c r="B125">
        <v>1991</v>
      </c>
      <c r="C125" s="1">
        <v>0.68514359122933222</v>
      </c>
      <c r="D125" s="1">
        <v>0.52304999999999779</v>
      </c>
      <c r="E125" s="1">
        <v>0.34584230521997494</v>
      </c>
    </row>
    <row r="126" spans="1:5" x14ac:dyDescent="0.3">
      <c r="A126" t="s">
        <v>7</v>
      </c>
      <c r="B126">
        <v>1990</v>
      </c>
      <c r="C126" s="1">
        <v>0.69938998179210543</v>
      </c>
      <c r="D126" s="1">
        <v>0.70757499999999318</v>
      </c>
      <c r="E126" s="1">
        <v>0.47937877193109041</v>
      </c>
    </row>
    <row r="127" spans="1:5" x14ac:dyDescent="0.3">
      <c r="A127" t="s">
        <v>7</v>
      </c>
      <c r="B127">
        <v>1989</v>
      </c>
      <c r="C127" s="1">
        <v>0.73355211509103979</v>
      </c>
      <c r="D127" s="1">
        <v>0.9537249999999915</v>
      </c>
      <c r="E127" s="1">
        <v>0.70007696249356188</v>
      </c>
    </row>
    <row r="128" spans="1:5" x14ac:dyDescent="0.3">
      <c r="A128" t="s">
        <v>7</v>
      </c>
      <c r="B128">
        <v>1988</v>
      </c>
      <c r="C128" s="1">
        <v>0.76363453006684723</v>
      </c>
      <c r="D128" s="1">
        <v>1.0460049999999939</v>
      </c>
      <c r="E128" s="1">
        <v>0.79876554570727154</v>
      </c>
    </row>
    <row r="129" spans="1:5" x14ac:dyDescent="0.3">
      <c r="A129" t="s">
        <v>7</v>
      </c>
      <c r="B129">
        <v>1987</v>
      </c>
      <c r="C129" s="1">
        <v>0.66273684177769732</v>
      </c>
      <c r="D129" s="1">
        <v>0.83064499999999164</v>
      </c>
      <c r="E129" s="1">
        <v>0.54622775138995339</v>
      </c>
    </row>
    <row r="130" spans="1:5" x14ac:dyDescent="0.3">
      <c r="A130" t="s">
        <v>7</v>
      </c>
      <c r="B130">
        <v>1986</v>
      </c>
      <c r="C130" s="1">
        <v>0.75845133175404156</v>
      </c>
      <c r="D130" s="1">
        <v>1.3229199999999945</v>
      </c>
      <c r="E130" s="1">
        <v>1.0067575850170489</v>
      </c>
    </row>
    <row r="131" spans="1:5" x14ac:dyDescent="0.3">
      <c r="A131" t="s">
        <v>7</v>
      </c>
      <c r="B131">
        <v>1985</v>
      </c>
      <c r="C131" s="1">
        <v>0.80393918859991575</v>
      </c>
      <c r="D131" s="1">
        <v>0.79991499999999505</v>
      </c>
      <c r="E131" s="1">
        <v>0.65445316097142492</v>
      </c>
    </row>
    <row r="132" spans="1:5" x14ac:dyDescent="0.3">
      <c r="A132" t="s">
        <v>7</v>
      </c>
      <c r="B132">
        <v>1984</v>
      </c>
      <c r="C132" s="1">
        <v>0.7949313838316765</v>
      </c>
      <c r="D132" s="1">
        <v>0.92295499999998931</v>
      </c>
      <c r="E132" s="1">
        <v>0.73689512794068857</v>
      </c>
    </row>
    <row r="133" spans="1:5" x14ac:dyDescent="0.3">
      <c r="A133" t="s">
        <v>7</v>
      </c>
      <c r="B133">
        <v>1983</v>
      </c>
      <c r="C133" s="1">
        <v>0.67211766622200797</v>
      </c>
      <c r="D133" s="1">
        <v>1.3844099999999884</v>
      </c>
      <c r="E133" s="1">
        <v>0.93305099141129466</v>
      </c>
    </row>
    <row r="134" spans="1:5" x14ac:dyDescent="0.3">
      <c r="A134" t="s">
        <v>7</v>
      </c>
      <c r="B134">
        <v>1982</v>
      </c>
      <c r="C134" s="1">
        <v>0.65438801788124312</v>
      </c>
      <c r="D134" s="1">
        <v>0.83062999999999398</v>
      </c>
      <c r="E134" s="1">
        <v>0.54349438390657245</v>
      </c>
    </row>
    <row r="135" spans="1:5" x14ac:dyDescent="0.3">
      <c r="A135" t="s">
        <v>7</v>
      </c>
      <c r="B135">
        <v>1981</v>
      </c>
      <c r="C135" s="1">
        <v>0.6847385738730456</v>
      </c>
      <c r="D135" s="1">
        <v>1.1382799999999893</v>
      </c>
      <c r="E135" s="1">
        <v>0.7516982528092635</v>
      </c>
    </row>
    <row r="136" spans="1:5" x14ac:dyDescent="0.3">
      <c r="A136" t="s">
        <v>7</v>
      </c>
      <c r="B136">
        <v>1980</v>
      </c>
      <c r="C136" s="1">
        <v>0.56449663890079316</v>
      </c>
      <c r="D136" s="1">
        <v>0.79986499999999339</v>
      </c>
      <c r="E136" s="1">
        <v>0.45787698340543753</v>
      </c>
    </row>
    <row r="137" spans="1:5" x14ac:dyDescent="0.3">
      <c r="A137" t="s">
        <v>7</v>
      </c>
      <c r="B137">
        <v>1979</v>
      </c>
      <c r="C137" s="1">
        <v>0.92992168505407169</v>
      </c>
      <c r="D137" s="1">
        <v>0.79987999999999104</v>
      </c>
      <c r="E137" s="1">
        <v>0.73492364598253013</v>
      </c>
    </row>
    <row r="138" spans="1:5" x14ac:dyDescent="0.3">
      <c r="A138" t="s">
        <v>7</v>
      </c>
      <c r="B138">
        <v>1978</v>
      </c>
      <c r="C138" s="1">
        <v>0.63486834357831101</v>
      </c>
      <c r="D138" s="1">
        <v>0.79978999999999445</v>
      </c>
      <c r="E138" s="1">
        <v>0.50104432127205834</v>
      </c>
    </row>
    <row r="139" spans="1:5" x14ac:dyDescent="0.3">
      <c r="A139" t="s">
        <v>7</v>
      </c>
      <c r="B139">
        <v>1977</v>
      </c>
      <c r="C139" s="1">
        <v>0.68270065846960881</v>
      </c>
      <c r="D139" s="1">
        <v>0.9534599999999962</v>
      </c>
      <c r="E139" s="1">
        <v>0.64565079040701323</v>
      </c>
    </row>
    <row r="140" spans="1:5" x14ac:dyDescent="0.3">
      <c r="A140" t="s">
        <v>7</v>
      </c>
      <c r="B140">
        <v>1976</v>
      </c>
      <c r="C140" s="1">
        <v>0.58831317527807658</v>
      </c>
      <c r="D140" s="1">
        <v>0.67670999999999637</v>
      </c>
      <c r="E140" s="1">
        <v>0.3976662866611963</v>
      </c>
    </row>
    <row r="141" spans="1:5" x14ac:dyDescent="0.3">
      <c r="A141" t="s">
        <v>7</v>
      </c>
      <c r="B141">
        <v>1975</v>
      </c>
      <c r="C141" s="1">
        <v>0.66679296929709775</v>
      </c>
      <c r="D141" s="1">
        <v>0.9534450000000021</v>
      </c>
      <c r="E141" s="1">
        <v>0.64363840931412941</v>
      </c>
    </row>
    <row r="142" spans="1:5" x14ac:dyDescent="0.3">
      <c r="A142" t="s">
        <v>7</v>
      </c>
      <c r="B142">
        <v>1974</v>
      </c>
      <c r="C142" s="1">
        <v>0.61905547409085315</v>
      </c>
      <c r="D142" s="1">
        <v>0.70741500000000102</v>
      </c>
      <c r="E142" s="1">
        <v>0.438082736609826</v>
      </c>
    </row>
    <row r="143" spans="1:5" x14ac:dyDescent="0.3">
      <c r="A143" t="s">
        <v>7</v>
      </c>
      <c r="B143">
        <v>1973</v>
      </c>
      <c r="C143" s="1">
        <v>0.71876760429952524</v>
      </c>
      <c r="D143" s="1">
        <v>0.92271000000000214</v>
      </c>
      <c r="E143" s="1">
        <v>0.65955143692389551</v>
      </c>
    </row>
    <row r="144" spans="1:5" x14ac:dyDescent="0.3">
      <c r="A144" t="s">
        <v>7</v>
      </c>
      <c r="B144">
        <v>1972</v>
      </c>
      <c r="C144" s="1">
        <v>0.73801605942126369</v>
      </c>
      <c r="D144" s="1">
        <v>0.83044499999999744</v>
      </c>
      <c r="E144" s="1">
        <v>0.61218207386467816</v>
      </c>
    </row>
    <row r="145" spans="1:5" x14ac:dyDescent="0.3">
      <c r="A145" t="s">
        <v>7</v>
      </c>
      <c r="B145">
        <v>1971</v>
      </c>
      <c r="C145" s="1">
        <v>0.73971504261531584</v>
      </c>
      <c r="D145" s="1">
        <v>0.76890000000000214</v>
      </c>
      <c r="E145" s="1">
        <v>0.59089972439817984</v>
      </c>
    </row>
    <row r="146" spans="1:5" x14ac:dyDescent="0.3">
      <c r="A146" t="s">
        <v>7</v>
      </c>
      <c r="B146">
        <v>1970</v>
      </c>
      <c r="C146" s="1">
        <v>0.96548514009767428</v>
      </c>
      <c r="D146" s="1">
        <v>0.98419500000000326</v>
      </c>
      <c r="E146" s="1">
        <v>0.96287366209233327</v>
      </c>
    </row>
    <row r="147" spans="1:5" x14ac:dyDescent="0.3">
      <c r="A147" t="s">
        <v>7</v>
      </c>
      <c r="B147">
        <v>1969</v>
      </c>
      <c r="C147" s="1">
        <v>0.93063242310900285</v>
      </c>
      <c r="D147" s="1">
        <v>0.70737000000000094</v>
      </c>
      <c r="E147" s="1">
        <v>0.6460444809696152</v>
      </c>
    </row>
    <row r="148" spans="1:5" x14ac:dyDescent="0.3">
      <c r="A148" t="s">
        <v>7</v>
      </c>
      <c r="B148">
        <v>1968</v>
      </c>
      <c r="C148" s="1">
        <v>0.81718745684031524</v>
      </c>
      <c r="D148" s="1">
        <v>0.98422500000000213</v>
      </c>
      <c r="E148" s="1">
        <v>0.79595377962792591</v>
      </c>
    </row>
    <row r="149" spans="1:5" x14ac:dyDescent="0.3">
      <c r="A149" t="s">
        <v>7</v>
      </c>
      <c r="B149">
        <v>1967</v>
      </c>
      <c r="C149" s="1">
        <v>0.8115642167424677</v>
      </c>
      <c r="D149" s="1">
        <v>0.92265000000000441</v>
      </c>
      <c r="E149" s="1">
        <v>0.72599641756665489</v>
      </c>
    </row>
    <row r="150" spans="1:5" x14ac:dyDescent="0.3">
      <c r="A150" t="s">
        <v>7</v>
      </c>
      <c r="B150">
        <v>1966</v>
      </c>
      <c r="C150" s="1">
        <v>0.80276375510684062</v>
      </c>
      <c r="D150" s="1">
        <v>0.70744499999999633</v>
      </c>
      <c r="E150" s="1">
        <v>0.57798759521371823</v>
      </c>
    </row>
    <row r="151" spans="1:5" x14ac:dyDescent="0.3">
      <c r="A151" t="s">
        <v>7</v>
      </c>
      <c r="B151">
        <v>1965</v>
      </c>
      <c r="C151" s="1">
        <v>0.83098388153580605</v>
      </c>
      <c r="D151" s="1">
        <v>1.3839750000000066</v>
      </c>
      <c r="E151" s="1">
        <v>1.2128962554912723</v>
      </c>
    </row>
    <row r="152" spans="1:5" x14ac:dyDescent="0.3">
      <c r="A152" t="s">
        <v>7</v>
      </c>
      <c r="B152">
        <v>1964</v>
      </c>
      <c r="C152" s="1">
        <v>0.76801464378326711</v>
      </c>
      <c r="D152" s="1">
        <v>1.0456650000000032</v>
      </c>
      <c r="E152" s="1">
        <v>0.83963958282464224</v>
      </c>
    </row>
    <row r="153" spans="1:5" x14ac:dyDescent="0.3">
      <c r="A153" t="s">
        <v>7</v>
      </c>
      <c r="B153">
        <v>1963</v>
      </c>
      <c r="C153" s="1">
        <v>0.78095047549143115</v>
      </c>
      <c r="D153" s="1">
        <v>0.89197499999999863</v>
      </c>
      <c r="E153" s="1">
        <v>0.69698866273518978</v>
      </c>
    </row>
    <row r="154" spans="1:5" x14ac:dyDescent="0.3">
      <c r="A154" t="s">
        <v>7</v>
      </c>
      <c r="B154">
        <v>1962</v>
      </c>
      <c r="C154" s="1">
        <v>0.87719373054173344</v>
      </c>
      <c r="D154" s="1">
        <v>1.2302400000000056</v>
      </c>
      <c r="E154" s="1">
        <v>1.0599998289656454</v>
      </c>
    </row>
    <row r="155" spans="1:5" x14ac:dyDescent="0.3">
      <c r="A155" t="s">
        <v>7</v>
      </c>
      <c r="B155">
        <v>1961</v>
      </c>
      <c r="C155" s="1">
        <v>0.85396015962383931</v>
      </c>
      <c r="D155" s="1">
        <v>0.95337000000000671</v>
      </c>
      <c r="E155" s="1">
        <v>0.77721212159669184</v>
      </c>
    </row>
    <row r="156" spans="1:5" x14ac:dyDescent="0.3">
      <c r="A156" t="s">
        <v>7</v>
      </c>
      <c r="B156">
        <v>1960</v>
      </c>
      <c r="C156" s="1">
        <v>0.87489686900135655</v>
      </c>
      <c r="D156" s="1">
        <v>0.98425499999999744</v>
      </c>
      <c r="E156" s="1">
        <v>0.86759416676917733</v>
      </c>
    </row>
    <row r="157" spans="1:5" x14ac:dyDescent="0.3">
      <c r="A157" t="s">
        <v>7</v>
      </c>
      <c r="B157">
        <v>1959</v>
      </c>
      <c r="C157" s="1">
        <v>0.83879661924689264</v>
      </c>
      <c r="D157" s="1">
        <v>0.98423999999999978</v>
      </c>
      <c r="E157" s="1">
        <v>0.8255620122862859</v>
      </c>
    </row>
    <row r="158" spans="1:5" x14ac:dyDescent="0.3">
      <c r="A158" t="s">
        <v>7</v>
      </c>
      <c r="B158">
        <v>1958</v>
      </c>
      <c r="C158" s="1">
        <v>0.81823885646940808</v>
      </c>
      <c r="D158" s="1">
        <v>1.1687400000000174</v>
      </c>
      <c r="E158" s="1">
        <v>0.96819532342135539</v>
      </c>
    </row>
    <row r="159" spans="1:5" x14ac:dyDescent="0.3">
      <c r="A159" t="s">
        <v>7</v>
      </c>
      <c r="B159">
        <v>1957</v>
      </c>
      <c r="C159" s="1">
        <v>0.92907506628621195</v>
      </c>
      <c r="D159" s="1">
        <v>0.98419500000003879</v>
      </c>
      <c r="E159" s="1">
        <v>0.91670585955369266</v>
      </c>
    </row>
    <row r="160" spans="1:5" x14ac:dyDescent="0.3">
      <c r="A160" t="s">
        <v>7</v>
      </c>
      <c r="B160">
        <v>1956</v>
      </c>
      <c r="C160" s="1">
        <v>0.93992863671281024</v>
      </c>
      <c r="D160" s="1">
        <v>0.95343000000003642</v>
      </c>
      <c r="E160" s="1">
        <v>0.86608986898230622</v>
      </c>
    </row>
    <row r="161" spans="1:5" x14ac:dyDescent="0.3">
      <c r="A161" t="s">
        <v>7</v>
      </c>
      <c r="B161">
        <v>1955</v>
      </c>
      <c r="C161" s="1">
        <v>0.83345942720909516</v>
      </c>
      <c r="D161" s="1">
        <v>1.0149600000000412</v>
      </c>
      <c r="E161" s="1">
        <v>0.84027558640079725</v>
      </c>
    </row>
    <row r="162" spans="1:5" x14ac:dyDescent="0.3">
      <c r="A162" t="s">
        <v>7</v>
      </c>
      <c r="B162">
        <v>1954</v>
      </c>
      <c r="C162" s="1">
        <v>0.91755253757478616</v>
      </c>
      <c r="D162" s="1">
        <v>0.89194500000003885</v>
      </c>
      <c r="E162" s="1">
        <v>0.81083647002811743</v>
      </c>
    </row>
    <row r="163" spans="1:5" x14ac:dyDescent="0.3">
      <c r="A163" t="s">
        <v>7</v>
      </c>
      <c r="B163">
        <v>1953</v>
      </c>
      <c r="C163" s="1">
        <v>0.93200888481251898</v>
      </c>
      <c r="D163" s="1">
        <v>0.98419500000004234</v>
      </c>
      <c r="E163" s="1">
        <v>0.91256501451424299</v>
      </c>
    </row>
    <row r="164" spans="1:5" x14ac:dyDescent="0.3">
      <c r="A164" t="s">
        <v>7</v>
      </c>
      <c r="B164">
        <v>1952</v>
      </c>
      <c r="C164" s="1">
        <v>0.99821742013451953</v>
      </c>
      <c r="D164" s="1">
        <v>1.0456800000000399</v>
      </c>
      <c r="E164" s="1">
        <v>1.0387596048907513</v>
      </c>
    </row>
    <row r="165" spans="1:5" x14ac:dyDescent="0.3">
      <c r="A165" t="s">
        <v>7</v>
      </c>
      <c r="B165">
        <v>1951</v>
      </c>
      <c r="C165" s="1">
        <v>0.84044659015571122</v>
      </c>
      <c r="D165" s="1">
        <v>1.2303150000000542</v>
      </c>
      <c r="E165" s="1">
        <v>1.0348842731671186</v>
      </c>
    </row>
    <row r="166" spans="1:5" x14ac:dyDescent="0.3">
      <c r="A166" t="s">
        <v>7</v>
      </c>
      <c r="B166">
        <v>1950</v>
      </c>
      <c r="C166" s="1">
        <v>0.8848849364320206</v>
      </c>
      <c r="D166" s="1">
        <v>0.95347500000004004</v>
      </c>
      <c r="E166" s="1">
        <v>0.8423982130758958</v>
      </c>
    </row>
    <row r="167" spans="1:5" x14ac:dyDescent="0.3">
      <c r="A167" t="s">
        <v>7</v>
      </c>
      <c r="B167">
        <v>1949</v>
      </c>
      <c r="C167" s="1">
        <v>1.0014247663805045</v>
      </c>
      <c r="D167" s="1">
        <v>1.1380500000000566</v>
      </c>
      <c r="E167" s="1">
        <v>1.1289284348276989</v>
      </c>
    </row>
    <row r="168" spans="1:5" x14ac:dyDescent="0.3">
      <c r="A168" t="s">
        <v>7</v>
      </c>
      <c r="B168">
        <v>1948</v>
      </c>
      <c r="C168" s="1">
        <v>0.87466406634850857</v>
      </c>
      <c r="D168" s="1">
        <v>1.0150950000000591</v>
      </c>
      <c r="E168" s="1">
        <v>0.7714386738361283</v>
      </c>
    </row>
    <row r="169" spans="1:5" x14ac:dyDescent="0.3">
      <c r="A169" t="s">
        <v>7</v>
      </c>
      <c r="B169">
        <v>1947</v>
      </c>
      <c r="C169" s="1">
        <v>0.93133758659755439</v>
      </c>
      <c r="D169" s="1">
        <v>1.4763300000000612</v>
      </c>
      <c r="E169" s="1">
        <v>1.3952818412629302</v>
      </c>
    </row>
    <row r="170" spans="1:5" x14ac:dyDescent="0.3">
      <c r="A170" t="s">
        <v>7</v>
      </c>
      <c r="B170">
        <v>1946</v>
      </c>
      <c r="C170" s="1">
        <v>0.87919146665251557</v>
      </c>
      <c r="D170" s="1">
        <v>1.1072700000000495</v>
      </c>
      <c r="E170" s="1">
        <v>0.97346034106202994</v>
      </c>
    </row>
    <row r="171" spans="1:5" x14ac:dyDescent="0.3">
      <c r="A171" t="s">
        <v>7</v>
      </c>
      <c r="B171">
        <v>1945</v>
      </c>
      <c r="C171" s="1">
        <v>1.1099069751228996</v>
      </c>
      <c r="D171" s="1">
        <v>1.0149600000000447</v>
      </c>
      <c r="E171" s="1">
        <v>1.17751159188895</v>
      </c>
    </row>
    <row r="172" spans="1:5" x14ac:dyDescent="0.3">
      <c r="A172" t="s">
        <v>7</v>
      </c>
      <c r="B172">
        <v>1944</v>
      </c>
      <c r="C172" s="1">
        <v>0.87975866457987895</v>
      </c>
      <c r="D172" s="1">
        <v>1.4767200000001139</v>
      </c>
      <c r="E172" s="1">
        <v>1.2991572151584991</v>
      </c>
    </row>
    <row r="173" spans="1:5" x14ac:dyDescent="0.3">
      <c r="A173" t="s">
        <v>7</v>
      </c>
      <c r="B173">
        <v>1943</v>
      </c>
      <c r="C173" s="1">
        <v>0.75242970373173423</v>
      </c>
      <c r="D173" s="1">
        <v>0.98448000000007596</v>
      </c>
      <c r="E173" s="1">
        <v>0.74075199472987485</v>
      </c>
    </row>
    <row r="174" spans="1:5" x14ac:dyDescent="0.3">
      <c r="A174" t="s">
        <v>7</v>
      </c>
      <c r="B174">
        <v>1942</v>
      </c>
      <c r="C174" s="1">
        <v>0.95169760789997115</v>
      </c>
      <c r="D174" s="1">
        <v>0.86142000000006647</v>
      </c>
      <c r="E174" s="1">
        <v>0.81981135339725641</v>
      </c>
    </row>
    <row r="175" spans="1:5" x14ac:dyDescent="0.3">
      <c r="A175" t="s">
        <v>8</v>
      </c>
      <c r="B175">
        <v>2015</v>
      </c>
      <c r="C175" s="1">
        <v>0.55545948841630799</v>
      </c>
      <c r="D175" s="1">
        <v>0.93540000000000001</v>
      </c>
      <c r="E175" s="1">
        <v>0.51971936112066075</v>
      </c>
    </row>
    <row r="176" spans="1:5" x14ac:dyDescent="0.3">
      <c r="A176" t="s">
        <v>8</v>
      </c>
      <c r="B176">
        <v>2014</v>
      </c>
      <c r="C176" s="1">
        <v>0.65445913739622341</v>
      </c>
      <c r="D176" s="1">
        <v>1.0553500000000002</v>
      </c>
      <c r="E176" s="1">
        <v>0.68813909562464293</v>
      </c>
    </row>
    <row r="177" spans="1:5" x14ac:dyDescent="0.3">
      <c r="A177" t="s">
        <v>8</v>
      </c>
      <c r="B177">
        <v>2013</v>
      </c>
      <c r="C177" s="1">
        <v>0.68100062934971506</v>
      </c>
      <c r="D177" s="1">
        <v>1.1272500000000005</v>
      </c>
      <c r="E177" s="1">
        <v>0.76503927655859427</v>
      </c>
    </row>
    <row r="178" spans="1:5" x14ac:dyDescent="0.3">
      <c r="A178" t="s">
        <v>8</v>
      </c>
      <c r="B178">
        <v>2012</v>
      </c>
      <c r="C178" s="1">
        <v>0.79592002851887123</v>
      </c>
      <c r="D178" s="1">
        <v>0.88745000000000029</v>
      </c>
      <c r="E178" s="1">
        <v>0.70815366988814965</v>
      </c>
    </row>
    <row r="179" spans="1:5" x14ac:dyDescent="0.3">
      <c r="A179" t="s">
        <v>8</v>
      </c>
      <c r="B179">
        <v>2011</v>
      </c>
      <c r="C179" s="1">
        <v>0.88550624819667845</v>
      </c>
      <c r="D179" s="1">
        <v>1.0313499999999993</v>
      </c>
      <c r="E179" s="1">
        <v>0.9217594912666478</v>
      </c>
    </row>
    <row r="180" spans="1:5" x14ac:dyDescent="0.3">
      <c r="A180" t="s">
        <v>8</v>
      </c>
      <c r="B180">
        <v>2010</v>
      </c>
      <c r="C180" s="1">
        <v>0.90363060282439323</v>
      </c>
      <c r="D180" s="1">
        <v>0.91139999999999999</v>
      </c>
      <c r="E180" s="1">
        <v>0.83493968954092179</v>
      </c>
    </row>
    <row r="181" spans="1:5" x14ac:dyDescent="0.3">
      <c r="A181" t="s">
        <v>8</v>
      </c>
      <c r="B181">
        <v>2009</v>
      </c>
      <c r="C181" s="1">
        <v>0.78769480831402416</v>
      </c>
      <c r="D181" s="1">
        <v>0.98334999999999972</v>
      </c>
      <c r="E181" s="1">
        <v>0.77168920279538111</v>
      </c>
    </row>
    <row r="182" spans="1:5" x14ac:dyDescent="0.3">
      <c r="A182" t="s">
        <v>8</v>
      </c>
      <c r="B182">
        <v>2008</v>
      </c>
      <c r="C182" s="1">
        <v>0.66617916260694521</v>
      </c>
      <c r="D182" s="1">
        <v>1.2471500000000004</v>
      </c>
      <c r="E182" s="1">
        <v>0.83082184919761337</v>
      </c>
    </row>
    <row r="183" spans="1:5" x14ac:dyDescent="0.3">
      <c r="A183" t="s">
        <v>8</v>
      </c>
      <c r="B183">
        <v>2007</v>
      </c>
      <c r="C183" s="1">
        <v>0.60854636673088081</v>
      </c>
      <c r="D183" s="1">
        <v>1.2234500000000033</v>
      </c>
      <c r="E183" s="1">
        <v>0.74452574273583549</v>
      </c>
    </row>
    <row r="184" spans="1:5" x14ac:dyDescent="0.3">
      <c r="A184" t="s">
        <v>8</v>
      </c>
      <c r="B184">
        <v>2006</v>
      </c>
      <c r="C184" s="1">
        <v>0.48509186900103768</v>
      </c>
      <c r="D184" s="1">
        <v>0.93565000000000254</v>
      </c>
      <c r="E184" s="1">
        <v>0.45935561016002968</v>
      </c>
    </row>
    <row r="185" spans="1:5" x14ac:dyDescent="0.3">
      <c r="A185" t="s">
        <v>8</v>
      </c>
      <c r="B185">
        <v>2005</v>
      </c>
      <c r="C185" s="1">
        <v>0.7628341476145335</v>
      </c>
      <c r="D185" s="1">
        <v>1.0556499999999955</v>
      </c>
      <c r="E185" s="1">
        <v>0.8087212856736179</v>
      </c>
    </row>
    <row r="186" spans="1:5" x14ac:dyDescent="0.3">
      <c r="A186" t="s">
        <v>8</v>
      </c>
      <c r="B186">
        <v>2004</v>
      </c>
      <c r="C186" s="1">
        <v>0.67256910381285739</v>
      </c>
      <c r="D186" s="1">
        <v>1.1515999999999895</v>
      </c>
      <c r="E186" s="1">
        <v>0.77846852288785928</v>
      </c>
    </row>
    <row r="187" spans="1:5" x14ac:dyDescent="0.3">
      <c r="A187" t="s">
        <v>8</v>
      </c>
      <c r="B187">
        <v>2003</v>
      </c>
      <c r="C187" s="1">
        <v>0.62556349342787754</v>
      </c>
      <c r="D187" s="1">
        <v>1.0316499999999884</v>
      </c>
      <c r="E187" s="1">
        <v>0.64509022494682711</v>
      </c>
    </row>
    <row r="188" spans="1:5" x14ac:dyDescent="0.3">
      <c r="A188" t="s">
        <v>8</v>
      </c>
      <c r="B188">
        <v>2002</v>
      </c>
      <c r="C188" s="1">
        <v>0.62438978366932751</v>
      </c>
      <c r="D188" s="1">
        <v>1.2475499999999879</v>
      </c>
      <c r="E188" s="1">
        <v>0.77754714557630633</v>
      </c>
    </row>
    <row r="189" spans="1:5" x14ac:dyDescent="0.3">
      <c r="A189" t="s">
        <v>8</v>
      </c>
      <c r="B189">
        <v>2001</v>
      </c>
      <c r="C189" s="1">
        <v>0.66204059902045431</v>
      </c>
      <c r="D189" s="1">
        <v>1.2235999999999869</v>
      </c>
      <c r="E189" s="1">
        <v>0.80796899489248741</v>
      </c>
    </row>
    <row r="190" spans="1:5" x14ac:dyDescent="0.3">
      <c r="A190" t="s">
        <v>8</v>
      </c>
      <c r="B190">
        <v>2000</v>
      </c>
      <c r="C190" s="1">
        <v>0.58567046773718134</v>
      </c>
      <c r="D190" s="1">
        <v>1.0076499999999893</v>
      </c>
      <c r="E190" s="1">
        <v>0.58769286841148904</v>
      </c>
    </row>
    <row r="191" spans="1:5" x14ac:dyDescent="0.3">
      <c r="A191" t="s">
        <v>8</v>
      </c>
      <c r="B191">
        <v>1999</v>
      </c>
      <c r="C191" s="1">
        <v>0.59094072054112046</v>
      </c>
      <c r="D191" s="1">
        <v>1.2475999999999878</v>
      </c>
      <c r="E191" s="1">
        <v>0.73730121727828324</v>
      </c>
    </row>
    <row r="192" spans="1:5" x14ac:dyDescent="0.3">
      <c r="A192" t="s">
        <v>8</v>
      </c>
      <c r="B192">
        <v>1998</v>
      </c>
      <c r="C192" s="1">
        <v>0.6208799621334633</v>
      </c>
      <c r="D192" s="1">
        <v>1.4634499999999875</v>
      </c>
      <c r="E192" s="1">
        <v>0.90050092826068207</v>
      </c>
    </row>
    <row r="193" spans="1:5" x14ac:dyDescent="0.3">
      <c r="A193" t="s">
        <v>8</v>
      </c>
      <c r="B193">
        <v>1997</v>
      </c>
      <c r="C193" s="1">
        <v>0.63852599810655675</v>
      </c>
      <c r="D193" s="1">
        <v>1.1276499999999867</v>
      </c>
      <c r="E193" s="1">
        <v>0.72395124412462386</v>
      </c>
    </row>
    <row r="194" spans="1:5" x14ac:dyDescent="0.3">
      <c r="A194" t="s">
        <v>8</v>
      </c>
      <c r="B194">
        <v>1996</v>
      </c>
      <c r="C194" s="1">
        <v>0.67461606427977427</v>
      </c>
      <c r="D194" s="1">
        <v>1.2475499999999879</v>
      </c>
      <c r="E194" s="1">
        <v>0.84192875872363571</v>
      </c>
    </row>
    <row r="195" spans="1:5" x14ac:dyDescent="0.3">
      <c r="A195" t="s">
        <v>8</v>
      </c>
      <c r="B195">
        <v>1995</v>
      </c>
      <c r="C195" s="1">
        <v>0.61754767834362578</v>
      </c>
      <c r="D195" s="1">
        <v>1.1035999999999895</v>
      </c>
      <c r="E195" s="1">
        <v>0.67895298448969155</v>
      </c>
    </row>
    <row r="196" spans="1:5" x14ac:dyDescent="0.3">
      <c r="A196" t="s">
        <v>8</v>
      </c>
      <c r="B196">
        <v>1994</v>
      </c>
      <c r="C196" s="1">
        <v>0.57822936016515047</v>
      </c>
      <c r="D196" s="1">
        <v>1.3435000000000041</v>
      </c>
      <c r="E196" s="1">
        <v>0.77524186302464149</v>
      </c>
    </row>
    <row r="197" spans="1:5" x14ac:dyDescent="0.3">
      <c r="A197" t="s">
        <v>8</v>
      </c>
      <c r="B197">
        <v>1993</v>
      </c>
      <c r="C197" s="1">
        <v>0.70093456805769794</v>
      </c>
      <c r="D197" s="1">
        <v>1.1756000000000242</v>
      </c>
      <c r="E197" s="1">
        <v>0.82525854095007656</v>
      </c>
    </row>
    <row r="198" spans="1:5" x14ac:dyDescent="0.3">
      <c r="A198" t="s">
        <v>8</v>
      </c>
      <c r="B198">
        <v>1992</v>
      </c>
      <c r="C198" s="1">
        <v>0.69496403613835533</v>
      </c>
      <c r="D198" s="1">
        <v>0.88770000000001481</v>
      </c>
      <c r="E198" s="1">
        <v>0.61253289793530064</v>
      </c>
    </row>
    <row r="199" spans="1:5" x14ac:dyDescent="0.3">
      <c r="A199" t="s">
        <v>8</v>
      </c>
      <c r="B199">
        <v>1991</v>
      </c>
      <c r="C199" s="1">
        <v>0.68503408800727894</v>
      </c>
      <c r="D199" s="1">
        <v>1.1249000000000073</v>
      </c>
      <c r="E199" s="1">
        <v>0.75948914728710315</v>
      </c>
    </row>
    <row r="200" spans="1:5" x14ac:dyDescent="0.3">
      <c r="A200" t="s">
        <v>8</v>
      </c>
      <c r="B200">
        <v>1990</v>
      </c>
      <c r="C200" s="1">
        <v>0.66456299593276691</v>
      </c>
      <c r="D200" s="1">
        <v>1.0589999999999993</v>
      </c>
      <c r="E200" s="1">
        <v>0.64697158367906105</v>
      </c>
    </row>
    <row r="201" spans="1:5" x14ac:dyDescent="0.3">
      <c r="A201" t="s">
        <v>8</v>
      </c>
      <c r="B201">
        <v>1989</v>
      </c>
      <c r="C201" s="1">
        <v>0.62747453478736492</v>
      </c>
      <c r="D201" s="1">
        <v>0.71699999999999875</v>
      </c>
      <c r="E201" s="1">
        <v>0.44428778360791243</v>
      </c>
    </row>
    <row r="202" spans="1:5" x14ac:dyDescent="0.3">
      <c r="A202" t="s">
        <v>8</v>
      </c>
      <c r="B202">
        <v>1988</v>
      </c>
      <c r="C202" s="1">
        <v>0.52044910550995083</v>
      </c>
      <c r="D202" s="1">
        <v>0.87299999999999756</v>
      </c>
      <c r="E202" s="1">
        <v>0.45512263536595449</v>
      </c>
    </row>
    <row r="203" spans="1:5" x14ac:dyDescent="0.3">
      <c r="A203" t="s">
        <v>8</v>
      </c>
      <c r="B203">
        <v>1987</v>
      </c>
      <c r="C203" s="1">
        <v>0.6778318997724857</v>
      </c>
      <c r="D203" s="1">
        <v>0.91200000000001324</v>
      </c>
      <c r="E203" s="1">
        <v>0.6100965623128447</v>
      </c>
    </row>
    <row r="204" spans="1:5" x14ac:dyDescent="0.3">
      <c r="A204" t="s">
        <v>8</v>
      </c>
      <c r="B204">
        <v>1986</v>
      </c>
      <c r="C204" s="1">
        <v>0.72365518784288763</v>
      </c>
      <c r="D204" s="1">
        <v>0.96899999999999764</v>
      </c>
      <c r="E204" s="1">
        <v>0.69989224020522955</v>
      </c>
    </row>
    <row r="205" spans="1:5" x14ac:dyDescent="0.3">
      <c r="A205" t="s">
        <v>8</v>
      </c>
      <c r="B205">
        <v>1985</v>
      </c>
      <c r="C205" s="1">
        <v>0.73157209507536214</v>
      </c>
      <c r="D205" s="1">
        <v>0.97800000000000864</v>
      </c>
      <c r="E205" s="1">
        <v>0.71287772200133492</v>
      </c>
    </row>
    <row r="206" spans="1:5" x14ac:dyDescent="0.3">
      <c r="A206" t="s">
        <v>8</v>
      </c>
      <c r="B206">
        <v>1984</v>
      </c>
      <c r="C206" s="1">
        <v>0.58664555348139491</v>
      </c>
      <c r="D206" s="1">
        <v>0.81000000000000227</v>
      </c>
      <c r="E206" s="1">
        <v>0.47252452577739829</v>
      </c>
    </row>
    <row r="207" spans="1:5" x14ac:dyDescent="0.3">
      <c r="A207" t="s">
        <v>8</v>
      </c>
      <c r="B207">
        <v>1983</v>
      </c>
      <c r="C207" s="1">
        <v>0.53867836047303785</v>
      </c>
      <c r="D207" s="1">
        <v>0.90300000000000225</v>
      </c>
      <c r="E207" s="1">
        <v>0.4805649378875454</v>
      </c>
    </row>
    <row r="208" spans="1:5" x14ac:dyDescent="0.3">
      <c r="A208" t="s">
        <v>8</v>
      </c>
      <c r="B208">
        <v>1982</v>
      </c>
      <c r="C208" s="1">
        <v>0.60253899400198085</v>
      </c>
      <c r="D208" s="1">
        <v>0.81300000000000594</v>
      </c>
      <c r="E208" s="1">
        <v>0.49007968469289165</v>
      </c>
    </row>
    <row r="209" spans="1:5" x14ac:dyDescent="0.3">
      <c r="A209" t="s">
        <v>8</v>
      </c>
      <c r="B209">
        <v>1981</v>
      </c>
      <c r="C209" s="1">
        <v>0.69661565492151656</v>
      </c>
      <c r="D209" s="1">
        <v>0.92400000000000304</v>
      </c>
      <c r="E209" s="1">
        <v>0.64297162754635051</v>
      </c>
    </row>
    <row r="210" spans="1:5" x14ac:dyDescent="0.3">
      <c r="A210" t="s">
        <v>8</v>
      </c>
      <c r="B210">
        <v>1980</v>
      </c>
      <c r="C210" s="1">
        <v>0.87436333332389715</v>
      </c>
      <c r="D210" s="1">
        <v>0.81600000000000605</v>
      </c>
      <c r="E210" s="1">
        <v>0.71711933046518106</v>
      </c>
    </row>
    <row r="211" spans="1:5" x14ac:dyDescent="0.3">
      <c r="A211" t="s">
        <v>8</v>
      </c>
      <c r="B211">
        <v>1979</v>
      </c>
      <c r="C211" s="1">
        <v>0.93513870643507579</v>
      </c>
      <c r="D211" s="1">
        <v>0.66900000000000048</v>
      </c>
      <c r="E211" s="1">
        <v>0.61682615565643784</v>
      </c>
    </row>
    <row r="212" spans="1:5" x14ac:dyDescent="0.3">
      <c r="A212" t="s">
        <v>8</v>
      </c>
      <c r="B212">
        <v>1978</v>
      </c>
      <c r="C212" s="1">
        <v>0.81085027897922046</v>
      </c>
      <c r="D212" s="1">
        <v>0.882000000000005</v>
      </c>
      <c r="E212" s="1">
        <v>0.71539332769310904</v>
      </c>
    </row>
    <row r="213" spans="1:5" x14ac:dyDescent="0.3">
      <c r="A213" t="s">
        <v>8</v>
      </c>
      <c r="B213">
        <v>1977</v>
      </c>
      <c r="C213" s="1">
        <v>0.88955839152745009</v>
      </c>
      <c r="D213" s="1">
        <v>0.92700000000000315</v>
      </c>
      <c r="E213" s="1">
        <v>0.82429500887704732</v>
      </c>
    </row>
    <row r="214" spans="1:5" x14ac:dyDescent="0.3">
      <c r="A214" t="s">
        <v>8</v>
      </c>
      <c r="B214">
        <v>1976</v>
      </c>
      <c r="C214" s="1">
        <v>0.86043838413177187</v>
      </c>
      <c r="D214" s="1">
        <v>0.74400000000000688</v>
      </c>
      <c r="E214" s="1">
        <v>0.64084515941028364</v>
      </c>
    </row>
    <row r="215" spans="1:5" x14ac:dyDescent="0.3">
      <c r="A215" t="s">
        <v>8</v>
      </c>
      <c r="B215">
        <v>1975</v>
      </c>
      <c r="C215" s="1">
        <v>0.78331551987894321</v>
      </c>
      <c r="D215" s="1">
        <v>0.83400000000000318</v>
      </c>
      <c r="E215" s="1">
        <v>0.65386051088814034</v>
      </c>
    </row>
    <row r="216" spans="1:5" x14ac:dyDescent="0.3">
      <c r="A216" t="s">
        <v>8</v>
      </c>
      <c r="B216">
        <v>1974</v>
      </c>
      <c r="C216" s="1">
        <v>0.79851921298945161</v>
      </c>
      <c r="D216" s="1">
        <v>0.74400000000000333</v>
      </c>
      <c r="E216" s="1">
        <v>0.59392322017999333</v>
      </c>
    </row>
    <row r="217" spans="1:5" x14ac:dyDescent="0.3">
      <c r="A217" t="s">
        <v>8</v>
      </c>
      <c r="B217">
        <v>1973</v>
      </c>
      <c r="C217" s="1">
        <v>0.83935429425653374</v>
      </c>
      <c r="D217" s="1">
        <v>0.78600000000000136</v>
      </c>
      <c r="E217" s="1">
        <v>0.66900874605575567</v>
      </c>
    </row>
    <row r="218" spans="1:5" x14ac:dyDescent="0.3">
      <c r="A218" t="s">
        <v>8</v>
      </c>
      <c r="B218">
        <v>1972</v>
      </c>
      <c r="C218" s="1">
        <v>0.54809607973734431</v>
      </c>
      <c r="D218" s="1">
        <v>0.9030000000000058</v>
      </c>
      <c r="E218" s="1">
        <v>0.50076820221187712</v>
      </c>
    </row>
    <row r="219" spans="1:5" x14ac:dyDescent="0.3">
      <c r="A219" t="s">
        <v>8</v>
      </c>
      <c r="B219">
        <v>1971</v>
      </c>
      <c r="C219" s="1">
        <v>0.55860915785508714</v>
      </c>
      <c r="D219" s="1">
        <v>0.99600000000000222</v>
      </c>
      <c r="E219" s="1">
        <v>0.54834573192326141</v>
      </c>
    </row>
    <row r="220" spans="1:5" x14ac:dyDescent="0.3">
      <c r="A220" t="s">
        <v>8</v>
      </c>
      <c r="B220">
        <v>1970</v>
      </c>
      <c r="C220" s="1">
        <v>0.63934340549484836</v>
      </c>
      <c r="D220" s="1">
        <v>0.81300000000000594</v>
      </c>
      <c r="E220" s="1">
        <v>0.52013220011643191</v>
      </c>
    </row>
    <row r="221" spans="1:5" x14ac:dyDescent="0.3">
      <c r="A221" t="s">
        <v>8</v>
      </c>
      <c r="B221">
        <v>1969</v>
      </c>
      <c r="C221" s="1">
        <v>0.59192658669474341</v>
      </c>
      <c r="D221" s="1">
        <v>0.81900000000000972</v>
      </c>
      <c r="E221" s="1">
        <v>0.50256831132925828</v>
      </c>
    </row>
    <row r="222" spans="1:5" x14ac:dyDescent="0.3">
      <c r="A222" t="s">
        <v>8</v>
      </c>
      <c r="B222">
        <v>1968</v>
      </c>
      <c r="C222" s="1">
        <v>0.58915491439020806</v>
      </c>
      <c r="D222" s="1">
        <v>0.60300000000000509</v>
      </c>
      <c r="E222" s="1">
        <v>0.35235879157460787</v>
      </c>
    </row>
    <row r="223" spans="1:5" x14ac:dyDescent="0.3">
      <c r="A223" t="s">
        <v>8</v>
      </c>
      <c r="B223">
        <v>1967</v>
      </c>
      <c r="C223" s="1">
        <v>0.47615773436473596</v>
      </c>
      <c r="D223" s="1">
        <v>1.0710000000000086</v>
      </c>
      <c r="E223" s="1">
        <v>0.51685325514213232</v>
      </c>
    </row>
    <row r="224" spans="1:5" x14ac:dyDescent="0.3">
      <c r="A224" t="s">
        <v>8</v>
      </c>
      <c r="B224">
        <v>1966</v>
      </c>
      <c r="C224" s="1">
        <v>0.44380618587520609</v>
      </c>
      <c r="D224" s="1">
        <v>1.4040000000000141</v>
      </c>
      <c r="E224" s="1">
        <v>0.61653250879711241</v>
      </c>
    </row>
    <row r="225" spans="1:5" x14ac:dyDescent="0.3">
      <c r="A225" t="s">
        <v>8</v>
      </c>
      <c r="B225">
        <v>1965</v>
      </c>
      <c r="C225" s="1">
        <v>0.28112860320317806</v>
      </c>
      <c r="D225" s="1">
        <v>1.0589999999999975</v>
      </c>
      <c r="E225" s="1">
        <v>0.30825662027811385</v>
      </c>
    </row>
    <row r="226" spans="1:5" x14ac:dyDescent="0.3">
      <c r="A226" t="s">
        <v>8</v>
      </c>
      <c r="B226">
        <v>1964</v>
      </c>
      <c r="C226" s="1">
        <v>0.417642721229531</v>
      </c>
      <c r="D226" s="1">
        <v>1.3020000000000103</v>
      </c>
      <c r="E226" s="1">
        <v>0.54409422535000496</v>
      </c>
    </row>
    <row r="227" spans="1:5" x14ac:dyDescent="0.3">
      <c r="A227" t="s">
        <v>8</v>
      </c>
      <c r="B227">
        <v>1963</v>
      </c>
      <c r="C227" s="1">
        <v>0.58341846345771198</v>
      </c>
      <c r="D227" s="1">
        <v>0.97500000000000497</v>
      </c>
      <c r="E227" s="1">
        <v>0.56926065346343879</v>
      </c>
    </row>
    <row r="228" spans="1:5" x14ac:dyDescent="0.3">
      <c r="A228" t="s">
        <v>8</v>
      </c>
      <c r="B228">
        <v>1962</v>
      </c>
      <c r="C228" s="1">
        <v>0.57349927481547502</v>
      </c>
      <c r="D228" s="1">
        <v>1.1700000000000159</v>
      </c>
      <c r="E228" s="1">
        <v>0.67471393689268599</v>
      </c>
    </row>
    <row r="229" spans="1:5" x14ac:dyDescent="0.3">
      <c r="A229" t="s">
        <v>8</v>
      </c>
      <c r="B229">
        <v>1961</v>
      </c>
      <c r="C229" s="1">
        <v>0.4898228594031282</v>
      </c>
      <c r="D229" s="1">
        <v>0.67200000000000415</v>
      </c>
      <c r="E229" s="1">
        <v>0.32595007696960615</v>
      </c>
    </row>
    <row r="230" spans="1:5" x14ac:dyDescent="0.3">
      <c r="A230" t="s">
        <v>8</v>
      </c>
      <c r="B230">
        <v>1960</v>
      </c>
      <c r="C230" s="1">
        <v>0.64848086299801588</v>
      </c>
      <c r="D230" s="1">
        <v>1.0650000000000013</v>
      </c>
      <c r="E230" s="1">
        <v>0.69074407537933336</v>
      </c>
    </row>
    <row r="231" spans="1:5" x14ac:dyDescent="0.3">
      <c r="A231" t="s">
        <v>8</v>
      </c>
      <c r="B231">
        <v>1959</v>
      </c>
      <c r="C231" s="1">
        <v>0.74625623989301526</v>
      </c>
      <c r="D231" s="1">
        <v>1.0200000000000067</v>
      </c>
      <c r="E231" s="1">
        <v>0.7641488106687564</v>
      </c>
    </row>
    <row r="232" spans="1:5" x14ac:dyDescent="0.3">
      <c r="A232" t="s">
        <v>8</v>
      </c>
      <c r="B232">
        <v>1958</v>
      </c>
      <c r="C232" s="1">
        <v>0.75725395541499707</v>
      </c>
      <c r="D232" s="1">
        <v>0.81000000000000227</v>
      </c>
      <c r="E232" s="1">
        <v>0.62159327478167803</v>
      </c>
    </row>
    <row r="233" spans="1:5" x14ac:dyDescent="0.3">
      <c r="A233" t="s">
        <v>8</v>
      </c>
      <c r="B233">
        <v>1957</v>
      </c>
      <c r="C233" s="1">
        <v>0.78916390132854619</v>
      </c>
      <c r="D233" s="1">
        <v>1.1430000000000113</v>
      </c>
      <c r="E233" s="1">
        <v>0.8885526067235745</v>
      </c>
    </row>
    <row r="234" spans="1:5" x14ac:dyDescent="0.3">
      <c r="A234" t="s">
        <v>8</v>
      </c>
      <c r="B234">
        <v>1956</v>
      </c>
      <c r="C234" s="1">
        <v>0.80860861816664831</v>
      </c>
      <c r="D234" s="1">
        <v>1.0470000000000113</v>
      </c>
      <c r="E234" s="1">
        <v>0.84167309549947444</v>
      </c>
    </row>
    <row r="235" spans="1:5" x14ac:dyDescent="0.3">
      <c r="A235" t="s">
        <v>8</v>
      </c>
      <c r="B235">
        <v>1955</v>
      </c>
      <c r="C235" s="1">
        <v>0.78672267976606236</v>
      </c>
      <c r="D235" s="1">
        <v>0.92399999999999949</v>
      </c>
      <c r="E235" s="1">
        <v>0.72773176433040099</v>
      </c>
    </row>
    <row r="236" spans="1:5" x14ac:dyDescent="0.3">
      <c r="A236" t="s">
        <v>8</v>
      </c>
      <c r="B236">
        <v>1954</v>
      </c>
      <c r="C236" s="1">
        <v>0.78572216149049345</v>
      </c>
      <c r="D236" s="1">
        <v>1.1640000000000121</v>
      </c>
      <c r="E236" s="1">
        <v>0.91361391031421468</v>
      </c>
    </row>
    <row r="237" spans="1:5" x14ac:dyDescent="0.3">
      <c r="A237" t="s">
        <v>8</v>
      </c>
      <c r="B237">
        <v>1953</v>
      </c>
      <c r="C237" s="1">
        <v>0.67392918913190525</v>
      </c>
      <c r="D237" s="1">
        <v>0.73799999999999955</v>
      </c>
      <c r="E237" s="1">
        <v>0.50692138166268363</v>
      </c>
    </row>
    <row r="238" spans="1:5" x14ac:dyDescent="0.3">
      <c r="A238" t="s">
        <v>8</v>
      </c>
      <c r="B238">
        <v>1952</v>
      </c>
      <c r="C238" s="1">
        <v>0.71088883796394242</v>
      </c>
      <c r="D238" s="1">
        <v>1.416000000000011</v>
      </c>
      <c r="E238" s="1">
        <v>1.0077806288470732</v>
      </c>
    </row>
    <row r="239" spans="1:5" x14ac:dyDescent="0.3">
      <c r="A239" t="s">
        <v>8</v>
      </c>
      <c r="B239">
        <v>1951</v>
      </c>
      <c r="C239" s="1">
        <v>0.50949876238108016</v>
      </c>
      <c r="D239" s="1">
        <v>1.2239999999999966</v>
      </c>
      <c r="E239" s="1">
        <v>0.61837626455376382</v>
      </c>
    </row>
    <row r="240" spans="1:5" x14ac:dyDescent="0.3">
      <c r="A240" t="s">
        <v>8</v>
      </c>
      <c r="B240">
        <v>1950</v>
      </c>
      <c r="C240" s="1">
        <v>0.5947743407421936</v>
      </c>
      <c r="D240" s="1">
        <v>1.5299999999999585</v>
      </c>
      <c r="E240" s="1">
        <v>0.91000474133553155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88D3B-0F43-4036-9633-F14E3B3F5CD1}">
  <dimension ref="A1:X75"/>
  <sheetViews>
    <sheetView tabSelected="1" workbookViewId="0">
      <selection activeCell="E14" sqref="E14"/>
    </sheetView>
  </sheetViews>
  <sheetFormatPr baseColWidth="10" defaultRowHeight="14.4" x14ac:dyDescent="0.3"/>
  <cols>
    <col min="21" max="21" width="6.6640625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1</v>
      </c>
      <c r="G1" t="s">
        <v>2</v>
      </c>
      <c r="H1" t="s">
        <v>3</v>
      </c>
      <c r="I1" t="s">
        <v>0</v>
      </c>
      <c r="J1" t="s">
        <v>4</v>
      </c>
      <c r="K1" t="s">
        <v>1</v>
      </c>
      <c r="L1" t="s">
        <v>2</v>
      </c>
      <c r="M1" t="s">
        <v>3</v>
      </c>
      <c r="N1" t="s">
        <v>0</v>
      </c>
      <c r="O1" t="s">
        <v>4</v>
      </c>
      <c r="P1" t="s">
        <v>1</v>
      </c>
      <c r="Q1" t="s">
        <v>2</v>
      </c>
      <c r="R1" t="s">
        <v>3</v>
      </c>
      <c r="S1" t="s">
        <v>0</v>
      </c>
      <c r="T1" t="s">
        <v>4</v>
      </c>
      <c r="U1" t="s">
        <v>2</v>
      </c>
      <c r="V1" t="s">
        <v>3</v>
      </c>
      <c r="W1" t="s">
        <v>0</v>
      </c>
      <c r="X1" t="s">
        <v>4</v>
      </c>
    </row>
    <row r="2" spans="1:24" x14ac:dyDescent="0.3">
      <c r="A2" t="s">
        <v>5</v>
      </c>
      <c r="B2">
        <v>2015</v>
      </c>
      <c r="C2" s="1">
        <v>0.68516075480084349</v>
      </c>
      <c r="D2" s="1">
        <v>1.4472000000000003</v>
      </c>
      <c r="E2" s="1">
        <v>0.99156464434778091</v>
      </c>
      <c r="F2" t="s">
        <v>6</v>
      </c>
      <c r="G2">
        <v>2015</v>
      </c>
      <c r="H2" s="1">
        <v>0.61826624255645168</v>
      </c>
      <c r="I2" s="1">
        <v>0.86139999999999972</v>
      </c>
      <c r="J2" s="1">
        <v>0.53257454133812732</v>
      </c>
      <c r="K2" t="s">
        <v>7</v>
      </c>
      <c r="L2">
        <v>2015</v>
      </c>
      <c r="M2" s="1">
        <v>0.98136432445887689</v>
      </c>
      <c r="N2" s="1">
        <v>0.67683500000000008</v>
      </c>
      <c r="O2" s="1">
        <v>0.65441332185316936</v>
      </c>
      <c r="P2" t="s">
        <v>8</v>
      </c>
      <c r="Q2">
        <v>2015</v>
      </c>
      <c r="R2" s="1">
        <v>0.55545948841630799</v>
      </c>
      <c r="S2" s="1">
        <v>0.93540000000000001</v>
      </c>
      <c r="T2" s="1">
        <v>0.51971936112066075</v>
      </c>
      <c r="U2">
        <v>2015</v>
      </c>
      <c r="V2" s="1">
        <f>AVERAGE(C2,H2,M2,R2)</f>
        <v>0.7100627025581201</v>
      </c>
      <c r="W2" s="1">
        <f>AVERAGE(D2,I2,N2,S2)</f>
        <v>0.98020875000000007</v>
      </c>
      <c r="X2" s="1">
        <f>AVERAGE(E2,J2,O2,T2)</f>
        <v>0.67456796716493461</v>
      </c>
    </row>
    <row r="3" spans="1:24" x14ac:dyDescent="0.3">
      <c r="A3" t="s">
        <v>5</v>
      </c>
      <c r="B3">
        <v>2014</v>
      </c>
      <c r="C3" s="1">
        <v>0.64420237085499898</v>
      </c>
      <c r="D3" s="1">
        <v>1.6300000000000003</v>
      </c>
      <c r="E3" s="1">
        <v>1.0500498644936485</v>
      </c>
      <c r="F3" t="s">
        <v>6</v>
      </c>
      <c r="G3">
        <v>2014</v>
      </c>
      <c r="H3" s="1">
        <v>0.64569230055696591</v>
      </c>
      <c r="I3" s="1">
        <v>1.5382999999999998</v>
      </c>
      <c r="J3" s="1">
        <v>1.0090895711487804</v>
      </c>
      <c r="K3" t="s">
        <v>7</v>
      </c>
      <c r="L3">
        <v>2014</v>
      </c>
      <c r="M3" s="1">
        <v>0.75258523929622045</v>
      </c>
      <c r="N3" s="1">
        <v>0.9229500000000006</v>
      </c>
      <c r="O3" s="1">
        <v>0.74916116185465242</v>
      </c>
      <c r="P3" t="s">
        <v>8</v>
      </c>
      <c r="Q3">
        <v>2014</v>
      </c>
      <c r="R3" s="1">
        <v>0.65445913739622341</v>
      </c>
      <c r="S3" s="1">
        <v>1.0553500000000002</v>
      </c>
      <c r="T3" s="1">
        <v>0.68813909562464293</v>
      </c>
      <c r="U3">
        <v>2014</v>
      </c>
      <c r="V3" s="1">
        <f t="shared" ref="V3:V66" si="0">AVERAGE(C3,H3,M3,R3)</f>
        <v>0.67423476202610222</v>
      </c>
      <c r="W3" s="1">
        <f t="shared" ref="W3:W66" si="1">AVERAGE(D3,I3,N3,S3)</f>
        <v>1.2866500000000003</v>
      </c>
      <c r="X3" s="1">
        <f t="shared" ref="X3:X66" si="2">AVERAGE(E3,J3,O3,T3)</f>
        <v>0.87410992328043102</v>
      </c>
    </row>
    <row r="4" spans="1:24" x14ac:dyDescent="0.3">
      <c r="A4" t="s">
        <v>5</v>
      </c>
      <c r="B4">
        <v>2013</v>
      </c>
      <c r="C4" s="1">
        <v>0.61752516082970488</v>
      </c>
      <c r="D4" s="1">
        <v>1.63</v>
      </c>
      <c r="E4" s="1">
        <v>1.0065660121524189</v>
      </c>
      <c r="F4" t="s">
        <v>6</v>
      </c>
      <c r="G4">
        <v>2013</v>
      </c>
      <c r="H4" s="1">
        <v>0.57526658898284655</v>
      </c>
      <c r="I4" s="1">
        <v>1.3536499999999996</v>
      </c>
      <c r="J4" s="1">
        <v>0.76657250770141994</v>
      </c>
      <c r="K4" t="s">
        <v>7</v>
      </c>
      <c r="L4">
        <v>2013</v>
      </c>
      <c r="M4" s="1">
        <v>0.70528640202187454</v>
      </c>
      <c r="N4" s="1">
        <v>0.52304999999999913</v>
      </c>
      <c r="O4" s="1">
        <v>0.37217135409926483</v>
      </c>
      <c r="P4" t="s">
        <v>8</v>
      </c>
      <c r="Q4">
        <v>2013</v>
      </c>
      <c r="R4" s="1">
        <v>0.68100062934971506</v>
      </c>
      <c r="S4" s="1">
        <v>1.1272500000000005</v>
      </c>
      <c r="T4" s="1">
        <v>0.76503927655859427</v>
      </c>
      <c r="U4">
        <v>2013</v>
      </c>
      <c r="V4" s="1">
        <f t="shared" si="0"/>
        <v>0.64476969529603523</v>
      </c>
      <c r="W4" s="1">
        <f t="shared" si="1"/>
        <v>1.1584874999999997</v>
      </c>
      <c r="X4" s="1">
        <f t="shared" si="2"/>
        <v>0.72758728762792457</v>
      </c>
    </row>
    <row r="5" spans="1:24" x14ac:dyDescent="0.3">
      <c r="A5" t="s">
        <v>5</v>
      </c>
      <c r="B5">
        <v>2012</v>
      </c>
      <c r="C5" s="1">
        <v>0.61419012154780461</v>
      </c>
      <c r="D5" s="1">
        <v>1.9499999999999993</v>
      </c>
      <c r="E5" s="1">
        <v>1.1976707370182185</v>
      </c>
      <c r="F5" t="s">
        <v>6</v>
      </c>
      <c r="G5">
        <v>2012</v>
      </c>
      <c r="H5" s="1">
        <v>0.51892141838754657</v>
      </c>
      <c r="I5" s="1">
        <v>0.9845000000000006</v>
      </c>
      <c r="J5" s="1">
        <v>0.53274885587988385</v>
      </c>
      <c r="K5" t="s">
        <v>7</v>
      </c>
      <c r="L5">
        <v>2012</v>
      </c>
      <c r="M5" s="1">
        <v>0.83413083069902993</v>
      </c>
      <c r="N5" s="1">
        <v>0.52301999999999893</v>
      </c>
      <c r="O5" s="1">
        <v>0.43796569425870319</v>
      </c>
      <c r="P5" t="s">
        <v>8</v>
      </c>
      <c r="Q5">
        <v>2012</v>
      </c>
      <c r="R5" s="1">
        <v>0.79592002851887123</v>
      </c>
      <c r="S5" s="1">
        <v>0.88745000000000029</v>
      </c>
      <c r="T5" s="1">
        <v>0.70815366988814965</v>
      </c>
      <c r="U5">
        <v>2012</v>
      </c>
      <c r="V5" s="1">
        <f t="shared" si="0"/>
        <v>0.69079059978831303</v>
      </c>
      <c r="W5" s="1">
        <f t="shared" si="1"/>
        <v>1.0862424999999998</v>
      </c>
      <c r="X5" s="1">
        <f t="shared" si="2"/>
        <v>0.71913473926123883</v>
      </c>
    </row>
    <row r="6" spans="1:24" x14ac:dyDescent="0.3">
      <c r="A6" t="s">
        <v>5</v>
      </c>
      <c r="B6">
        <v>2011</v>
      </c>
      <c r="C6" s="1">
        <v>0.4988369422880844</v>
      </c>
      <c r="D6" s="1">
        <v>1.3711000000000002</v>
      </c>
      <c r="E6" s="1">
        <v>0.68395533157119259</v>
      </c>
      <c r="F6" t="s">
        <v>6</v>
      </c>
      <c r="G6">
        <v>2011</v>
      </c>
      <c r="H6" s="1">
        <v>0.61377614193891739</v>
      </c>
      <c r="I6" s="1">
        <v>0.92300000000000093</v>
      </c>
      <c r="J6" s="1">
        <v>0.54661248434118581</v>
      </c>
      <c r="K6" t="s">
        <v>7</v>
      </c>
      <c r="L6">
        <v>2011</v>
      </c>
      <c r="M6" s="1">
        <v>1.1135077965447886</v>
      </c>
      <c r="N6" s="1">
        <v>0.70760499999999871</v>
      </c>
      <c r="O6" s="1">
        <v>0.83743763078268463</v>
      </c>
      <c r="P6" t="s">
        <v>8</v>
      </c>
      <c r="Q6">
        <v>2011</v>
      </c>
      <c r="R6" s="1">
        <v>0.88550624819667845</v>
      </c>
      <c r="S6" s="1">
        <v>1.0313499999999993</v>
      </c>
      <c r="T6" s="1">
        <v>0.9217594912666478</v>
      </c>
      <c r="U6">
        <v>2011</v>
      </c>
      <c r="V6" s="1">
        <f t="shared" si="0"/>
        <v>0.77790678224211729</v>
      </c>
      <c r="W6" s="1">
        <f t="shared" si="1"/>
        <v>1.0082637499999998</v>
      </c>
      <c r="X6" s="1">
        <f t="shared" si="2"/>
        <v>0.74744123449042776</v>
      </c>
    </row>
    <row r="7" spans="1:24" x14ac:dyDescent="0.3">
      <c r="A7" t="s">
        <v>5</v>
      </c>
      <c r="B7">
        <v>2010</v>
      </c>
      <c r="C7" s="1">
        <v>0.63175884013242101</v>
      </c>
      <c r="D7" s="1">
        <v>1.4930000000000003</v>
      </c>
      <c r="E7" s="1">
        <v>0.94321594831770472</v>
      </c>
      <c r="F7" t="s">
        <v>6</v>
      </c>
      <c r="G7">
        <v>2010</v>
      </c>
      <c r="H7" s="1">
        <v>0.74819628346308675</v>
      </c>
      <c r="I7" s="1">
        <v>0.79985000000000017</v>
      </c>
      <c r="J7" s="1">
        <v>0.59346543125775031</v>
      </c>
      <c r="K7" t="s">
        <v>7</v>
      </c>
      <c r="L7">
        <v>2010</v>
      </c>
      <c r="M7" s="1">
        <v>0.85723376468972545</v>
      </c>
      <c r="N7" s="1">
        <v>0.73837999999999848</v>
      </c>
      <c r="O7" s="1">
        <v>0.63296342313565024</v>
      </c>
      <c r="P7" t="s">
        <v>8</v>
      </c>
      <c r="Q7">
        <v>2010</v>
      </c>
      <c r="R7" s="1">
        <v>0.90363060282439323</v>
      </c>
      <c r="S7" s="1">
        <v>0.91139999999999999</v>
      </c>
      <c r="T7" s="1">
        <v>0.83493968954092179</v>
      </c>
      <c r="U7">
        <v>2010</v>
      </c>
      <c r="V7" s="1">
        <f t="shared" si="0"/>
        <v>0.78520487277740669</v>
      </c>
      <c r="W7" s="1">
        <f t="shared" si="1"/>
        <v>0.98565749999999974</v>
      </c>
      <c r="X7" s="1">
        <f t="shared" si="2"/>
        <v>0.75114612306300677</v>
      </c>
    </row>
    <row r="8" spans="1:24" x14ac:dyDescent="0.3">
      <c r="A8" t="s">
        <v>5</v>
      </c>
      <c r="B8">
        <v>2009</v>
      </c>
      <c r="C8" s="1">
        <v>0.56872467451258357</v>
      </c>
      <c r="D8" s="1">
        <v>1.0968999999999998</v>
      </c>
      <c r="E8" s="1">
        <v>0.62383409547285273</v>
      </c>
      <c r="F8" t="s">
        <v>6</v>
      </c>
      <c r="G8">
        <v>2009</v>
      </c>
      <c r="H8" s="1">
        <v>0.65715558406044816</v>
      </c>
      <c r="I8" s="1">
        <v>0.76909999999999989</v>
      </c>
      <c r="J8" s="1">
        <v>0.50735544257476473</v>
      </c>
      <c r="K8" t="s">
        <v>7</v>
      </c>
      <c r="L8">
        <v>2009</v>
      </c>
      <c r="M8" s="1">
        <v>0.76676624955614425</v>
      </c>
      <c r="N8" s="1">
        <v>0.7383999999999995</v>
      </c>
      <c r="O8" s="1">
        <v>0.56102507071263863</v>
      </c>
      <c r="P8" t="s">
        <v>8</v>
      </c>
      <c r="Q8">
        <v>2009</v>
      </c>
      <c r="R8" s="1">
        <v>0.78769480831402416</v>
      </c>
      <c r="S8" s="1">
        <v>0.98334999999999972</v>
      </c>
      <c r="T8" s="1">
        <v>0.77168920279538111</v>
      </c>
      <c r="U8">
        <v>2009</v>
      </c>
      <c r="V8" s="1">
        <f t="shared" si="0"/>
        <v>0.69508532911080001</v>
      </c>
      <c r="W8" s="1">
        <f t="shared" si="1"/>
        <v>0.89693749999999972</v>
      </c>
      <c r="X8" s="1">
        <f t="shared" si="2"/>
        <v>0.61597595288890938</v>
      </c>
    </row>
    <row r="9" spans="1:24" x14ac:dyDescent="0.3">
      <c r="A9" t="s">
        <v>5</v>
      </c>
      <c r="B9">
        <v>2008</v>
      </c>
      <c r="C9" s="1">
        <v>0.66884488872990155</v>
      </c>
      <c r="D9" s="1">
        <v>1.234</v>
      </c>
      <c r="E9" s="1">
        <v>0.82535459269269851</v>
      </c>
      <c r="F9" t="s">
        <v>6</v>
      </c>
      <c r="G9">
        <v>2008</v>
      </c>
      <c r="H9" s="1">
        <v>0.67840809448974282</v>
      </c>
      <c r="I9" s="1">
        <v>1.2613999999999992</v>
      </c>
      <c r="J9" s="1">
        <v>0.86982506766241463</v>
      </c>
      <c r="K9" t="s">
        <v>7</v>
      </c>
      <c r="L9">
        <v>2008</v>
      </c>
      <c r="M9" s="1">
        <v>0.69914532912846994</v>
      </c>
      <c r="N9" s="1">
        <v>0.49223500000000175</v>
      </c>
      <c r="O9" s="1">
        <v>0.34560138505290883</v>
      </c>
      <c r="P9" t="s">
        <v>8</v>
      </c>
      <c r="Q9">
        <v>2008</v>
      </c>
      <c r="R9" s="1">
        <v>0.66617916260694521</v>
      </c>
      <c r="S9" s="1">
        <v>1.2471500000000004</v>
      </c>
      <c r="T9" s="1">
        <v>0.83082184919761337</v>
      </c>
      <c r="U9">
        <v>2008</v>
      </c>
      <c r="V9" s="1">
        <f t="shared" si="0"/>
        <v>0.67814436873876494</v>
      </c>
      <c r="W9" s="1">
        <f t="shared" si="1"/>
        <v>1.0586962500000003</v>
      </c>
      <c r="X9" s="1">
        <f t="shared" si="2"/>
        <v>0.71790072365140889</v>
      </c>
    </row>
    <row r="10" spans="1:24" x14ac:dyDescent="0.3">
      <c r="A10" t="s">
        <v>5</v>
      </c>
      <c r="B10">
        <v>2007</v>
      </c>
      <c r="C10" s="1">
        <v>0.64346527424406053</v>
      </c>
      <c r="D10" s="1">
        <v>1.4473000000000003</v>
      </c>
      <c r="E10" s="1">
        <v>0.93128729141342892</v>
      </c>
      <c r="F10" t="s">
        <v>6</v>
      </c>
      <c r="G10">
        <v>2007</v>
      </c>
      <c r="H10" s="1">
        <v>0.65501788309176101</v>
      </c>
      <c r="I10" s="1">
        <v>1.0460499999999993</v>
      </c>
      <c r="J10" s="1">
        <v>0.67909473902468953</v>
      </c>
      <c r="K10" t="s">
        <v>7</v>
      </c>
      <c r="L10">
        <v>2007</v>
      </c>
      <c r="M10" s="1">
        <v>0.68436046820977614</v>
      </c>
      <c r="N10" s="1">
        <v>0.86147000000000196</v>
      </c>
      <c r="O10" s="1">
        <v>0.58907401639327017</v>
      </c>
      <c r="P10" t="s">
        <v>8</v>
      </c>
      <c r="Q10">
        <v>2007</v>
      </c>
      <c r="R10" s="1">
        <v>0.60854636673088081</v>
      </c>
      <c r="S10" s="1">
        <v>1.2234500000000033</v>
      </c>
      <c r="T10" s="1">
        <v>0.74452574273583549</v>
      </c>
      <c r="U10">
        <v>2007</v>
      </c>
      <c r="V10" s="1">
        <f t="shared" si="0"/>
        <v>0.64784749806911957</v>
      </c>
      <c r="W10" s="1">
        <f t="shared" si="1"/>
        <v>1.1445675000000013</v>
      </c>
      <c r="X10" s="1">
        <f t="shared" si="2"/>
        <v>0.735995447391806</v>
      </c>
    </row>
    <row r="11" spans="1:24" x14ac:dyDescent="0.3">
      <c r="A11" t="s">
        <v>5</v>
      </c>
      <c r="B11">
        <v>2006</v>
      </c>
      <c r="C11" s="1">
        <v>0.70462818863201526</v>
      </c>
      <c r="D11" s="1">
        <v>0.79219999999999935</v>
      </c>
      <c r="E11" s="1">
        <v>0.55820645103428201</v>
      </c>
      <c r="F11" t="s">
        <v>6</v>
      </c>
      <c r="G11">
        <v>2006</v>
      </c>
      <c r="H11" s="1">
        <v>0.6845389978120936</v>
      </c>
      <c r="I11" s="1">
        <v>1.1690500000000004</v>
      </c>
      <c r="J11" s="1">
        <v>0.80458147587201401</v>
      </c>
      <c r="K11" t="s">
        <v>7</v>
      </c>
      <c r="L11">
        <v>2006</v>
      </c>
      <c r="M11" s="1">
        <v>0.83323335261291043</v>
      </c>
      <c r="N11" s="1">
        <v>0.67681500000000216</v>
      </c>
      <c r="O11" s="1">
        <v>0.56394255406246652</v>
      </c>
      <c r="P11" t="s">
        <v>8</v>
      </c>
      <c r="Q11">
        <v>2006</v>
      </c>
      <c r="R11" s="1">
        <v>0.48509186900103768</v>
      </c>
      <c r="S11" s="1">
        <v>0.93565000000000254</v>
      </c>
      <c r="T11" s="1">
        <v>0.45935561016002968</v>
      </c>
      <c r="U11">
        <v>2006</v>
      </c>
      <c r="V11" s="1">
        <f t="shared" si="0"/>
        <v>0.67687310201451423</v>
      </c>
      <c r="W11" s="1">
        <f t="shared" si="1"/>
        <v>0.8934287500000011</v>
      </c>
      <c r="X11" s="1">
        <f t="shared" si="2"/>
        <v>0.59652152278219805</v>
      </c>
    </row>
    <row r="12" spans="1:24" x14ac:dyDescent="0.3">
      <c r="A12" t="s">
        <v>5</v>
      </c>
      <c r="B12">
        <v>2005</v>
      </c>
      <c r="C12" s="1">
        <v>0.64314227048131334</v>
      </c>
      <c r="D12" s="1">
        <v>2.011000000000001</v>
      </c>
      <c r="E12" s="1">
        <v>1.2933591059379217</v>
      </c>
      <c r="F12" t="s">
        <v>6</v>
      </c>
      <c r="G12">
        <v>2005</v>
      </c>
      <c r="H12" s="1">
        <v>0.71589704733561366</v>
      </c>
      <c r="I12" s="1">
        <v>1.1075500000000007</v>
      </c>
      <c r="J12" s="1">
        <v>0.78300006651697984</v>
      </c>
      <c r="K12" t="s">
        <v>7</v>
      </c>
      <c r="L12">
        <v>2005</v>
      </c>
      <c r="M12" s="1">
        <v>0.77716948677305542</v>
      </c>
      <c r="N12" s="1">
        <v>1.2305900000000047</v>
      </c>
      <c r="O12" s="1">
        <v>0.90700774724120892</v>
      </c>
      <c r="P12" t="s">
        <v>8</v>
      </c>
      <c r="Q12">
        <v>2005</v>
      </c>
      <c r="R12" s="1">
        <v>0.7628341476145335</v>
      </c>
      <c r="S12" s="1">
        <v>1.0556499999999955</v>
      </c>
      <c r="T12" s="1">
        <v>0.8087212856736179</v>
      </c>
      <c r="U12">
        <v>2005</v>
      </c>
      <c r="V12" s="1">
        <f t="shared" si="0"/>
        <v>0.72476073805112895</v>
      </c>
      <c r="W12" s="1">
        <f t="shared" si="1"/>
        <v>1.3511975000000005</v>
      </c>
      <c r="X12" s="1">
        <f t="shared" si="2"/>
        <v>0.94802205134243211</v>
      </c>
    </row>
    <row r="13" spans="1:24" x14ac:dyDescent="0.3">
      <c r="A13" t="s">
        <v>5</v>
      </c>
      <c r="B13">
        <v>2004</v>
      </c>
      <c r="C13" s="1">
        <v>0.61592095412051839</v>
      </c>
      <c r="D13" s="1">
        <v>1.2491999999999983</v>
      </c>
      <c r="E13" s="1">
        <v>0.76940845588735052</v>
      </c>
      <c r="F13" t="s">
        <v>6</v>
      </c>
      <c r="G13">
        <v>2004</v>
      </c>
      <c r="H13" s="1">
        <v>0.62225655958704973</v>
      </c>
      <c r="I13" s="1">
        <v>0.95375000000000032</v>
      </c>
      <c r="J13" s="1">
        <v>0.57665741130969561</v>
      </c>
      <c r="K13" t="s">
        <v>7</v>
      </c>
      <c r="L13">
        <v>2004</v>
      </c>
      <c r="M13" s="1">
        <v>0.69959442626080459</v>
      </c>
      <c r="N13" s="1">
        <v>0.52301000000000109</v>
      </c>
      <c r="O13" s="1">
        <v>0.32511268607341032</v>
      </c>
      <c r="P13" t="s">
        <v>8</v>
      </c>
      <c r="Q13">
        <v>2004</v>
      </c>
      <c r="R13" s="1">
        <v>0.67256910381285739</v>
      </c>
      <c r="S13" s="1">
        <v>1.1515999999999895</v>
      </c>
      <c r="T13" s="1">
        <v>0.77846852288785928</v>
      </c>
      <c r="U13">
        <v>2004</v>
      </c>
      <c r="V13" s="1">
        <f t="shared" si="0"/>
        <v>0.65258526094530755</v>
      </c>
      <c r="W13" s="1">
        <f t="shared" si="1"/>
        <v>0.96938999999999731</v>
      </c>
      <c r="X13" s="1">
        <f t="shared" si="2"/>
        <v>0.61241176903957895</v>
      </c>
    </row>
    <row r="14" spans="1:24" x14ac:dyDescent="0.3">
      <c r="A14" t="s">
        <v>5</v>
      </c>
      <c r="B14">
        <v>2003</v>
      </c>
      <c r="C14" s="1">
        <v>0.63199033945172534</v>
      </c>
      <c r="D14" s="1">
        <v>1.1730000000000018</v>
      </c>
      <c r="E14" s="1">
        <v>0.74132466817687492</v>
      </c>
      <c r="F14" t="s">
        <v>6</v>
      </c>
      <c r="G14">
        <v>2003</v>
      </c>
      <c r="H14" s="1">
        <v>0.54959937264975833</v>
      </c>
      <c r="I14" s="1">
        <v>1.2306500000000025</v>
      </c>
      <c r="J14" s="1">
        <v>0.68592308708048333</v>
      </c>
      <c r="K14" t="s">
        <v>7</v>
      </c>
      <c r="L14">
        <v>2003</v>
      </c>
      <c r="M14" s="1">
        <v>0.59065026346580529</v>
      </c>
      <c r="N14" s="1">
        <v>0.7691400000000046</v>
      </c>
      <c r="O14" s="1">
        <v>0.44785491776285613</v>
      </c>
      <c r="P14" t="s">
        <v>8</v>
      </c>
      <c r="Q14">
        <v>2003</v>
      </c>
      <c r="R14" s="1">
        <v>0.62556349342787754</v>
      </c>
      <c r="S14" s="1">
        <v>1.0316499999999884</v>
      </c>
      <c r="T14" s="1">
        <v>0.64509022494682711</v>
      </c>
      <c r="U14">
        <v>2003</v>
      </c>
      <c r="V14" s="1">
        <f t="shared" si="0"/>
        <v>0.59945086724879171</v>
      </c>
      <c r="W14" s="1">
        <f t="shared" si="1"/>
        <v>1.0511099999999993</v>
      </c>
      <c r="X14" s="1">
        <f t="shared" si="2"/>
        <v>0.63004822449176046</v>
      </c>
    </row>
    <row r="15" spans="1:24" x14ac:dyDescent="0.3">
      <c r="A15" t="s">
        <v>5</v>
      </c>
      <c r="B15">
        <v>2002</v>
      </c>
      <c r="C15" s="1">
        <v>0.67841986217550831</v>
      </c>
      <c r="D15" s="1">
        <v>1.3101999999999983</v>
      </c>
      <c r="E15" s="1">
        <v>0.88886570342234983</v>
      </c>
      <c r="F15" t="s">
        <v>6</v>
      </c>
      <c r="G15">
        <v>2002</v>
      </c>
      <c r="H15" s="1">
        <v>0.47976431786340634</v>
      </c>
      <c r="I15" s="1">
        <v>1.3537000000000008</v>
      </c>
      <c r="J15" s="1">
        <v>0.64512452118904084</v>
      </c>
      <c r="K15" t="s">
        <v>7</v>
      </c>
      <c r="L15">
        <v>2002</v>
      </c>
      <c r="M15" s="1">
        <v>0.64487084620311697</v>
      </c>
      <c r="N15" s="1">
        <v>0.98450000000000415</v>
      </c>
      <c r="O15" s="1">
        <v>0.59870257471001875</v>
      </c>
      <c r="P15" t="s">
        <v>8</v>
      </c>
      <c r="Q15">
        <v>2002</v>
      </c>
      <c r="R15" s="1">
        <v>0.62438978366932751</v>
      </c>
      <c r="S15" s="1">
        <v>1.2475499999999879</v>
      </c>
      <c r="T15" s="1">
        <v>0.77754714557630633</v>
      </c>
      <c r="U15">
        <v>2002</v>
      </c>
      <c r="V15" s="1">
        <f t="shared" si="0"/>
        <v>0.60686120247783981</v>
      </c>
      <c r="W15" s="1">
        <f t="shared" si="1"/>
        <v>1.2239874999999978</v>
      </c>
      <c r="X15" s="1">
        <f t="shared" si="2"/>
        <v>0.72755998622442897</v>
      </c>
    </row>
    <row r="16" spans="1:24" x14ac:dyDescent="0.3">
      <c r="A16" t="s">
        <v>5</v>
      </c>
      <c r="B16">
        <v>2001</v>
      </c>
      <c r="C16" s="1">
        <v>0.68850185521429286</v>
      </c>
      <c r="D16" s="1">
        <v>1.9194999999999993</v>
      </c>
      <c r="E16" s="1">
        <v>1.3215793110838348</v>
      </c>
      <c r="F16" t="s">
        <v>6</v>
      </c>
      <c r="G16">
        <v>2001</v>
      </c>
      <c r="H16" s="1">
        <v>0.59815422903421167</v>
      </c>
      <c r="I16" s="1">
        <v>0.76914999999999978</v>
      </c>
      <c r="J16" s="1">
        <v>0.45457392439469047</v>
      </c>
      <c r="K16" t="s">
        <v>7</v>
      </c>
      <c r="L16">
        <v>2001</v>
      </c>
      <c r="M16" s="1">
        <v>0.56453557684710165</v>
      </c>
      <c r="N16" s="1">
        <v>0.79991500000000215</v>
      </c>
      <c r="O16" s="1">
        <v>0.45753407319870842</v>
      </c>
      <c r="P16" t="s">
        <v>8</v>
      </c>
      <c r="Q16">
        <v>2001</v>
      </c>
      <c r="R16" s="1">
        <v>0.66204059902045431</v>
      </c>
      <c r="S16" s="1">
        <v>1.2235999999999869</v>
      </c>
      <c r="T16" s="1">
        <v>0.80796899489248741</v>
      </c>
      <c r="U16">
        <v>2001</v>
      </c>
      <c r="V16" s="1">
        <f t="shared" si="0"/>
        <v>0.62830806502901515</v>
      </c>
      <c r="W16" s="1">
        <f t="shared" si="1"/>
        <v>1.178041249999997</v>
      </c>
      <c r="X16" s="1">
        <f t="shared" si="2"/>
        <v>0.76041407589243026</v>
      </c>
    </row>
    <row r="17" spans="1:24" x14ac:dyDescent="0.3">
      <c r="A17" t="s">
        <v>5</v>
      </c>
      <c r="B17">
        <v>2000</v>
      </c>
      <c r="C17" s="1">
        <v>0.62470719277071884</v>
      </c>
      <c r="D17" s="1">
        <v>1.5234000000000023</v>
      </c>
      <c r="E17" s="1">
        <v>0.95167893746691457</v>
      </c>
      <c r="F17" t="s">
        <v>6</v>
      </c>
      <c r="G17">
        <v>2000</v>
      </c>
      <c r="H17" s="1">
        <v>0.69591070088890672</v>
      </c>
      <c r="I17" s="1">
        <v>1.3229500000000005</v>
      </c>
      <c r="J17" s="1">
        <v>0.98044872201187827</v>
      </c>
      <c r="K17" t="s">
        <v>7</v>
      </c>
      <c r="L17">
        <v>2000</v>
      </c>
      <c r="M17" s="1">
        <v>0.69488594934551751</v>
      </c>
      <c r="N17" s="1">
        <v>0.83067999999999831</v>
      </c>
      <c r="O17" s="1">
        <v>0.57158629616924994</v>
      </c>
      <c r="P17" t="s">
        <v>8</v>
      </c>
      <c r="Q17">
        <v>2000</v>
      </c>
      <c r="R17" s="1">
        <v>0.58567046773718134</v>
      </c>
      <c r="S17" s="1">
        <v>1.0076499999999893</v>
      </c>
      <c r="T17" s="1">
        <v>0.58769286841148904</v>
      </c>
      <c r="U17">
        <v>2000</v>
      </c>
      <c r="V17" s="1">
        <f t="shared" si="0"/>
        <v>0.65029357768558105</v>
      </c>
      <c r="W17" s="1">
        <f t="shared" si="1"/>
        <v>1.1711699999999976</v>
      </c>
      <c r="X17" s="1">
        <f t="shared" si="2"/>
        <v>0.77285170601488296</v>
      </c>
    </row>
    <row r="18" spans="1:24" x14ac:dyDescent="0.3">
      <c r="A18" t="s">
        <v>5</v>
      </c>
      <c r="B18">
        <v>1999</v>
      </c>
      <c r="C18" s="1">
        <v>0.70055476321953836</v>
      </c>
      <c r="D18" s="1">
        <v>1.7061999999999991</v>
      </c>
      <c r="E18" s="1">
        <v>1.1952865370051757</v>
      </c>
      <c r="F18" t="s">
        <v>6</v>
      </c>
      <c r="G18">
        <v>1999</v>
      </c>
      <c r="H18" s="1">
        <v>0.60405952334951984</v>
      </c>
      <c r="I18" s="1">
        <v>0.92295000000000016</v>
      </c>
      <c r="J18" s="1">
        <v>0.5688426062547991</v>
      </c>
      <c r="K18" t="s">
        <v>7</v>
      </c>
      <c r="L18">
        <v>1999</v>
      </c>
      <c r="M18" s="1">
        <v>0.7674605222316635</v>
      </c>
      <c r="N18" s="1">
        <v>0.98446999999999196</v>
      </c>
      <c r="O18" s="1">
        <v>0.75513241099696948</v>
      </c>
      <c r="P18" t="s">
        <v>8</v>
      </c>
      <c r="Q18">
        <v>1999</v>
      </c>
      <c r="R18" s="1">
        <v>0.59094072054112046</v>
      </c>
      <c r="S18" s="1">
        <v>1.2475999999999878</v>
      </c>
      <c r="T18" s="1">
        <v>0.73730121727828324</v>
      </c>
      <c r="U18">
        <v>1999</v>
      </c>
      <c r="V18" s="1">
        <f t="shared" si="0"/>
        <v>0.66575388233546051</v>
      </c>
      <c r="W18" s="1">
        <f t="shared" si="1"/>
        <v>1.2153049999999948</v>
      </c>
      <c r="X18" s="1">
        <f t="shared" si="2"/>
        <v>0.81414069288380697</v>
      </c>
    </row>
    <row r="19" spans="1:24" x14ac:dyDescent="0.3">
      <c r="A19" t="s">
        <v>5</v>
      </c>
      <c r="B19">
        <v>1998</v>
      </c>
      <c r="C19" s="1">
        <v>0.6600458248145854</v>
      </c>
      <c r="D19" s="1">
        <v>1.4316299999999167</v>
      </c>
      <c r="E19" s="1">
        <v>0.94494140417924988</v>
      </c>
      <c r="F19" t="s">
        <v>6</v>
      </c>
      <c r="G19">
        <v>1998</v>
      </c>
      <c r="H19" s="1">
        <v>0.53454276195179018</v>
      </c>
      <c r="I19" s="1">
        <v>1.3229500000000005</v>
      </c>
      <c r="J19" s="1">
        <v>0.7079827845566643</v>
      </c>
      <c r="K19" t="s">
        <v>7</v>
      </c>
      <c r="L19">
        <v>1998</v>
      </c>
      <c r="M19" s="1">
        <v>0.85946627769751083</v>
      </c>
      <c r="N19" s="1">
        <v>0.61528499999999564</v>
      </c>
      <c r="O19" s="1">
        <v>0.54200702788059651</v>
      </c>
      <c r="P19" t="s">
        <v>8</v>
      </c>
      <c r="Q19">
        <v>1998</v>
      </c>
      <c r="R19" s="1">
        <v>0.6208799621334633</v>
      </c>
      <c r="S19" s="1">
        <v>1.4634499999999875</v>
      </c>
      <c r="T19" s="1">
        <v>0.90050092826068207</v>
      </c>
      <c r="U19">
        <v>1998</v>
      </c>
      <c r="V19" s="1">
        <f t="shared" si="0"/>
        <v>0.66873370664933729</v>
      </c>
      <c r="W19" s="1">
        <f t="shared" si="1"/>
        <v>1.2083287499999751</v>
      </c>
      <c r="X19" s="1">
        <f t="shared" si="2"/>
        <v>0.77385803621929816</v>
      </c>
    </row>
    <row r="20" spans="1:24" x14ac:dyDescent="0.3">
      <c r="A20" t="s">
        <v>5</v>
      </c>
      <c r="B20">
        <v>1997</v>
      </c>
      <c r="C20" s="1">
        <v>0.65863837292458283</v>
      </c>
      <c r="D20" s="1">
        <v>0.92902999999993696</v>
      </c>
      <c r="E20" s="1">
        <v>0.61189480759808368</v>
      </c>
      <c r="F20" t="s">
        <v>6</v>
      </c>
      <c r="G20">
        <v>1997</v>
      </c>
      <c r="H20" s="1">
        <v>0.55737698402762337</v>
      </c>
      <c r="I20" s="1">
        <v>1.0152999999999981</v>
      </c>
      <c r="J20" s="1">
        <v>0.56754457843994666</v>
      </c>
      <c r="K20" t="s">
        <v>7</v>
      </c>
      <c r="L20">
        <v>1997</v>
      </c>
      <c r="M20" s="1">
        <v>0.91925493779757161</v>
      </c>
      <c r="N20" s="1">
        <v>0.86138499999999141</v>
      </c>
      <c r="O20" s="1">
        <v>0.73503447410960221</v>
      </c>
      <c r="P20" t="s">
        <v>8</v>
      </c>
      <c r="Q20">
        <v>1997</v>
      </c>
      <c r="R20" s="1">
        <v>0.63852599810655675</v>
      </c>
      <c r="S20" s="1">
        <v>1.1276499999999867</v>
      </c>
      <c r="T20" s="1">
        <v>0.72395124412462386</v>
      </c>
      <c r="U20">
        <v>1997</v>
      </c>
      <c r="V20" s="1">
        <f t="shared" si="0"/>
        <v>0.69344907321408367</v>
      </c>
      <c r="W20" s="1">
        <f t="shared" si="1"/>
        <v>0.9833412499999783</v>
      </c>
      <c r="X20" s="1">
        <f t="shared" si="2"/>
        <v>0.6596062760680641</v>
      </c>
    </row>
    <row r="21" spans="1:24" x14ac:dyDescent="0.3">
      <c r="A21" t="s">
        <v>5</v>
      </c>
      <c r="B21">
        <v>1996</v>
      </c>
      <c r="C21" s="1">
        <v>0.62495721684407146</v>
      </c>
      <c r="D21" s="1">
        <v>1.4620799999999008</v>
      </c>
      <c r="E21" s="1">
        <v>0.91373744760331799</v>
      </c>
      <c r="F21" t="s">
        <v>6</v>
      </c>
      <c r="G21">
        <v>1996</v>
      </c>
      <c r="H21" s="1">
        <v>0.60248732314532139</v>
      </c>
      <c r="I21" s="1">
        <v>1.1998499999999996</v>
      </c>
      <c r="J21" s="1">
        <v>0.73042642307553118</v>
      </c>
      <c r="K21" t="s">
        <v>7</v>
      </c>
      <c r="L21">
        <v>1996</v>
      </c>
      <c r="M21" s="1">
        <v>0.93880927219406818</v>
      </c>
      <c r="N21" s="1">
        <v>0.70759999999999579</v>
      </c>
      <c r="O21" s="1">
        <v>0.67054371679209213</v>
      </c>
      <c r="P21" t="s">
        <v>8</v>
      </c>
      <c r="Q21">
        <v>1996</v>
      </c>
      <c r="R21" s="1">
        <v>0.67461606427977427</v>
      </c>
      <c r="S21" s="1">
        <v>1.2475499999999879</v>
      </c>
      <c r="T21" s="1">
        <v>0.84192875872363571</v>
      </c>
      <c r="U21">
        <v>1996</v>
      </c>
      <c r="V21" s="1">
        <f t="shared" si="0"/>
        <v>0.71021746911580885</v>
      </c>
      <c r="W21" s="1">
        <f t="shared" si="1"/>
        <v>1.154269999999971</v>
      </c>
      <c r="X21" s="1">
        <f t="shared" si="2"/>
        <v>0.78915908654864431</v>
      </c>
    </row>
    <row r="22" spans="1:24" x14ac:dyDescent="0.3">
      <c r="A22" t="s">
        <v>5</v>
      </c>
      <c r="B22">
        <v>1995</v>
      </c>
      <c r="C22" s="1">
        <v>0.76493760761763485</v>
      </c>
      <c r="D22" s="1">
        <v>1.0813299999999266</v>
      </c>
      <c r="E22" s="1">
        <v>0.82714998324512101</v>
      </c>
      <c r="F22" t="s">
        <v>6</v>
      </c>
      <c r="G22">
        <v>1995</v>
      </c>
      <c r="H22" s="1">
        <v>0.74133274128759408</v>
      </c>
      <c r="I22" s="1">
        <v>1.01525</v>
      </c>
      <c r="J22" s="1">
        <v>0.74221923116165744</v>
      </c>
      <c r="K22" t="s">
        <v>7</v>
      </c>
      <c r="L22">
        <v>1995</v>
      </c>
      <c r="M22" s="1">
        <v>0.90711328540909153</v>
      </c>
      <c r="N22" s="1">
        <v>0.86144999999999605</v>
      </c>
      <c r="O22" s="1">
        <v>0.79198828243394515</v>
      </c>
      <c r="P22" t="s">
        <v>8</v>
      </c>
      <c r="Q22">
        <v>1995</v>
      </c>
      <c r="R22" s="1">
        <v>0.61754767834362578</v>
      </c>
      <c r="S22" s="1">
        <v>1.1035999999999895</v>
      </c>
      <c r="T22" s="1">
        <v>0.67895298448969155</v>
      </c>
      <c r="U22">
        <v>1995</v>
      </c>
      <c r="V22" s="1">
        <f t="shared" si="0"/>
        <v>0.75773282816448662</v>
      </c>
      <c r="W22" s="1">
        <f t="shared" si="1"/>
        <v>1.015407499999978</v>
      </c>
      <c r="X22" s="1">
        <f t="shared" si="2"/>
        <v>0.76007762033260384</v>
      </c>
    </row>
    <row r="23" spans="1:24" x14ac:dyDescent="0.3">
      <c r="A23" t="s">
        <v>5</v>
      </c>
      <c r="B23">
        <v>1994</v>
      </c>
      <c r="C23" s="1">
        <v>0.76138875784810711</v>
      </c>
      <c r="D23" s="1">
        <v>1.2793200000001228</v>
      </c>
      <c r="E23" s="1">
        <v>0.97405986569033387</v>
      </c>
      <c r="F23" t="s">
        <v>6</v>
      </c>
      <c r="G23">
        <v>1994</v>
      </c>
      <c r="H23" s="1">
        <v>0.91691216473193526</v>
      </c>
      <c r="I23" s="1">
        <v>0.98449999999999704</v>
      </c>
      <c r="J23" s="1">
        <v>0.88079251201418152</v>
      </c>
      <c r="K23" t="s">
        <v>7</v>
      </c>
      <c r="L23">
        <v>1994</v>
      </c>
      <c r="M23" s="1">
        <v>0.83303200428471746</v>
      </c>
      <c r="N23" s="1">
        <v>0.6768499999999964</v>
      </c>
      <c r="O23" s="1">
        <v>0.56269101811651479</v>
      </c>
      <c r="P23" t="s">
        <v>8</v>
      </c>
      <c r="Q23">
        <v>1994</v>
      </c>
      <c r="R23" s="1">
        <v>0.57822936016515047</v>
      </c>
      <c r="S23" s="1">
        <v>1.3435000000000041</v>
      </c>
      <c r="T23" s="1">
        <v>0.77524186302464149</v>
      </c>
      <c r="U23">
        <v>1994</v>
      </c>
      <c r="V23" s="1">
        <f t="shared" si="0"/>
        <v>0.7723905717574775</v>
      </c>
      <c r="W23" s="1">
        <f t="shared" si="1"/>
        <v>1.0710425000000301</v>
      </c>
      <c r="X23" s="1">
        <f t="shared" si="2"/>
        <v>0.79819631471141794</v>
      </c>
    </row>
    <row r="24" spans="1:24" x14ac:dyDescent="0.3">
      <c r="A24" t="s">
        <v>5</v>
      </c>
      <c r="B24">
        <v>1993</v>
      </c>
      <c r="C24" s="1">
        <v>0.70068539995430679</v>
      </c>
      <c r="D24" s="1">
        <v>1.3554700000002242</v>
      </c>
      <c r="E24" s="1">
        <v>0.94975803907622136</v>
      </c>
      <c r="F24" t="s">
        <v>6</v>
      </c>
      <c r="G24">
        <v>1993</v>
      </c>
      <c r="H24" s="1">
        <v>0.76749040592229756</v>
      </c>
      <c r="I24" s="1">
        <v>0.83070000000000199</v>
      </c>
      <c r="J24" s="1">
        <v>0.63955688640168196</v>
      </c>
      <c r="K24" t="s">
        <v>7</v>
      </c>
      <c r="L24">
        <v>1993</v>
      </c>
      <c r="M24" s="1">
        <v>0.8035022160852332</v>
      </c>
      <c r="N24" s="1">
        <v>0.83067999999999564</v>
      </c>
      <c r="O24" s="1">
        <v>0.65195686299293909</v>
      </c>
      <c r="P24" t="s">
        <v>8</v>
      </c>
      <c r="Q24">
        <v>1993</v>
      </c>
      <c r="R24" s="1">
        <v>0.70093456805769794</v>
      </c>
      <c r="S24" s="1">
        <v>1.1756000000000242</v>
      </c>
      <c r="T24" s="1">
        <v>0.82525854095007656</v>
      </c>
      <c r="U24">
        <v>1993</v>
      </c>
      <c r="V24" s="1">
        <f t="shared" si="0"/>
        <v>0.74315314750488382</v>
      </c>
      <c r="W24" s="1">
        <f t="shared" si="1"/>
        <v>1.0481125000000615</v>
      </c>
      <c r="X24" s="1">
        <f t="shared" si="2"/>
        <v>0.7666325823552298</v>
      </c>
    </row>
    <row r="25" spans="1:24" x14ac:dyDescent="0.3">
      <c r="A25" t="s">
        <v>5</v>
      </c>
      <c r="B25">
        <v>1992</v>
      </c>
      <c r="C25" s="1">
        <v>0.72845399828482826</v>
      </c>
      <c r="D25" s="1">
        <v>1.3707000000002267</v>
      </c>
      <c r="E25" s="1">
        <v>0.99849189544917927</v>
      </c>
      <c r="F25" t="s">
        <v>6</v>
      </c>
      <c r="G25">
        <v>1992</v>
      </c>
      <c r="H25" s="1">
        <v>0.64267102207842819</v>
      </c>
      <c r="I25" s="1">
        <v>0.67684999999999995</v>
      </c>
      <c r="J25" s="1">
        <v>0.43499455444849533</v>
      </c>
      <c r="K25" t="s">
        <v>7</v>
      </c>
      <c r="L25">
        <v>1992</v>
      </c>
      <c r="M25" s="1">
        <v>0.74408103673432935</v>
      </c>
      <c r="N25" s="1">
        <v>1.3229049999999933</v>
      </c>
      <c r="O25" s="1">
        <v>0.95768095321105662</v>
      </c>
      <c r="P25" t="s">
        <v>8</v>
      </c>
      <c r="Q25">
        <v>1992</v>
      </c>
      <c r="R25" s="1">
        <v>0.69496403613835533</v>
      </c>
      <c r="S25" s="1">
        <v>0.88770000000001481</v>
      </c>
      <c r="T25" s="1">
        <v>0.61253289793530064</v>
      </c>
      <c r="U25">
        <v>1992</v>
      </c>
      <c r="V25" s="1">
        <f t="shared" si="0"/>
        <v>0.70254252330898526</v>
      </c>
      <c r="W25" s="1">
        <f t="shared" si="1"/>
        <v>1.0645387500000587</v>
      </c>
      <c r="X25" s="1">
        <f t="shared" si="2"/>
        <v>0.75092507526100793</v>
      </c>
    </row>
    <row r="26" spans="1:24" x14ac:dyDescent="0.3">
      <c r="A26" t="s">
        <v>5</v>
      </c>
      <c r="B26">
        <v>1991</v>
      </c>
      <c r="C26" s="1">
        <v>0.78127200406874742</v>
      </c>
      <c r="D26" s="1">
        <v>1.1574800000001915</v>
      </c>
      <c r="E26" s="1">
        <v>0.90430671926964334</v>
      </c>
      <c r="F26" t="s">
        <v>6</v>
      </c>
      <c r="G26">
        <v>1991</v>
      </c>
      <c r="H26" s="1">
        <v>0.60191129171930791</v>
      </c>
      <c r="I26" s="1">
        <v>0.67684999999999818</v>
      </c>
      <c r="J26" s="1">
        <v>0.42087791896779247</v>
      </c>
      <c r="K26" t="s">
        <v>7</v>
      </c>
      <c r="L26">
        <v>1991</v>
      </c>
      <c r="M26" s="1">
        <v>0.68514359122933222</v>
      </c>
      <c r="N26" s="1">
        <v>0.52304999999999779</v>
      </c>
      <c r="O26" s="1">
        <v>0.34584230521997494</v>
      </c>
      <c r="P26" t="s">
        <v>8</v>
      </c>
      <c r="Q26">
        <v>1991</v>
      </c>
      <c r="R26" s="1">
        <v>0.68503408800727894</v>
      </c>
      <c r="S26" s="1">
        <v>1.1249000000000073</v>
      </c>
      <c r="T26" s="1">
        <v>0.75948914728710315</v>
      </c>
      <c r="U26">
        <v>1991</v>
      </c>
      <c r="V26" s="1">
        <f t="shared" si="0"/>
        <v>0.68834024375616654</v>
      </c>
      <c r="W26" s="1">
        <f t="shared" si="1"/>
        <v>0.87057000000004869</v>
      </c>
      <c r="X26" s="1">
        <f t="shared" si="2"/>
        <v>0.60762902268612851</v>
      </c>
    </row>
    <row r="27" spans="1:24" x14ac:dyDescent="0.3">
      <c r="A27" t="s">
        <v>5</v>
      </c>
      <c r="B27">
        <v>1990</v>
      </c>
      <c r="C27" s="1">
        <v>0.75557288227660302</v>
      </c>
      <c r="D27" s="1">
        <v>1.1422500000001889</v>
      </c>
      <c r="E27" s="1">
        <v>0.8630531247805926</v>
      </c>
      <c r="F27" t="s">
        <v>6</v>
      </c>
      <c r="G27">
        <v>1990</v>
      </c>
      <c r="H27" s="1">
        <v>0.60608975170053259</v>
      </c>
      <c r="I27" s="1">
        <v>1.1691000000000003</v>
      </c>
      <c r="J27" s="1">
        <v>0.70857952871309249</v>
      </c>
      <c r="K27" t="s">
        <v>7</v>
      </c>
      <c r="L27">
        <v>1990</v>
      </c>
      <c r="M27" s="1">
        <v>0.69938998179210543</v>
      </c>
      <c r="N27" s="1">
        <v>0.70757499999999318</v>
      </c>
      <c r="O27" s="1">
        <v>0.47937877193109041</v>
      </c>
      <c r="P27" t="s">
        <v>8</v>
      </c>
      <c r="Q27">
        <v>1990</v>
      </c>
      <c r="R27" s="1">
        <v>0.66456299593276691</v>
      </c>
      <c r="S27" s="1">
        <v>1.0589999999999993</v>
      </c>
      <c r="T27" s="1">
        <v>0.64697158367906105</v>
      </c>
      <c r="U27">
        <v>1990</v>
      </c>
      <c r="V27" s="1">
        <f t="shared" si="0"/>
        <v>0.68140390292550201</v>
      </c>
      <c r="W27" s="1">
        <f t="shared" si="1"/>
        <v>1.0194812500000454</v>
      </c>
      <c r="X27" s="1">
        <f t="shared" si="2"/>
        <v>0.67449575227595915</v>
      </c>
    </row>
    <row r="28" spans="1:24" x14ac:dyDescent="0.3">
      <c r="A28" t="s">
        <v>5</v>
      </c>
      <c r="B28">
        <v>1989</v>
      </c>
      <c r="C28" s="1">
        <v>0.60147413784412451</v>
      </c>
      <c r="D28" s="1">
        <v>0.80719000000013352</v>
      </c>
      <c r="E28" s="1">
        <v>0.48550390932647919</v>
      </c>
      <c r="F28" t="s">
        <v>6</v>
      </c>
      <c r="G28">
        <v>1989</v>
      </c>
      <c r="H28" s="1">
        <v>0.58451913989618953</v>
      </c>
      <c r="I28" s="1">
        <v>0.70754999999999946</v>
      </c>
      <c r="J28" s="1">
        <v>0.38331467622569965</v>
      </c>
      <c r="K28" t="s">
        <v>7</v>
      </c>
      <c r="L28">
        <v>1989</v>
      </c>
      <c r="M28" s="1">
        <v>0.73355211509103979</v>
      </c>
      <c r="N28" s="1">
        <v>0.9537249999999915</v>
      </c>
      <c r="O28" s="1">
        <v>0.70007696249356188</v>
      </c>
      <c r="P28" t="s">
        <v>8</v>
      </c>
      <c r="Q28">
        <v>1989</v>
      </c>
      <c r="R28" s="1">
        <v>0.62747453478736492</v>
      </c>
      <c r="S28" s="1">
        <v>0.71699999999999875</v>
      </c>
      <c r="T28" s="1">
        <v>0.44428778360791243</v>
      </c>
      <c r="U28">
        <v>1989</v>
      </c>
      <c r="V28" s="1">
        <f t="shared" si="0"/>
        <v>0.63675498190467972</v>
      </c>
      <c r="W28" s="1">
        <f t="shared" si="1"/>
        <v>0.79636625000003081</v>
      </c>
      <c r="X28" s="1">
        <f t="shared" si="2"/>
        <v>0.50329583291341329</v>
      </c>
    </row>
    <row r="29" spans="1:24" x14ac:dyDescent="0.3">
      <c r="A29" t="s">
        <v>5</v>
      </c>
      <c r="B29">
        <v>1988</v>
      </c>
      <c r="C29" s="1">
        <v>0.76226637929128449</v>
      </c>
      <c r="D29" s="1">
        <v>1.7362200000002872</v>
      </c>
      <c r="E29" s="1">
        <v>1.3234621330533329</v>
      </c>
      <c r="F29" t="s">
        <v>6</v>
      </c>
      <c r="G29">
        <v>1988</v>
      </c>
      <c r="H29" s="1">
        <v>0.52261711218186346</v>
      </c>
      <c r="I29" s="1">
        <v>0.92295000000000194</v>
      </c>
      <c r="J29" s="1">
        <v>0.49827720647785534</v>
      </c>
      <c r="K29" t="s">
        <v>7</v>
      </c>
      <c r="L29">
        <v>1988</v>
      </c>
      <c r="M29" s="1">
        <v>0.76363453006684723</v>
      </c>
      <c r="N29" s="1">
        <v>1.0460049999999939</v>
      </c>
      <c r="O29" s="1">
        <v>0.79876554570727154</v>
      </c>
      <c r="P29" t="s">
        <v>8</v>
      </c>
      <c r="Q29">
        <v>1988</v>
      </c>
      <c r="R29" s="1">
        <v>0.52044910550995083</v>
      </c>
      <c r="S29" s="1">
        <v>0.87299999999999756</v>
      </c>
      <c r="T29" s="1">
        <v>0.45512263536595449</v>
      </c>
      <c r="U29">
        <v>1988</v>
      </c>
      <c r="V29" s="1">
        <f t="shared" si="0"/>
        <v>0.64224178176248647</v>
      </c>
      <c r="W29" s="1">
        <f t="shared" si="1"/>
        <v>1.1445437500000701</v>
      </c>
      <c r="X29" s="1">
        <f t="shared" si="2"/>
        <v>0.76890688015110353</v>
      </c>
    </row>
    <row r="30" spans="1:24" x14ac:dyDescent="0.3">
      <c r="A30" t="s">
        <v>5</v>
      </c>
      <c r="B30">
        <v>1987</v>
      </c>
      <c r="C30" s="1">
        <v>0.79306361067364506</v>
      </c>
      <c r="D30" s="1">
        <v>0.62443000000010329</v>
      </c>
      <c r="E30" s="1">
        <v>0.49521271041302611</v>
      </c>
      <c r="F30" t="s">
        <v>6</v>
      </c>
      <c r="G30">
        <v>1987</v>
      </c>
      <c r="H30" s="1">
        <v>0.55030689828165269</v>
      </c>
      <c r="I30" s="1">
        <v>1.076400000000012</v>
      </c>
      <c r="J30" s="1">
        <v>0.59154951805883338</v>
      </c>
      <c r="K30" t="s">
        <v>7</v>
      </c>
      <c r="L30">
        <v>1987</v>
      </c>
      <c r="M30" s="1">
        <v>0.66273684177769732</v>
      </c>
      <c r="N30" s="1">
        <v>0.83064499999999164</v>
      </c>
      <c r="O30" s="1">
        <v>0.54622775138995339</v>
      </c>
      <c r="P30" t="s">
        <v>8</v>
      </c>
      <c r="Q30">
        <v>1987</v>
      </c>
      <c r="R30" s="1">
        <v>0.6778318997724857</v>
      </c>
      <c r="S30" s="1">
        <v>0.91200000000001324</v>
      </c>
      <c r="T30" s="1">
        <v>0.6100965623128447</v>
      </c>
      <c r="U30">
        <v>1987</v>
      </c>
      <c r="V30" s="1">
        <f t="shared" si="0"/>
        <v>0.67098481262637011</v>
      </c>
      <c r="W30" s="1">
        <f t="shared" si="1"/>
        <v>0.86086875000003005</v>
      </c>
      <c r="X30" s="1">
        <f t="shared" si="2"/>
        <v>0.56077163554366438</v>
      </c>
    </row>
    <row r="31" spans="1:24" x14ac:dyDescent="0.3">
      <c r="A31" t="s">
        <v>5</v>
      </c>
      <c r="B31">
        <v>1986</v>
      </c>
      <c r="C31" s="1">
        <v>0.74093721810166024</v>
      </c>
      <c r="D31" s="1">
        <v>1.8428300000003048</v>
      </c>
      <c r="E31" s="1">
        <v>1.3654213336345085</v>
      </c>
      <c r="F31" t="s">
        <v>6</v>
      </c>
      <c r="G31">
        <v>1986</v>
      </c>
      <c r="H31" s="1">
        <v>0.69572265011782086</v>
      </c>
      <c r="I31" s="1">
        <v>0.67670000000000385</v>
      </c>
      <c r="J31" s="1">
        <v>0.48589332175633448</v>
      </c>
      <c r="K31" t="s">
        <v>7</v>
      </c>
      <c r="L31">
        <v>1986</v>
      </c>
      <c r="M31" s="1">
        <v>0.75845133175404156</v>
      </c>
      <c r="N31" s="1">
        <v>1.3229199999999945</v>
      </c>
      <c r="O31" s="1">
        <v>1.0067575850170489</v>
      </c>
      <c r="P31" t="s">
        <v>8</v>
      </c>
      <c r="Q31">
        <v>1986</v>
      </c>
      <c r="R31" s="1">
        <v>0.72365518784288763</v>
      </c>
      <c r="S31" s="1">
        <v>0.96899999999999764</v>
      </c>
      <c r="T31" s="1">
        <v>0.69989224020522955</v>
      </c>
      <c r="U31">
        <v>1986</v>
      </c>
      <c r="V31" s="1">
        <f t="shared" si="0"/>
        <v>0.72969159695410268</v>
      </c>
      <c r="W31" s="1">
        <f t="shared" si="1"/>
        <v>1.2028625000000752</v>
      </c>
      <c r="X31" s="1">
        <f t="shared" si="2"/>
        <v>0.88949112015328036</v>
      </c>
    </row>
    <row r="32" spans="1:24" x14ac:dyDescent="0.3">
      <c r="A32" t="s">
        <v>5</v>
      </c>
      <c r="B32">
        <v>1985</v>
      </c>
      <c r="C32" s="1">
        <v>0.91683388290840029</v>
      </c>
      <c r="D32" s="1">
        <v>1.2945500000002141</v>
      </c>
      <c r="E32" s="1">
        <v>1.1868873031192659</v>
      </c>
      <c r="F32" t="s">
        <v>6</v>
      </c>
      <c r="G32">
        <v>1985</v>
      </c>
      <c r="H32" s="1">
        <v>0.79392222727547201</v>
      </c>
      <c r="I32" s="1">
        <v>0.83050000000000779</v>
      </c>
      <c r="J32" s="1">
        <v>0.77540454762132394</v>
      </c>
      <c r="K32" t="s">
        <v>7</v>
      </c>
      <c r="L32">
        <v>1985</v>
      </c>
      <c r="M32" s="1">
        <v>0.80393918859991575</v>
      </c>
      <c r="N32" s="1">
        <v>0.79991499999999505</v>
      </c>
      <c r="O32" s="1">
        <v>0.65445316097142492</v>
      </c>
      <c r="P32" t="s">
        <v>8</v>
      </c>
      <c r="Q32">
        <v>1985</v>
      </c>
      <c r="R32" s="1">
        <v>0.73157209507536214</v>
      </c>
      <c r="S32" s="1">
        <v>0.97800000000000864</v>
      </c>
      <c r="T32" s="1">
        <v>0.71287772200133492</v>
      </c>
      <c r="U32">
        <v>1985</v>
      </c>
      <c r="V32" s="1">
        <f t="shared" si="0"/>
        <v>0.81156684846478755</v>
      </c>
      <c r="W32" s="1">
        <f t="shared" si="1"/>
        <v>0.9757412500000564</v>
      </c>
      <c r="X32" s="1">
        <f t="shared" si="2"/>
        <v>0.83240568342833743</v>
      </c>
    </row>
    <row r="33" spans="1:24" x14ac:dyDescent="0.3">
      <c r="A33" t="s">
        <v>5</v>
      </c>
      <c r="B33">
        <v>1984</v>
      </c>
      <c r="C33" s="1">
        <v>0.80486669348556328</v>
      </c>
      <c r="D33" s="1">
        <v>1.0965600000001814</v>
      </c>
      <c r="E33" s="1">
        <v>0.88258462140867522</v>
      </c>
      <c r="F33" t="s">
        <v>6</v>
      </c>
      <c r="G33">
        <v>1984</v>
      </c>
      <c r="H33" s="1">
        <v>0.6654122051999436</v>
      </c>
      <c r="I33" s="1">
        <v>0.79970000000000496</v>
      </c>
      <c r="J33" s="1">
        <v>0.55387888685753328</v>
      </c>
      <c r="K33" t="s">
        <v>7</v>
      </c>
      <c r="L33">
        <v>1984</v>
      </c>
      <c r="M33" s="1">
        <v>0.7949313838316765</v>
      </c>
      <c r="N33" s="1">
        <v>0.92295499999998931</v>
      </c>
      <c r="O33" s="1">
        <v>0.73689512794068857</v>
      </c>
      <c r="P33" t="s">
        <v>8</v>
      </c>
      <c r="Q33">
        <v>1984</v>
      </c>
      <c r="R33" s="1">
        <v>0.58664555348139491</v>
      </c>
      <c r="S33" s="1">
        <v>0.81000000000000227</v>
      </c>
      <c r="T33" s="1">
        <v>0.47252452577739829</v>
      </c>
      <c r="U33">
        <v>1984</v>
      </c>
      <c r="V33" s="1">
        <f t="shared" si="0"/>
        <v>0.7129639589996446</v>
      </c>
      <c r="W33" s="1">
        <f t="shared" si="1"/>
        <v>0.90730375000004448</v>
      </c>
      <c r="X33" s="1">
        <f t="shared" si="2"/>
        <v>0.66147079049607393</v>
      </c>
    </row>
    <row r="34" spans="1:24" x14ac:dyDescent="0.3">
      <c r="A34" t="s">
        <v>5</v>
      </c>
      <c r="B34">
        <v>1983</v>
      </c>
      <c r="C34" s="1">
        <v>0.80811610157442026</v>
      </c>
      <c r="D34" s="1">
        <v>0.8681100000001436</v>
      </c>
      <c r="E34" s="1">
        <v>0.70153366893788605</v>
      </c>
      <c r="F34" t="s">
        <v>6</v>
      </c>
      <c r="G34">
        <v>1983</v>
      </c>
      <c r="H34" s="1">
        <v>0.76866075058219063</v>
      </c>
      <c r="I34" s="1">
        <v>0.8612500000000054</v>
      </c>
      <c r="J34" s="1">
        <v>0.71133204241418713</v>
      </c>
      <c r="K34" t="s">
        <v>7</v>
      </c>
      <c r="L34">
        <v>1983</v>
      </c>
      <c r="M34" s="1">
        <v>0.67211766622200797</v>
      </c>
      <c r="N34" s="1">
        <v>1.3844099999999884</v>
      </c>
      <c r="O34" s="1">
        <v>0.93305099141129466</v>
      </c>
      <c r="P34" t="s">
        <v>8</v>
      </c>
      <c r="Q34">
        <v>1983</v>
      </c>
      <c r="R34" s="1">
        <v>0.53867836047303785</v>
      </c>
      <c r="S34" s="1">
        <v>0.90300000000000225</v>
      </c>
      <c r="T34" s="1">
        <v>0.4805649378875454</v>
      </c>
      <c r="U34">
        <v>1983</v>
      </c>
      <c r="V34" s="1">
        <f t="shared" si="0"/>
        <v>0.69689321971291407</v>
      </c>
      <c r="W34" s="1">
        <f t="shared" si="1"/>
        <v>1.0041925000000349</v>
      </c>
      <c r="X34" s="1">
        <f t="shared" si="2"/>
        <v>0.70662041016272825</v>
      </c>
    </row>
    <row r="35" spans="1:24" x14ac:dyDescent="0.3">
      <c r="A35" t="s">
        <v>5</v>
      </c>
      <c r="B35">
        <v>1982</v>
      </c>
      <c r="C35" s="1">
        <v>0.80287254435759992</v>
      </c>
      <c r="D35" s="1">
        <v>0.83765000000013856</v>
      </c>
      <c r="E35" s="1">
        <v>0.67252618678125486</v>
      </c>
      <c r="F35" t="s">
        <v>6</v>
      </c>
      <c r="G35">
        <v>1982</v>
      </c>
      <c r="H35" s="1">
        <v>0.76802462183885967</v>
      </c>
      <c r="I35" s="1">
        <v>0.83050000000000423</v>
      </c>
      <c r="J35" s="1">
        <v>0.65622899000483037</v>
      </c>
      <c r="K35" t="s">
        <v>7</v>
      </c>
      <c r="L35">
        <v>1982</v>
      </c>
      <c r="M35" s="1">
        <v>0.65438801788124312</v>
      </c>
      <c r="N35" s="1">
        <v>0.83062999999999398</v>
      </c>
      <c r="O35" s="1">
        <v>0.54349438390657245</v>
      </c>
      <c r="P35" t="s">
        <v>8</v>
      </c>
      <c r="Q35">
        <v>1982</v>
      </c>
      <c r="R35" s="1">
        <v>0.60253899400198085</v>
      </c>
      <c r="S35" s="1">
        <v>0.81300000000000594</v>
      </c>
      <c r="T35" s="1">
        <v>0.49007968469289165</v>
      </c>
      <c r="U35">
        <v>1982</v>
      </c>
      <c r="V35" s="1">
        <f t="shared" si="0"/>
        <v>0.70695604451992089</v>
      </c>
      <c r="W35" s="1">
        <f t="shared" si="1"/>
        <v>0.82794500000003568</v>
      </c>
      <c r="X35" s="1">
        <f t="shared" si="2"/>
        <v>0.59058231134638728</v>
      </c>
    </row>
    <row r="36" spans="1:24" x14ac:dyDescent="0.3">
      <c r="F36" t="s">
        <v>6</v>
      </c>
      <c r="G36">
        <v>1981</v>
      </c>
      <c r="H36" s="1">
        <v>0.88238869918918783</v>
      </c>
      <c r="I36" s="1">
        <v>1.4764500000000069</v>
      </c>
      <c r="J36" s="1">
        <v>1.4046179247433019</v>
      </c>
      <c r="K36" t="s">
        <v>7</v>
      </c>
      <c r="L36">
        <v>1981</v>
      </c>
      <c r="M36" s="1">
        <v>0.6847385738730456</v>
      </c>
      <c r="N36" s="1">
        <v>1.1382799999999893</v>
      </c>
      <c r="O36" s="1">
        <v>0.7516982528092635</v>
      </c>
      <c r="P36" t="s">
        <v>8</v>
      </c>
      <c r="Q36">
        <v>1981</v>
      </c>
      <c r="R36" s="1">
        <v>0.69661565492151656</v>
      </c>
      <c r="S36" s="1">
        <v>0.92400000000000304</v>
      </c>
      <c r="T36" s="1">
        <v>0.64297162754635051</v>
      </c>
      <c r="U36">
        <v>1981</v>
      </c>
      <c r="V36" s="1">
        <f t="shared" si="0"/>
        <v>0.75458097599458329</v>
      </c>
      <c r="W36" s="1">
        <f t="shared" si="1"/>
        <v>1.1795766666666665</v>
      </c>
      <c r="X36" s="1">
        <f t="shared" si="2"/>
        <v>0.93309593503297206</v>
      </c>
    </row>
    <row r="37" spans="1:24" x14ac:dyDescent="0.3">
      <c r="F37" t="s">
        <v>6</v>
      </c>
      <c r="G37">
        <v>1980</v>
      </c>
      <c r="H37" s="1">
        <v>0.86423416700091316</v>
      </c>
      <c r="I37" s="1">
        <v>1.0457000000000072</v>
      </c>
      <c r="J37" s="1">
        <v>0.87109419079340533</v>
      </c>
      <c r="K37" t="s">
        <v>7</v>
      </c>
      <c r="L37">
        <v>1980</v>
      </c>
      <c r="M37" s="1">
        <v>0.56449663890079316</v>
      </c>
      <c r="N37" s="1">
        <v>0.79986499999999339</v>
      </c>
      <c r="O37" s="1">
        <v>0.45787698340543753</v>
      </c>
      <c r="P37" t="s">
        <v>8</v>
      </c>
      <c r="Q37">
        <v>1980</v>
      </c>
      <c r="R37" s="1">
        <v>0.87436333332389715</v>
      </c>
      <c r="S37" s="1">
        <v>0.81600000000000605</v>
      </c>
      <c r="T37" s="1">
        <v>0.71711933046518106</v>
      </c>
      <c r="U37">
        <v>1980</v>
      </c>
      <c r="V37" s="1">
        <f t="shared" si="0"/>
        <v>0.76769804640853445</v>
      </c>
      <c r="W37" s="1">
        <f t="shared" si="1"/>
        <v>0.88718833333333558</v>
      </c>
      <c r="X37" s="1">
        <f t="shared" si="2"/>
        <v>0.68203016822134133</v>
      </c>
    </row>
    <row r="38" spans="1:24" x14ac:dyDescent="0.3">
      <c r="F38" t="s">
        <v>6</v>
      </c>
      <c r="G38">
        <v>1979</v>
      </c>
      <c r="H38" s="1">
        <v>0.81659445928667063</v>
      </c>
      <c r="I38" s="1">
        <v>1.0457000000000107</v>
      </c>
      <c r="J38" s="1">
        <v>0.82147586323326416</v>
      </c>
      <c r="K38" t="s">
        <v>7</v>
      </c>
      <c r="L38">
        <v>1979</v>
      </c>
      <c r="M38" s="1">
        <v>0.92992168505407169</v>
      </c>
      <c r="N38" s="1">
        <v>0.79987999999999104</v>
      </c>
      <c r="O38" s="1">
        <v>0.73492364598253013</v>
      </c>
      <c r="P38" t="s">
        <v>8</v>
      </c>
      <c r="Q38">
        <v>1979</v>
      </c>
      <c r="R38" s="1">
        <v>0.93513870643507579</v>
      </c>
      <c r="S38" s="1">
        <v>0.66900000000000048</v>
      </c>
      <c r="T38" s="1">
        <v>0.61682615565643784</v>
      </c>
      <c r="U38">
        <v>1979</v>
      </c>
      <c r="V38" s="1">
        <f t="shared" si="0"/>
        <v>0.89388495025860593</v>
      </c>
      <c r="W38" s="1">
        <f t="shared" si="1"/>
        <v>0.83819333333333412</v>
      </c>
      <c r="X38" s="1">
        <f t="shared" si="2"/>
        <v>0.72440855495741074</v>
      </c>
    </row>
    <row r="39" spans="1:24" x14ac:dyDescent="0.3">
      <c r="F39" t="s">
        <v>6</v>
      </c>
      <c r="G39">
        <v>1978</v>
      </c>
      <c r="H39" s="1">
        <v>0.96573299560200943</v>
      </c>
      <c r="I39" s="1">
        <v>1.1996000000000038</v>
      </c>
      <c r="J39" s="1">
        <v>1.1607863406363363</v>
      </c>
      <c r="K39" t="s">
        <v>7</v>
      </c>
      <c r="L39">
        <v>1978</v>
      </c>
      <c r="M39" s="1">
        <v>0.63486834357831101</v>
      </c>
      <c r="N39" s="1">
        <v>0.79978999999999445</v>
      </c>
      <c r="O39" s="1">
        <v>0.50104432127205834</v>
      </c>
      <c r="P39" t="s">
        <v>8</v>
      </c>
      <c r="Q39">
        <v>1978</v>
      </c>
      <c r="R39" s="1">
        <v>0.81085027897922046</v>
      </c>
      <c r="S39" s="1">
        <v>0.882000000000005</v>
      </c>
      <c r="T39" s="1">
        <v>0.71539332769310904</v>
      </c>
      <c r="U39">
        <v>1978</v>
      </c>
      <c r="V39" s="1">
        <f t="shared" si="0"/>
        <v>0.8038172060531803</v>
      </c>
      <c r="W39" s="1">
        <f t="shared" si="1"/>
        <v>0.96046333333333445</v>
      </c>
      <c r="X39" s="1">
        <f t="shared" si="2"/>
        <v>0.79240799653383454</v>
      </c>
    </row>
    <row r="40" spans="1:24" x14ac:dyDescent="0.3">
      <c r="F40" t="s">
        <v>6</v>
      </c>
      <c r="G40">
        <v>1977</v>
      </c>
      <c r="H40" s="1">
        <v>0.91029411115037995</v>
      </c>
      <c r="I40" s="1">
        <v>0.83030000000001181</v>
      </c>
      <c r="J40" s="1">
        <v>0.74969729524898088</v>
      </c>
      <c r="K40" t="s">
        <v>7</v>
      </c>
      <c r="L40">
        <v>1977</v>
      </c>
      <c r="M40" s="1">
        <v>0.68270065846960881</v>
      </c>
      <c r="N40" s="1">
        <v>0.9534599999999962</v>
      </c>
      <c r="O40" s="1">
        <v>0.64565079040701323</v>
      </c>
      <c r="P40" t="s">
        <v>8</v>
      </c>
      <c r="Q40">
        <v>1977</v>
      </c>
      <c r="R40" s="1">
        <v>0.88955839152745009</v>
      </c>
      <c r="S40" s="1">
        <v>0.92700000000000315</v>
      </c>
      <c r="T40" s="1">
        <v>0.82429500887704732</v>
      </c>
      <c r="U40">
        <v>1977</v>
      </c>
      <c r="V40" s="1">
        <f t="shared" si="0"/>
        <v>0.82751772038247962</v>
      </c>
      <c r="W40" s="1">
        <f t="shared" si="1"/>
        <v>0.90358666666667042</v>
      </c>
      <c r="X40" s="1">
        <f t="shared" si="2"/>
        <v>0.73988103151101381</v>
      </c>
    </row>
    <row r="41" spans="1:24" x14ac:dyDescent="0.3">
      <c r="F41" t="s">
        <v>6</v>
      </c>
      <c r="G41">
        <v>1976</v>
      </c>
      <c r="H41" s="1">
        <v>0.88349843161035846</v>
      </c>
      <c r="I41" s="1">
        <v>1.0762500000000159</v>
      </c>
      <c r="J41" s="1">
        <v>0.94675935240949616</v>
      </c>
      <c r="K41" t="s">
        <v>7</v>
      </c>
      <c r="L41">
        <v>1976</v>
      </c>
      <c r="M41" s="1">
        <v>0.58831317527807658</v>
      </c>
      <c r="N41" s="1">
        <v>0.67670999999999637</v>
      </c>
      <c r="O41" s="1">
        <v>0.3976662866611963</v>
      </c>
      <c r="P41" t="s">
        <v>8</v>
      </c>
      <c r="Q41">
        <v>1976</v>
      </c>
      <c r="R41" s="1">
        <v>0.86043838413177187</v>
      </c>
      <c r="S41" s="1">
        <v>0.74400000000000688</v>
      </c>
      <c r="T41" s="1">
        <v>0.64084515941028364</v>
      </c>
      <c r="U41">
        <v>1976</v>
      </c>
      <c r="V41" s="1">
        <f t="shared" si="0"/>
        <v>0.77741666367340223</v>
      </c>
      <c r="W41" s="1">
        <f t="shared" si="1"/>
        <v>0.83232000000000639</v>
      </c>
      <c r="X41" s="1">
        <f t="shared" si="2"/>
        <v>0.66175693282699211</v>
      </c>
    </row>
    <row r="42" spans="1:24" x14ac:dyDescent="0.3">
      <c r="F42" t="s">
        <v>6</v>
      </c>
      <c r="G42">
        <v>1975</v>
      </c>
      <c r="H42" s="1">
        <v>0.86893447809268709</v>
      </c>
      <c r="I42" s="1">
        <v>1.0455000000000148</v>
      </c>
      <c r="J42" s="1">
        <v>0.90847099684591759</v>
      </c>
      <c r="K42" t="s">
        <v>7</v>
      </c>
      <c r="L42">
        <v>1975</v>
      </c>
      <c r="M42" s="1">
        <v>0.66679296929709775</v>
      </c>
      <c r="N42" s="1">
        <v>0.9534450000000021</v>
      </c>
      <c r="O42" s="1">
        <v>0.64363840931412941</v>
      </c>
      <c r="P42" t="s">
        <v>8</v>
      </c>
      <c r="Q42">
        <v>1975</v>
      </c>
      <c r="R42" s="1">
        <v>0.78331551987894321</v>
      </c>
      <c r="S42" s="1">
        <v>0.83400000000000318</v>
      </c>
      <c r="T42" s="1">
        <v>0.65386051088814034</v>
      </c>
      <c r="U42">
        <v>1975</v>
      </c>
      <c r="V42" s="1">
        <f t="shared" si="0"/>
        <v>0.77301432242290924</v>
      </c>
      <c r="W42" s="1">
        <f t="shared" si="1"/>
        <v>0.94431500000000668</v>
      </c>
      <c r="X42" s="1">
        <f t="shared" si="2"/>
        <v>0.73532330568272908</v>
      </c>
    </row>
    <row r="43" spans="1:24" x14ac:dyDescent="0.3">
      <c r="F43" t="s">
        <v>6</v>
      </c>
      <c r="G43">
        <v>1974</v>
      </c>
      <c r="H43" s="1">
        <v>1.0419176981666902</v>
      </c>
      <c r="I43" s="1">
        <v>1.0455000000000148</v>
      </c>
      <c r="J43" s="1">
        <v>1.192919919935111</v>
      </c>
      <c r="K43" t="s">
        <v>7</v>
      </c>
      <c r="L43">
        <v>1974</v>
      </c>
      <c r="M43" s="1">
        <v>0.61905547409085315</v>
      </c>
      <c r="N43" s="1">
        <v>0.70741500000000102</v>
      </c>
      <c r="O43" s="1">
        <v>0.438082736609826</v>
      </c>
      <c r="P43" t="s">
        <v>8</v>
      </c>
      <c r="Q43">
        <v>1974</v>
      </c>
      <c r="R43" s="1">
        <v>0.79851921298945161</v>
      </c>
      <c r="S43" s="1">
        <v>0.74400000000000333</v>
      </c>
      <c r="T43" s="1">
        <v>0.59392322017999333</v>
      </c>
      <c r="U43">
        <v>1974</v>
      </c>
      <c r="V43" s="1">
        <f t="shared" si="0"/>
        <v>0.8198307950823317</v>
      </c>
      <c r="W43" s="1">
        <f t="shared" si="1"/>
        <v>0.8323050000000064</v>
      </c>
      <c r="X43" s="1">
        <f t="shared" si="2"/>
        <v>0.74164195890831019</v>
      </c>
    </row>
    <row r="44" spans="1:24" x14ac:dyDescent="0.3">
      <c r="F44" t="s">
        <v>6</v>
      </c>
      <c r="G44">
        <v>1973</v>
      </c>
      <c r="H44" s="1">
        <v>1.1644081362741523</v>
      </c>
      <c r="I44" s="1">
        <v>0.98400000000001242</v>
      </c>
      <c r="J44" s="1">
        <v>1.1457776060937812</v>
      </c>
      <c r="K44" t="s">
        <v>7</v>
      </c>
      <c r="L44">
        <v>1973</v>
      </c>
      <c r="M44" s="1">
        <v>0.71876760429952524</v>
      </c>
      <c r="N44" s="1">
        <v>0.92271000000000214</v>
      </c>
      <c r="O44" s="1">
        <v>0.65955143692389551</v>
      </c>
      <c r="P44" t="s">
        <v>8</v>
      </c>
      <c r="Q44">
        <v>1973</v>
      </c>
      <c r="R44" s="1">
        <v>0.83935429425653374</v>
      </c>
      <c r="S44" s="1">
        <v>0.78600000000000136</v>
      </c>
      <c r="T44" s="1">
        <v>0.66900874605575567</v>
      </c>
      <c r="U44">
        <v>1973</v>
      </c>
      <c r="V44" s="1">
        <f t="shared" si="0"/>
        <v>0.9075100116100705</v>
      </c>
      <c r="W44" s="1">
        <f t="shared" si="1"/>
        <v>0.89757000000000531</v>
      </c>
      <c r="X44" s="1">
        <f t="shared" si="2"/>
        <v>0.82477926302447757</v>
      </c>
    </row>
    <row r="45" spans="1:24" x14ac:dyDescent="0.3">
      <c r="F45" t="s">
        <v>6</v>
      </c>
      <c r="G45">
        <v>1972</v>
      </c>
      <c r="H45" s="1">
        <v>0.90072847875662587</v>
      </c>
      <c r="I45" s="1">
        <v>0.8302500000000137</v>
      </c>
      <c r="J45" s="1">
        <v>0.75003110122727135</v>
      </c>
      <c r="K45" t="s">
        <v>7</v>
      </c>
      <c r="L45">
        <v>1972</v>
      </c>
      <c r="M45" s="1">
        <v>0.73801605942126369</v>
      </c>
      <c r="N45" s="1">
        <v>0.83044499999999744</v>
      </c>
      <c r="O45" s="1">
        <v>0.61218207386467816</v>
      </c>
      <c r="P45" t="s">
        <v>8</v>
      </c>
      <c r="Q45">
        <v>1972</v>
      </c>
      <c r="R45" s="1">
        <v>0.54809607973734431</v>
      </c>
      <c r="S45" s="1">
        <v>0.9030000000000058</v>
      </c>
      <c r="T45" s="1">
        <v>0.50076820221187712</v>
      </c>
      <c r="U45">
        <v>1972</v>
      </c>
      <c r="V45" s="1">
        <f t="shared" si="0"/>
        <v>0.72894687263841129</v>
      </c>
      <c r="W45" s="1">
        <f t="shared" si="1"/>
        <v>0.85456500000000568</v>
      </c>
      <c r="X45" s="1">
        <f t="shared" si="2"/>
        <v>0.62099379243460884</v>
      </c>
    </row>
    <row r="46" spans="1:24" x14ac:dyDescent="0.3">
      <c r="F46" t="s">
        <v>6</v>
      </c>
      <c r="G46">
        <v>1971</v>
      </c>
      <c r="H46" s="1">
        <v>0.85406953566278654</v>
      </c>
      <c r="I46" s="1">
        <v>1.0455000000000148</v>
      </c>
      <c r="J46" s="1">
        <v>0.90411069035289593</v>
      </c>
      <c r="K46" t="s">
        <v>7</v>
      </c>
      <c r="L46">
        <v>1971</v>
      </c>
      <c r="M46" s="1">
        <v>0.73971504261531584</v>
      </c>
      <c r="N46" s="1">
        <v>0.76890000000000214</v>
      </c>
      <c r="O46" s="1">
        <v>0.59089972439817984</v>
      </c>
      <c r="P46" t="s">
        <v>8</v>
      </c>
      <c r="Q46">
        <v>1971</v>
      </c>
      <c r="R46" s="1">
        <v>0.55860915785508714</v>
      </c>
      <c r="S46" s="1">
        <v>0.99600000000000222</v>
      </c>
      <c r="T46" s="1">
        <v>0.54834573192326141</v>
      </c>
      <c r="U46">
        <v>1971</v>
      </c>
      <c r="V46" s="1">
        <f t="shared" si="0"/>
        <v>0.71746457871106317</v>
      </c>
      <c r="W46" s="1">
        <f t="shared" si="1"/>
        <v>0.93680000000000641</v>
      </c>
      <c r="X46" s="1">
        <f t="shared" si="2"/>
        <v>0.68111871555811243</v>
      </c>
    </row>
    <row r="47" spans="1:24" x14ac:dyDescent="0.3">
      <c r="F47" t="s">
        <v>6</v>
      </c>
      <c r="G47">
        <v>1970</v>
      </c>
      <c r="H47" s="1">
        <v>0.86759741578529048</v>
      </c>
      <c r="I47" s="1">
        <v>1.2300000000000182</v>
      </c>
      <c r="J47" s="1">
        <v>1.037037551615986</v>
      </c>
      <c r="K47" t="s">
        <v>7</v>
      </c>
      <c r="L47">
        <v>1970</v>
      </c>
      <c r="M47" s="1">
        <v>0.96548514009767428</v>
      </c>
      <c r="N47" s="1">
        <v>0.98419500000000326</v>
      </c>
      <c r="O47" s="1">
        <v>0.96287366209233327</v>
      </c>
      <c r="P47" t="s">
        <v>8</v>
      </c>
      <c r="Q47">
        <v>1970</v>
      </c>
      <c r="R47" s="1">
        <v>0.63934340549484836</v>
      </c>
      <c r="S47" s="1">
        <v>0.81300000000000594</v>
      </c>
      <c r="T47" s="1">
        <v>0.52013220011643191</v>
      </c>
      <c r="U47">
        <v>1970</v>
      </c>
      <c r="V47" s="1">
        <f t="shared" si="0"/>
        <v>0.82414198712593778</v>
      </c>
      <c r="W47" s="1">
        <f t="shared" si="1"/>
        <v>1.0090650000000092</v>
      </c>
      <c r="X47" s="1">
        <f t="shared" si="2"/>
        <v>0.84001447127491702</v>
      </c>
    </row>
    <row r="48" spans="1:24" x14ac:dyDescent="0.3">
      <c r="F48" t="s">
        <v>6</v>
      </c>
      <c r="G48">
        <v>1969</v>
      </c>
      <c r="H48" s="1">
        <v>0.78282949437071014</v>
      </c>
      <c r="I48" s="1">
        <v>0.92250000000001364</v>
      </c>
      <c r="J48" s="1">
        <v>0.74573948547449986</v>
      </c>
      <c r="K48" t="s">
        <v>7</v>
      </c>
      <c r="L48">
        <v>1969</v>
      </c>
      <c r="M48" s="1">
        <v>0.93063242310900285</v>
      </c>
      <c r="N48" s="1">
        <v>0.70737000000000094</v>
      </c>
      <c r="O48" s="1">
        <v>0.6460444809696152</v>
      </c>
      <c r="P48" t="s">
        <v>8</v>
      </c>
      <c r="Q48">
        <v>1969</v>
      </c>
      <c r="R48" s="1">
        <v>0.59192658669474341</v>
      </c>
      <c r="S48" s="1">
        <v>0.81900000000000972</v>
      </c>
      <c r="T48" s="1">
        <v>0.50256831132925828</v>
      </c>
      <c r="U48">
        <v>1969</v>
      </c>
      <c r="V48" s="1">
        <f t="shared" si="0"/>
        <v>0.76846283472481891</v>
      </c>
      <c r="W48" s="1">
        <f t="shared" si="1"/>
        <v>0.81629000000000806</v>
      </c>
      <c r="X48" s="1">
        <f t="shared" si="2"/>
        <v>0.63145075925779115</v>
      </c>
    </row>
    <row r="49" spans="6:24" x14ac:dyDescent="0.3">
      <c r="F49" t="s">
        <v>6</v>
      </c>
      <c r="G49">
        <v>1968</v>
      </c>
      <c r="H49" s="1">
        <v>0.81240493154126869</v>
      </c>
      <c r="I49" s="1">
        <v>0.92250000000001009</v>
      </c>
      <c r="J49" s="1">
        <v>0.72350098338134983</v>
      </c>
      <c r="K49" t="s">
        <v>7</v>
      </c>
      <c r="L49">
        <v>1968</v>
      </c>
      <c r="M49" s="1">
        <v>0.81718745684031524</v>
      </c>
      <c r="N49" s="1">
        <v>0.98422500000000213</v>
      </c>
      <c r="O49" s="1">
        <v>0.79595377962792591</v>
      </c>
      <c r="P49" t="s">
        <v>8</v>
      </c>
      <c r="Q49">
        <v>1968</v>
      </c>
      <c r="R49" s="1">
        <v>0.58915491439020806</v>
      </c>
      <c r="S49" s="1">
        <v>0.60300000000000509</v>
      </c>
      <c r="T49" s="1">
        <v>0.35235879157460787</v>
      </c>
      <c r="U49">
        <v>1968</v>
      </c>
      <c r="V49" s="1">
        <f t="shared" si="0"/>
        <v>0.739582434257264</v>
      </c>
      <c r="W49" s="1">
        <f t="shared" si="1"/>
        <v>0.83657500000000573</v>
      </c>
      <c r="X49" s="1">
        <f t="shared" si="2"/>
        <v>0.62393785152796122</v>
      </c>
    </row>
    <row r="50" spans="6:24" x14ac:dyDescent="0.3">
      <c r="F50" t="s">
        <v>6</v>
      </c>
      <c r="G50">
        <v>1967</v>
      </c>
      <c r="H50" s="1">
        <v>0.77752196143556551</v>
      </c>
      <c r="I50" s="1">
        <v>0.95325000000001125</v>
      </c>
      <c r="J50" s="1">
        <v>0.71777299533270855</v>
      </c>
      <c r="K50" t="s">
        <v>7</v>
      </c>
      <c r="L50">
        <v>1967</v>
      </c>
      <c r="M50" s="1">
        <v>0.8115642167424677</v>
      </c>
      <c r="N50" s="1">
        <v>0.92265000000000441</v>
      </c>
      <c r="O50" s="1">
        <v>0.72599641756665489</v>
      </c>
      <c r="P50" t="s">
        <v>8</v>
      </c>
      <c r="Q50">
        <v>1967</v>
      </c>
      <c r="R50" s="1">
        <v>0.47615773436473596</v>
      </c>
      <c r="S50" s="1">
        <v>1.0710000000000086</v>
      </c>
      <c r="T50" s="1">
        <v>0.51685325514213232</v>
      </c>
      <c r="U50">
        <v>1967</v>
      </c>
      <c r="V50" s="1">
        <f t="shared" si="0"/>
        <v>0.68841463751425636</v>
      </c>
      <c r="W50" s="1">
        <f t="shared" si="1"/>
        <v>0.98230000000000806</v>
      </c>
      <c r="X50" s="1">
        <f t="shared" si="2"/>
        <v>0.65354088934716525</v>
      </c>
    </row>
    <row r="51" spans="6:24" x14ac:dyDescent="0.3">
      <c r="F51" t="s">
        <v>6</v>
      </c>
      <c r="G51">
        <v>1966</v>
      </c>
      <c r="H51" s="1">
        <v>0.73307292893477238</v>
      </c>
      <c r="I51" s="1">
        <v>1.1377500000000147</v>
      </c>
      <c r="J51" s="1">
        <v>0.8122184116684158</v>
      </c>
      <c r="K51" t="s">
        <v>7</v>
      </c>
      <c r="L51">
        <v>1966</v>
      </c>
      <c r="M51" s="1">
        <v>0.80276375510684062</v>
      </c>
      <c r="N51" s="1">
        <v>0.70744499999999633</v>
      </c>
      <c r="O51" s="1">
        <v>0.57798759521371823</v>
      </c>
      <c r="P51" t="s">
        <v>8</v>
      </c>
      <c r="Q51">
        <v>1966</v>
      </c>
      <c r="R51" s="1">
        <v>0.44380618587520609</v>
      </c>
      <c r="S51" s="1">
        <v>1.4040000000000141</v>
      </c>
      <c r="T51" s="1">
        <v>0.61653250879711241</v>
      </c>
      <c r="U51">
        <v>1966</v>
      </c>
      <c r="V51" s="1">
        <f t="shared" si="0"/>
        <v>0.65988095663893964</v>
      </c>
      <c r="W51" s="1">
        <f t="shared" si="1"/>
        <v>1.0830650000000084</v>
      </c>
      <c r="X51" s="1">
        <f t="shared" si="2"/>
        <v>0.66891283855974881</v>
      </c>
    </row>
    <row r="52" spans="6:24" x14ac:dyDescent="0.3">
      <c r="F52" t="s">
        <v>6</v>
      </c>
      <c r="G52">
        <v>1965</v>
      </c>
      <c r="H52" s="1">
        <v>0.66013972589681447</v>
      </c>
      <c r="I52" s="1">
        <v>0.92250000000001364</v>
      </c>
      <c r="J52" s="1">
        <v>0.60274765421289689</v>
      </c>
      <c r="K52" t="s">
        <v>7</v>
      </c>
      <c r="L52">
        <v>1965</v>
      </c>
      <c r="M52" s="1">
        <v>0.83098388153580605</v>
      </c>
      <c r="N52" s="1">
        <v>1.3839750000000066</v>
      </c>
      <c r="O52" s="1">
        <v>1.2128962554912723</v>
      </c>
      <c r="P52" t="s">
        <v>8</v>
      </c>
      <c r="Q52">
        <v>1965</v>
      </c>
      <c r="R52" s="1">
        <v>0.28112860320317806</v>
      </c>
      <c r="S52" s="1">
        <v>1.0589999999999975</v>
      </c>
      <c r="T52" s="1">
        <v>0.30825662027811385</v>
      </c>
      <c r="U52">
        <v>1965</v>
      </c>
      <c r="V52" s="1">
        <f t="shared" si="0"/>
        <v>0.59075073687859958</v>
      </c>
      <c r="W52" s="1">
        <f t="shared" si="1"/>
        <v>1.1218250000000058</v>
      </c>
      <c r="X52" s="1">
        <f t="shared" si="2"/>
        <v>0.70796684332742765</v>
      </c>
    </row>
    <row r="53" spans="6:24" x14ac:dyDescent="0.3">
      <c r="F53" t="s">
        <v>6</v>
      </c>
      <c r="G53">
        <v>1964</v>
      </c>
      <c r="H53" s="1">
        <v>0.65033474771932753</v>
      </c>
      <c r="I53" s="1">
        <v>1.0147500000000136</v>
      </c>
      <c r="J53" s="1">
        <v>0.64401216249822357</v>
      </c>
      <c r="K53" t="s">
        <v>7</v>
      </c>
      <c r="L53">
        <v>1964</v>
      </c>
      <c r="M53" s="1">
        <v>0.76801464378326711</v>
      </c>
      <c r="N53" s="1">
        <v>1.0456650000000032</v>
      </c>
      <c r="O53" s="1">
        <v>0.83963958282464224</v>
      </c>
      <c r="P53" t="s">
        <v>8</v>
      </c>
      <c r="Q53">
        <v>1964</v>
      </c>
      <c r="R53" s="1">
        <v>0.417642721229531</v>
      </c>
      <c r="S53" s="1">
        <v>1.3020000000000103</v>
      </c>
      <c r="T53" s="1">
        <v>0.54409422535000496</v>
      </c>
      <c r="U53">
        <v>1964</v>
      </c>
      <c r="V53" s="1">
        <f t="shared" si="0"/>
        <v>0.6119973709107086</v>
      </c>
      <c r="W53" s="1">
        <f t="shared" si="1"/>
        <v>1.1208050000000089</v>
      </c>
      <c r="X53" s="1">
        <f t="shared" si="2"/>
        <v>0.67591532355762352</v>
      </c>
    </row>
    <row r="54" spans="6:24" x14ac:dyDescent="0.3">
      <c r="F54" t="s">
        <v>6</v>
      </c>
      <c r="G54">
        <v>1963</v>
      </c>
      <c r="H54" s="1">
        <v>0.81664784671890667</v>
      </c>
      <c r="I54" s="1">
        <v>1.0762500000000159</v>
      </c>
      <c r="J54" s="1">
        <v>0.8660029562787448</v>
      </c>
      <c r="K54" t="s">
        <v>7</v>
      </c>
      <c r="L54">
        <v>1963</v>
      </c>
      <c r="M54" s="1">
        <v>0.78095047549143115</v>
      </c>
      <c r="N54" s="1">
        <v>0.89197499999999863</v>
      </c>
      <c r="O54" s="1">
        <v>0.69698866273518978</v>
      </c>
      <c r="P54" t="s">
        <v>8</v>
      </c>
      <c r="Q54">
        <v>1963</v>
      </c>
      <c r="R54" s="1">
        <v>0.58341846345771198</v>
      </c>
      <c r="S54" s="1">
        <v>0.97500000000000497</v>
      </c>
      <c r="T54" s="1">
        <v>0.56926065346343879</v>
      </c>
      <c r="U54">
        <v>1963</v>
      </c>
      <c r="V54" s="1">
        <f t="shared" si="0"/>
        <v>0.72700559522268327</v>
      </c>
      <c r="W54" s="1">
        <f t="shared" si="1"/>
        <v>0.98107500000000647</v>
      </c>
      <c r="X54" s="1">
        <f t="shared" si="2"/>
        <v>0.71075075749245775</v>
      </c>
    </row>
    <row r="55" spans="6:24" x14ac:dyDescent="0.3">
      <c r="F55" t="s">
        <v>6</v>
      </c>
      <c r="G55">
        <v>1962</v>
      </c>
      <c r="H55" s="1">
        <v>0.94816725294691451</v>
      </c>
      <c r="I55" s="1">
        <v>1.1685000000000194</v>
      </c>
      <c r="J55" s="1">
        <v>1.0802203862631958</v>
      </c>
      <c r="K55" t="s">
        <v>7</v>
      </c>
      <c r="L55">
        <v>1962</v>
      </c>
      <c r="M55" s="1">
        <v>0.87719373054173344</v>
      </c>
      <c r="N55" s="1">
        <v>1.2302400000000056</v>
      </c>
      <c r="O55" s="1">
        <v>1.0599998289656454</v>
      </c>
      <c r="P55" t="s">
        <v>8</v>
      </c>
      <c r="Q55">
        <v>1962</v>
      </c>
      <c r="R55" s="1">
        <v>0.57349927481547502</v>
      </c>
      <c r="S55" s="1">
        <v>1.1700000000000159</v>
      </c>
      <c r="T55" s="1">
        <v>0.67471393689268599</v>
      </c>
      <c r="U55">
        <v>1962</v>
      </c>
      <c r="V55" s="1">
        <f t="shared" si="0"/>
        <v>0.79962008610137436</v>
      </c>
      <c r="W55" s="1">
        <f t="shared" si="1"/>
        <v>1.1895800000000136</v>
      </c>
      <c r="X55" s="1">
        <f t="shared" si="2"/>
        <v>0.93831138404050896</v>
      </c>
    </row>
    <row r="56" spans="6:24" x14ac:dyDescent="0.3">
      <c r="F56" t="s">
        <v>6</v>
      </c>
      <c r="G56">
        <v>1961</v>
      </c>
      <c r="H56" s="1">
        <v>0.9509120386641845</v>
      </c>
      <c r="I56" s="1">
        <v>1.3530000000000157</v>
      </c>
      <c r="J56" s="1">
        <v>1.2911927538522496</v>
      </c>
      <c r="K56" t="s">
        <v>7</v>
      </c>
      <c r="L56">
        <v>1961</v>
      </c>
      <c r="M56" s="1">
        <v>0.85396015962383931</v>
      </c>
      <c r="N56" s="1">
        <v>0.95337000000000671</v>
      </c>
      <c r="O56" s="1">
        <v>0.77721212159669184</v>
      </c>
      <c r="P56" t="s">
        <v>8</v>
      </c>
      <c r="Q56">
        <v>1961</v>
      </c>
      <c r="R56" s="1">
        <v>0.4898228594031282</v>
      </c>
      <c r="S56" s="1">
        <v>0.67200000000000415</v>
      </c>
      <c r="T56" s="1">
        <v>0.32595007696960615</v>
      </c>
      <c r="U56">
        <v>1961</v>
      </c>
      <c r="V56" s="1">
        <f t="shared" si="0"/>
        <v>0.76489835256371741</v>
      </c>
      <c r="W56" s="1">
        <f t="shared" si="1"/>
        <v>0.99279000000000883</v>
      </c>
      <c r="X56" s="1">
        <f t="shared" si="2"/>
        <v>0.79811831747284911</v>
      </c>
    </row>
    <row r="57" spans="6:24" x14ac:dyDescent="0.3">
      <c r="F57" t="s">
        <v>6</v>
      </c>
      <c r="G57">
        <v>1960</v>
      </c>
      <c r="H57" s="1">
        <v>0.7756487813045071</v>
      </c>
      <c r="I57" s="1">
        <v>1.1685000000000194</v>
      </c>
      <c r="J57" s="1">
        <v>0.88995711927943022</v>
      </c>
      <c r="K57" t="s">
        <v>7</v>
      </c>
      <c r="L57">
        <v>1960</v>
      </c>
      <c r="M57" s="1">
        <v>0.87489686900135655</v>
      </c>
      <c r="N57" s="1">
        <v>0.98425499999999744</v>
      </c>
      <c r="O57" s="1">
        <v>0.86759416676917733</v>
      </c>
      <c r="P57" t="s">
        <v>8</v>
      </c>
      <c r="Q57">
        <v>1960</v>
      </c>
      <c r="R57" s="1">
        <v>0.64848086299801588</v>
      </c>
      <c r="S57" s="1">
        <v>1.0650000000000013</v>
      </c>
      <c r="T57" s="1">
        <v>0.69074407537933336</v>
      </c>
      <c r="U57">
        <v>1960</v>
      </c>
      <c r="V57" s="1">
        <f t="shared" si="0"/>
        <v>0.7663421711012931</v>
      </c>
      <c r="W57" s="1">
        <f t="shared" si="1"/>
        <v>1.0725850000000061</v>
      </c>
      <c r="X57" s="1">
        <f t="shared" si="2"/>
        <v>0.81609845380931356</v>
      </c>
    </row>
    <row r="58" spans="6:24" x14ac:dyDescent="0.3">
      <c r="F58" t="s">
        <v>6</v>
      </c>
      <c r="G58">
        <v>1959</v>
      </c>
      <c r="H58" s="1">
        <v>0.85931304920909435</v>
      </c>
      <c r="I58" s="1">
        <v>1.3530000000000157</v>
      </c>
      <c r="J58" s="1">
        <v>1.1685352906170372</v>
      </c>
      <c r="K58" t="s">
        <v>7</v>
      </c>
      <c r="L58">
        <v>1959</v>
      </c>
      <c r="M58" s="1">
        <v>0.83879661924689264</v>
      </c>
      <c r="N58" s="1">
        <v>0.98423999999999978</v>
      </c>
      <c r="O58" s="1">
        <v>0.8255620122862859</v>
      </c>
      <c r="P58" t="s">
        <v>8</v>
      </c>
      <c r="Q58">
        <v>1959</v>
      </c>
      <c r="R58" s="1">
        <v>0.74625623989301526</v>
      </c>
      <c r="S58" s="1">
        <v>1.0200000000000067</v>
      </c>
      <c r="T58" s="1">
        <v>0.7641488106687564</v>
      </c>
      <c r="U58">
        <v>1959</v>
      </c>
      <c r="V58" s="1">
        <f t="shared" si="0"/>
        <v>0.81478863611633423</v>
      </c>
      <c r="W58" s="1">
        <f t="shared" si="1"/>
        <v>1.1190800000000074</v>
      </c>
      <c r="X58" s="1">
        <f t="shared" si="2"/>
        <v>0.91941537119069316</v>
      </c>
    </row>
    <row r="59" spans="6:24" x14ac:dyDescent="0.3">
      <c r="F59" t="s">
        <v>6</v>
      </c>
      <c r="G59">
        <v>1958</v>
      </c>
      <c r="H59" s="1">
        <v>0.69495741568664182</v>
      </c>
      <c r="I59" s="1">
        <v>0.98400000000001242</v>
      </c>
      <c r="J59" s="1">
        <v>0.68383809703566412</v>
      </c>
      <c r="K59" t="s">
        <v>7</v>
      </c>
      <c r="L59">
        <v>1958</v>
      </c>
      <c r="M59" s="1">
        <v>0.81823885646940808</v>
      </c>
      <c r="N59" s="1">
        <v>1.1687400000000174</v>
      </c>
      <c r="O59" s="1">
        <v>0.96819532342135539</v>
      </c>
      <c r="P59" t="s">
        <v>8</v>
      </c>
      <c r="Q59">
        <v>1958</v>
      </c>
      <c r="R59" s="1">
        <v>0.75725395541499707</v>
      </c>
      <c r="S59" s="1">
        <v>0.81000000000000227</v>
      </c>
      <c r="T59" s="1">
        <v>0.62159327478167803</v>
      </c>
      <c r="U59">
        <v>1958</v>
      </c>
      <c r="V59" s="1">
        <f t="shared" si="0"/>
        <v>0.75681674252368225</v>
      </c>
      <c r="W59" s="1">
        <f t="shared" si="1"/>
        <v>0.98758000000001067</v>
      </c>
      <c r="X59" s="1">
        <f t="shared" si="2"/>
        <v>0.75787556507956577</v>
      </c>
    </row>
    <row r="60" spans="6:24" x14ac:dyDescent="0.3">
      <c r="F60" t="s">
        <v>6</v>
      </c>
      <c r="G60">
        <v>1957</v>
      </c>
      <c r="H60" s="1">
        <v>0.75476225833748178</v>
      </c>
      <c r="I60" s="1">
        <v>0.86100000000001842</v>
      </c>
      <c r="J60" s="1">
        <v>0.64985030442858571</v>
      </c>
      <c r="K60" t="s">
        <v>7</v>
      </c>
      <c r="L60">
        <v>1957</v>
      </c>
      <c r="M60" s="1">
        <v>0.92907506628621195</v>
      </c>
      <c r="N60" s="1">
        <v>0.98419500000003879</v>
      </c>
      <c r="O60" s="1">
        <v>0.91670585955369266</v>
      </c>
      <c r="P60" t="s">
        <v>8</v>
      </c>
      <c r="Q60">
        <v>1957</v>
      </c>
      <c r="R60" s="1">
        <v>0.78916390132854619</v>
      </c>
      <c r="S60" s="1">
        <v>1.1430000000000113</v>
      </c>
      <c r="T60" s="1">
        <v>0.8885526067235745</v>
      </c>
      <c r="U60">
        <v>1957</v>
      </c>
      <c r="V60" s="1">
        <f t="shared" si="0"/>
        <v>0.82433374198408005</v>
      </c>
      <c r="W60" s="1">
        <f t="shared" si="1"/>
        <v>0.99606500000002285</v>
      </c>
      <c r="X60" s="1">
        <f t="shared" si="2"/>
        <v>0.81836959023528433</v>
      </c>
    </row>
    <row r="61" spans="6:24" x14ac:dyDescent="0.3">
      <c r="F61" t="s">
        <v>6</v>
      </c>
      <c r="G61">
        <v>1956</v>
      </c>
      <c r="H61" s="1">
        <v>0.71651219800935206</v>
      </c>
      <c r="I61" s="1">
        <v>1.1377500000000182</v>
      </c>
      <c r="J61" s="1">
        <v>0.83399752085881196</v>
      </c>
      <c r="K61" t="s">
        <v>7</v>
      </c>
      <c r="L61">
        <v>1956</v>
      </c>
      <c r="M61" s="1">
        <v>0.93992863671281024</v>
      </c>
      <c r="N61" s="1">
        <v>0.95343000000003642</v>
      </c>
      <c r="O61" s="1">
        <v>0.86608986898230622</v>
      </c>
      <c r="P61" t="s">
        <v>8</v>
      </c>
      <c r="Q61">
        <v>1956</v>
      </c>
      <c r="R61" s="1">
        <v>0.80860861816664831</v>
      </c>
      <c r="S61" s="1">
        <v>1.0470000000000113</v>
      </c>
      <c r="T61" s="1">
        <v>0.84167309549947444</v>
      </c>
      <c r="U61">
        <v>1956</v>
      </c>
      <c r="V61" s="1">
        <f t="shared" si="0"/>
        <v>0.82168315096293687</v>
      </c>
      <c r="W61" s="1">
        <f t="shared" si="1"/>
        <v>1.046060000000022</v>
      </c>
      <c r="X61" s="1">
        <f t="shared" si="2"/>
        <v>0.84725349511353087</v>
      </c>
    </row>
    <row r="62" spans="6:24" x14ac:dyDescent="0.3">
      <c r="F62" t="s">
        <v>6</v>
      </c>
      <c r="G62">
        <v>1955</v>
      </c>
      <c r="H62" s="1">
        <v>0.736849402933895</v>
      </c>
      <c r="I62" s="1">
        <v>1.1377500000000111</v>
      </c>
      <c r="J62" s="1">
        <v>0.83453064234348162</v>
      </c>
      <c r="K62" t="s">
        <v>7</v>
      </c>
      <c r="L62">
        <v>1955</v>
      </c>
      <c r="M62" s="1">
        <v>0.83345942720909516</v>
      </c>
      <c r="N62" s="1">
        <v>1.0149600000000412</v>
      </c>
      <c r="O62" s="1">
        <v>0.84027558640079725</v>
      </c>
      <c r="P62" t="s">
        <v>8</v>
      </c>
      <c r="Q62">
        <v>1955</v>
      </c>
      <c r="R62" s="1">
        <v>0.78672267976606236</v>
      </c>
      <c r="S62" s="1">
        <v>0.92399999999999949</v>
      </c>
      <c r="T62" s="1">
        <v>0.72773176433040099</v>
      </c>
      <c r="U62">
        <v>1955</v>
      </c>
      <c r="V62" s="1">
        <f t="shared" si="0"/>
        <v>0.78567716996968417</v>
      </c>
      <c r="W62" s="1">
        <f t="shared" si="1"/>
        <v>1.0255700000000172</v>
      </c>
      <c r="X62" s="1">
        <f t="shared" si="2"/>
        <v>0.80084599769155995</v>
      </c>
    </row>
    <row r="63" spans="6:24" x14ac:dyDescent="0.3">
      <c r="F63" t="s">
        <v>6</v>
      </c>
      <c r="G63">
        <v>1954</v>
      </c>
      <c r="H63" s="1">
        <v>0.73111334533416827</v>
      </c>
      <c r="I63" s="1">
        <v>1.3837500000000134</v>
      </c>
      <c r="J63" s="1">
        <v>1.0117887869063482</v>
      </c>
      <c r="K63" t="s">
        <v>7</v>
      </c>
      <c r="L63">
        <v>1954</v>
      </c>
      <c r="M63" s="1">
        <v>0.91755253757478616</v>
      </c>
      <c r="N63" s="1">
        <v>0.89194500000003885</v>
      </c>
      <c r="O63" s="1">
        <v>0.81083647002811743</v>
      </c>
      <c r="P63" t="s">
        <v>8</v>
      </c>
      <c r="Q63">
        <v>1954</v>
      </c>
      <c r="R63" s="1">
        <v>0.78572216149049345</v>
      </c>
      <c r="S63" s="1">
        <v>1.1640000000000121</v>
      </c>
      <c r="T63" s="1">
        <v>0.91361391031421468</v>
      </c>
      <c r="U63">
        <v>1954</v>
      </c>
      <c r="V63" s="1">
        <f t="shared" si="0"/>
        <v>0.81146268146648259</v>
      </c>
      <c r="W63" s="1">
        <f t="shared" si="1"/>
        <v>1.1465650000000214</v>
      </c>
      <c r="X63" s="1">
        <f t="shared" si="2"/>
        <v>0.9120797224162267</v>
      </c>
    </row>
    <row r="64" spans="6:24" x14ac:dyDescent="0.3">
      <c r="F64" t="s">
        <v>6</v>
      </c>
      <c r="G64">
        <v>1953</v>
      </c>
      <c r="H64" s="1">
        <v>0.73017901647306982</v>
      </c>
      <c r="I64" s="1">
        <v>0.8302500000000137</v>
      </c>
      <c r="J64" s="1">
        <v>0.59257348872642435</v>
      </c>
      <c r="K64" t="s">
        <v>7</v>
      </c>
      <c r="L64">
        <v>1953</v>
      </c>
      <c r="M64" s="1">
        <v>0.93200888481251898</v>
      </c>
      <c r="N64" s="1">
        <v>0.98419500000004234</v>
      </c>
      <c r="O64" s="1">
        <v>0.91256501451424299</v>
      </c>
      <c r="P64" t="s">
        <v>8</v>
      </c>
      <c r="Q64">
        <v>1953</v>
      </c>
      <c r="R64" s="1">
        <v>0.67392918913190525</v>
      </c>
      <c r="S64" s="1">
        <v>0.73799999999999955</v>
      </c>
      <c r="T64" s="1">
        <v>0.50692138166268363</v>
      </c>
      <c r="U64">
        <v>1953</v>
      </c>
      <c r="V64" s="1">
        <f t="shared" si="0"/>
        <v>0.77870569680583124</v>
      </c>
      <c r="W64" s="1">
        <f t="shared" si="1"/>
        <v>0.85081500000001853</v>
      </c>
      <c r="X64" s="1">
        <f t="shared" si="2"/>
        <v>0.67068662830111714</v>
      </c>
    </row>
    <row r="65" spans="6:24" x14ac:dyDescent="0.3">
      <c r="F65" t="s">
        <v>6</v>
      </c>
      <c r="G65">
        <v>1952</v>
      </c>
      <c r="H65" s="1">
        <v>0.75909951924347085</v>
      </c>
      <c r="I65" s="1">
        <v>1.2300000000000182</v>
      </c>
      <c r="J65" s="1">
        <v>0.933692408669483</v>
      </c>
      <c r="K65" t="s">
        <v>7</v>
      </c>
      <c r="L65">
        <v>1952</v>
      </c>
      <c r="M65" s="1">
        <v>0.99821742013451953</v>
      </c>
      <c r="N65" s="1">
        <v>1.0456800000000399</v>
      </c>
      <c r="O65" s="1">
        <v>1.0387596048907513</v>
      </c>
      <c r="P65" t="s">
        <v>8</v>
      </c>
      <c r="Q65">
        <v>1952</v>
      </c>
      <c r="R65" s="1">
        <v>0.71088883796394242</v>
      </c>
      <c r="S65" s="1">
        <v>1.416000000000011</v>
      </c>
      <c r="T65" s="1">
        <v>1.0077806288470732</v>
      </c>
      <c r="U65">
        <v>1952</v>
      </c>
      <c r="V65" s="1">
        <f t="shared" si="0"/>
        <v>0.8227352591139776</v>
      </c>
      <c r="W65" s="1">
        <f t="shared" si="1"/>
        <v>1.230560000000023</v>
      </c>
      <c r="X65" s="1">
        <f t="shared" si="2"/>
        <v>0.99341088080243589</v>
      </c>
    </row>
    <row r="66" spans="6:24" x14ac:dyDescent="0.3">
      <c r="F66" t="s">
        <v>6</v>
      </c>
      <c r="G66">
        <v>1951</v>
      </c>
      <c r="H66" s="1">
        <v>0.87268085566399811</v>
      </c>
      <c r="I66" s="1">
        <v>0.92250000000001364</v>
      </c>
      <c r="J66" s="1">
        <v>0.80504808935005012</v>
      </c>
      <c r="K66" t="s">
        <v>7</v>
      </c>
      <c r="L66">
        <v>1951</v>
      </c>
      <c r="M66" s="1">
        <v>0.84044659015571122</v>
      </c>
      <c r="N66" s="1">
        <v>1.2303150000000542</v>
      </c>
      <c r="O66" s="1">
        <v>1.0348842731671186</v>
      </c>
      <c r="P66" t="s">
        <v>8</v>
      </c>
      <c r="Q66">
        <v>1951</v>
      </c>
      <c r="R66" s="1">
        <v>0.50949876238108016</v>
      </c>
      <c r="S66" s="1">
        <v>1.2239999999999966</v>
      </c>
      <c r="T66" s="1">
        <v>0.61837626455376382</v>
      </c>
      <c r="U66">
        <v>1951</v>
      </c>
      <c r="V66" s="1">
        <f t="shared" si="0"/>
        <v>0.74087540273359653</v>
      </c>
      <c r="W66" s="1">
        <f t="shared" si="1"/>
        <v>1.1256050000000215</v>
      </c>
      <c r="X66" s="1">
        <f t="shared" si="2"/>
        <v>0.81943620902364422</v>
      </c>
    </row>
    <row r="67" spans="6:24" x14ac:dyDescent="0.3">
      <c r="K67" t="s">
        <v>7</v>
      </c>
      <c r="L67">
        <v>1950</v>
      </c>
      <c r="M67" s="1">
        <v>0.8848849364320206</v>
      </c>
      <c r="N67" s="1">
        <v>0.95347500000004004</v>
      </c>
      <c r="O67" s="1">
        <v>0.8423982130758958</v>
      </c>
      <c r="P67" t="s">
        <v>8</v>
      </c>
      <c r="Q67">
        <v>1950</v>
      </c>
      <c r="R67" s="1">
        <v>0.5947743407421936</v>
      </c>
      <c r="S67" s="1">
        <v>1.5299999999999585</v>
      </c>
      <c r="T67" s="1">
        <v>0.91000474133553155</v>
      </c>
      <c r="V67" s="1"/>
      <c r="W67" s="1"/>
      <c r="X67" s="1"/>
    </row>
    <row r="68" spans="6:24" x14ac:dyDescent="0.3">
      <c r="K68" t="s">
        <v>7</v>
      </c>
      <c r="L68">
        <v>1949</v>
      </c>
      <c r="M68" s="1">
        <v>1.0014247663805045</v>
      </c>
      <c r="N68" s="1">
        <v>1.1380500000000566</v>
      </c>
      <c r="O68" s="1">
        <v>1.1289284348276989</v>
      </c>
      <c r="V68" s="1"/>
      <c r="W68" s="1"/>
      <c r="X68" s="1"/>
    </row>
    <row r="69" spans="6:24" x14ac:dyDescent="0.3">
      <c r="K69" t="s">
        <v>7</v>
      </c>
      <c r="L69">
        <v>1948</v>
      </c>
      <c r="M69" s="1">
        <v>0.87466406634850857</v>
      </c>
      <c r="N69" s="1">
        <v>1.0150950000000591</v>
      </c>
      <c r="O69" s="1">
        <v>0.7714386738361283</v>
      </c>
      <c r="V69" s="1"/>
      <c r="W69" s="1"/>
      <c r="X69" s="1"/>
    </row>
    <row r="70" spans="6:24" x14ac:dyDescent="0.3">
      <c r="K70" t="s">
        <v>7</v>
      </c>
      <c r="L70">
        <v>1947</v>
      </c>
      <c r="M70" s="1">
        <v>0.93133758659755439</v>
      </c>
      <c r="N70" s="1">
        <v>1.4763300000000612</v>
      </c>
      <c r="O70" s="1">
        <v>1.3952818412629302</v>
      </c>
      <c r="V70" s="1"/>
      <c r="W70" s="1"/>
      <c r="X70" s="1"/>
    </row>
    <row r="71" spans="6:24" x14ac:dyDescent="0.3">
      <c r="K71" t="s">
        <v>7</v>
      </c>
      <c r="L71">
        <v>1946</v>
      </c>
      <c r="M71" s="1">
        <v>0.87919146665251557</v>
      </c>
      <c r="N71" s="1">
        <v>1.1072700000000495</v>
      </c>
      <c r="O71" s="1">
        <v>0.97346034106202994</v>
      </c>
      <c r="V71" s="1"/>
      <c r="W71" s="1"/>
      <c r="X71" s="1"/>
    </row>
    <row r="72" spans="6:24" x14ac:dyDescent="0.3">
      <c r="K72" t="s">
        <v>7</v>
      </c>
      <c r="L72">
        <v>1945</v>
      </c>
      <c r="M72" s="1">
        <v>1.1099069751228996</v>
      </c>
      <c r="N72" s="1">
        <v>1.0149600000000447</v>
      </c>
      <c r="O72" s="1">
        <v>1.17751159188895</v>
      </c>
      <c r="V72" s="1"/>
      <c r="W72" s="1"/>
      <c r="X72" s="1"/>
    </row>
    <row r="73" spans="6:24" x14ac:dyDescent="0.3">
      <c r="K73" t="s">
        <v>7</v>
      </c>
      <c r="L73">
        <v>1944</v>
      </c>
      <c r="M73" s="1">
        <v>0.87975866457987895</v>
      </c>
      <c r="N73" s="1">
        <v>1.4767200000001139</v>
      </c>
      <c r="O73" s="1">
        <v>1.2991572151584991</v>
      </c>
      <c r="V73" s="1"/>
      <c r="W73" s="1"/>
      <c r="X73" s="1"/>
    </row>
    <row r="74" spans="6:24" x14ac:dyDescent="0.3">
      <c r="K74" t="s">
        <v>7</v>
      </c>
      <c r="L74">
        <v>1943</v>
      </c>
      <c r="M74" s="1">
        <v>0.75242970373173423</v>
      </c>
      <c r="N74" s="1">
        <v>0.98448000000007596</v>
      </c>
      <c r="O74" s="1">
        <v>0.74075199472987485</v>
      </c>
      <c r="V74" s="1"/>
      <c r="W74" s="1"/>
      <c r="X74" s="1"/>
    </row>
    <row r="75" spans="6:24" x14ac:dyDescent="0.3">
      <c r="K75" t="s">
        <v>7</v>
      </c>
      <c r="L75">
        <v>1942</v>
      </c>
      <c r="M75" s="1">
        <v>0.95169760789997115</v>
      </c>
      <c r="N75" s="1">
        <v>0.86142000000006647</v>
      </c>
      <c r="O75" s="1">
        <v>0.81981135339725641</v>
      </c>
      <c r="V75" s="1"/>
      <c r="W75" s="1"/>
      <c r="X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indexed</vt:lpstr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Lizcano</dc:creator>
  <cp:lastModifiedBy>LUIS DAVID LIZCANO SANDOVAL</cp:lastModifiedBy>
  <dcterms:created xsi:type="dcterms:W3CDTF">2021-02-27T23:25:40Z</dcterms:created>
  <dcterms:modified xsi:type="dcterms:W3CDTF">2025-11-21T14:24:21Z</dcterms:modified>
</cp:coreProperties>
</file>