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Envdata_raw\"/>
    </mc:Choice>
  </mc:AlternateContent>
  <xr:revisionPtr revIDLastSave="0" documentId="13_ncr:1_{5FC0CCFB-7B2B-4765-8496-5488E56C91AA}" xr6:coauthVersionLast="47" xr6:coauthVersionMax="47" xr10:uidLastSave="{00000000-0000-0000-0000-000000000000}"/>
  <bookViews>
    <workbookView xWindow="-108" yWindow="-108" windowWidth="23256" windowHeight="12456" activeTab="2" xr2:uid="{81D78821-629B-49B9-8A24-3E58109AFE22}"/>
  </bookViews>
  <sheets>
    <sheet name="Temp-aire" sheetId="1" r:id="rId1"/>
    <sheet name="SST_AVHRR" sheetId="2" r:id="rId2"/>
    <sheet name="SST_Modis" sheetId="3" r:id="rId3"/>
    <sheet name="HadISST" sheetId="4" r:id="rId4"/>
    <sheet name="SST-Dique" sheetId="5" r:id="rId5"/>
    <sheet name="Correlaciones" sheetId="6" r:id="rId6"/>
  </sheets>
  <definedNames>
    <definedName name="_xlnm._FilterDatabase" localSheetId="3" hidden="1">HadISST!$A$2:$B$2</definedName>
    <definedName name="_xlnm._FilterDatabase" localSheetId="2" hidden="1">SST_Modis!$A$1:$D$1</definedName>
    <definedName name="_xlnm._FilterDatabase" localSheetId="0" hidden="1">'Temp-aire'!$A$9:$F$741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4" l="1"/>
  <c r="AE2" i="4"/>
  <c r="AF2" i="4"/>
  <c r="AG2" i="4"/>
  <c r="B3" i="4"/>
  <c r="M3" i="4"/>
  <c r="K3" i="4" s="1"/>
  <c r="N3" i="4" a="1"/>
  <c r="N3" i="4" s="1"/>
  <c r="AD3" i="4"/>
  <c r="AE3" i="4"/>
  <c r="AF3" i="4"/>
  <c r="AG3" i="4"/>
  <c r="B4" i="4"/>
  <c r="M4" i="4"/>
  <c r="K436" i="4" s="1"/>
  <c r="N4" i="4" a="1"/>
  <c r="N4" i="4" s="1"/>
  <c r="K184" i="4" s="1"/>
  <c r="AD4" i="4"/>
  <c r="AE4" i="4"/>
  <c r="AF4" i="4"/>
  <c r="AG4" i="4"/>
  <c r="B5" i="4"/>
  <c r="M5" i="4"/>
  <c r="N5" i="4" a="1"/>
  <c r="N5" i="4" s="1"/>
  <c r="AD5" i="4"/>
  <c r="AE5" i="4"/>
  <c r="AF5" i="4"/>
  <c r="AG5" i="4"/>
  <c r="B6" i="4"/>
  <c r="M6" i="4"/>
  <c r="N6" i="4" a="1"/>
  <c r="N6" i="4" s="1"/>
  <c r="K54" i="4" s="1"/>
  <c r="AD6" i="4"/>
  <c r="AE6" i="4"/>
  <c r="AF6" i="4"/>
  <c r="AG6" i="4"/>
  <c r="B7" i="4"/>
  <c r="M7" i="4"/>
  <c r="K91" i="4" s="1"/>
  <c r="N7" i="4" a="1"/>
  <c r="N7" i="4" s="1"/>
  <c r="K163" i="4" s="1"/>
  <c r="AD7" i="4"/>
  <c r="AE7" i="4"/>
  <c r="AF7" i="4"/>
  <c r="AG7" i="4"/>
  <c r="B8" i="4"/>
  <c r="K8" i="4"/>
  <c r="M8" i="4"/>
  <c r="N8" i="4" a="1"/>
  <c r="N8" i="4" s="1"/>
  <c r="K80" i="4" s="1"/>
  <c r="AD8" i="4"/>
  <c r="AE8" i="4"/>
  <c r="AF8" i="4"/>
  <c r="AG8" i="4"/>
  <c r="B9" i="4"/>
  <c r="M9" i="4"/>
  <c r="N9" i="4" a="1"/>
  <c r="N9" i="4" s="1"/>
  <c r="K33" i="4" s="1"/>
  <c r="AD9" i="4"/>
  <c r="AE9" i="4"/>
  <c r="AF9" i="4"/>
  <c r="AG9" i="4"/>
  <c r="B10" i="4"/>
  <c r="M10" i="4"/>
  <c r="N10" i="4" a="1"/>
  <c r="N10" i="4"/>
  <c r="K10" i="4" s="1"/>
  <c r="AD10" i="4"/>
  <c r="AE10" i="4"/>
  <c r="AF10" i="4"/>
  <c r="AG10" i="4"/>
  <c r="B11" i="4"/>
  <c r="M11" i="4"/>
  <c r="N11" i="4" a="1"/>
  <c r="N11" i="4" s="1"/>
  <c r="K515" i="4" s="1"/>
  <c r="AD11" i="4"/>
  <c r="AE11" i="4"/>
  <c r="AF11" i="4"/>
  <c r="AG11" i="4"/>
  <c r="B12" i="4"/>
  <c r="M12" i="4"/>
  <c r="K12" i="4" s="1"/>
  <c r="N12" i="4" a="1"/>
  <c r="N12" i="4"/>
  <c r="K504" i="4" s="1"/>
  <c r="AD12" i="4"/>
  <c r="AE12" i="4"/>
  <c r="AF12" i="4"/>
  <c r="AG12" i="4"/>
  <c r="B13" i="4"/>
  <c r="K13" i="4"/>
  <c r="M13" i="4"/>
  <c r="K73" i="4" s="1"/>
  <c r="N13" i="4" a="1"/>
  <c r="N13" i="4"/>
  <c r="K577" i="4" s="1"/>
  <c r="AD13" i="4"/>
  <c r="AE13" i="4"/>
  <c r="AF13" i="4"/>
  <c r="AG13" i="4"/>
  <c r="B14" i="4"/>
  <c r="M14" i="4"/>
  <c r="K26" i="4" s="1"/>
  <c r="N14" i="4" a="1"/>
  <c r="N14" i="4"/>
  <c r="AD14" i="4"/>
  <c r="AE14" i="4"/>
  <c r="AF14" i="4"/>
  <c r="AG14" i="4"/>
  <c r="B15" i="4"/>
  <c r="K15" i="4"/>
  <c r="AD15" i="4"/>
  <c r="AE15" i="4"/>
  <c r="AF15" i="4"/>
  <c r="B16" i="4"/>
  <c r="AD16" i="4"/>
  <c r="AE16" i="4"/>
  <c r="AF16" i="4"/>
  <c r="B17" i="4"/>
  <c r="K17" i="4"/>
  <c r="AD17" i="4"/>
  <c r="AE17" i="4"/>
  <c r="B18" i="4"/>
  <c r="K18" i="4"/>
  <c r="AD18" i="4"/>
  <c r="AE18" i="4"/>
  <c r="B19" i="4"/>
  <c r="AD19" i="4"/>
  <c r="AE19" i="4"/>
  <c r="B20" i="4"/>
  <c r="AD20" i="4"/>
  <c r="AE20" i="4"/>
  <c r="B21" i="4"/>
  <c r="K21" i="4"/>
  <c r="AD21" i="4"/>
  <c r="AE21" i="4"/>
  <c r="B22" i="4"/>
  <c r="K22" i="4"/>
  <c r="AD22" i="4"/>
  <c r="AE22" i="4"/>
  <c r="B23" i="4"/>
  <c r="AD23" i="4"/>
  <c r="AE23" i="4"/>
  <c r="B24" i="4"/>
  <c r="AD24" i="4"/>
  <c r="AE24" i="4"/>
  <c r="B25" i="4"/>
  <c r="K25" i="4"/>
  <c r="AD25" i="4"/>
  <c r="AE25" i="4"/>
  <c r="B26" i="4"/>
  <c r="AD26" i="4"/>
  <c r="AE26" i="4"/>
  <c r="B27" i="4"/>
  <c r="AD27" i="4"/>
  <c r="AE27" i="4"/>
  <c r="B28" i="4"/>
  <c r="AD28" i="4"/>
  <c r="AE28" i="4"/>
  <c r="B29" i="4"/>
  <c r="K29" i="4"/>
  <c r="AD29" i="4"/>
  <c r="AE29" i="4"/>
  <c r="B30" i="4"/>
  <c r="K30" i="4"/>
  <c r="AD30" i="4"/>
  <c r="AE30" i="4"/>
  <c r="B31" i="4"/>
  <c r="AD31" i="4"/>
  <c r="AE31" i="4"/>
  <c r="B32" i="4"/>
  <c r="AD32" i="4"/>
  <c r="AE32" i="4"/>
  <c r="B33" i="4"/>
  <c r="AD33" i="4"/>
  <c r="AE33" i="4"/>
  <c r="B34" i="4"/>
  <c r="K34" i="4"/>
  <c r="AD34" i="4"/>
  <c r="AE34" i="4"/>
  <c r="B35" i="4"/>
  <c r="AD35" i="4"/>
  <c r="AE35" i="4"/>
  <c r="B36" i="4"/>
  <c r="AD36" i="4"/>
  <c r="AE36" i="4"/>
  <c r="B37" i="4"/>
  <c r="K37" i="4"/>
  <c r="AD37" i="4"/>
  <c r="AE37" i="4"/>
  <c r="B38" i="4"/>
  <c r="AD38" i="4"/>
  <c r="AE38" i="4"/>
  <c r="B39" i="4"/>
  <c r="AD39" i="4"/>
  <c r="AE39" i="4"/>
  <c r="B40" i="4"/>
  <c r="AD40" i="4"/>
  <c r="AE40" i="4"/>
  <c r="B41" i="4"/>
  <c r="K41" i="4"/>
  <c r="AD41" i="4"/>
  <c r="AE41" i="4"/>
  <c r="B42" i="4"/>
  <c r="K42" i="4"/>
  <c r="AD42" i="4"/>
  <c r="AE42" i="4"/>
  <c r="B43" i="4"/>
  <c r="AD43" i="4"/>
  <c r="AE43" i="4"/>
  <c r="B44" i="4"/>
  <c r="AD44" i="4"/>
  <c r="AE44" i="4"/>
  <c r="B45" i="4"/>
  <c r="AD45" i="4"/>
  <c r="AE45" i="4"/>
  <c r="B46" i="4"/>
  <c r="K46" i="4"/>
  <c r="AD46" i="4"/>
  <c r="AE46" i="4"/>
  <c r="B47" i="4"/>
  <c r="AD47" i="4"/>
  <c r="AE47" i="4"/>
  <c r="B48" i="4"/>
  <c r="AD48" i="4"/>
  <c r="AE48" i="4"/>
  <c r="B49" i="4"/>
  <c r="K49" i="4"/>
  <c r="AD49" i="4"/>
  <c r="AE49" i="4"/>
  <c r="B50" i="4"/>
  <c r="AD50" i="4"/>
  <c r="AE50" i="4"/>
  <c r="B51" i="4"/>
  <c r="AD51" i="4"/>
  <c r="AE51" i="4"/>
  <c r="B52" i="4"/>
  <c r="AD52" i="4"/>
  <c r="AE52" i="4"/>
  <c r="B53" i="4"/>
  <c r="K53" i="4"/>
  <c r="AD53" i="4"/>
  <c r="AE53" i="4"/>
  <c r="B54" i="4"/>
  <c r="AD54" i="4"/>
  <c r="AE54" i="4"/>
  <c r="B55" i="4"/>
  <c r="AD55" i="4"/>
  <c r="AE55" i="4"/>
  <c r="B56" i="4"/>
  <c r="AD56" i="4"/>
  <c r="AE56" i="4"/>
  <c r="B57" i="4"/>
  <c r="AD57" i="4"/>
  <c r="AE57" i="4"/>
  <c r="B58" i="4"/>
  <c r="K58" i="4"/>
  <c r="AD58" i="4"/>
  <c r="AE58" i="4"/>
  <c r="B59" i="4"/>
  <c r="AD59" i="4"/>
  <c r="AE59" i="4"/>
  <c r="B60" i="4"/>
  <c r="AD60" i="4"/>
  <c r="AE60" i="4"/>
  <c r="B61" i="4"/>
  <c r="K61" i="4"/>
  <c r="AD61" i="4"/>
  <c r="AE61" i="4"/>
  <c r="B62" i="4"/>
  <c r="AD62" i="4"/>
  <c r="AE62" i="4"/>
  <c r="B63" i="4"/>
  <c r="AD63" i="4"/>
  <c r="AE63" i="4"/>
  <c r="B64" i="4"/>
  <c r="B65" i="4"/>
  <c r="K65" i="4"/>
  <c r="B66" i="4"/>
  <c r="K66" i="4"/>
  <c r="B67" i="4"/>
  <c r="K68" i="4"/>
  <c r="K70" i="4"/>
  <c r="K72" i="4"/>
  <c r="K78" i="4"/>
  <c r="K79" i="4"/>
  <c r="K82" i="4"/>
  <c r="K84" i="4"/>
  <c r="K85" i="4"/>
  <c r="K87" i="4"/>
  <c r="K94" i="4"/>
  <c r="K96" i="4"/>
  <c r="K97" i="4"/>
  <c r="K99" i="4"/>
  <c r="K101" i="4"/>
  <c r="K104" i="4"/>
  <c r="K111" i="4"/>
  <c r="K112" i="4"/>
  <c r="K113" i="4"/>
  <c r="K115" i="4"/>
  <c r="K116" i="4"/>
  <c r="K117" i="4"/>
  <c r="K118" i="4"/>
  <c r="K120" i="4"/>
  <c r="K126" i="4"/>
  <c r="K128" i="4"/>
  <c r="K130" i="4"/>
  <c r="K132" i="4"/>
  <c r="K133" i="4"/>
  <c r="K135" i="4"/>
  <c r="K136" i="4"/>
  <c r="K142" i="4"/>
  <c r="K144" i="4"/>
  <c r="K145" i="4"/>
  <c r="K147" i="4"/>
  <c r="K148" i="4"/>
  <c r="K149" i="4"/>
  <c r="K150" i="4"/>
  <c r="K152" i="4"/>
  <c r="K159" i="4"/>
  <c r="K160" i="4"/>
  <c r="K161" i="4"/>
  <c r="K164" i="4"/>
  <c r="K166" i="4"/>
  <c r="K168" i="4"/>
  <c r="K174" i="4"/>
  <c r="K175" i="4"/>
  <c r="K176" i="4"/>
  <c r="K177" i="4"/>
  <c r="K178" i="4"/>
  <c r="K180" i="4"/>
  <c r="K181" i="4"/>
  <c r="K183" i="4"/>
  <c r="K190" i="4"/>
  <c r="K192" i="4"/>
  <c r="K193" i="4"/>
  <c r="K195" i="4"/>
  <c r="K196" i="4"/>
  <c r="K197" i="4"/>
  <c r="K198" i="4"/>
  <c r="K199" i="4"/>
  <c r="K207" i="4"/>
  <c r="K208" i="4"/>
  <c r="K209" i="4"/>
  <c r="K211" i="4"/>
  <c r="K212" i="4"/>
  <c r="K213" i="4"/>
  <c r="K214" i="4"/>
  <c r="K216" i="4"/>
  <c r="K222" i="4"/>
  <c r="K223" i="4"/>
  <c r="K224" i="4"/>
  <c r="K226" i="4"/>
  <c r="K228" i="4"/>
  <c r="K229" i="4"/>
  <c r="K231" i="4"/>
  <c r="K232" i="4"/>
  <c r="K238" i="4"/>
  <c r="K240" i="4"/>
  <c r="K241" i="4"/>
  <c r="K243" i="4"/>
  <c r="K244" i="4"/>
  <c r="K245" i="4"/>
  <c r="K246" i="4"/>
  <c r="K247" i="4"/>
  <c r="K255" i="4"/>
  <c r="K256" i="4"/>
  <c r="K257" i="4"/>
  <c r="K258" i="4"/>
  <c r="K260" i="4"/>
  <c r="K262" i="4"/>
  <c r="K264" i="4"/>
  <c r="K270" i="4"/>
  <c r="K271" i="4"/>
  <c r="K272" i="4"/>
  <c r="K273" i="4"/>
  <c r="K274" i="4"/>
  <c r="K276" i="4"/>
  <c r="K277" i="4"/>
  <c r="K279" i="4"/>
  <c r="K286" i="4"/>
  <c r="K288" i="4"/>
  <c r="K289" i="4"/>
  <c r="K291" i="4"/>
  <c r="K292" i="4"/>
  <c r="K293" i="4"/>
  <c r="K294" i="4"/>
  <c r="K296" i="4"/>
  <c r="K303" i="4"/>
  <c r="K304" i="4"/>
  <c r="K305" i="4"/>
  <c r="K306" i="4"/>
  <c r="K307" i="4"/>
  <c r="K308" i="4"/>
  <c r="K309" i="4"/>
  <c r="K310" i="4"/>
  <c r="K312" i="4"/>
  <c r="K318" i="4"/>
  <c r="K320" i="4"/>
  <c r="K322" i="4"/>
  <c r="K324" i="4"/>
  <c r="K325" i="4"/>
  <c r="K327" i="4"/>
  <c r="K328" i="4"/>
  <c r="K334" i="4"/>
  <c r="K336" i="4"/>
  <c r="K337" i="4"/>
  <c r="K339" i="4"/>
  <c r="K341" i="4"/>
  <c r="K344" i="4"/>
  <c r="K351" i="4"/>
  <c r="K352" i="4"/>
  <c r="K353" i="4"/>
  <c r="K354" i="4"/>
  <c r="K356" i="4"/>
  <c r="K358" i="4"/>
  <c r="K360" i="4"/>
  <c r="K366" i="4"/>
  <c r="K367" i="4"/>
  <c r="K370" i="4"/>
  <c r="K372" i="4"/>
  <c r="K373" i="4"/>
  <c r="K375" i="4"/>
  <c r="K382" i="4"/>
  <c r="K384" i="4"/>
  <c r="K385" i="4"/>
  <c r="K387" i="4"/>
  <c r="K388" i="4"/>
  <c r="K389" i="4"/>
  <c r="K390" i="4"/>
  <c r="K391" i="4"/>
  <c r="K392" i="4"/>
  <c r="K399" i="4"/>
  <c r="K401" i="4"/>
  <c r="K402" i="4"/>
  <c r="K403" i="4"/>
  <c r="K404" i="4"/>
  <c r="K405" i="4"/>
  <c r="K406" i="4"/>
  <c r="K408" i="4"/>
  <c r="K414" i="4"/>
  <c r="K416" i="4"/>
  <c r="K417" i="4"/>
  <c r="K418" i="4"/>
  <c r="K420" i="4"/>
  <c r="K421" i="4"/>
  <c r="K423" i="4"/>
  <c r="K424" i="4"/>
  <c r="K430" i="4"/>
  <c r="K432" i="4"/>
  <c r="K433" i="4"/>
  <c r="K435" i="4"/>
  <c r="K437" i="4"/>
  <c r="K438" i="4"/>
  <c r="K439" i="4"/>
  <c r="K440" i="4"/>
  <c r="K447" i="4"/>
  <c r="K448" i="4"/>
  <c r="K449" i="4"/>
  <c r="K450" i="4"/>
  <c r="K452" i="4"/>
  <c r="K453" i="4"/>
  <c r="K454" i="4"/>
  <c r="K456" i="4"/>
  <c r="K462" i="4"/>
  <c r="K464" i="4"/>
  <c r="K465" i="4"/>
  <c r="K466" i="4"/>
  <c r="K468" i="4"/>
  <c r="K469" i="4"/>
  <c r="K471" i="4"/>
  <c r="K472" i="4"/>
  <c r="K478" i="4"/>
  <c r="K480" i="4"/>
  <c r="K481" i="4"/>
  <c r="K483" i="4"/>
  <c r="K485" i="4"/>
  <c r="K486" i="4"/>
  <c r="K487" i="4"/>
  <c r="K488" i="4"/>
  <c r="K495" i="4"/>
  <c r="K497" i="4"/>
  <c r="K498" i="4"/>
  <c r="K499" i="4"/>
  <c r="K500" i="4"/>
  <c r="K501" i="4"/>
  <c r="K502" i="4"/>
  <c r="K510" i="4"/>
  <c r="K511" i="4"/>
  <c r="K512" i="4"/>
  <c r="K513" i="4"/>
  <c r="K514" i="4"/>
  <c r="K516" i="4"/>
  <c r="K517" i="4"/>
  <c r="K519" i="4"/>
  <c r="K520" i="4"/>
  <c r="K526" i="4"/>
  <c r="K528" i="4"/>
  <c r="K529" i="4"/>
  <c r="K531" i="4"/>
  <c r="K532" i="4"/>
  <c r="K533" i="4"/>
  <c r="K534" i="4"/>
  <c r="K535" i="4"/>
  <c r="K536" i="4"/>
  <c r="K543" i="4"/>
  <c r="K544" i="4"/>
  <c r="K545" i="4"/>
  <c r="K546" i="4"/>
  <c r="K547" i="4"/>
  <c r="K548" i="4"/>
  <c r="K550" i="4"/>
  <c r="K552" i="4"/>
  <c r="K558" i="4"/>
  <c r="K559" i="4"/>
  <c r="K560" i="4"/>
  <c r="K561" i="4"/>
  <c r="K562" i="4"/>
  <c r="K564" i="4"/>
  <c r="K565" i="4"/>
  <c r="K567" i="4"/>
  <c r="K568" i="4"/>
  <c r="K574" i="4"/>
  <c r="K576" i="4"/>
  <c r="K579" i="4"/>
  <c r="K580" i="4"/>
  <c r="K581" i="4"/>
  <c r="K582" i="4"/>
  <c r="K584" i="4"/>
  <c r="K591" i="4"/>
  <c r="K592" i="4"/>
  <c r="K593" i="4"/>
  <c r="K594" i="4"/>
  <c r="K595" i="4"/>
  <c r="K596" i="4"/>
  <c r="K597" i="4"/>
  <c r="K598" i="4"/>
  <c r="K600" i="4"/>
  <c r="K606" i="4"/>
  <c r="K607" i="4"/>
  <c r="K608" i="4"/>
  <c r="K610" i="4"/>
  <c r="K612" i="4"/>
  <c r="K613" i="4"/>
  <c r="K615" i="4"/>
  <c r="K616" i="4"/>
  <c r="K622" i="4"/>
  <c r="K625" i="4"/>
  <c r="K627" i="4"/>
  <c r="K628" i="4"/>
  <c r="K629" i="4"/>
  <c r="K630" i="4"/>
  <c r="K631" i="4"/>
  <c r="K632" i="4"/>
  <c r="K639" i="4"/>
  <c r="K640" i="4"/>
  <c r="K641" i="4"/>
  <c r="K642" i="4"/>
  <c r="K644" i="4"/>
  <c r="K646" i="4"/>
  <c r="K648" i="4"/>
  <c r="K654" i="4"/>
  <c r="K655" i="4"/>
  <c r="K656" i="4"/>
  <c r="K657" i="4"/>
  <c r="K658" i="4"/>
  <c r="K660" i="4"/>
  <c r="K661" i="4"/>
  <c r="K663" i="4"/>
  <c r="K670" i="4"/>
  <c r="K672" i="4"/>
  <c r="K673" i="4"/>
  <c r="K675" i="4"/>
  <c r="K676" i="4"/>
  <c r="K677" i="4"/>
  <c r="K678" i="4"/>
  <c r="K680" i="4"/>
  <c r="K687" i="4"/>
  <c r="K688" i="4"/>
  <c r="K689" i="4"/>
  <c r="K690" i="4"/>
  <c r="K691" i="4"/>
  <c r="K692" i="4"/>
  <c r="K694" i="4"/>
  <c r="K696" i="4"/>
  <c r="K702" i="4"/>
  <c r="K704" i="4"/>
  <c r="K706" i="4"/>
  <c r="K708" i="4"/>
  <c r="K709" i="4"/>
  <c r="K711" i="4"/>
  <c r="K712" i="4"/>
  <c r="K718" i="4"/>
  <c r="K720" i="4"/>
  <c r="K721" i="4"/>
  <c r="K723" i="4"/>
  <c r="K725" i="4"/>
  <c r="K726" i="4"/>
  <c r="K727" i="4"/>
  <c r="K728" i="4"/>
  <c r="K733" i="4"/>
  <c r="K735" i="4"/>
  <c r="K737" i="4"/>
  <c r="K738" i="4"/>
  <c r="K740" i="4"/>
  <c r="K741" i="4"/>
  <c r="K742" i="4"/>
  <c r="K744" i="4"/>
  <c r="K750" i="4"/>
  <c r="K752" i="4"/>
  <c r="K753" i="4"/>
  <c r="K754" i="4"/>
  <c r="K756" i="4"/>
  <c r="K757" i="4"/>
  <c r="K759" i="4"/>
  <c r="K766" i="4"/>
  <c r="K768" i="4"/>
  <c r="K769" i="4"/>
  <c r="K771" i="4"/>
  <c r="K773" i="4"/>
  <c r="K774" i="4"/>
  <c r="K775" i="4"/>
  <c r="K776" i="4"/>
  <c r="K783" i="4"/>
  <c r="K784" i="4"/>
  <c r="K785" i="4"/>
  <c r="K786" i="4"/>
  <c r="K787" i="4"/>
  <c r="K788" i="4"/>
  <c r="K789" i="4"/>
  <c r="K790" i="4"/>
  <c r="K792" i="4"/>
  <c r="G2" i="3"/>
  <c r="H2" i="3" a="1"/>
  <c r="H2" i="3" s="1"/>
  <c r="K2" i="3"/>
  <c r="G3" i="3"/>
  <c r="H3" i="3" a="1"/>
  <c r="H3" i="3" s="1"/>
  <c r="K3" i="3"/>
  <c r="G4" i="3"/>
  <c r="H4" i="3" a="1"/>
  <c r="H4" i="3" s="1"/>
  <c r="K4" i="3"/>
  <c r="G5" i="3"/>
  <c r="H5" i="3" a="1"/>
  <c r="H5" i="3" s="1"/>
  <c r="K5" i="3"/>
  <c r="G6" i="3"/>
  <c r="H6" i="3" a="1"/>
  <c r="H6" i="3" s="1"/>
  <c r="K6" i="3"/>
  <c r="G7" i="3"/>
  <c r="H7" i="3" a="1"/>
  <c r="H7" i="3" s="1"/>
  <c r="K7" i="3"/>
  <c r="G8" i="3"/>
  <c r="H8" i="3" a="1"/>
  <c r="H8" i="3" s="1"/>
  <c r="K8" i="3"/>
  <c r="G9" i="3"/>
  <c r="H9" i="3" a="1"/>
  <c r="H9" i="3" s="1"/>
  <c r="K9" i="3"/>
  <c r="G10" i="3"/>
  <c r="H10" i="3" a="1"/>
  <c r="H10" i="3" s="1"/>
  <c r="K10" i="3"/>
  <c r="G11" i="3"/>
  <c r="H11" i="3" a="1"/>
  <c r="H11" i="3" s="1"/>
  <c r="K11" i="3"/>
  <c r="G12" i="3"/>
  <c r="H12" i="3" a="1"/>
  <c r="H12" i="3" s="1"/>
  <c r="K12" i="3"/>
  <c r="G13" i="3"/>
  <c r="H13" i="3" a="1"/>
  <c r="H13" i="3" s="1"/>
  <c r="K13" i="3"/>
  <c r="K14" i="3"/>
  <c r="K15" i="3"/>
  <c r="K16" i="3"/>
  <c r="K17" i="3"/>
  <c r="K18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H10" i="1"/>
  <c r="F22" i="1" s="1"/>
  <c r="L12" i="1"/>
  <c r="H11" i="1"/>
  <c r="I11" i="1" a="1"/>
  <c r="I11" i="1" s="1"/>
  <c r="L13" i="1"/>
  <c r="H12" i="1"/>
  <c r="I12" i="1" a="1"/>
  <c r="I12" i="1" s="1"/>
  <c r="F720" i="1" s="1"/>
  <c r="L14" i="1"/>
  <c r="H13" i="1"/>
  <c r="I13" i="1" a="1"/>
  <c r="I13" i="1" s="1"/>
  <c r="L15" i="1"/>
  <c r="H14" i="1"/>
  <c r="I14" i="1" a="1"/>
  <c r="I14" i="1" s="1"/>
  <c r="F302" i="1" s="1"/>
  <c r="L16" i="1"/>
  <c r="H15" i="1"/>
  <c r="I15" i="1" a="1"/>
  <c r="I15" i="1" s="1"/>
  <c r="L17" i="1"/>
  <c r="H16" i="1"/>
  <c r="I16" i="1" a="1"/>
  <c r="I16" i="1" s="1"/>
  <c r="L18" i="1"/>
  <c r="H17" i="1"/>
  <c r="I17" i="1" a="1"/>
  <c r="I17" i="1" s="1"/>
  <c r="L19" i="1"/>
  <c r="H18" i="1"/>
  <c r="I18" i="1" a="1"/>
  <c r="I18" i="1" s="1"/>
  <c r="F642" i="1" s="1"/>
  <c r="L20" i="1"/>
  <c r="H19" i="1"/>
  <c r="F631" i="1" s="1"/>
  <c r="L21" i="1"/>
  <c r="H20" i="1"/>
  <c r="F32" i="1" s="1"/>
  <c r="L22" i="1"/>
  <c r="H21" i="1"/>
  <c r="L23" i="1"/>
  <c r="L24" i="1"/>
  <c r="L25" i="1"/>
  <c r="L26" i="1"/>
  <c r="L27" i="1"/>
  <c r="L28" i="1"/>
  <c r="L29" i="1"/>
  <c r="L30" i="1"/>
  <c r="L31" i="1"/>
  <c r="L32" i="1"/>
  <c r="L33" i="1"/>
  <c r="L34" i="1"/>
  <c r="F33" i="1"/>
  <c r="L35" i="1"/>
  <c r="F34" i="1"/>
  <c r="L36" i="1"/>
  <c r="L37" i="1"/>
  <c r="L38" i="1"/>
  <c r="L39" i="1"/>
  <c r="L40" i="1"/>
  <c r="L41" i="1"/>
  <c r="L42" i="1"/>
  <c r="L43" i="1"/>
  <c r="L44" i="1"/>
  <c r="F43" i="1"/>
  <c r="L45" i="1"/>
  <c r="L46" i="1"/>
  <c r="F45" i="1"/>
  <c r="L47" i="1"/>
  <c r="L48" i="1"/>
  <c r="L49" i="1"/>
  <c r="L50" i="1"/>
  <c r="L51" i="1"/>
  <c r="L52" i="1"/>
  <c r="L53" i="1"/>
  <c r="L54" i="1"/>
  <c r="L55" i="1"/>
  <c r="L56" i="1"/>
  <c r="L57" i="1"/>
  <c r="L58" i="1"/>
  <c r="F57" i="1"/>
  <c r="L59" i="1"/>
  <c r="F58" i="1"/>
  <c r="L60" i="1"/>
  <c r="L61" i="1"/>
  <c r="L62" i="1"/>
  <c r="L63" i="1"/>
  <c r="L64" i="1"/>
  <c r="L65" i="1"/>
  <c r="L66" i="1"/>
  <c r="L67" i="1"/>
  <c r="L68" i="1"/>
  <c r="F67" i="1"/>
  <c r="L69" i="1"/>
  <c r="L70" i="1"/>
  <c r="F69" i="1"/>
  <c r="L71" i="1"/>
  <c r="F79" i="1"/>
  <c r="F81" i="1"/>
  <c r="F82" i="1"/>
  <c r="F91" i="1"/>
  <c r="F93" i="1"/>
  <c r="F94" i="1"/>
  <c r="F103" i="1"/>
  <c r="F105" i="1"/>
  <c r="F115" i="1"/>
  <c r="F117" i="1"/>
  <c r="F126" i="1"/>
  <c r="F127" i="1"/>
  <c r="F129" i="1"/>
  <c r="F130" i="1"/>
  <c r="F139" i="1"/>
  <c r="F141" i="1"/>
  <c r="F142" i="1"/>
  <c r="F151" i="1"/>
  <c r="F153" i="1"/>
  <c r="F163" i="1"/>
  <c r="F165" i="1"/>
  <c r="F175" i="1"/>
  <c r="F177" i="1"/>
  <c r="F178" i="1"/>
  <c r="F187" i="1"/>
  <c r="F189" i="1"/>
  <c r="F190" i="1"/>
  <c r="F199" i="1"/>
  <c r="F201" i="1"/>
  <c r="F211" i="1"/>
  <c r="F213" i="1"/>
  <c r="F223" i="1"/>
  <c r="F225" i="1"/>
  <c r="F226" i="1"/>
  <c r="F235" i="1"/>
  <c r="F237" i="1"/>
  <c r="F238" i="1"/>
  <c r="F247" i="1"/>
  <c r="F249" i="1"/>
  <c r="F259" i="1"/>
  <c r="F261" i="1"/>
  <c r="F270" i="1"/>
  <c r="F271" i="1"/>
  <c r="F273" i="1"/>
  <c r="F274" i="1"/>
  <c r="F283" i="1"/>
  <c r="F285" i="1"/>
  <c r="F286" i="1"/>
  <c r="F295" i="1"/>
  <c r="F297" i="1"/>
  <c r="F307" i="1"/>
  <c r="F309" i="1"/>
  <c r="F318" i="1"/>
  <c r="F319" i="1"/>
  <c r="F321" i="1"/>
  <c r="F322" i="1"/>
  <c r="F331" i="1"/>
  <c r="F333" i="1"/>
  <c r="F334" i="1"/>
  <c r="F343" i="1"/>
  <c r="F345" i="1"/>
  <c r="F355" i="1"/>
  <c r="F357" i="1"/>
  <c r="F366" i="1"/>
  <c r="F367" i="1"/>
  <c r="F369" i="1"/>
  <c r="F370" i="1"/>
  <c r="F379" i="1"/>
  <c r="F381" i="1"/>
  <c r="F382" i="1"/>
  <c r="F391" i="1"/>
  <c r="F393" i="1"/>
  <c r="F403" i="1"/>
  <c r="F405" i="1"/>
  <c r="F414" i="1"/>
  <c r="F415" i="1"/>
  <c r="F417" i="1"/>
  <c r="F418" i="1"/>
  <c r="F427" i="1"/>
  <c r="F429" i="1"/>
  <c r="F430" i="1"/>
  <c r="F439" i="1"/>
  <c r="F441" i="1"/>
  <c r="F451" i="1"/>
  <c r="F453" i="1"/>
  <c r="F462" i="1"/>
  <c r="F463" i="1"/>
  <c r="F465" i="1"/>
  <c r="F466" i="1"/>
  <c r="F475" i="1"/>
  <c r="F477" i="1"/>
  <c r="F478" i="1"/>
  <c r="F481" i="1"/>
  <c r="F487" i="1"/>
  <c r="F489" i="1"/>
  <c r="F499" i="1"/>
  <c r="F501" i="1"/>
  <c r="F511" i="1"/>
  <c r="F513" i="1"/>
  <c r="F514" i="1"/>
  <c r="F523" i="1"/>
  <c r="F525" i="1"/>
  <c r="F526" i="1"/>
  <c r="F529" i="1"/>
  <c r="F535" i="1"/>
  <c r="F537" i="1"/>
  <c r="F547" i="1"/>
  <c r="F549" i="1"/>
  <c r="F558" i="1"/>
  <c r="F559" i="1"/>
  <c r="F561" i="1"/>
  <c r="F562" i="1"/>
  <c r="F571" i="1"/>
  <c r="F573" i="1"/>
  <c r="F574" i="1"/>
  <c r="F577" i="1"/>
  <c r="F583" i="1"/>
  <c r="F586" i="1"/>
  <c r="F591" i="1"/>
  <c r="F595" i="1"/>
  <c r="F597" i="1"/>
  <c r="F598" i="1"/>
  <c r="F607" i="1"/>
  <c r="F609" i="1"/>
  <c r="F610" i="1"/>
  <c r="F621" i="1"/>
  <c r="F622" i="1"/>
  <c r="F623" i="1"/>
  <c r="F633" i="1"/>
  <c r="F634" i="1"/>
  <c r="F643" i="1"/>
  <c r="F645" i="1"/>
  <c r="F646" i="1"/>
  <c r="F655" i="1"/>
  <c r="F657" i="1"/>
  <c r="F658" i="1"/>
  <c r="F669" i="1"/>
  <c r="F670" i="1"/>
  <c r="F671" i="1"/>
  <c r="F674" i="1"/>
  <c r="F681" i="1"/>
  <c r="F682" i="1"/>
  <c r="F690" i="1"/>
  <c r="F691" i="1"/>
  <c r="F693" i="1"/>
  <c r="F694" i="1"/>
  <c r="F703" i="1"/>
  <c r="F705" i="1"/>
  <c r="F707" i="1"/>
  <c r="F715" i="1"/>
  <c r="F717" i="1"/>
  <c r="F718" i="1"/>
  <c r="F730" i="1"/>
  <c r="F739" i="1"/>
  <c r="F741" i="1"/>
  <c r="F36" i="1" l="1"/>
  <c r="F368" i="1"/>
  <c r="F212" i="1"/>
  <c r="F104" i="1"/>
  <c r="F428" i="1"/>
  <c r="F224" i="1"/>
  <c r="F272" i="1"/>
  <c r="F599" i="1"/>
  <c r="F116" i="1"/>
  <c r="F476" i="1"/>
  <c r="F524" i="1"/>
  <c r="F704" i="1"/>
  <c r="F464" i="1"/>
  <c r="F152" i="1"/>
  <c r="F260" i="1"/>
  <c r="F164" i="1"/>
  <c r="F668" i="1"/>
  <c r="F572" i="1"/>
  <c r="F416" i="1"/>
  <c r="F656" i="1"/>
  <c r="F560" i="1"/>
  <c r="F608" i="1"/>
  <c r="F512" i="1"/>
  <c r="F308" i="1"/>
  <c r="F200" i="1"/>
  <c r="F356" i="1"/>
  <c r="F92" i="1"/>
  <c r="F692" i="1"/>
  <c r="F404" i="1"/>
  <c r="F248" i="1"/>
  <c r="F140" i="1"/>
  <c r="F644" i="1"/>
  <c r="F596" i="1"/>
  <c r="F500" i="1"/>
  <c r="F452" i="1"/>
  <c r="F296" i="1"/>
  <c r="F548" i="1"/>
  <c r="F344" i="1"/>
  <c r="F188" i="1"/>
  <c r="F740" i="1"/>
  <c r="F392" i="1"/>
  <c r="F80" i="1"/>
  <c r="F620" i="1"/>
  <c r="F488" i="1"/>
  <c r="F44" i="1"/>
  <c r="F68" i="1"/>
  <c r="F320" i="1"/>
  <c r="F440" i="1"/>
  <c r="F236" i="1"/>
  <c r="F128" i="1"/>
  <c r="F632" i="1"/>
  <c r="F332" i="1"/>
  <c r="F176" i="1"/>
  <c r="F680" i="1"/>
  <c r="F584" i="1"/>
  <c r="F536" i="1"/>
  <c r="F284" i="1"/>
  <c r="F380" i="1"/>
  <c r="K110" i="4"/>
  <c r="K467" i="4"/>
  <c r="K446" i="4"/>
  <c r="K419" i="4"/>
  <c r="K278" i="4"/>
  <c r="K182" i="4"/>
  <c r="K767" i="4"/>
  <c r="K695" i="4"/>
  <c r="K674" i="4"/>
  <c r="K371" i="4"/>
  <c r="K350" i="4"/>
  <c r="K230" i="4"/>
  <c r="K83" i="4"/>
  <c r="K647" i="4"/>
  <c r="K626" i="4"/>
  <c r="K323" i="4"/>
  <c r="K302" i="4"/>
  <c r="K158" i="4"/>
  <c r="K131" i="4"/>
  <c r="K50" i="4"/>
  <c r="K760" i="4"/>
  <c r="K739" i="4"/>
  <c r="K719" i="4"/>
  <c r="K693" i="4"/>
  <c r="K599" i="4"/>
  <c r="K578" i="4"/>
  <c r="K484" i="4"/>
  <c r="K463" i="4"/>
  <c r="K369" i="4"/>
  <c r="K343" i="4"/>
  <c r="K275" i="4"/>
  <c r="K254" i="4"/>
  <c r="K206" i="4"/>
  <c r="K179" i="4"/>
  <c r="K103" i="4"/>
  <c r="K81" i="4"/>
  <c r="K671" i="4"/>
  <c r="K645" i="4"/>
  <c r="K624" i="4"/>
  <c r="K551" i="4"/>
  <c r="K530" i="4"/>
  <c r="K415" i="4"/>
  <c r="K368" i="4"/>
  <c r="K342" i="4"/>
  <c r="K321" i="4"/>
  <c r="K295" i="4"/>
  <c r="K248" i="4"/>
  <c r="K227" i="4"/>
  <c r="K200" i="4"/>
  <c r="K151" i="4"/>
  <c r="K129" i="4"/>
  <c r="K102" i="4"/>
  <c r="K45" i="4"/>
  <c r="K326" i="4"/>
  <c r="K134" i="4"/>
  <c r="K398" i="4"/>
  <c r="K758" i="4"/>
  <c r="K623" i="4"/>
  <c r="K503" i="4"/>
  <c r="K482" i="4"/>
  <c r="K736" i="4"/>
  <c r="K664" i="4"/>
  <c r="K643" i="4"/>
  <c r="K575" i="4"/>
  <c r="K549" i="4"/>
  <c r="K455" i="4"/>
  <c r="K434" i="4"/>
  <c r="K340" i="4"/>
  <c r="K319" i="4"/>
  <c r="K225" i="4"/>
  <c r="K127" i="4"/>
  <c r="K100" i="4"/>
  <c r="K76" i="4"/>
  <c r="K748" i="4"/>
  <c r="K28" i="4"/>
  <c r="K16" i="4"/>
  <c r="K124" i="4"/>
  <c r="K172" i="4"/>
  <c r="K220" i="4"/>
  <c r="K268" i="4"/>
  <c r="K316" i="4"/>
  <c r="K364" i="4"/>
  <c r="K412" i="4"/>
  <c r="K460" i="4"/>
  <c r="K508" i="4"/>
  <c r="K556" i="4"/>
  <c r="K604" i="4"/>
  <c r="K652" i="4"/>
  <c r="K700" i="4"/>
  <c r="K40" i="4"/>
  <c r="K52" i="4"/>
  <c r="K64" i="4"/>
  <c r="K4" i="4"/>
  <c r="K74" i="4"/>
  <c r="K122" i="4"/>
  <c r="K170" i="4"/>
  <c r="K218" i="4"/>
  <c r="K266" i="4"/>
  <c r="K314" i="4"/>
  <c r="K362" i="4"/>
  <c r="K410" i="4"/>
  <c r="K458" i="4"/>
  <c r="K506" i="4"/>
  <c r="K554" i="4"/>
  <c r="K602" i="4"/>
  <c r="K650" i="4"/>
  <c r="K698" i="4"/>
  <c r="K746" i="4"/>
  <c r="K794" i="4"/>
  <c r="K98" i="4"/>
  <c r="K146" i="4"/>
  <c r="K194" i="4"/>
  <c r="K44" i="4"/>
  <c r="K92" i="4"/>
  <c r="K140" i="4"/>
  <c r="K188" i="4"/>
  <c r="K236" i="4"/>
  <c r="K284" i="4"/>
  <c r="K332" i="4"/>
  <c r="K380" i="4"/>
  <c r="K428" i="4"/>
  <c r="K476" i="4"/>
  <c r="K524" i="4"/>
  <c r="K572" i="4"/>
  <c r="K620" i="4"/>
  <c r="K668" i="4"/>
  <c r="K716" i="4"/>
  <c r="K764" i="4"/>
  <c r="K20" i="4"/>
  <c r="K32" i="4"/>
  <c r="K56" i="4"/>
  <c r="K6" i="4"/>
  <c r="K90" i="4"/>
  <c r="K138" i="4"/>
  <c r="K186" i="4"/>
  <c r="K234" i="4"/>
  <c r="K282" i="4"/>
  <c r="K330" i="4"/>
  <c r="K378" i="4"/>
  <c r="K426" i="4"/>
  <c r="K474" i="4"/>
  <c r="K522" i="4"/>
  <c r="K570" i="4"/>
  <c r="K618" i="4"/>
  <c r="K666" i="4"/>
  <c r="K714" i="4"/>
  <c r="K762" i="4"/>
  <c r="K114" i="4"/>
  <c r="K162" i="4"/>
  <c r="K210" i="4"/>
  <c r="K14" i="4"/>
  <c r="K707" i="4"/>
  <c r="K686" i="4"/>
  <c r="K566" i="4"/>
  <c r="K451" i="4"/>
  <c r="K383" i="4"/>
  <c r="K357" i="4"/>
  <c r="K263" i="4"/>
  <c r="K242" i="4"/>
  <c r="K167" i="4"/>
  <c r="K95" i="4"/>
  <c r="K69" i="4"/>
  <c r="K57" i="4"/>
  <c r="K710" i="4"/>
  <c r="K407" i="4"/>
  <c r="K338" i="4"/>
  <c r="K638" i="4"/>
  <c r="K143" i="4"/>
  <c r="K782" i="4"/>
  <c r="K527" i="4"/>
  <c r="K386" i="4"/>
  <c r="K290" i="4"/>
  <c r="K659" i="4"/>
  <c r="K518" i="4"/>
  <c r="K335" i="4"/>
  <c r="K215" i="4"/>
  <c r="K772" i="4"/>
  <c r="K751" i="4"/>
  <c r="K705" i="4"/>
  <c r="K679" i="4"/>
  <c r="K611" i="4"/>
  <c r="K590" i="4"/>
  <c r="K496" i="4"/>
  <c r="K470" i="4"/>
  <c r="K376" i="4"/>
  <c r="K355" i="4"/>
  <c r="K287" i="4"/>
  <c r="K261" i="4"/>
  <c r="K191" i="4"/>
  <c r="K165" i="4"/>
  <c r="K88" i="4"/>
  <c r="K67" i="4"/>
  <c r="K38" i="4"/>
  <c r="K27" i="4"/>
  <c r="K39" i="4"/>
  <c r="K51" i="4"/>
  <c r="K63" i="4"/>
  <c r="K75" i="4"/>
  <c r="K123" i="4"/>
  <c r="K171" i="4"/>
  <c r="K219" i="4"/>
  <c r="K267" i="4"/>
  <c r="K315" i="4"/>
  <c r="K363" i="4"/>
  <c r="K411" i="4"/>
  <c r="K459" i="4"/>
  <c r="K507" i="4"/>
  <c r="K555" i="4"/>
  <c r="K603" i="4"/>
  <c r="K651" i="4"/>
  <c r="K699" i="4"/>
  <c r="K747" i="4"/>
  <c r="K755" i="4"/>
  <c r="K734" i="4"/>
  <c r="K662" i="4"/>
  <c r="K479" i="4"/>
  <c r="K359" i="4"/>
  <c r="K71" i="4"/>
  <c r="K62" i="4"/>
  <c r="K614" i="4"/>
  <c r="K431" i="4"/>
  <c r="K311" i="4"/>
  <c r="K119" i="4"/>
  <c r="K563" i="4"/>
  <c r="K542" i="4"/>
  <c r="K422" i="4"/>
  <c r="K239" i="4"/>
  <c r="K791" i="4"/>
  <c r="K770" i="4"/>
  <c r="K724" i="4"/>
  <c r="K703" i="4"/>
  <c r="K609" i="4"/>
  <c r="K583" i="4"/>
  <c r="K494" i="4"/>
  <c r="K400" i="4"/>
  <c r="K374" i="4"/>
  <c r="K280" i="4"/>
  <c r="K259" i="4"/>
  <c r="K86" i="4"/>
  <c r="K89" i="4"/>
  <c r="K137" i="4"/>
  <c r="K185" i="4"/>
  <c r="K233" i="4"/>
  <c r="K281" i="4"/>
  <c r="K329" i="4"/>
  <c r="K377" i="4"/>
  <c r="K425" i="4"/>
  <c r="K473" i="4"/>
  <c r="K521" i="4"/>
  <c r="K569" i="4"/>
  <c r="K617" i="4"/>
  <c r="K665" i="4"/>
  <c r="K713" i="4"/>
  <c r="K761" i="4"/>
  <c r="K77" i="4"/>
  <c r="K125" i="4"/>
  <c r="K173" i="4"/>
  <c r="K221" i="4"/>
  <c r="K269" i="4"/>
  <c r="K317" i="4"/>
  <c r="K365" i="4"/>
  <c r="K413" i="4"/>
  <c r="K461" i="4"/>
  <c r="K509" i="4"/>
  <c r="K557" i="4"/>
  <c r="K605" i="4"/>
  <c r="K653" i="4"/>
  <c r="K701" i="4"/>
  <c r="K749" i="4"/>
  <c r="K5" i="4"/>
  <c r="K23" i="4"/>
  <c r="K35" i="4"/>
  <c r="K47" i="4"/>
  <c r="K59" i="4"/>
  <c r="K107" i="4"/>
  <c r="K155" i="4"/>
  <c r="K203" i="4"/>
  <c r="K251" i="4"/>
  <c r="K299" i="4"/>
  <c r="K347" i="4"/>
  <c r="K395" i="4"/>
  <c r="K443" i="4"/>
  <c r="K491" i="4"/>
  <c r="K539" i="4"/>
  <c r="K587" i="4"/>
  <c r="K635" i="4"/>
  <c r="K683" i="4"/>
  <c r="K731" i="4"/>
  <c r="K779" i="4"/>
  <c r="K105" i="4"/>
  <c r="K153" i="4"/>
  <c r="K201" i="4"/>
  <c r="K249" i="4"/>
  <c r="K297" i="4"/>
  <c r="K345" i="4"/>
  <c r="K393" i="4"/>
  <c r="K441" i="4"/>
  <c r="K489" i="4"/>
  <c r="K537" i="4"/>
  <c r="K585" i="4"/>
  <c r="K633" i="4"/>
  <c r="K681" i="4"/>
  <c r="K729" i="4"/>
  <c r="K777" i="4"/>
  <c r="K285" i="4"/>
  <c r="K669" i="4"/>
  <c r="K717" i="4"/>
  <c r="K765" i="4"/>
  <c r="K93" i="4"/>
  <c r="K141" i="4"/>
  <c r="K189" i="4"/>
  <c r="K237" i="4"/>
  <c r="K333" i="4"/>
  <c r="K381" i="4"/>
  <c r="K429" i="4"/>
  <c r="K477" i="4"/>
  <c r="K525" i="4"/>
  <c r="K573" i="4"/>
  <c r="K621" i="4"/>
  <c r="K19" i="4"/>
  <c r="K31" i="4"/>
  <c r="K43" i="4"/>
  <c r="K55" i="4"/>
  <c r="K743" i="4"/>
  <c r="K11" i="4"/>
  <c r="K9" i="4"/>
  <c r="K7" i="4"/>
  <c r="K722" i="4"/>
  <c r="K781" i="4"/>
  <c r="K397" i="4"/>
  <c r="K349" i="4"/>
  <c r="K301" i="4"/>
  <c r="K253" i="4"/>
  <c r="K157" i="4"/>
  <c r="K60" i="4"/>
  <c r="K48" i="4"/>
  <c r="K36" i="4"/>
  <c r="K24" i="4"/>
  <c r="K780" i="4"/>
  <c r="K732" i="4"/>
  <c r="K684" i="4"/>
  <c r="K636" i="4"/>
  <c r="K588" i="4"/>
  <c r="K540" i="4"/>
  <c r="K492" i="4"/>
  <c r="K444" i="4"/>
  <c r="K396" i="4"/>
  <c r="K348" i="4"/>
  <c r="K300" i="4"/>
  <c r="K252" i="4"/>
  <c r="K204" i="4"/>
  <c r="K156" i="4"/>
  <c r="K108" i="4"/>
  <c r="K685" i="4"/>
  <c r="K637" i="4"/>
  <c r="K589" i="4"/>
  <c r="K541" i="4"/>
  <c r="K445" i="4"/>
  <c r="K205" i="4"/>
  <c r="K763" i="4"/>
  <c r="K715" i="4"/>
  <c r="K667" i="4"/>
  <c r="K619" i="4"/>
  <c r="K571" i="4"/>
  <c r="K523" i="4"/>
  <c r="K475" i="4"/>
  <c r="K427" i="4"/>
  <c r="K379" i="4"/>
  <c r="K331" i="4"/>
  <c r="K283" i="4"/>
  <c r="K235" i="4"/>
  <c r="K187" i="4"/>
  <c r="K139" i="4"/>
  <c r="K778" i="4"/>
  <c r="K730" i="4"/>
  <c r="K682" i="4"/>
  <c r="K634" i="4"/>
  <c r="K586" i="4"/>
  <c r="K538" i="4"/>
  <c r="K490" i="4"/>
  <c r="K442" i="4"/>
  <c r="K394" i="4"/>
  <c r="K346" i="4"/>
  <c r="K298" i="4"/>
  <c r="K250" i="4"/>
  <c r="K202" i="4"/>
  <c r="K154" i="4"/>
  <c r="K106" i="4"/>
  <c r="K493" i="4"/>
  <c r="K109" i="4"/>
  <c r="K793" i="4"/>
  <c r="K745" i="4"/>
  <c r="K697" i="4"/>
  <c r="K649" i="4"/>
  <c r="K601" i="4"/>
  <c r="K553" i="4"/>
  <c r="K505" i="4"/>
  <c r="K457" i="4"/>
  <c r="K409" i="4"/>
  <c r="K361" i="4"/>
  <c r="K313" i="4"/>
  <c r="K265" i="4"/>
  <c r="K217" i="4"/>
  <c r="K169" i="4"/>
  <c r="K121" i="4"/>
  <c r="F111" i="1"/>
  <c r="F159" i="1"/>
  <c r="F207" i="1"/>
  <c r="F255" i="1"/>
  <c r="F303" i="1"/>
  <c r="F351" i="1"/>
  <c r="F399" i="1"/>
  <c r="F447" i="1"/>
  <c r="F495" i="1"/>
  <c r="F543" i="1"/>
  <c r="F27" i="1"/>
  <c r="F51" i="1"/>
  <c r="F627" i="1"/>
  <c r="F675" i="1"/>
  <c r="F99" i="1"/>
  <c r="F147" i="1"/>
  <c r="F195" i="1"/>
  <c r="F243" i="1"/>
  <c r="F291" i="1"/>
  <c r="F339" i="1"/>
  <c r="F387" i="1"/>
  <c r="F483" i="1"/>
  <c r="F531" i="1"/>
  <c r="F435" i="1"/>
  <c r="F579" i="1"/>
  <c r="F711" i="1"/>
  <c r="F87" i="1"/>
  <c r="F183" i="1"/>
  <c r="F279" i="1"/>
  <c r="F327" i="1"/>
  <c r="F375" i="1"/>
  <c r="F423" i="1"/>
  <c r="F471" i="1"/>
  <c r="F567" i="1"/>
  <c r="F135" i="1"/>
  <c r="F231" i="1"/>
  <c r="F519" i="1"/>
  <c r="F75" i="1"/>
  <c r="F123" i="1"/>
  <c r="F171" i="1"/>
  <c r="F219" i="1"/>
  <c r="F267" i="1"/>
  <c r="F315" i="1"/>
  <c r="F363" i="1"/>
  <c r="F411" i="1"/>
  <c r="F459" i="1"/>
  <c r="F507" i="1"/>
  <c r="F555" i="1"/>
  <c r="F615" i="1"/>
  <c r="F26" i="1"/>
  <c r="F721" i="1"/>
  <c r="F625" i="1"/>
  <c r="F673" i="1"/>
  <c r="F97" i="1"/>
  <c r="F145" i="1"/>
  <c r="F193" i="1"/>
  <c r="F241" i="1"/>
  <c r="F289" i="1"/>
  <c r="F337" i="1"/>
  <c r="F433" i="1"/>
  <c r="F385" i="1"/>
  <c r="F709" i="1"/>
  <c r="F85" i="1"/>
  <c r="F133" i="1"/>
  <c r="F181" i="1"/>
  <c r="F277" i="1"/>
  <c r="F229" i="1"/>
  <c r="F373" i="1"/>
  <c r="F421" i="1"/>
  <c r="F517" i="1"/>
  <c r="F37" i="1"/>
  <c r="F61" i="1"/>
  <c r="F613" i="1"/>
  <c r="F661" i="1"/>
  <c r="F325" i="1"/>
  <c r="F469" i="1"/>
  <c r="F565" i="1"/>
  <c r="F361" i="1"/>
  <c r="F553" i="1"/>
  <c r="F493" i="1"/>
  <c r="F601" i="1"/>
  <c r="F649" i="1"/>
  <c r="F697" i="1"/>
  <c r="F733" i="1"/>
  <c r="F73" i="1"/>
  <c r="F121" i="1"/>
  <c r="F169" i="1"/>
  <c r="F217" i="1"/>
  <c r="F265" i="1"/>
  <c r="F313" i="1"/>
  <c r="F409" i="1"/>
  <c r="F457" i="1"/>
  <c r="F505" i="1"/>
  <c r="F205" i="1"/>
  <c r="F445" i="1"/>
  <c r="F253" i="1"/>
  <c r="F349" i="1"/>
  <c r="F541" i="1"/>
  <c r="F25" i="1"/>
  <c r="F49" i="1"/>
  <c r="F589" i="1"/>
  <c r="F637" i="1"/>
  <c r="F685" i="1"/>
  <c r="F109" i="1"/>
  <c r="F157" i="1"/>
  <c r="F301" i="1"/>
  <c r="F397" i="1"/>
  <c r="F687" i="1"/>
  <c r="F630" i="1"/>
  <c r="F678" i="1"/>
  <c r="F222" i="1"/>
  <c r="F606" i="1"/>
  <c r="F66" i="1"/>
  <c r="F666" i="1"/>
  <c r="F42" i="1"/>
  <c r="F618" i="1"/>
  <c r="F78" i="1"/>
  <c r="F654" i="1"/>
  <c r="F738" i="1"/>
  <c r="F174" i="1"/>
  <c r="F702" i="1"/>
  <c r="F723" i="1"/>
  <c r="F639" i="1"/>
  <c r="F114" i="1"/>
  <c r="F594" i="1"/>
  <c r="F510" i="1"/>
  <c r="F624" i="1"/>
  <c r="F672" i="1"/>
  <c r="F96" i="1"/>
  <c r="F144" i="1"/>
  <c r="F192" i="1"/>
  <c r="F240" i="1"/>
  <c r="F288" i="1"/>
  <c r="F336" i="1"/>
  <c r="F384" i="1"/>
  <c r="F432" i="1"/>
  <c r="F480" i="1"/>
  <c r="F528" i="1"/>
  <c r="F576" i="1"/>
  <c r="F60" i="1"/>
  <c r="F708" i="1"/>
  <c r="F612" i="1"/>
  <c r="F660" i="1"/>
  <c r="F84" i="1"/>
  <c r="F132" i="1"/>
  <c r="F180" i="1"/>
  <c r="F228" i="1"/>
  <c r="F276" i="1"/>
  <c r="F324" i="1"/>
  <c r="F372" i="1"/>
  <c r="F420" i="1"/>
  <c r="F468" i="1"/>
  <c r="F516" i="1"/>
  <c r="F564" i="1"/>
  <c r="F648" i="1"/>
  <c r="F696" i="1"/>
  <c r="F732" i="1"/>
  <c r="F120" i="1"/>
  <c r="F168" i="1"/>
  <c r="F264" i="1"/>
  <c r="F360" i="1"/>
  <c r="F408" i="1"/>
  <c r="F552" i="1"/>
  <c r="F600" i="1"/>
  <c r="F216" i="1"/>
  <c r="F312" i="1"/>
  <c r="F456" i="1"/>
  <c r="F504" i="1"/>
  <c r="F72" i="1"/>
  <c r="F588" i="1"/>
  <c r="F636" i="1"/>
  <c r="F684" i="1"/>
  <c r="F108" i="1"/>
  <c r="F156" i="1"/>
  <c r="F204" i="1"/>
  <c r="F252" i="1"/>
  <c r="F300" i="1"/>
  <c r="F348" i="1"/>
  <c r="F396" i="1"/>
  <c r="F444" i="1"/>
  <c r="F492" i="1"/>
  <c r="F540" i="1"/>
  <c r="F593" i="1"/>
  <c r="F641" i="1"/>
  <c r="F689" i="1"/>
  <c r="F113" i="1"/>
  <c r="F161" i="1"/>
  <c r="F209" i="1"/>
  <c r="F257" i="1"/>
  <c r="F305" i="1"/>
  <c r="F353" i="1"/>
  <c r="F401" i="1"/>
  <c r="F449" i="1"/>
  <c r="F101" i="1"/>
  <c r="F149" i="1"/>
  <c r="F197" i="1"/>
  <c r="F245" i="1"/>
  <c r="F293" i="1"/>
  <c r="F485" i="1"/>
  <c r="F533" i="1"/>
  <c r="F581" i="1"/>
  <c r="F569" i="1"/>
  <c r="F725" i="1"/>
  <c r="F341" i="1"/>
  <c r="F221" i="1"/>
  <c r="F29" i="1"/>
  <c r="F53" i="1"/>
  <c r="F629" i="1"/>
  <c r="F677" i="1"/>
  <c r="F389" i="1"/>
  <c r="F437" i="1"/>
  <c r="F413" i="1"/>
  <c r="F713" i="1"/>
  <c r="F617" i="1"/>
  <c r="F665" i="1"/>
  <c r="F89" i="1"/>
  <c r="F137" i="1"/>
  <c r="F185" i="1"/>
  <c r="F233" i="1"/>
  <c r="F281" i="1"/>
  <c r="F377" i="1"/>
  <c r="F521" i="1"/>
  <c r="F557" i="1"/>
  <c r="F329" i="1"/>
  <c r="F425" i="1"/>
  <c r="F473" i="1"/>
  <c r="F509" i="1"/>
  <c r="F317" i="1"/>
  <c r="F41" i="1"/>
  <c r="F65" i="1"/>
  <c r="F605" i="1"/>
  <c r="F653" i="1"/>
  <c r="F701" i="1"/>
  <c r="F737" i="1"/>
  <c r="F77" i="1"/>
  <c r="F125" i="1"/>
  <c r="F173" i="1"/>
  <c r="F269" i="1"/>
  <c r="F365" i="1"/>
  <c r="F461" i="1"/>
  <c r="F545" i="1"/>
  <c r="F626" i="1"/>
  <c r="F542" i="1"/>
  <c r="F95" i="1"/>
  <c r="F143" i="1"/>
  <c r="F191" i="1"/>
  <c r="F239" i="1"/>
  <c r="F287" i="1"/>
  <c r="F335" i="1"/>
  <c r="F383" i="1"/>
  <c r="F431" i="1"/>
  <c r="F479" i="1"/>
  <c r="F527" i="1"/>
  <c r="F575" i="1"/>
  <c r="F35" i="1"/>
  <c r="F59" i="1"/>
  <c r="F611" i="1"/>
  <c r="F659" i="1"/>
  <c r="F83" i="1"/>
  <c r="F227" i="1"/>
  <c r="F371" i="1"/>
  <c r="F419" i="1"/>
  <c r="F515" i="1"/>
  <c r="F563" i="1"/>
  <c r="F131" i="1"/>
  <c r="F179" i="1"/>
  <c r="F275" i="1"/>
  <c r="F323" i="1"/>
  <c r="F467" i="1"/>
  <c r="F71" i="1"/>
  <c r="F167" i="1"/>
  <c r="F215" i="1"/>
  <c r="F263" i="1"/>
  <c r="F311" i="1"/>
  <c r="F455" i="1"/>
  <c r="F503" i="1"/>
  <c r="F719" i="1"/>
  <c r="F119" i="1"/>
  <c r="F359" i="1"/>
  <c r="F407" i="1"/>
  <c r="F551" i="1"/>
  <c r="F23" i="1"/>
  <c r="F47" i="1"/>
  <c r="F107" i="1"/>
  <c r="F155" i="1"/>
  <c r="F203" i="1"/>
  <c r="F251" i="1"/>
  <c r="F299" i="1"/>
  <c r="F347" i="1"/>
  <c r="F395" i="1"/>
  <c r="F443" i="1"/>
  <c r="F491" i="1"/>
  <c r="F539" i="1"/>
  <c r="F497" i="1"/>
  <c r="F206" i="1"/>
  <c r="F592" i="1"/>
  <c r="F640" i="1"/>
  <c r="F688" i="1"/>
  <c r="F112" i="1"/>
  <c r="F160" i="1"/>
  <c r="F208" i="1"/>
  <c r="F256" i="1"/>
  <c r="F304" i="1"/>
  <c r="F352" i="1"/>
  <c r="F400" i="1"/>
  <c r="F448" i="1"/>
  <c r="F496" i="1"/>
  <c r="F544" i="1"/>
  <c r="F52" i="1"/>
  <c r="F724" i="1"/>
  <c r="F676" i="1"/>
  <c r="F628" i="1"/>
  <c r="F100" i="1"/>
  <c r="F148" i="1"/>
  <c r="F196" i="1"/>
  <c r="F244" i="1"/>
  <c r="F292" i="1"/>
  <c r="F340" i="1"/>
  <c r="F388" i="1"/>
  <c r="F436" i="1"/>
  <c r="F484" i="1"/>
  <c r="F532" i="1"/>
  <c r="F580" i="1"/>
  <c r="F616" i="1"/>
  <c r="F664" i="1"/>
  <c r="F232" i="1"/>
  <c r="F328" i="1"/>
  <c r="F376" i="1"/>
  <c r="F472" i="1"/>
  <c r="F520" i="1"/>
  <c r="F136" i="1"/>
  <c r="F184" i="1"/>
  <c r="F280" i="1"/>
  <c r="F424" i="1"/>
  <c r="F568" i="1"/>
  <c r="F604" i="1"/>
  <c r="F652" i="1"/>
  <c r="F700" i="1"/>
  <c r="F736" i="1"/>
  <c r="F76" i="1"/>
  <c r="F124" i="1"/>
  <c r="F172" i="1"/>
  <c r="F220" i="1"/>
  <c r="F268" i="1"/>
  <c r="F316" i="1"/>
  <c r="F364" i="1"/>
  <c r="F412" i="1"/>
  <c r="F460" i="1"/>
  <c r="F508" i="1"/>
  <c r="F556" i="1"/>
  <c r="F494" i="1"/>
  <c r="F28" i="1"/>
  <c r="F446" i="1"/>
  <c r="F398" i="1"/>
  <c r="F350" i="1"/>
  <c r="F110" i="1"/>
  <c r="F50" i="1"/>
  <c r="F590" i="1"/>
  <c r="F735" i="1"/>
  <c r="F716" i="1"/>
  <c r="F699" i="1"/>
  <c r="F683" i="1"/>
  <c r="F667" i="1"/>
  <c r="F651" i="1"/>
  <c r="F635" i="1"/>
  <c r="F619" i="1"/>
  <c r="F603" i="1"/>
  <c r="F587" i="1"/>
  <c r="F570" i="1"/>
  <c r="F554" i="1"/>
  <c r="F538" i="1"/>
  <c r="F522" i="1"/>
  <c r="F506" i="1"/>
  <c r="F490" i="1"/>
  <c r="F474" i="1"/>
  <c r="F458" i="1"/>
  <c r="F442" i="1"/>
  <c r="F426" i="1"/>
  <c r="F410" i="1"/>
  <c r="F394" i="1"/>
  <c r="F378" i="1"/>
  <c r="F362" i="1"/>
  <c r="F346" i="1"/>
  <c r="F330" i="1"/>
  <c r="F314" i="1"/>
  <c r="F298" i="1"/>
  <c r="F282" i="1"/>
  <c r="F266" i="1"/>
  <c r="F250" i="1"/>
  <c r="F234" i="1"/>
  <c r="F218" i="1"/>
  <c r="F202" i="1"/>
  <c r="F186" i="1"/>
  <c r="F170" i="1"/>
  <c r="F154" i="1"/>
  <c r="F138" i="1"/>
  <c r="F122" i="1"/>
  <c r="F106" i="1"/>
  <c r="F90" i="1"/>
  <c r="F74" i="1"/>
  <c r="F64" i="1"/>
  <c r="F56" i="1"/>
  <c r="F48" i="1"/>
  <c r="F40" i="1"/>
  <c r="F24" i="1"/>
  <c r="F254" i="1"/>
  <c r="F158" i="1"/>
  <c r="F698" i="1"/>
  <c r="F88" i="1"/>
  <c r="F63" i="1"/>
  <c r="F55" i="1"/>
  <c r="F39" i="1"/>
  <c r="F31" i="1"/>
  <c r="F638" i="1"/>
  <c r="F714" i="1"/>
  <c r="F731" i="1"/>
  <c r="F712" i="1"/>
  <c r="F695" i="1"/>
  <c r="F679" i="1"/>
  <c r="F663" i="1"/>
  <c r="F647" i="1"/>
  <c r="F582" i="1"/>
  <c r="F566" i="1"/>
  <c r="F550" i="1"/>
  <c r="F534" i="1"/>
  <c r="F518" i="1"/>
  <c r="F502" i="1"/>
  <c r="F486" i="1"/>
  <c r="F470" i="1"/>
  <c r="F454" i="1"/>
  <c r="F438" i="1"/>
  <c r="F422" i="1"/>
  <c r="F406" i="1"/>
  <c r="F390" i="1"/>
  <c r="F374" i="1"/>
  <c r="F358" i="1"/>
  <c r="F342" i="1"/>
  <c r="F326" i="1"/>
  <c r="F310" i="1"/>
  <c r="F294" i="1"/>
  <c r="F278" i="1"/>
  <c r="F262" i="1"/>
  <c r="F246" i="1"/>
  <c r="F230" i="1"/>
  <c r="F214" i="1"/>
  <c r="F198" i="1"/>
  <c r="F182" i="1"/>
  <c r="F166" i="1"/>
  <c r="F150" i="1"/>
  <c r="F134" i="1"/>
  <c r="F118" i="1"/>
  <c r="F102" i="1"/>
  <c r="F86" i="1"/>
  <c r="F70" i="1"/>
  <c r="F62" i="1"/>
  <c r="F54" i="1"/>
  <c r="F46" i="1"/>
  <c r="F38" i="1"/>
  <c r="F30" i="1"/>
  <c r="F734" i="1"/>
  <c r="F662" i="1"/>
  <c r="F614" i="1"/>
  <c r="F726" i="1"/>
  <c r="F710" i="1"/>
  <c r="F602" i="1"/>
  <c r="F686" i="1"/>
  <c r="F650" i="1"/>
  <c r="F578" i="1"/>
  <c r="F546" i="1"/>
  <c r="F530" i="1"/>
  <c r="F498" i="1"/>
  <c r="F482" i="1"/>
  <c r="F450" i="1"/>
  <c r="F434" i="1"/>
  <c r="F402" i="1"/>
  <c r="F386" i="1"/>
  <c r="F354" i="1"/>
  <c r="F338" i="1"/>
  <c r="F306" i="1"/>
  <c r="F290" i="1"/>
  <c r="F258" i="1"/>
  <c r="F242" i="1"/>
  <c r="F210" i="1"/>
  <c r="F194" i="1"/>
  <c r="F162" i="1"/>
  <c r="F146" i="1"/>
  <c r="F98" i="1"/>
  <c r="F7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tc={F4960FCF-5E79-4F66-8947-3B6AEB551376}</author>
  </authors>
  <commentList>
    <comment ref="L10" authorId="0" shapeId="0" xr:uid="{F4960FCF-5E79-4F66-8947-3B6AEB5513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Valores interpolados con temperatura de aeropuerto (2014-2015)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tc={602F8C33-2E5F-49B0-B202-CB5CC489FDB1}</author>
  </authors>
  <commentList>
    <comment ref="J1" authorId="0" shapeId="0" xr:uid="{602F8C33-2E5F-49B0-B202-CB5CC489FD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AVHRR, including a few pixels in the area of Cartagena Bay. Daytime. Quality flag &gt;= 4</t>
      </text>
    </comment>
  </commentList>
</comments>
</file>

<file path=xl/sharedStrings.xml><?xml version="1.0" encoding="utf-8"?>
<sst xmlns="http://schemas.openxmlformats.org/spreadsheetml/2006/main" count="851" uniqueCount="107">
  <si>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</si>
  <si>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</si>
  <si>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</si>
  <si>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</si>
  <si>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</si>
  <si>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</si>
  <si>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</si>
  <si>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</si>
  <si>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</si>
  <si>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</si>
  <si>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</si>
  <si>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</si>
  <si>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Temp (°C)</t>
  </si>
  <si>
    <t>Año</t>
  </si>
  <si>
    <t>SD</t>
  </si>
  <si>
    <t>Seasonality</t>
  </si>
  <si>
    <t>STDA</t>
  </si>
  <si>
    <t>A.M</t>
  </si>
  <si>
    <t>Mes</t>
  </si>
  <si>
    <t xml:space="preserve">ENTIDAD     01  IDEAM            </t>
  </si>
  <si>
    <t xml:space="preserve">ELEVACION  1 m.s.n.m         </t>
  </si>
  <si>
    <t>MUNICIPIO  CARTAGENA</t>
  </si>
  <si>
    <t xml:space="preserve">LONGITUD   75°32 W               </t>
  </si>
  <si>
    <t>DEPTO      BOLIVAR</t>
  </si>
  <si>
    <t xml:space="preserve">LATITUD    10°23 N               </t>
  </si>
  <si>
    <t>ESTACION : 14015030  ESC NAVAL CIOH</t>
  </si>
  <si>
    <t xml:space="preserve">FECHA DE PROCESO :  2016/08/30                                                           </t>
  </si>
  <si>
    <t>CORRIENTE  MAR CARIBE</t>
  </si>
  <si>
    <t>VALORES TOTALES MENSUALES DE TEMPERATURA AIRE (°C)</t>
  </si>
  <si>
    <t>SST_Night</t>
  </si>
  <si>
    <t>SST_Day</t>
  </si>
  <si>
    <t>Year</t>
  </si>
  <si>
    <t>SST</t>
  </si>
  <si>
    <t>Month</t>
  </si>
  <si>
    <t>Y.M</t>
  </si>
  <si>
    <t>SST_Aqua</t>
  </si>
  <si>
    <t>sst_mean</t>
  </si>
  <si>
    <t>y.m</t>
  </si>
  <si>
    <t>month</t>
  </si>
  <si>
    <t>year</t>
  </si>
  <si>
    <t>degrees_east</t>
  </si>
  <si>
    <t>degrees_north</t>
  </si>
  <si>
    <t>sd</t>
  </si>
  <si>
    <t>°C</t>
  </si>
  <si>
    <t>HADISST (°C)</t>
  </si>
  <si>
    <t>M</t>
  </si>
  <si>
    <t>A</t>
  </si>
  <si>
    <t>longitude</t>
  </si>
  <si>
    <t>latitude</t>
  </si>
  <si>
    <t>SST (°C)</t>
  </si>
  <si>
    <t>AÑO</t>
  </si>
  <si>
    <t>Aqua</t>
  </si>
  <si>
    <t>Terra</t>
  </si>
  <si>
    <t>HadISST</t>
  </si>
  <si>
    <t>Aire</t>
  </si>
  <si>
    <t>DATOS DE GRILLA</t>
  </si>
  <si>
    <t>2015/03</t>
  </si>
  <si>
    <t>2014/12</t>
  </si>
  <si>
    <t>2014/03</t>
  </si>
  <si>
    <t>2013/11</t>
  </si>
  <si>
    <t>2013/05</t>
  </si>
  <si>
    <t>2013/03</t>
  </si>
  <si>
    <t>2012/08</t>
  </si>
  <si>
    <t>2012/03</t>
  </si>
  <si>
    <t>2011/11</t>
  </si>
  <si>
    <t>2011/06</t>
  </si>
  <si>
    <t>2011/05</t>
  </si>
  <si>
    <t>2010/11</t>
  </si>
  <si>
    <t>2010/09</t>
  </si>
  <si>
    <t>2010/06</t>
  </si>
  <si>
    <t>2010/04</t>
  </si>
  <si>
    <t>2009/08</t>
  </si>
  <si>
    <t>2009/04</t>
  </si>
  <si>
    <t>2008/03</t>
  </si>
  <si>
    <t>2007/11</t>
  </si>
  <si>
    <t>2007/03</t>
  </si>
  <si>
    <t>2006/11</t>
  </si>
  <si>
    <t>2004/10</t>
  </si>
  <si>
    <t>2004/09</t>
  </si>
  <si>
    <t>2004/07</t>
  </si>
  <si>
    <t>2003/10</t>
  </si>
  <si>
    <t>2003/07</t>
  </si>
  <si>
    <t>2002/10</t>
  </si>
  <si>
    <t>2002/04</t>
  </si>
  <si>
    <t>2001/10</t>
  </si>
  <si>
    <t>2001/09</t>
  </si>
  <si>
    <t>2001/05</t>
  </si>
  <si>
    <t>2000/02</t>
  </si>
  <si>
    <t>1997/10</t>
  </si>
  <si>
    <t>1997/06</t>
  </si>
  <si>
    <t>1997/04</t>
  </si>
  <si>
    <t>1997/02</t>
  </si>
  <si>
    <t>1996/10</t>
  </si>
  <si>
    <t>1996/09</t>
  </si>
  <si>
    <t>1996/07</t>
  </si>
  <si>
    <t>1996/04</t>
  </si>
  <si>
    <t>n</t>
  </si>
  <si>
    <t>Fecha</t>
  </si>
  <si>
    <t>Desviación ST</t>
  </si>
  <si>
    <t>Valor Promedio</t>
  </si>
  <si>
    <t>http://cinto.invemar.org.co/goos/</t>
  </si>
  <si>
    <r>
      <t>Estación:</t>
    </r>
    <r>
      <rPr>
        <sz val="14"/>
        <color rgb="FF000000"/>
        <rFont val="Times New Roman"/>
        <family val="1"/>
      </rPr>
      <t> C13003031 Desembocadura del Canal del Dique- 2 </t>
    </r>
  </si>
  <si>
    <r>
      <t>Variable:</t>
    </r>
    <r>
      <rPr>
        <sz val="14"/>
        <color rgb="FF000000"/>
        <rFont val="Times New Roman"/>
        <family val="1"/>
      </rPr>
      <t> Temperatura - ºC</t>
    </r>
  </si>
  <si>
    <t>SST_Terra</t>
  </si>
  <si>
    <t>SST_Terra_v2</t>
  </si>
  <si>
    <t>y.m.</t>
  </si>
  <si>
    <t>INVEMAR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</si>
</sst>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A]mmm\-yyyy;@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Lucida Sans Unicode"/>
      <family val="2"/>
    </font>
    <font>
      <b/>
      <sz val="9"/>
      <color rgb="FF000000"/>
      <name val="Lucida Sans Unicode"/>
      <family val="2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F4EE"/>
        <bgColor indexed="64"/>
      </patternFill>
    </fill>
    <fill>
      <patternFill patternType="solid">
        <fgColor rgb="FFEBE5D9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EBE5D9"/>
      </top>
      <bottom style="medium">
        <color rgb="FFEBE5D9"/>
      </bottom>
      <diagonal/>
    </border>
    <border>
      <left/>
      <right/>
      <top style="medium">
        <color rgb="FF523A0B"/>
      </top>
      <bottom style="medium">
        <color rgb="FF523A0B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2" fillId="2" borderId="0" xfId="0" applyFont="1" applyFill="1"/>
    <xf numFmtId="166" fontId="0" fillId="0" borderId="0" xfId="0" applyNumberFormat="1"/>
    <xf numFmtId="0" fontId="3" fillId="0" borderId="1" xfId="0" applyFont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2" fillId="5" borderId="0" xfId="0" applyFont="1" applyFill="1"/>
    <xf numFmtId="0" fontId="0" fillId="5" borderId="0" xfId="0" applyFill="1"/>
    <xf numFmtId="0" fontId="4" fillId="4" borderId="0" xfId="0" applyFont="1" applyFill="1" applyAlignment="1">
      <alignment horizontal="left" vertical="center" wrapText="1"/>
    </xf>
    <xf numFmtId="0" fontId="1" fillId="5" borderId="0" xfId="0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AirT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'Temp-aire'!$C$22:$C$741</c:f>
              <c:numCache>
                <c:formatCode>0.0</c:formatCode>
                <c:ptCount val="720"/>
                <c:pt idx="0">
                  <c:v>1953.99999998459</c:v>
                </c:pt>
                <c:pt idx="1">
                  <c:v>1954.0833333179501</c:v>
                </c:pt>
                <c:pt idx="2">
                  <c:v>1954.1666666513099</c:v>
                </c:pt>
                <c:pt idx="3">
                  <c:v>1954.24999998467</c:v>
                </c:pt>
                <c:pt idx="4">
                  <c:v>1954.3333333180301</c:v>
                </c:pt>
                <c:pt idx="5">
                  <c:v>1954.41666665139</c:v>
                </c:pt>
                <c:pt idx="6">
                  <c:v>1954.49999998475</c:v>
                </c:pt>
                <c:pt idx="7">
                  <c:v>1954.5833333181099</c:v>
                </c:pt>
                <c:pt idx="8">
                  <c:v>1954.66666665147</c:v>
                </c:pt>
                <c:pt idx="9">
                  <c:v>1954.7499999848301</c:v>
                </c:pt>
                <c:pt idx="10">
                  <c:v>1954.8333333181899</c:v>
                </c:pt>
                <c:pt idx="11">
                  <c:v>1954.91666665155</c:v>
                </c:pt>
                <c:pt idx="12">
                  <c:v>1954.9999999849099</c:v>
                </c:pt>
                <c:pt idx="13">
                  <c:v>1955.08333331827</c:v>
                </c:pt>
                <c:pt idx="14">
                  <c:v>1955.1666666516301</c:v>
                </c:pt>
                <c:pt idx="15">
                  <c:v>1955.2499999849899</c:v>
                </c:pt>
                <c:pt idx="16">
                  <c:v>1955.33333331835</c:v>
                </c:pt>
                <c:pt idx="17">
                  <c:v>1955.4166666517101</c:v>
                </c:pt>
                <c:pt idx="18">
                  <c:v>1955.49999998507</c:v>
                </c:pt>
                <c:pt idx="19">
                  <c:v>1955.58333331843</c:v>
                </c:pt>
                <c:pt idx="20">
                  <c:v>1955.6666666517899</c:v>
                </c:pt>
                <c:pt idx="21">
                  <c:v>1955.74999998515</c:v>
                </c:pt>
                <c:pt idx="22">
                  <c:v>1955.8333333185101</c:v>
                </c:pt>
                <c:pt idx="23">
                  <c:v>1955.9166666518699</c:v>
                </c:pt>
                <c:pt idx="24">
                  <c:v>1955.99999998523</c:v>
                </c:pt>
                <c:pt idx="25">
                  <c:v>1956.0833333185899</c:v>
                </c:pt>
                <c:pt idx="26">
                  <c:v>1956.16666665195</c:v>
                </c:pt>
                <c:pt idx="27">
                  <c:v>1956.2499999853101</c:v>
                </c:pt>
                <c:pt idx="28">
                  <c:v>1956.3333333186699</c:v>
                </c:pt>
                <c:pt idx="29">
                  <c:v>1956.41666665203</c:v>
                </c:pt>
                <c:pt idx="30">
                  <c:v>1956.4999999853901</c:v>
                </c:pt>
                <c:pt idx="31">
                  <c:v>1956.58333331875</c:v>
                </c:pt>
                <c:pt idx="32">
                  <c:v>1956.6666666521101</c:v>
                </c:pt>
                <c:pt idx="33">
                  <c:v>1956.7499999854699</c:v>
                </c:pt>
                <c:pt idx="34">
                  <c:v>1956.83333331883</c:v>
                </c:pt>
                <c:pt idx="35">
                  <c:v>1956.9166666521901</c:v>
                </c:pt>
                <c:pt idx="36">
                  <c:v>1956.9999999855499</c:v>
                </c:pt>
                <c:pt idx="37">
                  <c:v>1957.08333331891</c:v>
                </c:pt>
                <c:pt idx="38">
                  <c:v>1957.1666666522699</c:v>
                </c:pt>
                <c:pt idx="39">
                  <c:v>1957.24999998563</c:v>
                </c:pt>
                <c:pt idx="40">
                  <c:v>1957.3333333189901</c:v>
                </c:pt>
                <c:pt idx="41">
                  <c:v>1957.4166666523499</c:v>
                </c:pt>
                <c:pt idx="42">
                  <c:v>1957.49999998571</c:v>
                </c:pt>
                <c:pt idx="43">
                  <c:v>1957.5833333190701</c:v>
                </c:pt>
                <c:pt idx="44">
                  <c:v>1957.66666665243</c:v>
                </c:pt>
                <c:pt idx="45">
                  <c:v>1957.7499999857901</c:v>
                </c:pt>
                <c:pt idx="46">
                  <c:v>1957.8333333191499</c:v>
                </c:pt>
                <c:pt idx="47">
                  <c:v>1957.91666665251</c:v>
                </c:pt>
                <c:pt idx="48">
                  <c:v>1957.9999999858701</c:v>
                </c:pt>
                <c:pt idx="49">
                  <c:v>1958.08333331923</c:v>
                </c:pt>
                <c:pt idx="50">
                  <c:v>1958.16666665259</c:v>
                </c:pt>
                <c:pt idx="51">
                  <c:v>1958.2499999859499</c:v>
                </c:pt>
                <c:pt idx="52">
                  <c:v>1958.33333331931</c:v>
                </c:pt>
                <c:pt idx="53">
                  <c:v>1958.4166666526701</c:v>
                </c:pt>
                <c:pt idx="54">
                  <c:v>1958.4999999860299</c:v>
                </c:pt>
                <c:pt idx="55">
                  <c:v>1958.58333331939</c:v>
                </c:pt>
                <c:pt idx="56">
                  <c:v>1958.6666666527501</c:v>
                </c:pt>
                <c:pt idx="57">
                  <c:v>1958.74999998611</c:v>
                </c:pt>
                <c:pt idx="58">
                  <c:v>1958.8333333194701</c:v>
                </c:pt>
                <c:pt idx="59">
                  <c:v>1958.9166666528299</c:v>
                </c:pt>
                <c:pt idx="60">
                  <c:v>1958.99999998619</c:v>
                </c:pt>
                <c:pt idx="61">
                  <c:v>1959.0833333195501</c:v>
                </c:pt>
                <c:pt idx="62">
                  <c:v>1959.16666665291</c:v>
                </c:pt>
                <c:pt idx="63">
                  <c:v>1959.24999998628</c:v>
                </c:pt>
                <c:pt idx="64">
                  <c:v>1959.3333333196399</c:v>
                </c:pt>
                <c:pt idx="65">
                  <c:v>1959.416666653</c:v>
                </c:pt>
                <c:pt idx="66">
                  <c:v>1959.4999999863601</c:v>
                </c:pt>
                <c:pt idx="67">
                  <c:v>1959.5833333197199</c:v>
                </c:pt>
                <c:pt idx="68">
                  <c:v>1959.66666665308</c:v>
                </c:pt>
                <c:pt idx="69">
                  <c:v>1959.7499999864399</c:v>
                </c:pt>
                <c:pt idx="70">
                  <c:v>1959.8333333198</c:v>
                </c:pt>
                <c:pt idx="71">
                  <c:v>1959.9166666531601</c:v>
                </c:pt>
                <c:pt idx="72">
                  <c:v>1959.9999999865199</c:v>
                </c:pt>
                <c:pt idx="73">
                  <c:v>1960.08333331988</c:v>
                </c:pt>
                <c:pt idx="74">
                  <c:v>1960.1666666532401</c:v>
                </c:pt>
                <c:pt idx="75">
                  <c:v>1960.2499999866</c:v>
                </c:pt>
                <c:pt idx="76">
                  <c:v>1960.33333331996</c:v>
                </c:pt>
                <c:pt idx="77">
                  <c:v>1960.4166666533199</c:v>
                </c:pt>
                <c:pt idx="78">
                  <c:v>1960.49999998668</c:v>
                </c:pt>
                <c:pt idx="79">
                  <c:v>1960.5833333200401</c:v>
                </c:pt>
                <c:pt idx="80">
                  <c:v>1960.6666666533999</c:v>
                </c:pt>
                <c:pt idx="81">
                  <c:v>1960.74999998676</c:v>
                </c:pt>
                <c:pt idx="82">
                  <c:v>1960.8333333201199</c:v>
                </c:pt>
                <c:pt idx="83">
                  <c:v>1960.91666665348</c:v>
                </c:pt>
                <c:pt idx="84">
                  <c:v>1960.9999999868401</c:v>
                </c:pt>
                <c:pt idx="85">
                  <c:v>1961.0833333201999</c:v>
                </c:pt>
                <c:pt idx="86">
                  <c:v>1961.16666665356</c:v>
                </c:pt>
                <c:pt idx="87">
                  <c:v>1961.2499999869201</c:v>
                </c:pt>
                <c:pt idx="88">
                  <c:v>1961.33333332028</c:v>
                </c:pt>
                <c:pt idx="89">
                  <c:v>1961.41666665364</c:v>
                </c:pt>
                <c:pt idx="90">
                  <c:v>1961.4999999869999</c:v>
                </c:pt>
                <c:pt idx="91">
                  <c:v>1961.58333332036</c:v>
                </c:pt>
                <c:pt idx="92">
                  <c:v>1961.6666666537201</c:v>
                </c:pt>
                <c:pt idx="93">
                  <c:v>1961.7499999870799</c:v>
                </c:pt>
                <c:pt idx="94">
                  <c:v>1961.83333332044</c:v>
                </c:pt>
                <c:pt idx="95">
                  <c:v>1961.9166666537999</c:v>
                </c:pt>
                <c:pt idx="96">
                  <c:v>1961.99999998716</c:v>
                </c:pt>
                <c:pt idx="97">
                  <c:v>1962.0833333205201</c:v>
                </c:pt>
                <c:pt idx="98">
                  <c:v>1962.1666666538799</c:v>
                </c:pt>
                <c:pt idx="99">
                  <c:v>1962.24999998724</c:v>
                </c:pt>
                <c:pt idx="100">
                  <c:v>1962.3333333205999</c:v>
                </c:pt>
                <c:pt idx="101">
                  <c:v>1962.41666665396</c:v>
                </c:pt>
                <c:pt idx="102">
                  <c:v>1962.4999999873201</c:v>
                </c:pt>
                <c:pt idx="103">
                  <c:v>1962.5833333206799</c:v>
                </c:pt>
                <c:pt idx="104">
                  <c:v>1962.66666665404</c:v>
                </c:pt>
                <c:pt idx="105">
                  <c:v>1962.7499999874001</c:v>
                </c:pt>
                <c:pt idx="106">
                  <c:v>1962.8333333207599</c:v>
                </c:pt>
                <c:pt idx="107">
                  <c:v>1962.91666665412</c:v>
                </c:pt>
                <c:pt idx="108">
                  <c:v>1962.9999999874799</c:v>
                </c:pt>
                <c:pt idx="109">
                  <c:v>1963.08333332084</c:v>
                </c:pt>
                <c:pt idx="110">
                  <c:v>1963.1666666542001</c:v>
                </c:pt>
                <c:pt idx="111">
                  <c:v>1963.2499999875599</c:v>
                </c:pt>
                <c:pt idx="112">
                  <c:v>1963.33333332092</c:v>
                </c:pt>
                <c:pt idx="113">
                  <c:v>1963.4166666542801</c:v>
                </c:pt>
                <c:pt idx="114">
                  <c:v>1963.49999998764</c:v>
                </c:pt>
                <c:pt idx="115">
                  <c:v>1963.5833333210001</c:v>
                </c:pt>
                <c:pt idx="116">
                  <c:v>1963.6666666543599</c:v>
                </c:pt>
                <c:pt idx="117">
                  <c:v>1963.74999998772</c:v>
                </c:pt>
                <c:pt idx="118">
                  <c:v>1963.8333333210801</c:v>
                </c:pt>
                <c:pt idx="119">
                  <c:v>1963.91666665444</c:v>
                </c:pt>
                <c:pt idx="120">
                  <c:v>1963.9999999878</c:v>
                </c:pt>
                <c:pt idx="121">
                  <c:v>1964.0833333211599</c:v>
                </c:pt>
                <c:pt idx="122">
                  <c:v>1964.16666665452</c:v>
                </c:pt>
                <c:pt idx="123">
                  <c:v>1964.2499999878801</c:v>
                </c:pt>
                <c:pt idx="124">
                  <c:v>1964.3333333212399</c:v>
                </c:pt>
                <c:pt idx="125">
                  <c:v>1964.4166666546</c:v>
                </c:pt>
                <c:pt idx="126">
                  <c:v>1964.4999999879601</c:v>
                </c:pt>
                <c:pt idx="127">
                  <c:v>1964.58333332132</c:v>
                </c:pt>
                <c:pt idx="128">
                  <c:v>1964.6666666546801</c:v>
                </c:pt>
                <c:pt idx="129">
                  <c:v>1964.7499999880399</c:v>
                </c:pt>
                <c:pt idx="130">
                  <c:v>1964.8333333214</c:v>
                </c:pt>
                <c:pt idx="131">
                  <c:v>1964.9166666547601</c:v>
                </c:pt>
                <c:pt idx="132">
                  <c:v>1964.99999998812</c:v>
                </c:pt>
                <c:pt idx="133">
                  <c:v>1965.08333332148</c:v>
                </c:pt>
                <c:pt idx="134">
                  <c:v>1965.1666666548399</c:v>
                </c:pt>
                <c:pt idx="135">
                  <c:v>1965.2499999882</c:v>
                </c:pt>
                <c:pt idx="136">
                  <c:v>1965.3333333215601</c:v>
                </c:pt>
                <c:pt idx="137">
                  <c:v>1965.4166666549199</c:v>
                </c:pt>
                <c:pt idx="138">
                  <c:v>1965.49999998828</c:v>
                </c:pt>
                <c:pt idx="139">
                  <c:v>1965.5833333216401</c:v>
                </c:pt>
                <c:pt idx="140">
                  <c:v>1965.666666655</c:v>
                </c:pt>
                <c:pt idx="141">
                  <c:v>1965.7499999883601</c:v>
                </c:pt>
                <c:pt idx="142">
                  <c:v>1965.8333333217199</c:v>
                </c:pt>
                <c:pt idx="143">
                  <c:v>1965.91666665508</c:v>
                </c:pt>
                <c:pt idx="144">
                  <c:v>1965.9999999884401</c:v>
                </c:pt>
                <c:pt idx="145">
                  <c:v>1966.0833333218</c:v>
                </c:pt>
                <c:pt idx="146">
                  <c:v>1966.16666665516</c:v>
                </c:pt>
                <c:pt idx="147">
                  <c:v>1966.2499999885199</c:v>
                </c:pt>
                <c:pt idx="148">
                  <c:v>1966.33333332188</c:v>
                </c:pt>
                <c:pt idx="149">
                  <c:v>1966.4166666552401</c:v>
                </c:pt>
                <c:pt idx="150">
                  <c:v>1966.4999999885999</c:v>
                </c:pt>
                <c:pt idx="151">
                  <c:v>1966.58333332196</c:v>
                </c:pt>
                <c:pt idx="152">
                  <c:v>1966.6666666553199</c:v>
                </c:pt>
                <c:pt idx="153">
                  <c:v>1966.74999998868</c:v>
                </c:pt>
                <c:pt idx="154">
                  <c:v>1966.8333333220401</c:v>
                </c:pt>
                <c:pt idx="155">
                  <c:v>1966.9166666553999</c:v>
                </c:pt>
                <c:pt idx="156">
                  <c:v>1966.99999998876</c:v>
                </c:pt>
                <c:pt idx="157">
                  <c:v>1967.0833333221201</c:v>
                </c:pt>
                <c:pt idx="158">
                  <c:v>1967.16666665548</c:v>
                </c:pt>
                <c:pt idx="159">
                  <c:v>1967.24999998884</c:v>
                </c:pt>
                <c:pt idx="160">
                  <c:v>1967.3333333221999</c:v>
                </c:pt>
                <c:pt idx="161">
                  <c:v>1967.41666665556</c:v>
                </c:pt>
                <c:pt idx="162">
                  <c:v>1967.4999999889201</c:v>
                </c:pt>
                <c:pt idx="163">
                  <c:v>1967.5833333222799</c:v>
                </c:pt>
                <c:pt idx="164">
                  <c:v>1967.66666665564</c:v>
                </c:pt>
                <c:pt idx="165">
                  <c:v>1967.7499999889999</c:v>
                </c:pt>
                <c:pt idx="166">
                  <c:v>1967.83333332236</c:v>
                </c:pt>
                <c:pt idx="167">
                  <c:v>1967.9166666557201</c:v>
                </c:pt>
                <c:pt idx="168">
                  <c:v>1967.9999999890799</c:v>
                </c:pt>
                <c:pt idx="169">
                  <c:v>1968.08333332244</c:v>
                </c:pt>
                <c:pt idx="170">
                  <c:v>1968.1666666558001</c:v>
                </c:pt>
                <c:pt idx="171">
                  <c:v>1968.24999998916</c:v>
                </c:pt>
                <c:pt idx="172">
                  <c:v>1968.33333332252</c:v>
                </c:pt>
                <c:pt idx="173">
                  <c:v>1968.4166666558799</c:v>
                </c:pt>
                <c:pt idx="174">
                  <c:v>1968.49999998924</c:v>
                </c:pt>
                <c:pt idx="175">
                  <c:v>1968.5833333226001</c:v>
                </c:pt>
                <c:pt idx="176">
                  <c:v>1968.6666666559599</c:v>
                </c:pt>
                <c:pt idx="177">
                  <c:v>1968.74999998933</c:v>
                </c:pt>
                <c:pt idx="178">
                  <c:v>1968.8333333226899</c:v>
                </c:pt>
                <c:pt idx="179">
                  <c:v>1968.91666665605</c:v>
                </c:pt>
                <c:pt idx="180">
                  <c:v>1968.9999999894101</c:v>
                </c:pt>
                <c:pt idx="181">
                  <c:v>1969.0833333227699</c:v>
                </c:pt>
                <c:pt idx="182">
                  <c:v>1969.16666665613</c:v>
                </c:pt>
                <c:pt idx="183">
                  <c:v>1969.2499999894901</c:v>
                </c:pt>
                <c:pt idx="184">
                  <c:v>1969.33333332285</c:v>
                </c:pt>
                <c:pt idx="185">
                  <c:v>1969.4166666562101</c:v>
                </c:pt>
                <c:pt idx="186">
                  <c:v>1969.4999999895699</c:v>
                </c:pt>
                <c:pt idx="187">
                  <c:v>1969.58333332293</c:v>
                </c:pt>
                <c:pt idx="188">
                  <c:v>1969.6666666562901</c:v>
                </c:pt>
                <c:pt idx="189">
                  <c:v>1969.74999998965</c:v>
                </c:pt>
                <c:pt idx="190">
                  <c:v>1969.83333332301</c:v>
                </c:pt>
                <c:pt idx="191">
                  <c:v>1969.9166666563699</c:v>
                </c:pt>
                <c:pt idx="192">
                  <c:v>1969.99999998973</c:v>
                </c:pt>
                <c:pt idx="193">
                  <c:v>1970.0833333230901</c:v>
                </c:pt>
                <c:pt idx="194">
                  <c:v>1970.1666666564499</c:v>
                </c:pt>
                <c:pt idx="195">
                  <c:v>1970.24999998981</c:v>
                </c:pt>
                <c:pt idx="196">
                  <c:v>1970.3333333231701</c:v>
                </c:pt>
                <c:pt idx="197">
                  <c:v>1970.41666665653</c:v>
                </c:pt>
                <c:pt idx="198">
                  <c:v>1970.4999999898901</c:v>
                </c:pt>
                <c:pt idx="199">
                  <c:v>1970.5833333232499</c:v>
                </c:pt>
                <c:pt idx="200">
                  <c:v>1970.66666665661</c:v>
                </c:pt>
                <c:pt idx="201">
                  <c:v>1970.7499999899701</c:v>
                </c:pt>
                <c:pt idx="202">
                  <c:v>1970.83333332333</c:v>
                </c:pt>
                <c:pt idx="203">
                  <c:v>1970.91666665669</c:v>
                </c:pt>
                <c:pt idx="204">
                  <c:v>1970.9999999900499</c:v>
                </c:pt>
                <c:pt idx="205">
                  <c:v>1971.08333332341</c:v>
                </c:pt>
                <c:pt idx="206">
                  <c:v>1971.1666666567701</c:v>
                </c:pt>
                <c:pt idx="207">
                  <c:v>1971.2499999901299</c:v>
                </c:pt>
                <c:pt idx="208">
                  <c:v>1971.33333332349</c:v>
                </c:pt>
                <c:pt idx="209">
                  <c:v>1971.4166666568501</c:v>
                </c:pt>
                <c:pt idx="210">
                  <c:v>1971.49999999021</c:v>
                </c:pt>
                <c:pt idx="211">
                  <c:v>1971.5833333235701</c:v>
                </c:pt>
                <c:pt idx="212">
                  <c:v>1971.6666666569299</c:v>
                </c:pt>
                <c:pt idx="213">
                  <c:v>1971.74999999029</c:v>
                </c:pt>
                <c:pt idx="214">
                  <c:v>1971.8333333236501</c:v>
                </c:pt>
                <c:pt idx="215">
                  <c:v>1971.91666665701</c:v>
                </c:pt>
                <c:pt idx="216">
                  <c:v>1971.99999999037</c:v>
                </c:pt>
                <c:pt idx="217">
                  <c:v>1972.0833333237299</c:v>
                </c:pt>
                <c:pt idx="218">
                  <c:v>1972.16666665709</c:v>
                </c:pt>
                <c:pt idx="219">
                  <c:v>1972.2499999904501</c:v>
                </c:pt>
                <c:pt idx="220">
                  <c:v>1972.3333333238099</c:v>
                </c:pt>
                <c:pt idx="221">
                  <c:v>1972.41666665717</c:v>
                </c:pt>
                <c:pt idx="222">
                  <c:v>1972.4999999905299</c:v>
                </c:pt>
                <c:pt idx="223">
                  <c:v>1972.58333332389</c:v>
                </c:pt>
                <c:pt idx="224">
                  <c:v>1972.6666666572501</c:v>
                </c:pt>
                <c:pt idx="225">
                  <c:v>1972.7499999906099</c:v>
                </c:pt>
                <c:pt idx="226">
                  <c:v>1972.83333332397</c:v>
                </c:pt>
                <c:pt idx="227">
                  <c:v>1972.9166666573301</c:v>
                </c:pt>
                <c:pt idx="228">
                  <c:v>1972.99999999069</c:v>
                </c:pt>
                <c:pt idx="229">
                  <c:v>1973.08333332405</c:v>
                </c:pt>
                <c:pt idx="230">
                  <c:v>1973.1666666574099</c:v>
                </c:pt>
                <c:pt idx="231">
                  <c:v>1973.24999999077</c:v>
                </c:pt>
                <c:pt idx="232">
                  <c:v>1973.3333333241301</c:v>
                </c:pt>
                <c:pt idx="233">
                  <c:v>1973.4166666574899</c:v>
                </c:pt>
                <c:pt idx="234">
                  <c:v>1973.49999999085</c:v>
                </c:pt>
                <c:pt idx="235">
                  <c:v>1973.5833333242099</c:v>
                </c:pt>
                <c:pt idx="236">
                  <c:v>1973.66666665757</c:v>
                </c:pt>
                <c:pt idx="237">
                  <c:v>1973.7499999909301</c:v>
                </c:pt>
                <c:pt idx="238">
                  <c:v>1973.8333333242899</c:v>
                </c:pt>
                <c:pt idx="239">
                  <c:v>1973.91666665765</c:v>
                </c:pt>
                <c:pt idx="240">
                  <c:v>1973.9999999910101</c:v>
                </c:pt>
                <c:pt idx="241">
                  <c:v>1974.08333332437</c:v>
                </c:pt>
                <c:pt idx="242">
                  <c:v>1974.16666665773</c:v>
                </c:pt>
                <c:pt idx="243">
                  <c:v>1974.2499999910899</c:v>
                </c:pt>
                <c:pt idx="244">
                  <c:v>1974.33333332445</c:v>
                </c:pt>
                <c:pt idx="245">
                  <c:v>1974.4166666578101</c:v>
                </c:pt>
                <c:pt idx="246">
                  <c:v>1974.4999999911699</c:v>
                </c:pt>
                <c:pt idx="247">
                  <c:v>1974.58333332453</c:v>
                </c:pt>
                <c:pt idx="248">
                  <c:v>1974.6666666578899</c:v>
                </c:pt>
                <c:pt idx="249">
                  <c:v>1974.74999999125</c:v>
                </c:pt>
                <c:pt idx="250">
                  <c:v>1974.8333333246101</c:v>
                </c:pt>
                <c:pt idx="251">
                  <c:v>1974.9166666579699</c:v>
                </c:pt>
                <c:pt idx="252">
                  <c:v>1974.99999999133</c:v>
                </c:pt>
                <c:pt idx="253">
                  <c:v>1975.0833333246901</c:v>
                </c:pt>
                <c:pt idx="254">
                  <c:v>1975.16666665805</c:v>
                </c:pt>
                <c:pt idx="255">
                  <c:v>1975.24999999141</c:v>
                </c:pt>
                <c:pt idx="256">
                  <c:v>1975.3333333247699</c:v>
                </c:pt>
                <c:pt idx="257">
                  <c:v>1975.41666665813</c:v>
                </c:pt>
                <c:pt idx="258">
                  <c:v>1975.4999999914901</c:v>
                </c:pt>
                <c:pt idx="259">
                  <c:v>1975.5833333248499</c:v>
                </c:pt>
                <c:pt idx="260">
                  <c:v>1975.66666665821</c:v>
                </c:pt>
                <c:pt idx="261">
                  <c:v>1975.7499999915699</c:v>
                </c:pt>
                <c:pt idx="262">
                  <c:v>1975.83333332493</c:v>
                </c:pt>
                <c:pt idx="263">
                  <c:v>1975.9166666582901</c:v>
                </c:pt>
                <c:pt idx="264">
                  <c:v>1975.9999999916499</c:v>
                </c:pt>
                <c:pt idx="265">
                  <c:v>1976.08333332501</c:v>
                </c:pt>
                <c:pt idx="266">
                  <c:v>1976.1666666583701</c:v>
                </c:pt>
                <c:pt idx="267">
                  <c:v>1976.24999999173</c:v>
                </c:pt>
                <c:pt idx="268">
                  <c:v>1976.3333333250901</c:v>
                </c:pt>
                <c:pt idx="269">
                  <c:v>1976.4166666584499</c:v>
                </c:pt>
                <c:pt idx="270">
                  <c:v>1976.49999999181</c:v>
                </c:pt>
                <c:pt idx="271">
                  <c:v>1976.5833333251701</c:v>
                </c:pt>
                <c:pt idx="272">
                  <c:v>1976.6666666585299</c:v>
                </c:pt>
                <c:pt idx="273">
                  <c:v>1976.74999999189</c:v>
                </c:pt>
                <c:pt idx="274">
                  <c:v>1976.8333333252499</c:v>
                </c:pt>
                <c:pt idx="275">
                  <c:v>1976.91666665861</c:v>
                </c:pt>
                <c:pt idx="276">
                  <c:v>1976.9999999919701</c:v>
                </c:pt>
                <c:pt idx="277">
                  <c:v>1977.0833333253299</c:v>
                </c:pt>
                <c:pt idx="278">
                  <c:v>1977.16666665869</c:v>
                </c:pt>
                <c:pt idx="279">
                  <c:v>1977.2499999920501</c:v>
                </c:pt>
                <c:pt idx="280">
                  <c:v>1977.33333332541</c:v>
                </c:pt>
                <c:pt idx="281">
                  <c:v>1977.4166666587701</c:v>
                </c:pt>
                <c:pt idx="282">
                  <c:v>1977.4999999921299</c:v>
                </c:pt>
                <c:pt idx="283">
                  <c:v>1977.58333332549</c:v>
                </c:pt>
                <c:pt idx="284">
                  <c:v>1977.6666666588501</c:v>
                </c:pt>
                <c:pt idx="285">
                  <c:v>1977.74999999221</c:v>
                </c:pt>
                <c:pt idx="286">
                  <c:v>1977.83333332557</c:v>
                </c:pt>
                <c:pt idx="287">
                  <c:v>1977.9166666589297</c:v>
                </c:pt>
                <c:pt idx="288">
                  <c:v>1977.99999999229</c:v>
                </c:pt>
                <c:pt idx="289">
                  <c:v>1978.0833333256503</c:v>
                </c:pt>
                <c:pt idx="290">
                  <c:v>1978.1666666590106</c:v>
                </c:pt>
                <c:pt idx="291">
                  <c:v>1978.2499999923707</c:v>
                </c:pt>
                <c:pt idx="292">
                  <c:v>1978.333333325731</c:v>
                </c:pt>
                <c:pt idx="293">
                  <c:v>1978.4166666590913</c:v>
                </c:pt>
                <c:pt idx="294">
                  <c:v>1978.4999999924516</c:v>
                </c:pt>
                <c:pt idx="295">
                  <c:v>1978.583333325812</c:v>
                </c:pt>
                <c:pt idx="296">
                  <c:v>1978.6666666591721</c:v>
                </c:pt>
                <c:pt idx="297">
                  <c:v>1978.7499999925324</c:v>
                </c:pt>
                <c:pt idx="298">
                  <c:v>1978.8333333258927</c:v>
                </c:pt>
                <c:pt idx="299">
                  <c:v>1978.916666659253</c:v>
                </c:pt>
                <c:pt idx="300">
                  <c:v>1978.9999999926133</c:v>
                </c:pt>
                <c:pt idx="301">
                  <c:v>1979.0833333259736</c:v>
                </c:pt>
                <c:pt idx="302">
                  <c:v>1979.1666666593337</c:v>
                </c:pt>
                <c:pt idx="303">
                  <c:v>1979.249999992694</c:v>
                </c:pt>
                <c:pt idx="304">
                  <c:v>1979.3333333260543</c:v>
                </c:pt>
                <c:pt idx="305">
                  <c:v>1979.4166666594147</c:v>
                </c:pt>
                <c:pt idx="306">
                  <c:v>1979.499999992775</c:v>
                </c:pt>
                <c:pt idx="307">
                  <c:v>1979.5833333261351</c:v>
                </c:pt>
                <c:pt idx="308">
                  <c:v>1979.6666666594954</c:v>
                </c:pt>
                <c:pt idx="309">
                  <c:v>1979.7499999928557</c:v>
                </c:pt>
                <c:pt idx="310">
                  <c:v>1979.833333326216</c:v>
                </c:pt>
                <c:pt idx="311">
                  <c:v>1979.9166666595763</c:v>
                </c:pt>
                <c:pt idx="312">
                  <c:v>1979.9999999929364</c:v>
                </c:pt>
                <c:pt idx="313">
                  <c:v>1980.0833333262967</c:v>
                </c:pt>
                <c:pt idx="314">
                  <c:v>1980.166666659657</c:v>
                </c:pt>
                <c:pt idx="315">
                  <c:v>1980.2499999930174</c:v>
                </c:pt>
                <c:pt idx="316">
                  <c:v>1980.3333333263777</c:v>
                </c:pt>
                <c:pt idx="317">
                  <c:v>1980.416666659738</c:v>
                </c:pt>
                <c:pt idx="318">
                  <c:v>1980.4999999930981</c:v>
                </c:pt>
                <c:pt idx="319">
                  <c:v>1980.5833333264584</c:v>
                </c:pt>
                <c:pt idx="320">
                  <c:v>1980.6666666598187</c:v>
                </c:pt>
                <c:pt idx="321">
                  <c:v>1980.749999993179</c:v>
                </c:pt>
                <c:pt idx="322">
                  <c:v>1980.8333333265393</c:v>
                </c:pt>
                <c:pt idx="323">
                  <c:v>1980.9166666598994</c:v>
                </c:pt>
                <c:pt idx="324">
                  <c:v>1980.9999999932597</c:v>
                </c:pt>
                <c:pt idx="325">
                  <c:v>1981.08333332662</c:v>
                </c:pt>
                <c:pt idx="326">
                  <c:v>1981.1666666599799</c:v>
                </c:pt>
                <c:pt idx="327">
                  <c:v>1981.24999999334</c:v>
                </c:pt>
                <c:pt idx="328">
                  <c:v>1981.3333333267001</c:v>
                </c:pt>
                <c:pt idx="329">
                  <c:v>1981.4166666600599</c:v>
                </c:pt>
                <c:pt idx="330">
                  <c:v>1981.49999999342</c:v>
                </c:pt>
                <c:pt idx="331">
                  <c:v>1981.5833333267799</c:v>
                </c:pt>
                <c:pt idx="332">
                  <c:v>1981.66666666014</c:v>
                </c:pt>
                <c:pt idx="333">
                  <c:v>1981.7499999935001</c:v>
                </c:pt>
                <c:pt idx="334">
                  <c:v>1981.8333333268599</c:v>
                </c:pt>
                <c:pt idx="335">
                  <c:v>1981.91666666022</c:v>
                </c:pt>
                <c:pt idx="336">
                  <c:v>1981.9999999935801</c:v>
                </c:pt>
                <c:pt idx="337">
                  <c:v>1982.08333332694</c:v>
                </c:pt>
                <c:pt idx="338">
                  <c:v>1982.1666666603001</c:v>
                </c:pt>
                <c:pt idx="339">
                  <c:v>1982.2499999936599</c:v>
                </c:pt>
                <c:pt idx="340">
                  <c:v>1982.33333332702</c:v>
                </c:pt>
                <c:pt idx="341">
                  <c:v>1982.4166666603801</c:v>
                </c:pt>
                <c:pt idx="342">
                  <c:v>1982.4999999937399</c:v>
                </c:pt>
                <c:pt idx="343">
                  <c:v>1982.5833333271</c:v>
                </c:pt>
                <c:pt idx="344">
                  <c:v>1982.6666666604599</c:v>
                </c:pt>
                <c:pt idx="345">
                  <c:v>1982.74999999382</c:v>
                </c:pt>
                <c:pt idx="346">
                  <c:v>1982.8333333271801</c:v>
                </c:pt>
                <c:pt idx="347">
                  <c:v>1982.9166666605399</c:v>
                </c:pt>
                <c:pt idx="348">
                  <c:v>1982.9999999939</c:v>
                </c:pt>
                <c:pt idx="349">
                  <c:v>1983.0833333272601</c:v>
                </c:pt>
                <c:pt idx="350">
                  <c:v>1983.16666666062</c:v>
                </c:pt>
                <c:pt idx="351">
                  <c:v>1983.2499999939801</c:v>
                </c:pt>
                <c:pt idx="352">
                  <c:v>1983.3333333273399</c:v>
                </c:pt>
                <c:pt idx="353">
                  <c:v>1983.4166666607</c:v>
                </c:pt>
                <c:pt idx="354">
                  <c:v>1983.4999999940601</c:v>
                </c:pt>
                <c:pt idx="355">
                  <c:v>1983.58333332742</c:v>
                </c:pt>
                <c:pt idx="356">
                  <c:v>1983.66666666078</c:v>
                </c:pt>
                <c:pt idx="357">
                  <c:v>1983.7499999941399</c:v>
                </c:pt>
                <c:pt idx="358">
                  <c:v>1983.8333333275</c:v>
                </c:pt>
                <c:pt idx="359">
                  <c:v>1983.9166666608601</c:v>
                </c:pt>
                <c:pt idx="360">
                  <c:v>1983.9999999942199</c:v>
                </c:pt>
                <c:pt idx="361">
                  <c:v>1984.08333332758</c:v>
                </c:pt>
                <c:pt idx="362">
                  <c:v>1984.1666666609401</c:v>
                </c:pt>
                <c:pt idx="363">
                  <c:v>1984.2499999943</c:v>
                </c:pt>
                <c:pt idx="364">
                  <c:v>1984.3333333276601</c:v>
                </c:pt>
                <c:pt idx="365">
                  <c:v>1984.4166666610199</c:v>
                </c:pt>
                <c:pt idx="366">
                  <c:v>1984.49999999438</c:v>
                </c:pt>
                <c:pt idx="367">
                  <c:v>1984.5833333277401</c:v>
                </c:pt>
                <c:pt idx="368">
                  <c:v>1984.6666666611</c:v>
                </c:pt>
                <c:pt idx="369">
                  <c:v>1984.74999999446</c:v>
                </c:pt>
                <c:pt idx="370">
                  <c:v>1984.8333333278199</c:v>
                </c:pt>
                <c:pt idx="371">
                  <c:v>1984.91666666118</c:v>
                </c:pt>
                <c:pt idx="372">
                  <c:v>1984.9999999945401</c:v>
                </c:pt>
                <c:pt idx="373">
                  <c:v>1985.0833333278999</c:v>
                </c:pt>
                <c:pt idx="374">
                  <c:v>1985.16666666126</c:v>
                </c:pt>
                <c:pt idx="375">
                  <c:v>1985.2499999946201</c:v>
                </c:pt>
                <c:pt idx="376">
                  <c:v>1985.33333332798</c:v>
                </c:pt>
                <c:pt idx="377">
                  <c:v>1985.4166666613401</c:v>
                </c:pt>
                <c:pt idx="378">
                  <c:v>1985.4999999946999</c:v>
                </c:pt>
                <c:pt idx="379">
                  <c:v>1985.58333332806</c:v>
                </c:pt>
                <c:pt idx="380">
                  <c:v>1985.6666666614201</c:v>
                </c:pt>
                <c:pt idx="381">
                  <c:v>1985.74999999478</c:v>
                </c:pt>
                <c:pt idx="382">
                  <c:v>1985.83333332814</c:v>
                </c:pt>
                <c:pt idx="383">
                  <c:v>1985.9166666614999</c:v>
                </c:pt>
                <c:pt idx="384">
                  <c:v>1985.99999999486</c:v>
                </c:pt>
                <c:pt idx="385">
                  <c:v>1986.0833333282201</c:v>
                </c:pt>
                <c:pt idx="386">
                  <c:v>1986.1666666615799</c:v>
                </c:pt>
                <c:pt idx="387">
                  <c:v>1986.24999999494</c:v>
                </c:pt>
                <c:pt idx="388">
                  <c:v>1986.3333333282999</c:v>
                </c:pt>
                <c:pt idx="389">
                  <c:v>1986.41666666166</c:v>
                </c:pt>
                <c:pt idx="390">
                  <c:v>1986.4999999950201</c:v>
                </c:pt>
                <c:pt idx="391">
                  <c:v>1986.5833333283799</c:v>
                </c:pt>
                <c:pt idx="392">
                  <c:v>1986.66666666174</c:v>
                </c:pt>
                <c:pt idx="393">
                  <c:v>1986.7499999951001</c:v>
                </c:pt>
                <c:pt idx="394">
                  <c:v>1986.83333332846</c:v>
                </c:pt>
                <c:pt idx="395">
                  <c:v>1986.91666666182</c:v>
                </c:pt>
                <c:pt idx="396">
                  <c:v>1986.9999999951799</c:v>
                </c:pt>
                <c:pt idx="397">
                  <c:v>1987.08333332854</c:v>
                </c:pt>
                <c:pt idx="398">
                  <c:v>1987.1666666619001</c:v>
                </c:pt>
                <c:pt idx="399">
                  <c:v>1987.2499999952599</c:v>
                </c:pt>
                <c:pt idx="400">
                  <c:v>1987.33333332862</c:v>
                </c:pt>
                <c:pt idx="401">
                  <c:v>1987.4166666619799</c:v>
                </c:pt>
                <c:pt idx="402">
                  <c:v>1987.49999999534</c:v>
                </c:pt>
                <c:pt idx="403">
                  <c:v>1987.5833333287001</c:v>
                </c:pt>
                <c:pt idx="404">
                  <c:v>1987.6666666620599</c:v>
                </c:pt>
                <c:pt idx="405">
                  <c:v>1987.74999999543</c:v>
                </c:pt>
                <c:pt idx="406">
                  <c:v>1987.8333333287901</c:v>
                </c:pt>
                <c:pt idx="407">
                  <c:v>1987.9166666621497</c:v>
                </c:pt>
                <c:pt idx="408">
                  <c:v>1987.9999999955098</c:v>
                </c:pt>
                <c:pt idx="409">
                  <c:v>1988.0833333288699</c:v>
                </c:pt>
                <c:pt idx="410">
                  <c:v>1988.1666666622298</c:v>
                </c:pt>
                <c:pt idx="411">
                  <c:v>1988.2499999955899</c:v>
                </c:pt>
                <c:pt idx="412">
                  <c:v>1988.3333333289497</c:v>
                </c:pt>
                <c:pt idx="413">
                  <c:v>1988.4166666623098</c:v>
                </c:pt>
                <c:pt idx="414">
                  <c:v>1988.4999999956699</c:v>
                </c:pt>
                <c:pt idx="415">
                  <c:v>1988.5833333290298</c:v>
                </c:pt>
                <c:pt idx="416">
                  <c:v>1988.6666666623898</c:v>
                </c:pt>
                <c:pt idx="417">
                  <c:v>1988.7499999957499</c:v>
                </c:pt>
                <c:pt idx="418">
                  <c:v>1988.8333333291098</c:v>
                </c:pt>
                <c:pt idx="419">
                  <c:v>1988.9166666624699</c:v>
                </c:pt>
                <c:pt idx="420">
                  <c:v>1988.9999999958297</c:v>
                </c:pt>
                <c:pt idx="421">
                  <c:v>1989.0833333291898</c:v>
                </c:pt>
                <c:pt idx="422">
                  <c:v>1989.1666666625499</c:v>
                </c:pt>
                <c:pt idx="423">
                  <c:v>1989.2499999959098</c:v>
                </c:pt>
                <c:pt idx="424">
                  <c:v>1989.3333333292699</c:v>
                </c:pt>
                <c:pt idx="425">
                  <c:v>1989.41666666263</c:v>
                </c:pt>
                <c:pt idx="426">
                  <c:v>1989.4999999959898</c:v>
                </c:pt>
                <c:pt idx="427">
                  <c:v>1989.5833333293499</c:v>
                </c:pt>
                <c:pt idx="428">
                  <c:v>1989.6666666627098</c:v>
                </c:pt>
                <c:pt idx="429">
                  <c:v>1989.7499999960698</c:v>
                </c:pt>
                <c:pt idx="430">
                  <c:v>1989.8333333294299</c:v>
                </c:pt>
                <c:pt idx="431">
                  <c:v>1989.9166666627898</c:v>
                </c:pt>
                <c:pt idx="432">
                  <c:v>1989.9999999961499</c:v>
                </c:pt>
                <c:pt idx="433">
                  <c:v>1990.08333332951</c:v>
                </c:pt>
                <c:pt idx="434">
                  <c:v>1990.1666666628698</c:v>
                </c:pt>
                <c:pt idx="435">
                  <c:v>1990.2499999962299</c:v>
                </c:pt>
                <c:pt idx="436">
                  <c:v>1990.3333333295898</c:v>
                </c:pt>
                <c:pt idx="437">
                  <c:v>1990.4166666629499</c:v>
                </c:pt>
                <c:pt idx="438">
                  <c:v>1990.49999999631</c:v>
                </c:pt>
                <c:pt idx="439">
                  <c:v>1990.5833333296698</c:v>
                </c:pt>
                <c:pt idx="440">
                  <c:v>1990.6666666630299</c:v>
                </c:pt>
                <c:pt idx="441">
                  <c:v>1990.74999999639</c:v>
                </c:pt>
                <c:pt idx="442">
                  <c:v>1990.8333333297498</c:v>
                </c:pt>
                <c:pt idx="443">
                  <c:v>1990.9166666631099</c:v>
                </c:pt>
                <c:pt idx="444">
                  <c:v>1990.9999999964698</c:v>
                </c:pt>
                <c:pt idx="445">
                  <c:v>1991.0833333298301</c:v>
                </c:pt>
                <c:pt idx="446">
                  <c:v>1991.16666666319</c:v>
                </c:pt>
                <c:pt idx="447">
                  <c:v>1991.2499999965501</c:v>
                </c:pt>
                <c:pt idx="448">
                  <c:v>1991.3333333299099</c:v>
                </c:pt>
                <c:pt idx="449">
                  <c:v>1991.41666666327</c:v>
                </c:pt>
                <c:pt idx="450">
                  <c:v>1991.4999999966301</c:v>
                </c:pt>
                <c:pt idx="451">
                  <c:v>1991.58333332999</c:v>
                </c:pt>
                <c:pt idx="452">
                  <c:v>1991.66666666335</c:v>
                </c:pt>
                <c:pt idx="453">
                  <c:v>1991.7499999967099</c:v>
                </c:pt>
                <c:pt idx="454">
                  <c:v>1991.83333333007</c:v>
                </c:pt>
                <c:pt idx="455">
                  <c:v>1991.9166666634301</c:v>
                </c:pt>
                <c:pt idx="456">
                  <c:v>1991.9999999967899</c:v>
                </c:pt>
                <c:pt idx="457">
                  <c:v>1992.08333333015</c:v>
                </c:pt>
                <c:pt idx="458">
                  <c:v>1992.1666666635101</c:v>
                </c:pt>
                <c:pt idx="459">
                  <c:v>1992.24999999687</c:v>
                </c:pt>
                <c:pt idx="460">
                  <c:v>1992.3333333302301</c:v>
                </c:pt>
                <c:pt idx="461">
                  <c:v>1992.4166666635899</c:v>
                </c:pt>
                <c:pt idx="462">
                  <c:v>1992.49999999695</c:v>
                </c:pt>
                <c:pt idx="463">
                  <c:v>1992.5833333303101</c:v>
                </c:pt>
                <c:pt idx="464">
                  <c:v>1992.66666666367</c:v>
                </c:pt>
                <c:pt idx="465">
                  <c:v>1992.74999999703</c:v>
                </c:pt>
                <c:pt idx="466">
                  <c:v>1992.8333333303899</c:v>
                </c:pt>
                <c:pt idx="467">
                  <c:v>1992.91666666375</c:v>
                </c:pt>
                <c:pt idx="468">
                  <c:v>1992.9999999971101</c:v>
                </c:pt>
                <c:pt idx="469">
                  <c:v>1993.0833333304699</c:v>
                </c:pt>
                <c:pt idx="470">
                  <c:v>1993.16666666383</c:v>
                </c:pt>
                <c:pt idx="471">
                  <c:v>1993.2499999971899</c:v>
                </c:pt>
                <c:pt idx="472">
                  <c:v>1993.33333333055</c:v>
                </c:pt>
                <c:pt idx="473">
                  <c:v>1993.4166666639101</c:v>
                </c:pt>
                <c:pt idx="474">
                  <c:v>1993.4999999972699</c:v>
                </c:pt>
                <c:pt idx="475">
                  <c:v>1993.58333333063</c:v>
                </c:pt>
                <c:pt idx="476">
                  <c:v>1993.6666666639901</c:v>
                </c:pt>
                <c:pt idx="477">
                  <c:v>1993.74999999735</c:v>
                </c:pt>
                <c:pt idx="478">
                  <c:v>1993.83333333071</c:v>
                </c:pt>
                <c:pt idx="479">
                  <c:v>1993.9166666640699</c:v>
                </c:pt>
                <c:pt idx="480">
                  <c:v>1993.99999999743</c:v>
                </c:pt>
                <c:pt idx="481">
                  <c:v>1994.0833333307901</c:v>
                </c:pt>
                <c:pt idx="482">
                  <c:v>1994.1666666641499</c:v>
                </c:pt>
                <c:pt idx="483">
                  <c:v>1994.24999999751</c:v>
                </c:pt>
                <c:pt idx="484">
                  <c:v>1994.3333333308699</c:v>
                </c:pt>
                <c:pt idx="485">
                  <c:v>1994.41666666423</c:v>
                </c:pt>
                <c:pt idx="486">
                  <c:v>1994.4999999975901</c:v>
                </c:pt>
                <c:pt idx="487">
                  <c:v>1994.5833333309499</c:v>
                </c:pt>
                <c:pt idx="488">
                  <c:v>1994.66666666431</c:v>
                </c:pt>
                <c:pt idx="489">
                  <c:v>1994.7499999976701</c:v>
                </c:pt>
                <c:pt idx="490">
                  <c:v>1994.83333333103</c:v>
                </c:pt>
                <c:pt idx="491">
                  <c:v>1994.91666666439</c:v>
                </c:pt>
                <c:pt idx="492">
                  <c:v>1994.9999999977499</c:v>
                </c:pt>
                <c:pt idx="493">
                  <c:v>1995.08333333111</c:v>
                </c:pt>
                <c:pt idx="494">
                  <c:v>1995.1666666644701</c:v>
                </c:pt>
                <c:pt idx="495">
                  <c:v>1995.2499999978299</c:v>
                </c:pt>
                <c:pt idx="496">
                  <c:v>1995.33333333119</c:v>
                </c:pt>
                <c:pt idx="497">
                  <c:v>1995.4166666645499</c:v>
                </c:pt>
                <c:pt idx="498">
                  <c:v>1995.49999999791</c:v>
                </c:pt>
                <c:pt idx="499">
                  <c:v>1995.5833333312701</c:v>
                </c:pt>
                <c:pt idx="500">
                  <c:v>1995.6666666646299</c:v>
                </c:pt>
                <c:pt idx="501">
                  <c:v>1995.74999999799</c:v>
                </c:pt>
                <c:pt idx="502">
                  <c:v>1995.8333333313501</c:v>
                </c:pt>
                <c:pt idx="503">
                  <c:v>1995.91666666471</c:v>
                </c:pt>
                <c:pt idx="504">
                  <c:v>1995.9999999980701</c:v>
                </c:pt>
                <c:pt idx="505">
                  <c:v>1996.0833333314299</c:v>
                </c:pt>
                <c:pt idx="506">
                  <c:v>1996.16666666479</c:v>
                </c:pt>
                <c:pt idx="507">
                  <c:v>1996.2499999981501</c:v>
                </c:pt>
                <c:pt idx="508">
                  <c:v>1996.3333333315099</c:v>
                </c:pt>
                <c:pt idx="509">
                  <c:v>1996.41666666487</c:v>
                </c:pt>
                <c:pt idx="510">
                  <c:v>1996.4999999982299</c:v>
                </c:pt>
                <c:pt idx="511">
                  <c:v>1996.58333333159</c:v>
                </c:pt>
                <c:pt idx="512">
                  <c:v>1996.6666666649501</c:v>
                </c:pt>
                <c:pt idx="513">
                  <c:v>1996.7499999983099</c:v>
                </c:pt>
                <c:pt idx="514">
                  <c:v>1996.83333333167</c:v>
                </c:pt>
                <c:pt idx="515">
                  <c:v>1996.9166666650301</c:v>
                </c:pt>
                <c:pt idx="516">
                  <c:v>1996.99999999839</c:v>
                </c:pt>
                <c:pt idx="517">
                  <c:v>1997.0833333317501</c:v>
                </c:pt>
                <c:pt idx="518">
                  <c:v>1997.1666666651099</c:v>
                </c:pt>
                <c:pt idx="519">
                  <c:v>1997.24999999848</c:v>
                </c:pt>
                <c:pt idx="520">
                  <c:v>1997.3333333318401</c:v>
                </c:pt>
                <c:pt idx="521">
                  <c:v>1997.4166666652</c:v>
                </c:pt>
                <c:pt idx="522">
                  <c:v>1997.49999999856</c:v>
                </c:pt>
                <c:pt idx="523">
                  <c:v>1997.5833333319199</c:v>
                </c:pt>
                <c:pt idx="524">
                  <c:v>1997.66666666528</c:v>
                </c:pt>
                <c:pt idx="525">
                  <c:v>1997.7499999986401</c:v>
                </c:pt>
                <c:pt idx="526">
                  <c:v>1997.8333333319999</c:v>
                </c:pt>
                <c:pt idx="527">
                  <c:v>1997.91666666536</c:v>
                </c:pt>
                <c:pt idx="528">
                  <c:v>1997.9999999987201</c:v>
                </c:pt>
                <c:pt idx="529">
                  <c:v>1998.08333333208</c:v>
                </c:pt>
                <c:pt idx="530">
                  <c:v>1998.1666666654401</c:v>
                </c:pt>
                <c:pt idx="531">
                  <c:v>1998.2499999987999</c:v>
                </c:pt>
                <c:pt idx="532">
                  <c:v>1998.33333333216</c:v>
                </c:pt>
                <c:pt idx="533">
                  <c:v>1998.4166666655201</c:v>
                </c:pt>
                <c:pt idx="534">
                  <c:v>1998.49999999888</c:v>
                </c:pt>
                <c:pt idx="535">
                  <c:v>1998.58333333224</c:v>
                </c:pt>
                <c:pt idx="536">
                  <c:v>1998.6666666655999</c:v>
                </c:pt>
                <c:pt idx="537">
                  <c:v>1998.74999999896</c:v>
                </c:pt>
                <c:pt idx="538">
                  <c:v>1998.8333333323201</c:v>
                </c:pt>
                <c:pt idx="539">
                  <c:v>1998.9166666656799</c:v>
                </c:pt>
                <c:pt idx="540">
                  <c:v>1998.99999999904</c:v>
                </c:pt>
                <c:pt idx="541">
                  <c:v>1999.0833333323999</c:v>
                </c:pt>
                <c:pt idx="542">
                  <c:v>1999.16666666576</c:v>
                </c:pt>
                <c:pt idx="543">
                  <c:v>1999.2499999991201</c:v>
                </c:pt>
                <c:pt idx="544">
                  <c:v>1999.3333333324799</c:v>
                </c:pt>
                <c:pt idx="545">
                  <c:v>1999.41666666584</c:v>
                </c:pt>
                <c:pt idx="546">
                  <c:v>1999.4999999992001</c:v>
                </c:pt>
                <c:pt idx="547">
                  <c:v>1999.58333333256</c:v>
                </c:pt>
                <c:pt idx="548">
                  <c:v>1999.66666666592</c:v>
                </c:pt>
                <c:pt idx="549">
                  <c:v>1999.7499999992799</c:v>
                </c:pt>
                <c:pt idx="550">
                  <c:v>1999.83333333264</c:v>
                </c:pt>
                <c:pt idx="551">
                  <c:v>1999.9166666660001</c:v>
                </c:pt>
                <c:pt idx="552">
                  <c:v>2000</c:v>
                </c:pt>
                <c:pt idx="553">
                  <c:v>2000.0833333333101</c:v>
                </c:pt>
                <c:pt idx="554">
                  <c:v>2000.1666666666399</c:v>
                </c:pt>
                <c:pt idx="555">
                  <c:v>2000.24999999997</c:v>
                </c:pt>
                <c:pt idx="556">
                  <c:v>2000.3333333333101</c:v>
                </c:pt>
                <c:pt idx="557">
                  <c:v>2000.4166666666399</c:v>
                </c:pt>
                <c:pt idx="558">
                  <c:v>2000.49999999997</c:v>
                </c:pt>
                <c:pt idx="559">
                  <c:v>2000.5833333333101</c:v>
                </c:pt>
                <c:pt idx="560">
                  <c:v>2000.6666666666399</c:v>
                </c:pt>
                <c:pt idx="561">
                  <c:v>2000.74999999997</c:v>
                </c:pt>
                <c:pt idx="562">
                  <c:v>2000.8333333333101</c:v>
                </c:pt>
                <c:pt idx="563">
                  <c:v>2000.9166666666399</c:v>
                </c:pt>
                <c:pt idx="564">
                  <c:v>2001</c:v>
                </c:pt>
                <c:pt idx="565">
                  <c:v>2001.0833333333101</c:v>
                </c:pt>
                <c:pt idx="566">
                  <c:v>2001.1666666666399</c:v>
                </c:pt>
                <c:pt idx="567">
                  <c:v>2001.24999999997</c:v>
                </c:pt>
                <c:pt idx="568">
                  <c:v>2001.3333333333101</c:v>
                </c:pt>
                <c:pt idx="569">
                  <c:v>2001.4166666666399</c:v>
                </c:pt>
                <c:pt idx="570">
                  <c:v>2001.49999999998</c:v>
                </c:pt>
                <c:pt idx="571">
                  <c:v>2001.5833333333101</c:v>
                </c:pt>
                <c:pt idx="572">
                  <c:v>2001.6666666666399</c:v>
                </c:pt>
                <c:pt idx="573">
                  <c:v>2001.74999999998</c:v>
                </c:pt>
                <c:pt idx="574">
                  <c:v>2001.8333333333101</c:v>
                </c:pt>
                <c:pt idx="575">
                  <c:v>2001.9166666666399</c:v>
                </c:pt>
                <c:pt idx="576">
                  <c:v>2002</c:v>
                </c:pt>
                <c:pt idx="577">
                  <c:v>2002.0833333333101</c:v>
                </c:pt>
                <c:pt idx="578">
                  <c:v>2002.1666666666399</c:v>
                </c:pt>
                <c:pt idx="579">
                  <c:v>2002.24999999998</c:v>
                </c:pt>
                <c:pt idx="580">
                  <c:v>2002.3333333333101</c:v>
                </c:pt>
                <c:pt idx="581">
                  <c:v>2002.4166666666399</c:v>
                </c:pt>
                <c:pt idx="582">
                  <c:v>2002.49999999998</c:v>
                </c:pt>
                <c:pt idx="583">
                  <c:v>2002.5833333333101</c:v>
                </c:pt>
                <c:pt idx="584">
                  <c:v>2002.6666666666399</c:v>
                </c:pt>
                <c:pt idx="585">
                  <c:v>2002.74999999998</c:v>
                </c:pt>
                <c:pt idx="586">
                  <c:v>2002.8333333333101</c:v>
                </c:pt>
                <c:pt idx="587">
                  <c:v>2002.9166666666399</c:v>
                </c:pt>
                <c:pt idx="588">
                  <c:v>2003</c:v>
                </c:pt>
                <c:pt idx="589">
                  <c:v>2003.0833333333101</c:v>
                </c:pt>
                <c:pt idx="590">
                  <c:v>2003.1666666666499</c:v>
                </c:pt>
                <c:pt idx="591">
                  <c:v>2003.24999999998</c:v>
                </c:pt>
                <c:pt idx="592">
                  <c:v>2003.3333333333101</c:v>
                </c:pt>
                <c:pt idx="593">
                  <c:v>2003.4166666666499</c:v>
                </c:pt>
                <c:pt idx="594">
                  <c:v>2003.49999999998</c:v>
                </c:pt>
                <c:pt idx="595">
                  <c:v>2003.5833333333101</c:v>
                </c:pt>
                <c:pt idx="596">
                  <c:v>2003.6666666666499</c:v>
                </c:pt>
                <c:pt idx="597">
                  <c:v>2003.74999999998</c:v>
                </c:pt>
                <c:pt idx="598">
                  <c:v>2003.8333333333101</c:v>
                </c:pt>
                <c:pt idx="599">
                  <c:v>2003.9166666666499</c:v>
                </c:pt>
                <c:pt idx="600">
                  <c:v>2004</c:v>
                </c:pt>
                <c:pt idx="601">
                  <c:v>2004.0833333333101</c:v>
                </c:pt>
                <c:pt idx="602">
                  <c:v>2004.1666666666499</c:v>
                </c:pt>
                <c:pt idx="603">
                  <c:v>2004.24999999998</c:v>
                </c:pt>
                <c:pt idx="604">
                  <c:v>2004.3333333333101</c:v>
                </c:pt>
                <c:pt idx="605">
                  <c:v>2004.4166666666499</c:v>
                </c:pt>
                <c:pt idx="606">
                  <c:v>2004.49999999998</c:v>
                </c:pt>
                <c:pt idx="607">
                  <c:v>2004.5833333333101</c:v>
                </c:pt>
                <c:pt idx="608">
                  <c:v>2004.6666666666499</c:v>
                </c:pt>
                <c:pt idx="609">
                  <c:v>2004.74999999998</c:v>
                </c:pt>
                <c:pt idx="610">
                  <c:v>2004.8333333333101</c:v>
                </c:pt>
                <c:pt idx="611">
                  <c:v>2004.9166666666499</c:v>
                </c:pt>
                <c:pt idx="612">
                  <c:v>2005</c:v>
                </c:pt>
                <c:pt idx="613">
                  <c:v>2005.0833333333201</c:v>
                </c:pt>
                <c:pt idx="614">
                  <c:v>2005.1666666666499</c:v>
                </c:pt>
                <c:pt idx="615">
                  <c:v>2005.24999999998</c:v>
                </c:pt>
                <c:pt idx="616">
                  <c:v>2005.3333333333201</c:v>
                </c:pt>
                <c:pt idx="617">
                  <c:v>2005.4166666666499</c:v>
                </c:pt>
                <c:pt idx="618">
                  <c:v>2005.49999999998</c:v>
                </c:pt>
                <c:pt idx="619">
                  <c:v>2005.5833333333201</c:v>
                </c:pt>
                <c:pt idx="620">
                  <c:v>2005.6666666666499</c:v>
                </c:pt>
                <c:pt idx="621">
                  <c:v>2005.74999999998</c:v>
                </c:pt>
                <c:pt idx="622">
                  <c:v>2005.8333333333201</c:v>
                </c:pt>
                <c:pt idx="623">
                  <c:v>2005.9166666666499</c:v>
                </c:pt>
                <c:pt idx="624">
                  <c:v>2006</c:v>
                </c:pt>
                <c:pt idx="625">
                  <c:v>2006.0833333333201</c:v>
                </c:pt>
                <c:pt idx="626">
                  <c:v>2006.1666666666499</c:v>
                </c:pt>
                <c:pt idx="627">
                  <c:v>2006.24999999998</c:v>
                </c:pt>
                <c:pt idx="628">
                  <c:v>2006.3333333333201</c:v>
                </c:pt>
                <c:pt idx="629">
                  <c:v>2006.4166666666499</c:v>
                </c:pt>
                <c:pt idx="630">
                  <c:v>2006.49999999998</c:v>
                </c:pt>
                <c:pt idx="631">
                  <c:v>2006.5833333333201</c:v>
                </c:pt>
                <c:pt idx="632">
                  <c:v>2006.6666666666499</c:v>
                </c:pt>
                <c:pt idx="633">
                  <c:v>2006.74999999998</c:v>
                </c:pt>
                <c:pt idx="634">
                  <c:v>2006.8333333333201</c:v>
                </c:pt>
                <c:pt idx="635">
                  <c:v>2006.9166666666499</c:v>
                </c:pt>
                <c:pt idx="636">
                  <c:v>2007</c:v>
                </c:pt>
                <c:pt idx="637">
                  <c:v>2007.0833333333201</c:v>
                </c:pt>
                <c:pt idx="638">
                  <c:v>2007.1666666666499</c:v>
                </c:pt>
                <c:pt idx="639">
                  <c:v>2007.24999999999</c:v>
                </c:pt>
                <c:pt idx="640">
                  <c:v>2007.3333333333201</c:v>
                </c:pt>
                <c:pt idx="641">
                  <c:v>2007.4166666666499</c:v>
                </c:pt>
                <c:pt idx="642">
                  <c:v>2007.49999999999</c:v>
                </c:pt>
                <c:pt idx="643">
                  <c:v>2007.5833333333201</c:v>
                </c:pt>
                <c:pt idx="644">
                  <c:v>2007.6666666666499</c:v>
                </c:pt>
                <c:pt idx="645">
                  <c:v>2007.74999999999</c:v>
                </c:pt>
                <c:pt idx="646">
                  <c:v>2007.8333333333201</c:v>
                </c:pt>
                <c:pt idx="647">
                  <c:v>2007.9166666666499</c:v>
                </c:pt>
                <c:pt idx="648">
                  <c:v>2008</c:v>
                </c:pt>
                <c:pt idx="649">
                  <c:v>2008.0833333333201</c:v>
                </c:pt>
                <c:pt idx="650">
                  <c:v>2008.1666666666499</c:v>
                </c:pt>
                <c:pt idx="651">
                  <c:v>2008.24999999999</c:v>
                </c:pt>
                <c:pt idx="652">
                  <c:v>2008.3333333333201</c:v>
                </c:pt>
                <c:pt idx="653">
                  <c:v>2008.4166666666499</c:v>
                </c:pt>
                <c:pt idx="654">
                  <c:v>2008.49999999999</c:v>
                </c:pt>
                <c:pt idx="655">
                  <c:v>2008.5833333333201</c:v>
                </c:pt>
                <c:pt idx="656">
                  <c:v>2008.6666666666599</c:v>
                </c:pt>
                <c:pt idx="657">
                  <c:v>2008.74999999999</c:v>
                </c:pt>
                <c:pt idx="658">
                  <c:v>2008.8333333333201</c:v>
                </c:pt>
                <c:pt idx="659">
                  <c:v>2008.9166666666599</c:v>
                </c:pt>
                <c:pt idx="660">
                  <c:v>2009</c:v>
                </c:pt>
                <c:pt idx="661">
                  <c:v>2009.0833333333201</c:v>
                </c:pt>
                <c:pt idx="662">
                  <c:v>2009.1666666666599</c:v>
                </c:pt>
                <c:pt idx="663">
                  <c:v>2009.24999999999</c:v>
                </c:pt>
                <c:pt idx="664">
                  <c:v>2009.3333333333201</c:v>
                </c:pt>
                <c:pt idx="665">
                  <c:v>2009.4166666666599</c:v>
                </c:pt>
                <c:pt idx="666">
                  <c:v>2009.49999999999</c:v>
                </c:pt>
                <c:pt idx="667">
                  <c:v>2009.5833333333201</c:v>
                </c:pt>
                <c:pt idx="668">
                  <c:v>2009.6666666666599</c:v>
                </c:pt>
                <c:pt idx="669">
                  <c:v>2009.74999999999</c:v>
                </c:pt>
                <c:pt idx="670">
                  <c:v>2009.8333333333201</c:v>
                </c:pt>
                <c:pt idx="671">
                  <c:v>2009.9166666666599</c:v>
                </c:pt>
                <c:pt idx="672">
                  <c:v>2010</c:v>
                </c:pt>
                <c:pt idx="673">
                  <c:v>2010.0833333333201</c:v>
                </c:pt>
                <c:pt idx="674">
                  <c:v>2010.1666666666599</c:v>
                </c:pt>
                <c:pt idx="675">
                  <c:v>2010.24999999999</c:v>
                </c:pt>
                <c:pt idx="676">
                  <c:v>2010.3333333333201</c:v>
                </c:pt>
                <c:pt idx="677">
                  <c:v>2010.4166666666599</c:v>
                </c:pt>
                <c:pt idx="678">
                  <c:v>2010.49999999999</c:v>
                </c:pt>
                <c:pt idx="679">
                  <c:v>2010.5833333333301</c:v>
                </c:pt>
                <c:pt idx="680">
                  <c:v>2010.6666666666599</c:v>
                </c:pt>
                <c:pt idx="681">
                  <c:v>2010.74999999999</c:v>
                </c:pt>
                <c:pt idx="682">
                  <c:v>2010.8333333333301</c:v>
                </c:pt>
                <c:pt idx="683">
                  <c:v>2010.9166666666599</c:v>
                </c:pt>
                <c:pt idx="684">
                  <c:v>2011</c:v>
                </c:pt>
                <c:pt idx="685">
                  <c:v>2011.0833333333301</c:v>
                </c:pt>
                <c:pt idx="686">
                  <c:v>2011.1666666666599</c:v>
                </c:pt>
                <c:pt idx="687">
                  <c:v>2011.24999999999</c:v>
                </c:pt>
                <c:pt idx="688">
                  <c:v>2011.3333333333301</c:v>
                </c:pt>
                <c:pt idx="689">
                  <c:v>2011.4166666666599</c:v>
                </c:pt>
                <c:pt idx="690">
                  <c:v>2011.49999999999</c:v>
                </c:pt>
                <c:pt idx="691">
                  <c:v>2011.5833333333301</c:v>
                </c:pt>
                <c:pt idx="692">
                  <c:v>2011.6666666666599</c:v>
                </c:pt>
                <c:pt idx="693">
                  <c:v>2011.74999999999</c:v>
                </c:pt>
                <c:pt idx="694">
                  <c:v>2011.8333333333301</c:v>
                </c:pt>
                <c:pt idx="695">
                  <c:v>2011.9166666666599</c:v>
                </c:pt>
                <c:pt idx="696">
                  <c:v>2012</c:v>
                </c:pt>
                <c:pt idx="697">
                  <c:v>2012.0833333333301</c:v>
                </c:pt>
                <c:pt idx="698">
                  <c:v>2012.1666666666599</c:v>
                </c:pt>
                <c:pt idx="699">
                  <c:v>2012.24999999999</c:v>
                </c:pt>
                <c:pt idx="700">
                  <c:v>2012.3333333333301</c:v>
                </c:pt>
                <c:pt idx="701">
                  <c:v>2012.4166666666599</c:v>
                </c:pt>
                <c:pt idx="702">
                  <c:v>2012.5</c:v>
                </c:pt>
                <c:pt idx="703">
                  <c:v>2012.5833333333301</c:v>
                </c:pt>
                <c:pt idx="704">
                  <c:v>2012.6666666666599</c:v>
                </c:pt>
                <c:pt idx="705">
                  <c:v>2012.75</c:v>
                </c:pt>
                <c:pt idx="706">
                  <c:v>2012.8333333333301</c:v>
                </c:pt>
                <c:pt idx="707">
                  <c:v>2012.9166666666599</c:v>
                </c:pt>
                <c:pt idx="708">
                  <c:v>2013</c:v>
                </c:pt>
                <c:pt idx="709">
                  <c:v>2013.0833333333301</c:v>
                </c:pt>
                <c:pt idx="710">
                  <c:v>2013.1666666666599</c:v>
                </c:pt>
                <c:pt idx="711">
                  <c:v>2013.25</c:v>
                </c:pt>
                <c:pt idx="712">
                  <c:v>2013.3333333333301</c:v>
                </c:pt>
                <c:pt idx="713">
                  <c:v>2013.4166666666599</c:v>
                </c:pt>
                <c:pt idx="714">
                  <c:v>2013.5</c:v>
                </c:pt>
                <c:pt idx="715">
                  <c:v>2013.5833333333301</c:v>
                </c:pt>
                <c:pt idx="716">
                  <c:v>2013.6666666666599</c:v>
                </c:pt>
                <c:pt idx="717">
                  <c:v>2013.75</c:v>
                </c:pt>
                <c:pt idx="718">
                  <c:v>2013.8333333333301</c:v>
                </c:pt>
                <c:pt idx="719">
                  <c:v>2013.9166666666599</c:v>
                </c:pt>
              </c:numCache>
            </c:numRef>
          </c:xVal>
          <c:yVal>
            <c:numRef>
              <c:f>'Temp-aire'!$D$22:$D$741</c:f>
              <c:numCache>
                <c:formatCode>General</c:formatCode>
                <c:ptCount val="720"/>
                <c:pt idx="0">
                  <c:v>26.3</c:v>
                </c:pt>
                <c:pt idx="1">
                  <c:v>26.6</c:v>
                </c:pt>
                <c:pt idx="2">
                  <c:v>27.4</c:v>
                </c:pt>
                <c:pt idx="3">
                  <c:v>27.8</c:v>
                </c:pt>
                <c:pt idx="4">
                  <c:v>28.3</c:v>
                </c:pt>
                <c:pt idx="5">
                  <c:v>28.7</c:v>
                </c:pt>
                <c:pt idx="6">
                  <c:v>28.8</c:v>
                </c:pt>
                <c:pt idx="7">
                  <c:v>28.7</c:v>
                </c:pt>
                <c:pt idx="8">
                  <c:v>28.5</c:v>
                </c:pt>
                <c:pt idx="9">
                  <c:v>27.8</c:v>
                </c:pt>
                <c:pt idx="10">
                  <c:v>27.8</c:v>
                </c:pt>
                <c:pt idx="11">
                  <c:v>27.3</c:v>
                </c:pt>
                <c:pt idx="12">
                  <c:v>26.9</c:v>
                </c:pt>
                <c:pt idx="13">
                  <c:v>27.1</c:v>
                </c:pt>
                <c:pt idx="14">
                  <c:v>26.3</c:v>
                </c:pt>
                <c:pt idx="15">
                  <c:v>27.2</c:v>
                </c:pt>
                <c:pt idx="16">
                  <c:v>28.1</c:v>
                </c:pt>
                <c:pt idx="17">
                  <c:v>28</c:v>
                </c:pt>
                <c:pt idx="18">
                  <c:v>28.2</c:v>
                </c:pt>
                <c:pt idx="19">
                  <c:v>28.6</c:v>
                </c:pt>
                <c:pt idx="20">
                  <c:v>28.3</c:v>
                </c:pt>
                <c:pt idx="21">
                  <c:v>27.5</c:v>
                </c:pt>
                <c:pt idx="22">
                  <c:v>27.9</c:v>
                </c:pt>
                <c:pt idx="23">
                  <c:v>27.6</c:v>
                </c:pt>
                <c:pt idx="24">
                  <c:v>26.4</c:v>
                </c:pt>
                <c:pt idx="25">
                  <c:v>26.6</c:v>
                </c:pt>
                <c:pt idx="26">
                  <c:v>26.7</c:v>
                </c:pt>
                <c:pt idx="27">
                  <c:v>27.6</c:v>
                </c:pt>
                <c:pt idx="28">
                  <c:v>27.7</c:v>
                </c:pt>
                <c:pt idx="29">
                  <c:v>27.8</c:v>
                </c:pt>
                <c:pt idx="30">
                  <c:v>28.1</c:v>
                </c:pt>
                <c:pt idx="31">
                  <c:v>27.5</c:v>
                </c:pt>
                <c:pt idx="32">
                  <c:v>28</c:v>
                </c:pt>
                <c:pt idx="33">
                  <c:v>26.9</c:v>
                </c:pt>
                <c:pt idx="34">
                  <c:v>27.4</c:v>
                </c:pt>
                <c:pt idx="35">
                  <c:v>26.9</c:v>
                </c:pt>
                <c:pt idx="36">
                  <c:v>28.2</c:v>
                </c:pt>
                <c:pt idx="37">
                  <c:v>26.1</c:v>
                </c:pt>
                <c:pt idx="38">
                  <c:v>27.6</c:v>
                </c:pt>
                <c:pt idx="39">
                  <c:v>26.6</c:v>
                </c:pt>
                <c:pt idx="40">
                  <c:v>28.4</c:v>
                </c:pt>
                <c:pt idx="41">
                  <c:v>28.6</c:v>
                </c:pt>
                <c:pt idx="42">
                  <c:v>28.8</c:v>
                </c:pt>
                <c:pt idx="43">
                  <c:v>29.1</c:v>
                </c:pt>
                <c:pt idx="44">
                  <c:v>28.9</c:v>
                </c:pt>
                <c:pt idx="45">
                  <c:v>28.4</c:v>
                </c:pt>
                <c:pt idx="46">
                  <c:v>28.6</c:v>
                </c:pt>
                <c:pt idx="47">
                  <c:v>28</c:v>
                </c:pt>
                <c:pt idx="48">
                  <c:v>27.5</c:v>
                </c:pt>
                <c:pt idx="49">
                  <c:v>27.2</c:v>
                </c:pt>
                <c:pt idx="50">
                  <c:v>27.9</c:v>
                </c:pt>
                <c:pt idx="51">
                  <c:v>28.4</c:v>
                </c:pt>
                <c:pt idx="52">
                  <c:v>28.5</c:v>
                </c:pt>
                <c:pt idx="53">
                  <c:v>29.1</c:v>
                </c:pt>
                <c:pt idx="54">
                  <c:v>29</c:v>
                </c:pt>
                <c:pt idx="55">
                  <c:v>28.7</c:v>
                </c:pt>
                <c:pt idx="56">
                  <c:v>29.2</c:v>
                </c:pt>
                <c:pt idx="57">
                  <c:v>28.8</c:v>
                </c:pt>
                <c:pt idx="58">
                  <c:v>28.5</c:v>
                </c:pt>
                <c:pt idx="59">
                  <c:v>27.2</c:v>
                </c:pt>
                <c:pt idx="60">
                  <c:v>26.4</c:v>
                </c:pt>
                <c:pt idx="61">
                  <c:v>25.5</c:v>
                </c:pt>
                <c:pt idx="62">
                  <c:v>26.5</c:v>
                </c:pt>
                <c:pt idx="63">
                  <c:v>27.2</c:v>
                </c:pt>
                <c:pt idx="64">
                  <c:v>27.8</c:v>
                </c:pt>
                <c:pt idx="65">
                  <c:v>28.2</c:v>
                </c:pt>
                <c:pt idx="66">
                  <c:v>28</c:v>
                </c:pt>
                <c:pt idx="67">
                  <c:v>28.2</c:v>
                </c:pt>
                <c:pt idx="68">
                  <c:v>28.4</c:v>
                </c:pt>
                <c:pt idx="69">
                  <c:v>28</c:v>
                </c:pt>
                <c:pt idx="70">
                  <c:v>27.9</c:v>
                </c:pt>
                <c:pt idx="71">
                  <c:v>27.6</c:v>
                </c:pt>
                <c:pt idx="72">
                  <c:v>26.6</c:v>
                </c:pt>
                <c:pt idx="73">
                  <c:v>27.6</c:v>
                </c:pt>
                <c:pt idx="74">
                  <c:v>26.8</c:v>
                </c:pt>
                <c:pt idx="75">
                  <c:v>28.5</c:v>
                </c:pt>
                <c:pt idx="76">
                  <c:v>28.6</c:v>
                </c:pt>
                <c:pt idx="77">
                  <c:v>28.4</c:v>
                </c:pt>
                <c:pt idx="78">
                  <c:v>28.5</c:v>
                </c:pt>
                <c:pt idx="79">
                  <c:v>28.4</c:v>
                </c:pt>
                <c:pt idx="80">
                  <c:v>28.4</c:v>
                </c:pt>
                <c:pt idx="81">
                  <c:v>28.1</c:v>
                </c:pt>
                <c:pt idx="82">
                  <c:v>27.7</c:v>
                </c:pt>
                <c:pt idx="83">
                  <c:v>27.2</c:v>
                </c:pt>
                <c:pt idx="84">
                  <c:v>26.9</c:v>
                </c:pt>
                <c:pt idx="85">
                  <c:v>26.2</c:v>
                </c:pt>
                <c:pt idx="86">
                  <c:v>25.9</c:v>
                </c:pt>
                <c:pt idx="87">
                  <c:v>27.2</c:v>
                </c:pt>
                <c:pt idx="88">
                  <c:v>28</c:v>
                </c:pt>
                <c:pt idx="89">
                  <c:v>28.8</c:v>
                </c:pt>
                <c:pt idx="90">
                  <c:v>28.2</c:v>
                </c:pt>
                <c:pt idx="91">
                  <c:v>28.3</c:v>
                </c:pt>
                <c:pt idx="92">
                  <c:v>28.1</c:v>
                </c:pt>
                <c:pt idx="93">
                  <c:v>28</c:v>
                </c:pt>
                <c:pt idx="94">
                  <c:v>25.9</c:v>
                </c:pt>
                <c:pt idx="95">
                  <c:v>26.6</c:v>
                </c:pt>
                <c:pt idx="96">
                  <c:v>26.5</c:v>
                </c:pt>
                <c:pt idx="97">
                  <c:v>27</c:v>
                </c:pt>
                <c:pt idx="98">
                  <c:v>27.8</c:v>
                </c:pt>
                <c:pt idx="99">
                  <c:v>27.6</c:v>
                </c:pt>
                <c:pt idx="100">
                  <c:v>29</c:v>
                </c:pt>
                <c:pt idx="101">
                  <c:v>27.2</c:v>
                </c:pt>
                <c:pt idx="102">
                  <c:v>28.2</c:v>
                </c:pt>
                <c:pt idx="103">
                  <c:v>28.1</c:v>
                </c:pt>
                <c:pt idx="104">
                  <c:v>28.3</c:v>
                </c:pt>
                <c:pt idx="105">
                  <c:v>28.6</c:v>
                </c:pt>
                <c:pt idx="106">
                  <c:v>28.4</c:v>
                </c:pt>
                <c:pt idx="107">
                  <c:v>27.6</c:v>
                </c:pt>
                <c:pt idx="108">
                  <c:v>28.3</c:v>
                </c:pt>
                <c:pt idx="109">
                  <c:v>28</c:v>
                </c:pt>
                <c:pt idx="110">
                  <c:v>28.2</c:v>
                </c:pt>
                <c:pt idx="111">
                  <c:v>27.9</c:v>
                </c:pt>
                <c:pt idx="112">
                  <c:v>27.8</c:v>
                </c:pt>
                <c:pt idx="113">
                  <c:v>27.7</c:v>
                </c:pt>
                <c:pt idx="114">
                  <c:v>27.8</c:v>
                </c:pt>
                <c:pt idx="115">
                  <c:v>27.8</c:v>
                </c:pt>
                <c:pt idx="116">
                  <c:v>27.8</c:v>
                </c:pt>
                <c:pt idx="117">
                  <c:v>27.8</c:v>
                </c:pt>
                <c:pt idx="118">
                  <c:v>27.5</c:v>
                </c:pt>
                <c:pt idx="119">
                  <c:v>27.5</c:v>
                </c:pt>
                <c:pt idx="120">
                  <c:v>26.8</c:v>
                </c:pt>
                <c:pt idx="121">
                  <c:v>27.1</c:v>
                </c:pt>
                <c:pt idx="122">
                  <c:v>27</c:v>
                </c:pt>
                <c:pt idx="123">
                  <c:v>28</c:v>
                </c:pt>
                <c:pt idx="124">
                  <c:v>28.2</c:v>
                </c:pt>
                <c:pt idx="125">
                  <c:v>28.1</c:v>
                </c:pt>
                <c:pt idx="126">
                  <c:v>27.9</c:v>
                </c:pt>
                <c:pt idx="127">
                  <c:v>27.5</c:v>
                </c:pt>
                <c:pt idx="128">
                  <c:v>27.7</c:v>
                </c:pt>
                <c:pt idx="129">
                  <c:v>27.4</c:v>
                </c:pt>
                <c:pt idx="130">
                  <c:v>27.2</c:v>
                </c:pt>
                <c:pt idx="131">
                  <c:v>26.5</c:v>
                </c:pt>
                <c:pt idx="132">
                  <c:v>26.3</c:v>
                </c:pt>
                <c:pt idx="133">
                  <c:v>26.7</c:v>
                </c:pt>
                <c:pt idx="134">
                  <c:v>27.1</c:v>
                </c:pt>
                <c:pt idx="135">
                  <c:v>27.6</c:v>
                </c:pt>
                <c:pt idx="136">
                  <c:v>28</c:v>
                </c:pt>
                <c:pt idx="137">
                  <c:v>28.2</c:v>
                </c:pt>
                <c:pt idx="138">
                  <c:v>28.5</c:v>
                </c:pt>
                <c:pt idx="139">
                  <c:v>28.1</c:v>
                </c:pt>
                <c:pt idx="140">
                  <c:v>28.4</c:v>
                </c:pt>
                <c:pt idx="141">
                  <c:v>28</c:v>
                </c:pt>
                <c:pt idx="142">
                  <c:v>27.2</c:v>
                </c:pt>
                <c:pt idx="143">
                  <c:v>27.6</c:v>
                </c:pt>
                <c:pt idx="144">
                  <c:v>27.8</c:v>
                </c:pt>
                <c:pt idx="145">
                  <c:v>27.6</c:v>
                </c:pt>
                <c:pt idx="146">
                  <c:v>26.7</c:v>
                </c:pt>
                <c:pt idx="147">
                  <c:v>28.1</c:v>
                </c:pt>
                <c:pt idx="148">
                  <c:v>28</c:v>
                </c:pt>
                <c:pt idx="149">
                  <c:v>27.7</c:v>
                </c:pt>
                <c:pt idx="150">
                  <c:v>28.1</c:v>
                </c:pt>
                <c:pt idx="151">
                  <c:v>28</c:v>
                </c:pt>
                <c:pt idx="152">
                  <c:v>27.8</c:v>
                </c:pt>
                <c:pt idx="153">
                  <c:v>27.4</c:v>
                </c:pt>
                <c:pt idx="154">
                  <c:v>26.7</c:v>
                </c:pt>
                <c:pt idx="155">
                  <c:v>25.8</c:v>
                </c:pt>
                <c:pt idx="156">
                  <c:v>26.4</c:v>
                </c:pt>
                <c:pt idx="157">
                  <c:v>26.7</c:v>
                </c:pt>
                <c:pt idx="158">
                  <c:v>27.4</c:v>
                </c:pt>
                <c:pt idx="159">
                  <c:v>27.9</c:v>
                </c:pt>
                <c:pt idx="160">
                  <c:v>28.3</c:v>
                </c:pt>
                <c:pt idx="161">
                  <c:v>28.4</c:v>
                </c:pt>
                <c:pt idx="162">
                  <c:v>28.4</c:v>
                </c:pt>
                <c:pt idx="163">
                  <c:v>28.2</c:v>
                </c:pt>
                <c:pt idx="164">
                  <c:v>28</c:v>
                </c:pt>
                <c:pt idx="165">
                  <c:v>27.7</c:v>
                </c:pt>
                <c:pt idx="166">
                  <c:v>27.5</c:v>
                </c:pt>
                <c:pt idx="167">
                  <c:v>27.4</c:v>
                </c:pt>
                <c:pt idx="168">
                  <c:v>26.3</c:v>
                </c:pt>
                <c:pt idx="169">
                  <c:v>26.5</c:v>
                </c:pt>
                <c:pt idx="170">
                  <c:v>27</c:v>
                </c:pt>
                <c:pt idx="171">
                  <c:v>26.3</c:v>
                </c:pt>
                <c:pt idx="172">
                  <c:v>26.7</c:v>
                </c:pt>
                <c:pt idx="173">
                  <c:v>27.8</c:v>
                </c:pt>
                <c:pt idx="174">
                  <c:v>27.8</c:v>
                </c:pt>
                <c:pt idx="175">
                  <c:v>27.8</c:v>
                </c:pt>
                <c:pt idx="176">
                  <c:v>27.8</c:v>
                </c:pt>
                <c:pt idx="177">
                  <c:v>27.7</c:v>
                </c:pt>
                <c:pt idx="178">
                  <c:v>27.7</c:v>
                </c:pt>
                <c:pt idx="179">
                  <c:v>27.7</c:v>
                </c:pt>
                <c:pt idx="180">
                  <c:v>27.1</c:v>
                </c:pt>
                <c:pt idx="181">
                  <c:v>27.3</c:v>
                </c:pt>
                <c:pt idx="182">
                  <c:v>27.9</c:v>
                </c:pt>
                <c:pt idx="183">
                  <c:v>28.1</c:v>
                </c:pt>
                <c:pt idx="184">
                  <c:v>28.3</c:v>
                </c:pt>
                <c:pt idx="185">
                  <c:v>27.7</c:v>
                </c:pt>
                <c:pt idx="186">
                  <c:v>27.4</c:v>
                </c:pt>
                <c:pt idx="187">
                  <c:v>27.3</c:v>
                </c:pt>
                <c:pt idx="188">
                  <c:v>27.7</c:v>
                </c:pt>
                <c:pt idx="189">
                  <c:v>27.2</c:v>
                </c:pt>
                <c:pt idx="190">
                  <c:v>27</c:v>
                </c:pt>
                <c:pt idx="191">
                  <c:v>27</c:v>
                </c:pt>
                <c:pt idx="192">
                  <c:v>26.6</c:v>
                </c:pt>
                <c:pt idx="193">
                  <c:v>27</c:v>
                </c:pt>
                <c:pt idx="194">
                  <c:v>27.3</c:v>
                </c:pt>
                <c:pt idx="195">
                  <c:v>27.8</c:v>
                </c:pt>
                <c:pt idx="196">
                  <c:v>27.8</c:v>
                </c:pt>
                <c:pt idx="197">
                  <c:v>28.3</c:v>
                </c:pt>
                <c:pt idx="198">
                  <c:v>27.9</c:v>
                </c:pt>
                <c:pt idx="199">
                  <c:v>26.7</c:v>
                </c:pt>
                <c:pt idx="200">
                  <c:v>27.5</c:v>
                </c:pt>
                <c:pt idx="201">
                  <c:v>28.1</c:v>
                </c:pt>
                <c:pt idx="202">
                  <c:v>27.9</c:v>
                </c:pt>
                <c:pt idx="203">
                  <c:v>28</c:v>
                </c:pt>
                <c:pt idx="204">
                  <c:v>27.8</c:v>
                </c:pt>
                <c:pt idx="205">
                  <c:v>27.6</c:v>
                </c:pt>
                <c:pt idx="206">
                  <c:v>28.1</c:v>
                </c:pt>
                <c:pt idx="207">
                  <c:v>28.1</c:v>
                </c:pt>
                <c:pt idx="208">
                  <c:v>28.2</c:v>
                </c:pt>
                <c:pt idx="209">
                  <c:v>28.3</c:v>
                </c:pt>
                <c:pt idx="210">
                  <c:v>28</c:v>
                </c:pt>
                <c:pt idx="211">
                  <c:v>27.9</c:v>
                </c:pt>
                <c:pt idx="212">
                  <c:v>28</c:v>
                </c:pt>
                <c:pt idx="213">
                  <c:v>27.8</c:v>
                </c:pt>
                <c:pt idx="214">
                  <c:v>27.4</c:v>
                </c:pt>
                <c:pt idx="215">
                  <c:v>27.2</c:v>
                </c:pt>
                <c:pt idx="216">
                  <c:v>26.5</c:v>
                </c:pt>
                <c:pt idx="217">
                  <c:v>26</c:v>
                </c:pt>
                <c:pt idx="218">
                  <c:v>27</c:v>
                </c:pt>
                <c:pt idx="219">
                  <c:v>27.4</c:v>
                </c:pt>
                <c:pt idx="220">
                  <c:v>27.7</c:v>
                </c:pt>
                <c:pt idx="221">
                  <c:v>29.2</c:v>
                </c:pt>
                <c:pt idx="222">
                  <c:v>29.2</c:v>
                </c:pt>
                <c:pt idx="223">
                  <c:v>29.5</c:v>
                </c:pt>
                <c:pt idx="224">
                  <c:v>29.8</c:v>
                </c:pt>
                <c:pt idx="225">
                  <c:v>29.7</c:v>
                </c:pt>
                <c:pt idx="226">
                  <c:v>29.5</c:v>
                </c:pt>
                <c:pt idx="227">
                  <c:v>29.5</c:v>
                </c:pt>
                <c:pt idx="228">
                  <c:v>28.9</c:v>
                </c:pt>
                <c:pt idx="229">
                  <c:v>27.4</c:v>
                </c:pt>
                <c:pt idx="230">
                  <c:v>28.4</c:v>
                </c:pt>
                <c:pt idx="231">
                  <c:v>27.6</c:v>
                </c:pt>
                <c:pt idx="232">
                  <c:v>27.8</c:v>
                </c:pt>
                <c:pt idx="233">
                  <c:v>28</c:v>
                </c:pt>
                <c:pt idx="234">
                  <c:v>27.8</c:v>
                </c:pt>
                <c:pt idx="235">
                  <c:v>27.9</c:v>
                </c:pt>
                <c:pt idx="236">
                  <c:v>28.1</c:v>
                </c:pt>
                <c:pt idx="237">
                  <c:v>28</c:v>
                </c:pt>
                <c:pt idx="238">
                  <c:v>27.7</c:v>
                </c:pt>
                <c:pt idx="239">
                  <c:v>27.6</c:v>
                </c:pt>
                <c:pt idx="240">
                  <c:v>27</c:v>
                </c:pt>
                <c:pt idx="241">
                  <c:v>27</c:v>
                </c:pt>
                <c:pt idx="242">
                  <c:v>27.7</c:v>
                </c:pt>
                <c:pt idx="243">
                  <c:v>27.7</c:v>
                </c:pt>
                <c:pt idx="244">
                  <c:v>28.6</c:v>
                </c:pt>
                <c:pt idx="245">
                  <c:v>28.1</c:v>
                </c:pt>
                <c:pt idx="246">
                  <c:v>27.9</c:v>
                </c:pt>
                <c:pt idx="247">
                  <c:v>27.9</c:v>
                </c:pt>
                <c:pt idx="248">
                  <c:v>28.1</c:v>
                </c:pt>
                <c:pt idx="249">
                  <c:v>28</c:v>
                </c:pt>
                <c:pt idx="250">
                  <c:v>27.7</c:v>
                </c:pt>
                <c:pt idx="251">
                  <c:v>27.7</c:v>
                </c:pt>
                <c:pt idx="252">
                  <c:v>26.9</c:v>
                </c:pt>
                <c:pt idx="253">
                  <c:v>26.5</c:v>
                </c:pt>
                <c:pt idx="254">
                  <c:v>26.6</c:v>
                </c:pt>
                <c:pt idx="255">
                  <c:v>27.1</c:v>
                </c:pt>
                <c:pt idx="256">
                  <c:v>27.8</c:v>
                </c:pt>
                <c:pt idx="257">
                  <c:v>27.6</c:v>
                </c:pt>
                <c:pt idx="258">
                  <c:v>27.4</c:v>
                </c:pt>
                <c:pt idx="259">
                  <c:v>27.2</c:v>
                </c:pt>
                <c:pt idx="260">
                  <c:v>27.5</c:v>
                </c:pt>
                <c:pt idx="261">
                  <c:v>26.7</c:v>
                </c:pt>
                <c:pt idx="262">
                  <c:v>27.1</c:v>
                </c:pt>
                <c:pt idx="263">
                  <c:v>26.3</c:v>
                </c:pt>
                <c:pt idx="264">
                  <c:v>26.1</c:v>
                </c:pt>
                <c:pt idx="265">
                  <c:v>25.6</c:v>
                </c:pt>
                <c:pt idx="266">
                  <c:v>26.2</c:v>
                </c:pt>
                <c:pt idx="267">
                  <c:v>26.6</c:v>
                </c:pt>
                <c:pt idx="268">
                  <c:v>27.8</c:v>
                </c:pt>
                <c:pt idx="269">
                  <c:v>27.4</c:v>
                </c:pt>
                <c:pt idx="270">
                  <c:v>27.6</c:v>
                </c:pt>
                <c:pt idx="271">
                  <c:v>27.9</c:v>
                </c:pt>
                <c:pt idx="272">
                  <c:v>28</c:v>
                </c:pt>
                <c:pt idx="273">
                  <c:v>27.8</c:v>
                </c:pt>
                <c:pt idx="274">
                  <c:v>28.5</c:v>
                </c:pt>
                <c:pt idx="275">
                  <c:v>27.2</c:v>
                </c:pt>
                <c:pt idx="276">
                  <c:v>26.8</c:v>
                </c:pt>
                <c:pt idx="277">
                  <c:v>26.6</c:v>
                </c:pt>
                <c:pt idx="278">
                  <c:v>26.6</c:v>
                </c:pt>
                <c:pt idx="279">
                  <c:v>27.1</c:v>
                </c:pt>
                <c:pt idx="280">
                  <c:v>27.7</c:v>
                </c:pt>
                <c:pt idx="281">
                  <c:v>28.2</c:v>
                </c:pt>
                <c:pt idx="282">
                  <c:v>27.8</c:v>
                </c:pt>
                <c:pt idx="283">
                  <c:v>27.9</c:v>
                </c:pt>
                <c:pt idx="284">
                  <c:v>28.8</c:v>
                </c:pt>
                <c:pt idx="285">
                  <c:v>28.4</c:v>
                </c:pt>
                <c:pt idx="286">
                  <c:v>28.4</c:v>
                </c:pt>
                <c:pt idx="287">
                  <c:v>28</c:v>
                </c:pt>
                <c:pt idx="288">
                  <c:v>27.5</c:v>
                </c:pt>
                <c:pt idx="289">
                  <c:v>27.3</c:v>
                </c:pt>
                <c:pt idx="290">
                  <c:v>27.7</c:v>
                </c:pt>
                <c:pt idx="291">
                  <c:v>28</c:v>
                </c:pt>
                <c:pt idx="292">
                  <c:v>28.5</c:v>
                </c:pt>
                <c:pt idx="293">
                  <c:v>28.5</c:v>
                </c:pt>
                <c:pt idx="294">
                  <c:v>28.4</c:v>
                </c:pt>
                <c:pt idx="295">
                  <c:v>28.3</c:v>
                </c:pt>
                <c:pt idx="296">
                  <c:v>28.6</c:v>
                </c:pt>
                <c:pt idx="297">
                  <c:v>28.4</c:v>
                </c:pt>
                <c:pt idx="298">
                  <c:v>28.4</c:v>
                </c:pt>
                <c:pt idx="299">
                  <c:v>28</c:v>
                </c:pt>
                <c:pt idx="300">
                  <c:v>27.5</c:v>
                </c:pt>
                <c:pt idx="301">
                  <c:v>27.2</c:v>
                </c:pt>
                <c:pt idx="302">
                  <c:v>27.7</c:v>
                </c:pt>
                <c:pt idx="303">
                  <c:v>27.9</c:v>
                </c:pt>
                <c:pt idx="304">
                  <c:v>28.5</c:v>
                </c:pt>
                <c:pt idx="305">
                  <c:v>28.5</c:v>
                </c:pt>
                <c:pt idx="306">
                  <c:v>28.4</c:v>
                </c:pt>
                <c:pt idx="307">
                  <c:v>28.3</c:v>
                </c:pt>
                <c:pt idx="308">
                  <c:v>28.6</c:v>
                </c:pt>
                <c:pt idx="309">
                  <c:v>28.4</c:v>
                </c:pt>
                <c:pt idx="310">
                  <c:v>28.4</c:v>
                </c:pt>
                <c:pt idx="311">
                  <c:v>27.8</c:v>
                </c:pt>
                <c:pt idx="312">
                  <c:v>27.4</c:v>
                </c:pt>
                <c:pt idx="313">
                  <c:v>27.3</c:v>
                </c:pt>
                <c:pt idx="314">
                  <c:v>27.6</c:v>
                </c:pt>
                <c:pt idx="315">
                  <c:v>27.9</c:v>
                </c:pt>
                <c:pt idx="316">
                  <c:v>28.5</c:v>
                </c:pt>
                <c:pt idx="317">
                  <c:v>28.6</c:v>
                </c:pt>
                <c:pt idx="318">
                  <c:v>28.5</c:v>
                </c:pt>
                <c:pt idx="319">
                  <c:v>28.4</c:v>
                </c:pt>
                <c:pt idx="320">
                  <c:v>28.6</c:v>
                </c:pt>
                <c:pt idx="321">
                  <c:v>28.3</c:v>
                </c:pt>
                <c:pt idx="322">
                  <c:v>28.4</c:v>
                </c:pt>
                <c:pt idx="323">
                  <c:v>27.8</c:v>
                </c:pt>
                <c:pt idx="324">
                  <c:v>27.4</c:v>
                </c:pt>
                <c:pt idx="325">
                  <c:v>27.1</c:v>
                </c:pt>
                <c:pt idx="326">
                  <c:v>27.6</c:v>
                </c:pt>
                <c:pt idx="327">
                  <c:v>27.6</c:v>
                </c:pt>
                <c:pt idx="328">
                  <c:v>28</c:v>
                </c:pt>
                <c:pt idx="329">
                  <c:v>28.1</c:v>
                </c:pt>
                <c:pt idx="330">
                  <c:v>28.4</c:v>
                </c:pt>
                <c:pt idx="331">
                  <c:v>27.9</c:v>
                </c:pt>
                <c:pt idx="332">
                  <c:v>28.3</c:v>
                </c:pt>
                <c:pt idx="333">
                  <c:v>27.9</c:v>
                </c:pt>
                <c:pt idx="334">
                  <c:v>28.3</c:v>
                </c:pt>
                <c:pt idx="335">
                  <c:v>27.7</c:v>
                </c:pt>
                <c:pt idx="336">
                  <c:v>26.7</c:v>
                </c:pt>
                <c:pt idx="337">
                  <c:v>26.8</c:v>
                </c:pt>
                <c:pt idx="338">
                  <c:v>26.6</c:v>
                </c:pt>
                <c:pt idx="339">
                  <c:v>27.3</c:v>
                </c:pt>
                <c:pt idx="340">
                  <c:v>28</c:v>
                </c:pt>
                <c:pt idx="341">
                  <c:v>28.4</c:v>
                </c:pt>
                <c:pt idx="342">
                  <c:v>28.1</c:v>
                </c:pt>
                <c:pt idx="343">
                  <c:v>28.3</c:v>
                </c:pt>
                <c:pt idx="344">
                  <c:v>28.3</c:v>
                </c:pt>
                <c:pt idx="345">
                  <c:v>27.6</c:v>
                </c:pt>
                <c:pt idx="346">
                  <c:v>28</c:v>
                </c:pt>
                <c:pt idx="347">
                  <c:v>27</c:v>
                </c:pt>
                <c:pt idx="348">
                  <c:v>27.4</c:v>
                </c:pt>
                <c:pt idx="349">
                  <c:v>27.1</c:v>
                </c:pt>
                <c:pt idx="350">
                  <c:v>28</c:v>
                </c:pt>
                <c:pt idx="351">
                  <c:v>28.1</c:v>
                </c:pt>
                <c:pt idx="352">
                  <c:v>28.6</c:v>
                </c:pt>
                <c:pt idx="353">
                  <c:v>29.2</c:v>
                </c:pt>
                <c:pt idx="354">
                  <c:v>28.7</c:v>
                </c:pt>
                <c:pt idx="355">
                  <c:v>28.6</c:v>
                </c:pt>
                <c:pt idx="356">
                  <c:v>28.3</c:v>
                </c:pt>
                <c:pt idx="357">
                  <c:v>27.7</c:v>
                </c:pt>
                <c:pt idx="358">
                  <c:v>28.3</c:v>
                </c:pt>
                <c:pt idx="359">
                  <c:v>27.4</c:v>
                </c:pt>
                <c:pt idx="360">
                  <c:v>26.8</c:v>
                </c:pt>
                <c:pt idx="361">
                  <c:v>27.2</c:v>
                </c:pt>
                <c:pt idx="362">
                  <c:v>26.9</c:v>
                </c:pt>
                <c:pt idx="363">
                  <c:v>27.5</c:v>
                </c:pt>
                <c:pt idx="364">
                  <c:v>28.1</c:v>
                </c:pt>
                <c:pt idx="365">
                  <c:v>28.2</c:v>
                </c:pt>
                <c:pt idx="366">
                  <c:v>27.7</c:v>
                </c:pt>
                <c:pt idx="367">
                  <c:v>27.6</c:v>
                </c:pt>
                <c:pt idx="368">
                  <c:v>27.5</c:v>
                </c:pt>
                <c:pt idx="369">
                  <c:v>27.5</c:v>
                </c:pt>
                <c:pt idx="370">
                  <c:v>27.4</c:v>
                </c:pt>
                <c:pt idx="371">
                  <c:v>26.3</c:v>
                </c:pt>
                <c:pt idx="372">
                  <c:v>25.9</c:v>
                </c:pt>
                <c:pt idx="373">
                  <c:v>26.5</c:v>
                </c:pt>
                <c:pt idx="374">
                  <c:v>26.7</c:v>
                </c:pt>
                <c:pt idx="375">
                  <c:v>27</c:v>
                </c:pt>
                <c:pt idx="376">
                  <c:v>28.2</c:v>
                </c:pt>
                <c:pt idx="377">
                  <c:v>28.5</c:v>
                </c:pt>
                <c:pt idx="378">
                  <c:v>28.3</c:v>
                </c:pt>
                <c:pt idx="379">
                  <c:v>27.9</c:v>
                </c:pt>
                <c:pt idx="380">
                  <c:v>27.8</c:v>
                </c:pt>
                <c:pt idx="381">
                  <c:v>28.2</c:v>
                </c:pt>
                <c:pt idx="382">
                  <c:v>27.7</c:v>
                </c:pt>
                <c:pt idx="383">
                  <c:v>26.9</c:v>
                </c:pt>
                <c:pt idx="384">
                  <c:v>26.5</c:v>
                </c:pt>
                <c:pt idx="385">
                  <c:v>26.6</c:v>
                </c:pt>
                <c:pt idx="386">
                  <c:v>27</c:v>
                </c:pt>
                <c:pt idx="387">
                  <c:v>27.6</c:v>
                </c:pt>
                <c:pt idx="388">
                  <c:v>28.3</c:v>
                </c:pt>
                <c:pt idx="389">
                  <c:v>28.4</c:v>
                </c:pt>
                <c:pt idx="390">
                  <c:v>28.3</c:v>
                </c:pt>
                <c:pt idx="391">
                  <c:v>28.4</c:v>
                </c:pt>
                <c:pt idx="392">
                  <c:v>28.3</c:v>
                </c:pt>
                <c:pt idx="393">
                  <c:v>27.6</c:v>
                </c:pt>
                <c:pt idx="394">
                  <c:v>27.9</c:v>
                </c:pt>
                <c:pt idx="395">
                  <c:v>27.1</c:v>
                </c:pt>
                <c:pt idx="396">
                  <c:v>27.1</c:v>
                </c:pt>
                <c:pt idx="397">
                  <c:v>27.4</c:v>
                </c:pt>
                <c:pt idx="398">
                  <c:v>27.6</c:v>
                </c:pt>
                <c:pt idx="399">
                  <c:v>28.1</c:v>
                </c:pt>
                <c:pt idx="400">
                  <c:v>28.1</c:v>
                </c:pt>
                <c:pt idx="401">
                  <c:v>29.3</c:v>
                </c:pt>
                <c:pt idx="402">
                  <c:v>28.7</c:v>
                </c:pt>
                <c:pt idx="403">
                  <c:v>28.7</c:v>
                </c:pt>
                <c:pt idx="404">
                  <c:v>28</c:v>
                </c:pt>
                <c:pt idx="405">
                  <c:v>27.7</c:v>
                </c:pt>
                <c:pt idx="406">
                  <c:v>27.8</c:v>
                </c:pt>
                <c:pt idx="407">
                  <c:v>27.1</c:v>
                </c:pt>
                <c:pt idx="408">
                  <c:v>26.7</c:v>
                </c:pt>
                <c:pt idx="409">
                  <c:v>26.7</c:v>
                </c:pt>
                <c:pt idx="410">
                  <c:v>27</c:v>
                </c:pt>
                <c:pt idx="411">
                  <c:v>27.3</c:v>
                </c:pt>
                <c:pt idx="412">
                  <c:v>28</c:v>
                </c:pt>
                <c:pt idx="413">
                  <c:v>28.2</c:v>
                </c:pt>
                <c:pt idx="414">
                  <c:v>28</c:v>
                </c:pt>
                <c:pt idx="415">
                  <c:v>27.9</c:v>
                </c:pt>
                <c:pt idx="416">
                  <c:v>27.9</c:v>
                </c:pt>
                <c:pt idx="417">
                  <c:v>27.7</c:v>
                </c:pt>
                <c:pt idx="418">
                  <c:v>27.7</c:v>
                </c:pt>
                <c:pt idx="419">
                  <c:v>27</c:v>
                </c:pt>
                <c:pt idx="420">
                  <c:v>26.7</c:v>
                </c:pt>
                <c:pt idx="421">
                  <c:v>26.7</c:v>
                </c:pt>
                <c:pt idx="422">
                  <c:v>27</c:v>
                </c:pt>
                <c:pt idx="423">
                  <c:v>27.4</c:v>
                </c:pt>
                <c:pt idx="424">
                  <c:v>28</c:v>
                </c:pt>
                <c:pt idx="425">
                  <c:v>28.3</c:v>
                </c:pt>
                <c:pt idx="426">
                  <c:v>28</c:v>
                </c:pt>
                <c:pt idx="427">
                  <c:v>27.9</c:v>
                </c:pt>
                <c:pt idx="428">
                  <c:v>27.9</c:v>
                </c:pt>
                <c:pt idx="429">
                  <c:v>27.6</c:v>
                </c:pt>
                <c:pt idx="430">
                  <c:v>27.7</c:v>
                </c:pt>
                <c:pt idx="431">
                  <c:v>27.7</c:v>
                </c:pt>
                <c:pt idx="432">
                  <c:v>26.6</c:v>
                </c:pt>
                <c:pt idx="433">
                  <c:v>26.7</c:v>
                </c:pt>
                <c:pt idx="434">
                  <c:v>27</c:v>
                </c:pt>
                <c:pt idx="435">
                  <c:v>27.3</c:v>
                </c:pt>
                <c:pt idx="436">
                  <c:v>27.9</c:v>
                </c:pt>
                <c:pt idx="437">
                  <c:v>28.2</c:v>
                </c:pt>
                <c:pt idx="438">
                  <c:v>28</c:v>
                </c:pt>
                <c:pt idx="439">
                  <c:v>27.9</c:v>
                </c:pt>
                <c:pt idx="440">
                  <c:v>27.9</c:v>
                </c:pt>
                <c:pt idx="441">
                  <c:v>27.6</c:v>
                </c:pt>
                <c:pt idx="442">
                  <c:v>27.7</c:v>
                </c:pt>
                <c:pt idx="443">
                  <c:v>26.9</c:v>
                </c:pt>
                <c:pt idx="444">
                  <c:v>26.7</c:v>
                </c:pt>
                <c:pt idx="445">
                  <c:v>26.7</c:v>
                </c:pt>
                <c:pt idx="446">
                  <c:v>27</c:v>
                </c:pt>
                <c:pt idx="447">
                  <c:v>27.6</c:v>
                </c:pt>
                <c:pt idx="448">
                  <c:v>28.1</c:v>
                </c:pt>
                <c:pt idx="449">
                  <c:v>28.4</c:v>
                </c:pt>
                <c:pt idx="450">
                  <c:v>28.2</c:v>
                </c:pt>
                <c:pt idx="451">
                  <c:v>28.4</c:v>
                </c:pt>
                <c:pt idx="452">
                  <c:v>28.2</c:v>
                </c:pt>
                <c:pt idx="453">
                  <c:v>27.8</c:v>
                </c:pt>
                <c:pt idx="454">
                  <c:v>27.7</c:v>
                </c:pt>
                <c:pt idx="455">
                  <c:v>26.7</c:v>
                </c:pt>
                <c:pt idx="456">
                  <c:v>26.6</c:v>
                </c:pt>
                <c:pt idx="457">
                  <c:v>27.1</c:v>
                </c:pt>
                <c:pt idx="458">
                  <c:v>27.4</c:v>
                </c:pt>
                <c:pt idx="459">
                  <c:v>28.2</c:v>
                </c:pt>
                <c:pt idx="460">
                  <c:v>28.4</c:v>
                </c:pt>
                <c:pt idx="461">
                  <c:v>28.7</c:v>
                </c:pt>
                <c:pt idx="462">
                  <c:v>27.9</c:v>
                </c:pt>
                <c:pt idx="463">
                  <c:v>28</c:v>
                </c:pt>
                <c:pt idx="464">
                  <c:v>27.8</c:v>
                </c:pt>
                <c:pt idx="465">
                  <c:v>27.9</c:v>
                </c:pt>
                <c:pt idx="466">
                  <c:v>27.9</c:v>
                </c:pt>
                <c:pt idx="467">
                  <c:v>27.4</c:v>
                </c:pt>
                <c:pt idx="468">
                  <c:v>27.1</c:v>
                </c:pt>
                <c:pt idx="469">
                  <c:v>27</c:v>
                </c:pt>
                <c:pt idx="470">
                  <c:v>27.3</c:v>
                </c:pt>
                <c:pt idx="471">
                  <c:v>27.9</c:v>
                </c:pt>
                <c:pt idx="472">
                  <c:v>28.1</c:v>
                </c:pt>
                <c:pt idx="473">
                  <c:v>28.6</c:v>
                </c:pt>
                <c:pt idx="474">
                  <c:v>28.2</c:v>
                </c:pt>
                <c:pt idx="475">
                  <c:v>28.5</c:v>
                </c:pt>
                <c:pt idx="476">
                  <c:v>27.6</c:v>
                </c:pt>
                <c:pt idx="477">
                  <c:v>28.3</c:v>
                </c:pt>
                <c:pt idx="478">
                  <c:v>27.5</c:v>
                </c:pt>
                <c:pt idx="479">
                  <c:v>27.4</c:v>
                </c:pt>
                <c:pt idx="480">
                  <c:v>26.5</c:v>
                </c:pt>
                <c:pt idx="481">
                  <c:v>26.4</c:v>
                </c:pt>
                <c:pt idx="482">
                  <c:v>27</c:v>
                </c:pt>
                <c:pt idx="483">
                  <c:v>27.3</c:v>
                </c:pt>
                <c:pt idx="484">
                  <c:v>28.1</c:v>
                </c:pt>
                <c:pt idx="485">
                  <c:v>28.3</c:v>
                </c:pt>
                <c:pt idx="486">
                  <c:v>28</c:v>
                </c:pt>
                <c:pt idx="487">
                  <c:v>28.1</c:v>
                </c:pt>
                <c:pt idx="488">
                  <c:v>28.2</c:v>
                </c:pt>
                <c:pt idx="489">
                  <c:v>27.6</c:v>
                </c:pt>
                <c:pt idx="490">
                  <c:v>27.5</c:v>
                </c:pt>
                <c:pt idx="491">
                  <c:v>27</c:v>
                </c:pt>
                <c:pt idx="492">
                  <c:v>27</c:v>
                </c:pt>
                <c:pt idx="493">
                  <c:v>26.7</c:v>
                </c:pt>
                <c:pt idx="494">
                  <c:v>27.2</c:v>
                </c:pt>
                <c:pt idx="495">
                  <c:v>27.9</c:v>
                </c:pt>
                <c:pt idx="496">
                  <c:v>28.4</c:v>
                </c:pt>
                <c:pt idx="497">
                  <c:v>28.5</c:v>
                </c:pt>
                <c:pt idx="498">
                  <c:v>28</c:v>
                </c:pt>
                <c:pt idx="499">
                  <c:v>28</c:v>
                </c:pt>
                <c:pt idx="500">
                  <c:v>28.6</c:v>
                </c:pt>
                <c:pt idx="501">
                  <c:v>27.7</c:v>
                </c:pt>
                <c:pt idx="502">
                  <c:v>28</c:v>
                </c:pt>
                <c:pt idx="503">
                  <c:v>27.5</c:v>
                </c:pt>
                <c:pt idx="504">
                  <c:v>27.3</c:v>
                </c:pt>
                <c:pt idx="505">
                  <c:v>27.2</c:v>
                </c:pt>
                <c:pt idx="506">
                  <c:v>27.4</c:v>
                </c:pt>
                <c:pt idx="507">
                  <c:v>27.9</c:v>
                </c:pt>
                <c:pt idx="508">
                  <c:v>27.9</c:v>
                </c:pt>
                <c:pt idx="509">
                  <c:v>28.4</c:v>
                </c:pt>
                <c:pt idx="510">
                  <c:v>28</c:v>
                </c:pt>
                <c:pt idx="511">
                  <c:v>28</c:v>
                </c:pt>
                <c:pt idx="512">
                  <c:v>28</c:v>
                </c:pt>
                <c:pt idx="513">
                  <c:v>27.8</c:v>
                </c:pt>
                <c:pt idx="514">
                  <c:v>27.5</c:v>
                </c:pt>
                <c:pt idx="515">
                  <c:v>26.9</c:v>
                </c:pt>
                <c:pt idx="516">
                  <c:v>26.5</c:v>
                </c:pt>
                <c:pt idx="517">
                  <c:v>27</c:v>
                </c:pt>
                <c:pt idx="518">
                  <c:v>26.4</c:v>
                </c:pt>
                <c:pt idx="519">
                  <c:v>27.2</c:v>
                </c:pt>
                <c:pt idx="520">
                  <c:v>28.2</c:v>
                </c:pt>
                <c:pt idx="521">
                  <c:v>28.1</c:v>
                </c:pt>
                <c:pt idx="522">
                  <c:v>28.4</c:v>
                </c:pt>
                <c:pt idx="523">
                  <c:v>28.6</c:v>
                </c:pt>
                <c:pt idx="524">
                  <c:v>28.5</c:v>
                </c:pt>
                <c:pt idx="525">
                  <c:v>28.5</c:v>
                </c:pt>
                <c:pt idx="526">
                  <c:v>28</c:v>
                </c:pt>
                <c:pt idx="527">
                  <c:v>27.8</c:v>
                </c:pt>
                <c:pt idx="528">
                  <c:v>27.4</c:v>
                </c:pt>
                <c:pt idx="529">
                  <c:v>27.7</c:v>
                </c:pt>
                <c:pt idx="530">
                  <c:v>27.5</c:v>
                </c:pt>
                <c:pt idx="531">
                  <c:v>28.4</c:v>
                </c:pt>
                <c:pt idx="532">
                  <c:v>28.5</c:v>
                </c:pt>
                <c:pt idx="533">
                  <c:v>28.6</c:v>
                </c:pt>
                <c:pt idx="534">
                  <c:v>28.3</c:v>
                </c:pt>
                <c:pt idx="535">
                  <c:v>28.9</c:v>
                </c:pt>
                <c:pt idx="536">
                  <c:v>28.4</c:v>
                </c:pt>
                <c:pt idx="537">
                  <c:v>28.2</c:v>
                </c:pt>
                <c:pt idx="538">
                  <c:v>28</c:v>
                </c:pt>
                <c:pt idx="539">
                  <c:v>27.3</c:v>
                </c:pt>
                <c:pt idx="540">
                  <c:v>26.8</c:v>
                </c:pt>
                <c:pt idx="541">
                  <c:v>26.3</c:v>
                </c:pt>
                <c:pt idx="542">
                  <c:v>27.3</c:v>
                </c:pt>
                <c:pt idx="543">
                  <c:v>27.8</c:v>
                </c:pt>
                <c:pt idx="544">
                  <c:v>28.2</c:v>
                </c:pt>
                <c:pt idx="545">
                  <c:v>28</c:v>
                </c:pt>
                <c:pt idx="546">
                  <c:v>28.1</c:v>
                </c:pt>
                <c:pt idx="547">
                  <c:v>27.6</c:v>
                </c:pt>
                <c:pt idx="548">
                  <c:v>27.4</c:v>
                </c:pt>
                <c:pt idx="549">
                  <c:v>27.2</c:v>
                </c:pt>
                <c:pt idx="550">
                  <c:v>27.4</c:v>
                </c:pt>
                <c:pt idx="551">
                  <c:v>26.8</c:v>
                </c:pt>
                <c:pt idx="552">
                  <c:v>26.1</c:v>
                </c:pt>
                <c:pt idx="553">
                  <c:v>26.3</c:v>
                </c:pt>
                <c:pt idx="554">
                  <c:v>26.4</c:v>
                </c:pt>
                <c:pt idx="555">
                  <c:v>27.3</c:v>
                </c:pt>
                <c:pt idx="556">
                  <c:v>27.9</c:v>
                </c:pt>
                <c:pt idx="557">
                  <c:v>28.1</c:v>
                </c:pt>
                <c:pt idx="558">
                  <c:v>27.8</c:v>
                </c:pt>
                <c:pt idx="559">
                  <c:v>28.2</c:v>
                </c:pt>
                <c:pt idx="560">
                  <c:v>27.7</c:v>
                </c:pt>
                <c:pt idx="561">
                  <c:v>27.8</c:v>
                </c:pt>
                <c:pt idx="562">
                  <c:v>27.7</c:v>
                </c:pt>
                <c:pt idx="564">
                  <c:v>26.9</c:v>
                </c:pt>
                <c:pt idx="565">
                  <c:v>26</c:v>
                </c:pt>
                <c:pt idx="566">
                  <c:v>26.7</c:v>
                </c:pt>
                <c:pt idx="567">
                  <c:v>27.3</c:v>
                </c:pt>
                <c:pt idx="568">
                  <c:v>28</c:v>
                </c:pt>
                <c:pt idx="569">
                  <c:v>28.2</c:v>
                </c:pt>
                <c:pt idx="570">
                  <c:v>28.3</c:v>
                </c:pt>
                <c:pt idx="571">
                  <c:v>28.8</c:v>
                </c:pt>
                <c:pt idx="572">
                  <c:v>28.2</c:v>
                </c:pt>
                <c:pt idx="573">
                  <c:v>28.1</c:v>
                </c:pt>
                <c:pt idx="574">
                  <c:v>28.1</c:v>
                </c:pt>
                <c:pt idx="575">
                  <c:v>27.9</c:v>
                </c:pt>
                <c:pt idx="576">
                  <c:v>27.7</c:v>
                </c:pt>
                <c:pt idx="577">
                  <c:v>26.7</c:v>
                </c:pt>
                <c:pt idx="578">
                  <c:v>27</c:v>
                </c:pt>
                <c:pt idx="579">
                  <c:v>27.7</c:v>
                </c:pt>
                <c:pt idx="580">
                  <c:v>28.5</c:v>
                </c:pt>
                <c:pt idx="581">
                  <c:v>28.7</c:v>
                </c:pt>
                <c:pt idx="582">
                  <c:v>28.4</c:v>
                </c:pt>
                <c:pt idx="583">
                  <c:v>28.8</c:v>
                </c:pt>
                <c:pt idx="584">
                  <c:v>28.5</c:v>
                </c:pt>
                <c:pt idx="585">
                  <c:v>28.4</c:v>
                </c:pt>
                <c:pt idx="586">
                  <c:v>28.3</c:v>
                </c:pt>
                <c:pt idx="587">
                  <c:v>27.9</c:v>
                </c:pt>
                <c:pt idx="588">
                  <c:v>27.3</c:v>
                </c:pt>
                <c:pt idx="589">
                  <c:v>27.4</c:v>
                </c:pt>
                <c:pt idx="590">
                  <c:v>27.5</c:v>
                </c:pt>
                <c:pt idx="591">
                  <c:v>27.9</c:v>
                </c:pt>
                <c:pt idx="592">
                  <c:v>28.7</c:v>
                </c:pt>
                <c:pt idx="593">
                  <c:v>28.3</c:v>
                </c:pt>
                <c:pt idx="594">
                  <c:v>28.2</c:v>
                </c:pt>
                <c:pt idx="595">
                  <c:v>28.4</c:v>
                </c:pt>
                <c:pt idx="596">
                  <c:v>28.6</c:v>
                </c:pt>
                <c:pt idx="597">
                  <c:v>27.9</c:v>
                </c:pt>
                <c:pt idx="598">
                  <c:v>28.3</c:v>
                </c:pt>
                <c:pt idx="599">
                  <c:v>27.8</c:v>
                </c:pt>
                <c:pt idx="600">
                  <c:v>27</c:v>
                </c:pt>
                <c:pt idx="601">
                  <c:v>27.4</c:v>
                </c:pt>
                <c:pt idx="602">
                  <c:v>27.1</c:v>
                </c:pt>
                <c:pt idx="603">
                  <c:v>27.8</c:v>
                </c:pt>
                <c:pt idx="604">
                  <c:v>28.2</c:v>
                </c:pt>
                <c:pt idx="605">
                  <c:v>28.5</c:v>
                </c:pt>
                <c:pt idx="606">
                  <c:v>28.2</c:v>
                </c:pt>
                <c:pt idx="607">
                  <c:v>28.6</c:v>
                </c:pt>
                <c:pt idx="608">
                  <c:v>28.3</c:v>
                </c:pt>
                <c:pt idx="609">
                  <c:v>28</c:v>
                </c:pt>
                <c:pt idx="610">
                  <c:v>27.6</c:v>
                </c:pt>
                <c:pt idx="611">
                  <c:v>27.6</c:v>
                </c:pt>
                <c:pt idx="612">
                  <c:v>27.4</c:v>
                </c:pt>
                <c:pt idx="613">
                  <c:v>27.3</c:v>
                </c:pt>
                <c:pt idx="614">
                  <c:v>28.2</c:v>
                </c:pt>
                <c:pt idx="615">
                  <c:v>28.3</c:v>
                </c:pt>
                <c:pt idx="616">
                  <c:v>28.5</c:v>
                </c:pt>
                <c:pt idx="617">
                  <c:v>28.8</c:v>
                </c:pt>
                <c:pt idx="618">
                  <c:v>28.7</c:v>
                </c:pt>
                <c:pt idx="619">
                  <c:v>28.6</c:v>
                </c:pt>
                <c:pt idx="620">
                  <c:v>28.5</c:v>
                </c:pt>
                <c:pt idx="621">
                  <c:v>27.8</c:v>
                </c:pt>
                <c:pt idx="622">
                  <c:v>28</c:v>
                </c:pt>
                <c:pt idx="623">
                  <c:v>27.5</c:v>
                </c:pt>
                <c:pt idx="624">
                  <c:v>27.2</c:v>
                </c:pt>
                <c:pt idx="625">
                  <c:v>26.8</c:v>
                </c:pt>
                <c:pt idx="626">
                  <c:v>27.1</c:v>
                </c:pt>
                <c:pt idx="627">
                  <c:v>27.6</c:v>
                </c:pt>
                <c:pt idx="628">
                  <c:v>28.3</c:v>
                </c:pt>
                <c:pt idx="629">
                  <c:v>28.5</c:v>
                </c:pt>
                <c:pt idx="630">
                  <c:v>28.6</c:v>
                </c:pt>
                <c:pt idx="631">
                  <c:v>28.7</c:v>
                </c:pt>
                <c:pt idx="632">
                  <c:v>28.5</c:v>
                </c:pt>
                <c:pt idx="633">
                  <c:v>28.4</c:v>
                </c:pt>
                <c:pt idx="634">
                  <c:v>28.2</c:v>
                </c:pt>
                <c:pt idx="635">
                  <c:v>27.8</c:v>
                </c:pt>
                <c:pt idx="636">
                  <c:v>26.9</c:v>
                </c:pt>
                <c:pt idx="637">
                  <c:v>27.1</c:v>
                </c:pt>
                <c:pt idx="638">
                  <c:v>27.4</c:v>
                </c:pt>
                <c:pt idx="639">
                  <c:v>27.8</c:v>
                </c:pt>
                <c:pt idx="640">
                  <c:v>27.9</c:v>
                </c:pt>
                <c:pt idx="641">
                  <c:v>28.7</c:v>
                </c:pt>
                <c:pt idx="642">
                  <c:v>28.4</c:v>
                </c:pt>
                <c:pt idx="643">
                  <c:v>27.8</c:v>
                </c:pt>
                <c:pt idx="644">
                  <c:v>28</c:v>
                </c:pt>
                <c:pt idx="645">
                  <c:v>27.5</c:v>
                </c:pt>
                <c:pt idx="646">
                  <c:v>28.2</c:v>
                </c:pt>
                <c:pt idx="647">
                  <c:v>27.6</c:v>
                </c:pt>
                <c:pt idx="648">
                  <c:v>27</c:v>
                </c:pt>
                <c:pt idx="649">
                  <c:v>26.9</c:v>
                </c:pt>
                <c:pt idx="650">
                  <c:v>27</c:v>
                </c:pt>
                <c:pt idx="651">
                  <c:v>27.7</c:v>
                </c:pt>
                <c:pt idx="652">
                  <c:v>28</c:v>
                </c:pt>
                <c:pt idx="653">
                  <c:v>28.2</c:v>
                </c:pt>
                <c:pt idx="654">
                  <c:v>28</c:v>
                </c:pt>
                <c:pt idx="655">
                  <c:v>27.8</c:v>
                </c:pt>
                <c:pt idx="656">
                  <c:v>28.2</c:v>
                </c:pt>
                <c:pt idx="657">
                  <c:v>28</c:v>
                </c:pt>
                <c:pt idx="658">
                  <c:v>27.7</c:v>
                </c:pt>
                <c:pt idx="659">
                  <c:v>27.1</c:v>
                </c:pt>
                <c:pt idx="660">
                  <c:v>26.7</c:v>
                </c:pt>
                <c:pt idx="661">
                  <c:v>27</c:v>
                </c:pt>
                <c:pt idx="662">
                  <c:v>27.4</c:v>
                </c:pt>
                <c:pt idx="663">
                  <c:v>28</c:v>
                </c:pt>
                <c:pt idx="664">
                  <c:v>28.7</c:v>
                </c:pt>
                <c:pt idx="665">
                  <c:v>28.6</c:v>
                </c:pt>
                <c:pt idx="666">
                  <c:v>28.8</c:v>
                </c:pt>
                <c:pt idx="667">
                  <c:v>28.6</c:v>
                </c:pt>
                <c:pt idx="668">
                  <c:v>29</c:v>
                </c:pt>
                <c:pt idx="669">
                  <c:v>28.3</c:v>
                </c:pt>
                <c:pt idx="670">
                  <c:v>28.5</c:v>
                </c:pt>
                <c:pt idx="671">
                  <c:v>28.4</c:v>
                </c:pt>
                <c:pt idx="672">
                  <c:v>27.9</c:v>
                </c:pt>
                <c:pt idx="673">
                  <c:v>28</c:v>
                </c:pt>
                <c:pt idx="674">
                  <c:v>28.6</c:v>
                </c:pt>
                <c:pt idx="675">
                  <c:v>28.8</c:v>
                </c:pt>
                <c:pt idx="676">
                  <c:v>29</c:v>
                </c:pt>
                <c:pt idx="677">
                  <c:v>28.7</c:v>
                </c:pt>
                <c:pt idx="678">
                  <c:v>28.1</c:v>
                </c:pt>
                <c:pt idx="679">
                  <c:v>28.1</c:v>
                </c:pt>
                <c:pt idx="680">
                  <c:v>28.2</c:v>
                </c:pt>
                <c:pt idx="681">
                  <c:v>27.9</c:v>
                </c:pt>
                <c:pt idx="682">
                  <c:v>27.1</c:v>
                </c:pt>
                <c:pt idx="683">
                  <c:v>27.2</c:v>
                </c:pt>
                <c:pt idx="685">
                  <c:v>27.1</c:v>
                </c:pt>
                <c:pt idx="686">
                  <c:v>27.3</c:v>
                </c:pt>
                <c:pt idx="687">
                  <c:v>28</c:v>
                </c:pt>
                <c:pt idx="688">
                  <c:v>28.3</c:v>
                </c:pt>
                <c:pt idx="689">
                  <c:v>28.6</c:v>
                </c:pt>
                <c:pt idx="690">
                  <c:v>28.1</c:v>
                </c:pt>
                <c:pt idx="691">
                  <c:v>28.1</c:v>
                </c:pt>
                <c:pt idx="692">
                  <c:v>28.2</c:v>
                </c:pt>
                <c:pt idx="693">
                  <c:v>27.3</c:v>
                </c:pt>
                <c:pt idx="694">
                  <c:v>27.3</c:v>
                </c:pt>
                <c:pt idx="695">
                  <c:v>27.1</c:v>
                </c:pt>
                <c:pt idx="696">
                  <c:v>26.9</c:v>
                </c:pt>
                <c:pt idx="697">
                  <c:v>26.7</c:v>
                </c:pt>
                <c:pt idx="698">
                  <c:v>27.4</c:v>
                </c:pt>
                <c:pt idx="699">
                  <c:v>28</c:v>
                </c:pt>
                <c:pt idx="700">
                  <c:v>28.9</c:v>
                </c:pt>
                <c:pt idx="701">
                  <c:v>29</c:v>
                </c:pt>
                <c:pt idx="702">
                  <c:v>28.9</c:v>
                </c:pt>
                <c:pt idx="703">
                  <c:v>28.4</c:v>
                </c:pt>
                <c:pt idx="704">
                  <c:v>28.9</c:v>
                </c:pt>
                <c:pt idx="708">
                  <c:v>27</c:v>
                </c:pt>
                <c:pt idx="709">
                  <c:v>27.2</c:v>
                </c:pt>
                <c:pt idx="710">
                  <c:v>28.1</c:v>
                </c:pt>
                <c:pt idx="711">
                  <c:v>28.3</c:v>
                </c:pt>
                <c:pt idx="712">
                  <c:v>28.1</c:v>
                </c:pt>
                <c:pt idx="713">
                  <c:v>28.8</c:v>
                </c:pt>
                <c:pt idx="714">
                  <c:v>28.3</c:v>
                </c:pt>
                <c:pt idx="715">
                  <c:v>28.2</c:v>
                </c:pt>
                <c:pt idx="716">
                  <c:v>28.3</c:v>
                </c:pt>
                <c:pt idx="717">
                  <c:v>28.4</c:v>
                </c:pt>
                <c:pt idx="718">
                  <c:v>28.8</c:v>
                </c:pt>
                <c:pt idx="719">
                  <c:v>28.8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E2-4115-9E40-E2BBDFFE50C8}"/>
            </c:ext>
          </c:extLst>
        </c:ser>
        <c:ser>
          <c:idx val="1"/>
          <c:order val="1"/>
          <c:tx>
            <c:strRef>
              <c:f>HadISST!$J$2</c:f>
              <c:strCache>
                <c:ptCount val="1"/>
                <c:pt idx="0">
                  <c:v>HADISST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HadISST!$I$3:$I$758</c:f>
              <c:numCache>
                <c:formatCode>0.0</c:formatCode>
                <c:ptCount val="756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</c:numCache>
            </c:numRef>
          </c:xVal>
          <c:yVal>
            <c:numRef>
              <c:f>HadISST!$J$3:$J$758</c:f>
              <c:numCache>
                <c:formatCode>0.00</c:formatCode>
                <c:ptCount val="756"/>
                <c:pt idx="0">
                  <c:v>28.673012</c:v>
                </c:pt>
                <c:pt idx="1">
                  <c:v>29.053927999999999</c:v>
                </c:pt>
                <c:pt idx="2">
                  <c:v>29.775919999999999</c:v>
                </c:pt>
                <c:pt idx="3">
                  <c:v>29.478052000000002</c:v>
                </c:pt>
                <c:pt idx="4">
                  <c:v>28.577988000000001</c:v>
                </c:pt>
                <c:pt idx="5">
                  <c:v>28.235472000000001</c:v>
                </c:pt>
                <c:pt idx="6">
                  <c:v>28.563735999999999</c:v>
                </c:pt>
                <c:pt idx="7">
                  <c:v>28.284054000000001</c:v>
                </c:pt>
                <c:pt idx="8">
                  <c:v>27.440892999999999</c:v>
                </c:pt>
                <c:pt idx="9">
                  <c:v>27.113792</c:v>
                </c:pt>
                <c:pt idx="10">
                  <c:v>27.458083999999999</c:v>
                </c:pt>
                <c:pt idx="11">
                  <c:v>27.607154999999999</c:v>
                </c:pt>
                <c:pt idx="12">
                  <c:v>28.251197999999999</c:v>
                </c:pt>
                <c:pt idx="13">
                  <c:v>28.932227999999999</c:v>
                </c:pt>
                <c:pt idx="14">
                  <c:v>29.426392</c:v>
                </c:pt>
                <c:pt idx="15">
                  <c:v>29.139455999999999</c:v>
                </c:pt>
                <c:pt idx="16">
                  <c:v>28.682107999999999</c:v>
                </c:pt>
                <c:pt idx="17">
                  <c:v>28.297035000000001</c:v>
                </c:pt>
                <c:pt idx="18">
                  <c:v>28.557255000000001</c:v>
                </c:pt>
                <c:pt idx="19">
                  <c:v>28.518550000000001</c:v>
                </c:pt>
                <c:pt idx="20">
                  <c:v>27.790358000000001</c:v>
                </c:pt>
                <c:pt idx="21">
                  <c:v>27.352672999999999</c:v>
                </c:pt>
                <c:pt idx="22">
                  <c:v>27.098942000000001</c:v>
                </c:pt>
                <c:pt idx="23">
                  <c:v>27.474537000000002</c:v>
                </c:pt>
                <c:pt idx="24">
                  <c:v>28.176974999999999</c:v>
                </c:pt>
                <c:pt idx="25">
                  <c:v>29.361366</c:v>
                </c:pt>
                <c:pt idx="26">
                  <c:v>29.281445999999999</c:v>
                </c:pt>
                <c:pt idx="27">
                  <c:v>29.336845</c:v>
                </c:pt>
                <c:pt idx="28">
                  <c:v>28.892918000000002</c:v>
                </c:pt>
                <c:pt idx="29">
                  <c:v>28.520949999999999</c:v>
                </c:pt>
                <c:pt idx="30">
                  <c:v>28.711212</c:v>
                </c:pt>
                <c:pt idx="31">
                  <c:v>28.13054</c:v>
                </c:pt>
                <c:pt idx="32">
                  <c:v>27.87162</c:v>
                </c:pt>
                <c:pt idx="33">
                  <c:v>27.291796000000001</c:v>
                </c:pt>
                <c:pt idx="34">
                  <c:v>27.305792</c:v>
                </c:pt>
                <c:pt idx="35">
                  <c:v>27.197937</c:v>
                </c:pt>
                <c:pt idx="36">
                  <c:v>28.103085</c:v>
                </c:pt>
                <c:pt idx="37">
                  <c:v>29.116371000000001</c:v>
                </c:pt>
                <c:pt idx="38">
                  <c:v>29.136683999999999</c:v>
                </c:pt>
                <c:pt idx="39">
                  <c:v>29.272096999999999</c:v>
                </c:pt>
                <c:pt idx="40">
                  <c:v>28.836069999999999</c:v>
                </c:pt>
                <c:pt idx="41">
                  <c:v>28.560043</c:v>
                </c:pt>
                <c:pt idx="42">
                  <c:v>28.727872999999999</c:v>
                </c:pt>
                <c:pt idx="43">
                  <c:v>28.609591999999999</c:v>
                </c:pt>
                <c:pt idx="44">
                  <c:v>27.742134</c:v>
                </c:pt>
                <c:pt idx="45">
                  <c:v>26.82704</c:v>
                </c:pt>
                <c:pt idx="46">
                  <c:v>27.037662999999998</c:v>
                </c:pt>
                <c:pt idx="47">
                  <c:v>27.202068000000001</c:v>
                </c:pt>
                <c:pt idx="48">
                  <c:v>28.073639</c:v>
                </c:pt>
                <c:pt idx="49">
                  <c:v>29.308039999999998</c:v>
                </c:pt>
                <c:pt idx="50">
                  <c:v>29.321407000000001</c:v>
                </c:pt>
                <c:pt idx="51">
                  <c:v>29.176784999999999</c:v>
                </c:pt>
                <c:pt idx="52">
                  <c:v>28.852049000000001</c:v>
                </c:pt>
                <c:pt idx="53">
                  <c:v>28.574192</c:v>
                </c:pt>
                <c:pt idx="54">
                  <c:v>29.025691999999999</c:v>
                </c:pt>
                <c:pt idx="55">
                  <c:v>28.625941999999998</c:v>
                </c:pt>
                <c:pt idx="56">
                  <c:v>27.722183000000001</c:v>
                </c:pt>
                <c:pt idx="57">
                  <c:v>27.348398</c:v>
                </c:pt>
                <c:pt idx="58">
                  <c:v>27.516311999999999</c:v>
                </c:pt>
                <c:pt idx="59">
                  <c:v>27.596831999999999</c:v>
                </c:pt>
                <c:pt idx="60">
                  <c:v>27.950785</c:v>
                </c:pt>
                <c:pt idx="61">
                  <c:v>29.055800000000001</c:v>
                </c:pt>
                <c:pt idx="62">
                  <c:v>29.50854</c:v>
                </c:pt>
                <c:pt idx="63">
                  <c:v>29.393719999999998</c:v>
                </c:pt>
                <c:pt idx="64">
                  <c:v>29.337439</c:v>
                </c:pt>
                <c:pt idx="65">
                  <c:v>29.273273</c:v>
                </c:pt>
                <c:pt idx="66">
                  <c:v>29.24973</c:v>
                </c:pt>
                <c:pt idx="67">
                  <c:v>29.356506</c:v>
                </c:pt>
                <c:pt idx="68">
                  <c:v>28.180336</c:v>
                </c:pt>
                <c:pt idx="69">
                  <c:v>28.356617</c:v>
                </c:pt>
                <c:pt idx="70">
                  <c:v>27.98096</c:v>
                </c:pt>
                <c:pt idx="71">
                  <c:v>27.593599999999999</c:v>
                </c:pt>
                <c:pt idx="72">
                  <c:v>28.329805</c:v>
                </c:pt>
                <c:pt idx="73">
                  <c:v>29.162089999999999</c:v>
                </c:pt>
                <c:pt idx="74">
                  <c:v>29.089919999999999</c:v>
                </c:pt>
                <c:pt idx="75">
                  <c:v>29.004158</c:v>
                </c:pt>
                <c:pt idx="76">
                  <c:v>28.690538</c:v>
                </c:pt>
                <c:pt idx="77">
                  <c:v>28.544537999999999</c:v>
                </c:pt>
                <c:pt idx="78">
                  <c:v>29.064436000000001</c:v>
                </c:pt>
                <c:pt idx="79">
                  <c:v>27.956102000000001</c:v>
                </c:pt>
                <c:pt idx="80">
                  <c:v>27.107899</c:v>
                </c:pt>
                <c:pt idx="81">
                  <c:v>26.465076</c:v>
                </c:pt>
                <c:pt idx="82">
                  <c:v>26.613071000000001</c:v>
                </c:pt>
                <c:pt idx="83">
                  <c:v>27.034991999999999</c:v>
                </c:pt>
                <c:pt idx="84">
                  <c:v>27.704483</c:v>
                </c:pt>
                <c:pt idx="85">
                  <c:v>28.880538999999999</c:v>
                </c:pt>
                <c:pt idx="86">
                  <c:v>29.35286</c:v>
                </c:pt>
                <c:pt idx="87">
                  <c:v>29.244125</c:v>
                </c:pt>
                <c:pt idx="88">
                  <c:v>28.858027</c:v>
                </c:pt>
                <c:pt idx="89">
                  <c:v>28.503761000000001</c:v>
                </c:pt>
                <c:pt idx="90">
                  <c:v>28.670237</c:v>
                </c:pt>
                <c:pt idx="91">
                  <c:v>28.076474999999999</c:v>
                </c:pt>
                <c:pt idx="92">
                  <c:v>27.526384</c:v>
                </c:pt>
                <c:pt idx="93">
                  <c:v>26.876124999999998</c:v>
                </c:pt>
                <c:pt idx="94">
                  <c:v>26.865704000000001</c:v>
                </c:pt>
                <c:pt idx="95">
                  <c:v>26.972602999999999</c:v>
                </c:pt>
                <c:pt idx="96">
                  <c:v>27.852543000000001</c:v>
                </c:pt>
                <c:pt idx="97">
                  <c:v>28.80339</c:v>
                </c:pt>
                <c:pt idx="98">
                  <c:v>29.111529999999998</c:v>
                </c:pt>
                <c:pt idx="99">
                  <c:v>29.03689</c:v>
                </c:pt>
                <c:pt idx="100">
                  <c:v>28.627700000000001</c:v>
                </c:pt>
                <c:pt idx="101">
                  <c:v>28.413506000000002</c:v>
                </c:pt>
                <c:pt idx="102">
                  <c:v>28.711490000000001</c:v>
                </c:pt>
                <c:pt idx="103">
                  <c:v>28.571280000000002</c:v>
                </c:pt>
                <c:pt idx="104">
                  <c:v>27.767769000000001</c:v>
                </c:pt>
                <c:pt idx="105">
                  <c:v>27.194614000000001</c:v>
                </c:pt>
                <c:pt idx="106">
                  <c:v>27.185345000000002</c:v>
                </c:pt>
                <c:pt idx="107">
                  <c:v>27.232132</c:v>
                </c:pt>
                <c:pt idx="108">
                  <c:v>28.172557999999999</c:v>
                </c:pt>
                <c:pt idx="109">
                  <c:v>29.271367999999999</c:v>
                </c:pt>
                <c:pt idx="110">
                  <c:v>29.268916999999998</c:v>
                </c:pt>
                <c:pt idx="111">
                  <c:v>29.190449000000001</c:v>
                </c:pt>
                <c:pt idx="112">
                  <c:v>28.920438999999998</c:v>
                </c:pt>
                <c:pt idx="113">
                  <c:v>28.700240999999998</c:v>
                </c:pt>
                <c:pt idx="114">
                  <c:v>29.124960000000002</c:v>
                </c:pt>
                <c:pt idx="115">
                  <c:v>28.656092000000001</c:v>
                </c:pt>
                <c:pt idx="116">
                  <c:v>27.712506999999999</c:v>
                </c:pt>
                <c:pt idx="117">
                  <c:v>27.057026</c:v>
                </c:pt>
                <c:pt idx="118">
                  <c:v>26.998588999999999</c:v>
                </c:pt>
                <c:pt idx="119">
                  <c:v>27.270935000000001</c:v>
                </c:pt>
                <c:pt idx="120">
                  <c:v>28.159420000000001</c:v>
                </c:pt>
                <c:pt idx="121">
                  <c:v>28.921579999999999</c:v>
                </c:pt>
                <c:pt idx="122">
                  <c:v>29.280418000000001</c:v>
                </c:pt>
                <c:pt idx="123">
                  <c:v>29.377977000000001</c:v>
                </c:pt>
                <c:pt idx="124">
                  <c:v>29.166789999999999</c:v>
                </c:pt>
                <c:pt idx="125">
                  <c:v>28.986820000000002</c:v>
                </c:pt>
                <c:pt idx="126">
                  <c:v>29.407322000000001</c:v>
                </c:pt>
                <c:pt idx="127">
                  <c:v>29.238060000000001</c:v>
                </c:pt>
                <c:pt idx="128">
                  <c:v>28.38344</c:v>
                </c:pt>
                <c:pt idx="129">
                  <c:v>27.556049999999999</c:v>
                </c:pt>
                <c:pt idx="130">
                  <c:v>26.825703000000001</c:v>
                </c:pt>
                <c:pt idx="131">
                  <c:v>27.331130999999999</c:v>
                </c:pt>
                <c:pt idx="132">
                  <c:v>28.138020999999998</c:v>
                </c:pt>
                <c:pt idx="133">
                  <c:v>28.907586999999999</c:v>
                </c:pt>
                <c:pt idx="134">
                  <c:v>29.338363999999999</c:v>
                </c:pt>
                <c:pt idx="135">
                  <c:v>29.209610000000001</c:v>
                </c:pt>
                <c:pt idx="136">
                  <c:v>28.810718999999999</c:v>
                </c:pt>
                <c:pt idx="137">
                  <c:v>28.47953</c:v>
                </c:pt>
                <c:pt idx="138">
                  <c:v>28.625893000000001</c:v>
                </c:pt>
                <c:pt idx="139">
                  <c:v>28.419525</c:v>
                </c:pt>
                <c:pt idx="140">
                  <c:v>27.874420000000001</c:v>
                </c:pt>
                <c:pt idx="141">
                  <c:v>27.052551000000001</c:v>
                </c:pt>
                <c:pt idx="142">
                  <c:v>27.071808000000001</c:v>
                </c:pt>
                <c:pt idx="143">
                  <c:v>27.271975999999999</c:v>
                </c:pt>
                <c:pt idx="144">
                  <c:v>28.002147999999998</c:v>
                </c:pt>
                <c:pt idx="145">
                  <c:v>29.012756</c:v>
                </c:pt>
                <c:pt idx="146">
                  <c:v>29.477181999999999</c:v>
                </c:pt>
                <c:pt idx="147">
                  <c:v>29.224972000000001</c:v>
                </c:pt>
                <c:pt idx="148">
                  <c:v>28.791232999999998</c:v>
                </c:pt>
                <c:pt idx="149">
                  <c:v>28.433136000000001</c:v>
                </c:pt>
                <c:pt idx="150">
                  <c:v>28.6553</c:v>
                </c:pt>
                <c:pt idx="151">
                  <c:v>28.372574</c:v>
                </c:pt>
                <c:pt idx="152">
                  <c:v>28.064848000000001</c:v>
                </c:pt>
                <c:pt idx="153">
                  <c:v>27.146273000000001</c:v>
                </c:pt>
                <c:pt idx="154">
                  <c:v>27.115856000000001</c:v>
                </c:pt>
                <c:pt idx="155">
                  <c:v>27.290151999999999</c:v>
                </c:pt>
                <c:pt idx="156">
                  <c:v>27.961327000000001</c:v>
                </c:pt>
                <c:pt idx="157">
                  <c:v>28.888596</c:v>
                </c:pt>
                <c:pt idx="158">
                  <c:v>29.102944999999998</c:v>
                </c:pt>
                <c:pt idx="159">
                  <c:v>28.773917999999998</c:v>
                </c:pt>
                <c:pt idx="160">
                  <c:v>28.328240000000001</c:v>
                </c:pt>
                <c:pt idx="161">
                  <c:v>28.217649999999999</c:v>
                </c:pt>
                <c:pt idx="162">
                  <c:v>28.497033999999999</c:v>
                </c:pt>
                <c:pt idx="163">
                  <c:v>28.155992999999999</c:v>
                </c:pt>
                <c:pt idx="164">
                  <c:v>27.583283999999999</c:v>
                </c:pt>
                <c:pt idx="165">
                  <c:v>27.082336000000002</c:v>
                </c:pt>
                <c:pt idx="166">
                  <c:v>27.000133999999999</c:v>
                </c:pt>
                <c:pt idx="167">
                  <c:v>27.337869999999999</c:v>
                </c:pt>
                <c:pt idx="168">
                  <c:v>28.049526</c:v>
                </c:pt>
                <c:pt idx="169">
                  <c:v>28.679912999999999</c:v>
                </c:pt>
                <c:pt idx="170">
                  <c:v>29.12182</c:v>
                </c:pt>
                <c:pt idx="171">
                  <c:v>29.025096999999999</c:v>
                </c:pt>
                <c:pt idx="172">
                  <c:v>28.618646999999999</c:v>
                </c:pt>
                <c:pt idx="173">
                  <c:v>28.398060000000001</c:v>
                </c:pt>
                <c:pt idx="174">
                  <c:v>28.822624000000001</c:v>
                </c:pt>
                <c:pt idx="175">
                  <c:v>28.235503999999999</c:v>
                </c:pt>
                <c:pt idx="176">
                  <c:v>27.255444000000001</c:v>
                </c:pt>
                <c:pt idx="177">
                  <c:v>26.661549999999998</c:v>
                </c:pt>
                <c:pt idx="178">
                  <c:v>26.538681</c:v>
                </c:pt>
                <c:pt idx="179">
                  <c:v>26.886410000000001</c:v>
                </c:pt>
                <c:pt idx="180">
                  <c:v>27.563030000000001</c:v>
                </c:pt>
                <c:pt idx="181">
                  <c:v>28.679812999999999</c:v>
                </c:pt>
                <c:pt idx="182">
                  <c:v>28.932037000000001</c:v>
                </c:pt>
                <c:pt idx="183">
                  <c:v>28.852404</c:v>
                </c:pt>
                <c:pt idx="184">
                  <c:v>28.584655999999999</c:v>
                </c:pt>
                <c:pt idx="185">
                  <c:v>28.283096</c:v>
                </c:pt>
                <c:pt idx="186">
                  <c:v>28.437287999999999</c:v>
                </c:pt>
                <c:pt idx="187">
                  <c:v>28.207857000000001</c:v>
                </c:pt>
                <c:pt idx="188">
                  <c:v>27.356756000000001</c:v>
                </c:pt>
                <c:pt idx="189">
                  <c:v>26.734048999999999</c:v>
                </c:pt>
                <c:pt idx="190">
                  <c:v>26.750644999999999</c:v>
                </c:pt>
                <c:pt idx="191">
                  <c:v>26.800830000000001</c:v>
                </c:pt>
                <c:pt idx="192">
                  <c:v>27.89828</c:v>
                </c:pt>
                <c:pt idx="193">
                  <c:v>28.303477999999998</c:v>
                </c:pt>
                <c:pt idx="194">
                  <c:v>28.966629000000001</c:v>
                </c:pt>
                <c:pt idx="195">
                  <c:v>28.978497999999998</c:v>
                </c:pt>
                <c:pt idx="196">
                  <c:v>28.797606999999999</c:v>
                </c:pt>
                <c:pt idx="197">
                  <c:v>28.540585</c:v>
                </c:pt>
                <c:pt idx="198">
                  <c:v>28.782764</c:v>
                </c:pt>
                <c:pt idx="199">
                  <c:v>28.198405999999999</c:v>
                </c:pt>
                <c:pt idx="200">
                  <c:v>27.552143000000001</c:v>
                </c:pt>
                <c:pt idx="201">
                  <c:v>26.935252999999999</c:v>
                </c:pt>
                <c:pt idx="202">
                  <c:v>26.596931000000001</c:v>
                </c:pt>
                <c:pt idx="203">
                  <c:v>27.152920000000002</c:v>
                </c:pt>
                <c:pt idx="204">
                  <c:v>28.066917</c:v>
                </c:pt>
                <c:pt idx="205">
                  <c:v>28.998287000000001</c:v>
                </c:pt>
                <c:pt idx="206">
                  <c:v>29.101966999999998</c:v>
                </c:pt>
                <c:pt idx="207">
                  <c:v>29.418707000000001</c:v>
                </c:pt>
                <c:pt idx="208">
                  <c:v>29.319911999999999</c:v>
                </c:pt>
                <c:pt idx="209">
                  <c:v>28.865658</c:v>
                </c:pt>
                <c:pt idx="210">
                  <c:v>29.120782999999999</c:v>
                </c:pt>
                <c:pt idx="211">
                  <c:v>28.859881999999999</c:v>
                </c:pt>
                <c:pt idx="212">
                  <c:v>27.934906000000002</c:v>
                </c:pt>
                <c:pt idx="213">
                  <c:v>27.566013000000002</c:v>
                </c:pt>
                <c:pt idx="214">
                  <c:v>27.492370000000001</c:v>
                </c:pt>
                <c:pt idx="215">
                  <c:v>27.386194</c:v>
                </c:pt>
                <c:pt idx="216">
                  <c:v>28.053778000000001</c:v>
                </c:pt>
                <c:pt idx="217">
                  <c:v>28.978885999999999</c:v>
                </c:pt>
                <c:pt idx="218">
                  <c:v>29.191174</c:v>
                </c:pt>
                <c:pt idx="219">
                  <c:v>28.914299</c:v>
                </c:pt>
                <c:pt idx="220">
                  <c:v>28.438068000000001</c:v>
                </c:pt>
                <c:pt idx="221">
                  <c:v>28.393802999999998</c:v>
                </c:pt>
                <c:pt idx="222">
                  <c:v>28.73631</c:v>
                </c:pt>
                <c:pt idx="223">
                  <c:v>28.317820000000001</c:v>
                </c:pt>
                <c:pt idx="224">
                  <c:v>27.389868</c:v>
                </c:pt>
                <c:pt idx="225">
                  <c:v>26.858093</c:v>
                </c:pt>
                <c:pt idx="226">
                  <c:v>26.930568999999998</c:v>
                </c:pt>
                <c:pt idx="227">
                  <c:v>27.178028000000001</c:v>
                </c:pt>
                <c:pt idx="228">
                  <c:v>27.653341000000001</c:v>
                </c:pt>
                <c:pt idx="229">
                  <c:v>28.459136999999998</c:v>
                </c:pt>
                <c:pt idx="230">
                  <c:v>28.765609999999999</c:v>
                </c:pt>
                <c:pt idx="231">
                  <c:v>28.809937000000001</c:v>
                </c:pt>
                <c:pt idx="232">
                  <c:v>28.405017999999998</c:v>
                </c:pt>
                <c:pt idx="233">
                  <c:v>28.343678000000001</c:v>
                </c:pt>
                <c:pt idx="234">
                  <c:v>28.796707000000001</c:v>
                </c:pt>
                <c:pt idx="235">
                  <c:v>28.376728</c:v>
                </c:pt>
                <c:pt idx="236">
                  <c:v>27.657910000000001</c:v>
                </c:pt>
                <c:pt idx="237">
                  <c:v>27.268969999999999</c:v>
                </c:pt>
                <c:pt idx="238">
                  <c:v>27.209606000000001</c:v>
                </c:pt>
                <c:pt idx="239">
                  <c:v>27.703735000000002</c:v>
                </c:pt>
                <c:pt idx="240">
                  <c:v>28.104153</c:v>
                </c:pt>
                <c:pt idx="241">
                  <c:v>28.912303999999999</c:v>
                </c:pt>
                <c:pt idx="242">
                  <c:v>29.092924</c:v>
                </c:pt>
                <c:pt idx="243">
                  <c:v>28.932924</c:v>
                </c:pt>
                <c:pt idx="244">
                  <c:v>28.871324999999999</c:v>
                </c:pt>
                <c:pt idx="245">
                  <c:v>28.697051999999999</c:v>
                </c:pt>
                <c:pt idx="246">
                  <c:v>29.007117999999998</c:v>
                </c:pt>
                <c:pt idx="247">
                  <c:v>28.602460000000001</c:v>
                </c:pt>
                <c:pt idx="248">
                  <c:v>27.807023999999998</c:v>
                </c:pt>
                <c:pt idx="249">
                  <c:v>27.377182000000001</c:v>
                </c:pt>
                <c:pt idx="250">
                  <c:v>27.112738</c:v>
                </c:pt>
                <c:pt idx="251">
                  <c:v>27.284130000000001</c:v>
                </c:pt>
                <c:pt idx="252">
                  <c:v>27.805050000000001</c:v>
                </c:pt>
                <c:pt idx="253">
                  <c:v>28.612185</c:v>
                </c:pt>
                <c:pt idx="254">
                  <c:v>28.904247000000002</c:v>
                </c:pt>
                <c:pt idx="255">
                  <c:v>28.571362000000001</c:v>
                </c:pt>
                <c:pt idx="256">
                  <c:v>28.235440000000001</c:v>
                </c:pt>
                <c:pt idx="257">
                  <c:v>27.998660999999998</c:v>
                </c:pt>
                <c:pt idx="258">
                  <c:v>28.462057000000001</c:v>
                </c:pt>
                <c:pt idx="259">
                  <c:v>28.216442000000001</c:v>
                </c:pt>
                <c:pt idx="260">
                  <c:v>27.414017000000001</c:v>
                </c:pt>
                <c:pt idx="261">
                  <c:v>26.864509999999999</c:v>
                </c:pt>
                <c:pt idx="262">
                  <c:v>26.582369</c:v>
                </c:pt>
                <c:pt idx="263">
                  <c:v>26.998756</c:v>
                </c:pt>
                <c:pt idx="264">
                  <c:v>27.675215000000001</c:v>
                </c:pt>
                <c:pt idx="265">
                  <c:v>28.551247</c:v>
                </c:pt>
                <c:pt idx="266">
                  <c:v>28.845434000000001</c:v>
                </c:pt>
                <c:pt idx="267">
                  <c:v>28.745933999999998</c:v>
                </c:pt>
                <c:pt idx="268">
                  <c:v>28.524956</c:v>
                </c:pt>
                <c:pt idx="269">
                  <c:v>28.247907999999999</c:v>
                </c:pt>
                <c:pt idx="270">
                  <c:v>29.062488999999999</c:v>
                </c:pt>
                <c:pt idx="271">
                  <c:v>28.787512</c:v>
                </c:pt>
                <c:pt idx="272">
                  <c:v>27.950142</c:v>
                </c:pt>
                <c:pt idx="273">
                  <c:v>26.927567</c:v>
                </c:pt>
                <c:pt idx="274">
                  <c:v>26.868487999999999</c:v>
                </c:pt>
                <c:pt idx="275">
                  <c:v>27.107855000000001</c:v>
                </c:pt>
                <c:pt idx="276">
                  <c:v>27.694216000000001</c:v>
                </c:pt>
                <c:pt idx="277">
                  <c:v>28.560661</c:v>
                </c:pt>
                <c:pt idx="278">
                  <c:v>28.799296999999999</c:v>
                </c:pt>
                <c:pt idx="279">
                  <c:v>28.676563000000002</c:v>
                </c:pt>
                <c:pt idx="280">
                  <c:v>28.267208</c:v>
                </c:pt>
                <c:pt idx="281">
                  <c:v>27.974834000000001</c:v>
                </c:pt>
                <c:pt idx="282">
                  <c:v>28.596867</c:v>
                </c:pt>
                <c:pt idx="283">
                  <c:v>28.337070000000001</c:v>
                </c:pt>
                <c:pt idx="284">
                  <c:v>27.414646000000001</c:v>
                </c:pt>
                <c:pt idx="285">
                  <c:v>26.734273999999999</c:v>
                </c:pt>
                <c:pt idx="286">
                  <c:v>26.744986999999998</c:v>
                </c:pt>
                <c:pt idx="287">
                  <c:v>26.734821</c:v>
                </c:pt>
                <c:pt idx="288">
                  <c:v>27.356276999999999</c:v>
                </c:pt>
                <c:pt idx="289">
                  <c:v>28.525556999999999</c:v>
                </c:pt>
                <c:pt idx="290">
                  <c:v>28.660633000000001</c:v>
                </c:pt>
                <c:pt idx="291">
                  <c:v>28.425203</c:v>
                </c:pt>
                <c:pt idx="292">
                  <c:v>28.10549</c:v>
                </c:pt>
                <c:pt idx="293">
                  <c:v>27.819365999999999</c:v>
                </c:pt>
                <c:pt idx="294">
                  <c:v>28.352810000000002</c:v>
                </c:pt>
                <c:pt idx="295">
                  <c:v>28.061271999999999</c:v>
                </c:pt>
                <c:pt idx="296">
                  <c:v>27.43328</c:v>
                </c:pt>
                <c:pt idx="297">
                  <c:v>26.861784</c:v>
                </c:pt>
                <c:pt idx="298">
                  <c:v>26.800629000000001</c:v>
                </c:pt>
                <c:pt idx="299">
                  <c:v>26.725667999999999</c:v>
                </c:pt>
                <c:pt idx="300">
                  <c:v>27.638186999999999</c:v>
                </c:pt>
                <c:pt idx="301">
                  <c:v>28.699667000000002</c:v>
                </c:pt>
                <c:pt idx="302">
                  <c:v>28.929722000000002</c:v>
                </c:pt>
                <c:pt idx="303">
                  <c:v>28.873536999999999</c:v>
                </c:pt>
                <c:pt idx="304">
                  <c:v>28.511348999999999</c:v>
                </c:pt>
                <c:pt idx="305">
                  <c:v>28.185023999999999</c:v>
                </c:pt>
                <c:pt idx="306">
                  <c:v>28.557456999999999</c:v>
                </c:pt>
                <c:pt idx="307">
                  <c:v>28.14134</c:v>
                </c:pt>
                <c:pt idx="308">
                  <c:v>27.372534000000002</c:v>
                </c:pt>
                <c:pt idx="309">
                  <c:v>26.766666000000001</c:v>
                </c:pt>
                <c:pt idx="310">
                  <c:v>26.502728000000001</c:v>
                </c:pt>
                <c:pt idx="311">
                  <c:v>27.100798000000001</c:v>
                </c:pt>
                <c:pt idx="312">
                  <c:v>27.523340000000001</c:v>
                </c:pt>
                <c:pt idx="313">
                  <c:v>28.517444999999999</c:v>
                </c:pt>
                <c:pt idx="314">
                  <c:v>28.470669000000001</c:v>
                </c:pt>
                <c:pt idx="315">
                  <c:v>28.668156</c:v>
                </c:pt>
                <c:pt idx="316">
                  <c:v>28.569210000000002</c:v>
                </c:pt>
                <c:pt idx="317">
                  <c:v>27.92024</c:v>
                </c:pt>
                <c:pt idx="318">
                  <c:v>28.129704</c:v>
                </c:pt>
                <c:pt idx="319">
                  <c:v>27.854078000000001</c:v>
                </c:pt>
                <c:pt idx="320">
                  <c:v>26.806018999999999</c:v>
                </c:pt>
                <c:pt idx="321">
                  <c:v>26.214655</c:v>
                </c:pt>
                <c:pt idx="322">
                  <c:v>26.394656999999999</c:v>
                </c:pt>
                <c:pt idx="323">
                  <c:v>26.728110000000001</c:v>
                </c:pt>
                <c:pt idx="324">
                  <c:v>27.266145999999999</c:v>
                </c:pt>
                <c:pt idx="325">
                  <c:v>28.411228000000001</c:v>
                </c:pt>
                <c:pt idx="326">
                  <c:v>28.717724</c:v>
                </c:pt>
                <c:pt idx="327">
                  <c:v>28.857769000000001</c:v>
                </c:pt>
                <c:pt idx="328">
                  <c:v>28.689496999999999</c:v>
                </c:pt>
                <c:pt idx="329">
                  <c:v>28.588062000000001</c:v>
                </c:pt>
                <c:pt idx="330">
                  <c:v>28.977024</c:v>
                </c:pt>
                <c:pt idx="331">
                  <c:v>28.653555000000001</c:v>
                </c:pt>
                <c:pt idx="332">
                  <c:v>27.590651999999999</c:v>
                </c:pt>
                <c:pt idx="333">
                  <c:v>27.139492000000001</c:v>
                </c:pt>
                <c:pt idx="334">
                  <c:v>27.052219999999998</c:v>
                </c:pt>
                <c:pt idx="335">
                  <c:v>27.169080000000001</c:v>
                </c:pt>
                <c:pt idx="336">
                  <c:v>28.097216</c:v>
                </c:pt>
                <c:pt idx="337">
                  <c:v>28.763072999999999</c:v>
                </c:pt>
                <c:pt idx="338">
                  <c:v>29.300514</c:v>
                </c:pt>
                <c:pt idx="339">
                  <c:v>29.046396000000001</c:v>
                </c:pt>
                <c:pt idx="340">
                  <c:v>28.876339999999999</c:v>
                </c:pt>
                <c:pt idx="341">
                  <c:v>28.532698</c:v>
                </c:pt>
                <c:pt idx="342">
                  <c:v>29.119105999999999</c:v>
                </c:pt>
                <c:pt idx="343">
                  <c:v>28.794291999999999</c:v>
                </c:pt>
                <c:pt idx="344">
                  <c:v>27.661086999999998</c:v>
                </c:pt>
                <c:pt idx="345">
                  <c:v>27.103563000000001</c:v>
                </c:pt>
                <c:pt idx="346">
                  <c:v>26.76116</c:v>
                </c:pt>
                <c:pt idx="347">
                  <c:v>26.907608</c:v>
                </c:pt>
                <c:pt idx="348">
                  <c:v>27.205338000000001</c:v>
                </c:pt>
                <c:pt idx="349">
                  <c:v>28.061070000000001</c:v>
                </c:pt>
                <c:pt idx="350">
                  <c:v>28.503032999999999</c:v>
                </c:pt>
                <c:pt idx="351">
                  <c:v>28.452005</c:v>
                </c:pt>
                <c:pt idx="352">
                  <c:v>28.042576</c:v>
                </c:pt>
                <c:pt idx="353">
                  <c:v>27.797011999999999</c:v>
                </c:pt>
                <c:pt idx="354">
                  <c:v>28.42773</c:v>
                </c:pt>
                <c:pt idx="355">
                  <c:v>28.080646999999999</c:v>
                </c:pt>
                <c:pt idx="356">
                  <c:v>27.155024999999998</c:v>
                </c:pt>
                <c:pt idx="357">
                  <c:v>26.381073000000001</c:v>
                </c:pt>
                <c:pt idx="358">
                  <c:v>26.251438</c:v>
                </c:pt>
                <c:pt idx="359">
                  <c:v>26.453082999999999</c:v>
                </c:pt>
                <c:pt idx="360">
                  <c:v>27.245971999999998</c:v>
                </c:pt>
                <c:pt idx="361">
                  <c:v>27.878197</c:v>
                </c:pt>
                <c:pt idx="362">
                  <c:v>28.344597</c:v>
                </c:pt>
                <c:pt idx="363">
                  <c:v>28.385859</c:v>
                </c:pt>
                <c:pt idx="364">
                  <c:v>28.068059999999999</c:v>
                </c:pt>
                <c:pt idx="365">
                  <c:v>28.003826</c:v>
                </c:pt>
                <c:pt idx="366">
                  <c:v>28.208447</c:v>
                </c:pt>
                <c:pt idx="367">
                  <c:v>27.899887</c:v>
                </c:pt>
                <c:pt idx="368">
                  <c:v>26.904177000000001</c:v>
                </c:pt>
                <c:pt idx="369">
                  <c:v>26.229607000000001</c:v>
                </c:pt>
                <c:pt idx="370">
                  <c:v>26.421638000000002</c:v>
                </c:pt>
                <c:pt idx="371">
                  <c:v>26.096679999999999</c:v>
                </c:pt>
                <c:pt idx="372">
                  <c:v>27.029693999999999</c:v>
                </c:pt>
                <c:pt idx="373">
                  <c:v>27.987850000000002</c:v>
                </c:pt>
                <c:pt idx="374">
                  <c:v>28.159077</c:v>
                </c:pt>
                <c:pt idx="375">
                  <c:v>28.300379</c:v>
                </c:pt>
                <c:pt idx="376">
                  <c:v>28.109867000000001</c:v>
                </c:pt>
                <c:pt idx="377">
                  <c:v>27.933865000000001</c:v>
                </c:pt>
                <c:pt idx="378">
                  <c:v>28.069008</c:v>
                </c:pt>
                <c:pt idx="379">
                  <c:v>28.131042000000001</c:v>
                </c:pt>
                <c:pt idx="380">
                  <c:v>27.550076000000001</c:v>
                </c:pt>
                <c:pt idx="381">
                  <c:v>27.135601000000001</c:v>
                </c:pt>
                <c:pt idx="382">
                  <c:v>27.060241999999999</c:v>
                </c:pt>
                <c:pt idx="383">
                  <c:v>27.36628</c:v>
                </c:pt>
                <c:pt idx="384">
                  <c:v>27.767216000000001</c:v>
                </c:pt>
                <c:pt idx="385">
                  <c:v>28.718912</c:v>
                </c:pt>
                <c:pt idx="386">
                  <c:v>28.807379999999998</c:v>
                </c:pt>
                <c:pt idx="387">
                  <c:v>28.658867000000001</c:v>
                </c:pt>
                <c:pt idx="388">
                  <c:v>28.514420000000001</c:v>
                </c:pt>
                <c:pt idx="389">
                  <c:v>28.50544</c:v>
                </c:pt>
                <c:pt idx="390">
                  <c:v>29.250540000000001</c:v>
                </c:pt>
                <c:pt idx="391">
                  <c:v>28.765336999999999</c:v>
                </c:pt>
                <c:pt idx="392">
                  <c:v>27.905666</c:v>
                </c:pt>
                <c:pt idx="393">
                  <c:v>27.299713000000001</c:v>
                </c:pt>
                <c:pt idx="394">
                  <c:v>26.744598</c:v>
                </c:pt>
                <c:pt idx="395">
                  <c:v>26.974377</c:v>
                </c:pt>
                <c:pt idx="396">
                  <c:v>27.314194000000001</c:v>
                </c:pt>
                <c:pt idx="397">
                  <c:v>28.297533000000001</c:v>
                </c:pt>
                <c:pt idx="398">
                  <c:v>28.556156000000001</c:v>
                </c:pt>
                <c:pt idx="399">
                  <c:v>28.399704</c:v>
                </c:pt>
                <c:pt idx="400">
                  <c:v>27.933047999999999</c:v>
                </c:pt>
                <c:pt idx="401">
                  <c:v>27.928457000000002</c:v>
                </c:pt>
                <c:pt idx="402">
                  <c:v>28.584976000000001</c:v>
                </c:pt>
                <c:pt idx="403">
                  <c:v>28.335847999999999</c:v>
                </c:pt>
                <c:pt idx="404">
                  <c:v>27.535212999999999</c:v>
                </c:pt>
                <c:pt idx="405">
                  <c:v>26.834885</c:v>
                </c:pt>
                <c:pt idx="406">
                  <c:v>27.009761999999998</c:v>
                </c:pt>
                <c:pt idx="407">
                  <c:v>27.228565</c:v>
                </c:pt>
                <c:pt idx="408">
                  <c:v>27.829985000000001</c:v>
                </c:pt>
                <c:pt idx="409">
                  <c:v>28.377061999999999</c:v>
                </c:pt>
                <c:pt idx="410">
                  <c:v>28.780743000000001</c:v>
                </c:pt>
                <c:pt idx="411">
                  <c:v>28.831500999999999</c:v>
                </c:pt>
                <c:pt idx="412">
                  <c:v>28.467770000000002</c:v>
                </c:pt>
                <c:pt idx="413">
                  <c:v>28.536498999999999</c:v>
                </c:pt>
                <c:pt idx="414">
                  <c:v>28.902926999999998</c:v>
                </c:pt>
                <c:pt idx="415">
                  <c:v>28.898409999999998</c:v>
                </c:pt>
                <c:pt idx="416">
                  <c:v>27.56223</c:v>
                </c:pt>
                <c:pt idx="417">
                  <c:v>27.641193000000001</c:v>
                </c:pt>
                <c:pt idx="418">
                  <c:v>27.065819000000001</c:v>
                </c:pt>
                <c:pt idx="419">
                  <c:v>27.302422</c:v>
                </c:pt>
                <c:pt idx="420">
                  <c:v>27.690110000000001</c:v>
                </c:pt>
                <c:pt idx="421">
                  <c:v>28.681742</c:v>
                </c:pt>
                <c:pt idx="422">
                  <c:v>28.700056</c:v>
                </c:pt>
                <c:pt idx="423">
                  <c:v>28.820509999999999</c:v>
                </c:pt>
                <c:pt idx="424">
                  <c:v>28.55077</c:v>
                </c:pt>
                <c:pt idx="425">
                  <c:v>28.581654</c:v>
                </c:pt>
                <c:pt idx="426">
                  <c:v>28.870646000000001</c:v>
                </c:pt>
                <c:pt idx="427">
                  <c:v>28.698509999999999</c:v>
                </c:pt>
                <c:pt idx="428">
                  <c:v>27.172215000000001</c:v>
                </c:pt>
                <c:pt idx="429">
                  <c:v>26.592037000000001</c:v>
                </c:pt>
                <c:pt idx="430">
                  <c:v>26.906555000000001</c:v>
                </c:pt>
                <c:pt idx="431">
                  <c:v>27.253899000000001</c:v>
                </c:pt>
                <c:pt idx="432">
                  <c:v>27.990691999999999</c:v>
                </c:pt>
                <c:pt idx="433">
                  <c:v>28.791801</c:v>
                </c:pt>
                <c:pt idx="434">
                  <c:v>28.743378</c:v>
                </c:pt>
                <c:pt idx="435">
                  <c:v>28.731574999999999</c:v>
                </c:pt>
                <c:pt idx="436">
                  <c:v>28.296282000000001</c:v>
                </c:pt>
                <c:pt idx="437">
                  <c:v>28.579032999999999</c:v>
                </c:pt>
                <c:pt idx="438">
                  <c:v>28.622676999999999</c:v>
                </c:pt>
                <c:pt idx="439">
                  <c:v>28.291654999999999</c:v>
                </c:pt>
                <c:pt idx="440">
                  <c:v>27.118216</c:v>
                </c:pt>
                <c:pt idx="441">
                  <c:v>26.905308000000002</c:v>
                </c:pt>
                <c:pt idx="442">
                  <c:v>26.909672</c:v>
                </c:pt>
                <c:pt idx="443">
                  <c:v>26.861004000000001</c:v>
                </c:pt>
                <c:pt idx="444">
                  <c:v>27.561254999999999</c:v>
                </c:pt>
                <c:pt idx="445">
                  <c:v>28.622420999999999</c:v>
                </c:pt>
                <c:pt idx="446">
                  <c:v>28.525145999999999</c:v>
                </c:pt>
                <c:pt idx="447">
                  <c:v>28.158617</c:v>
                </c:pt>
                <c:pt idx="448">
                  <c:v>28.211459999999999</c:v>
                </c:pt>
                <c:pt idx="449">
                  <c:v>28.089182000000001</c:v>
                </c:pt>
                <c:pt idx="450">
                  <c:v>28.353933000000001</c:v>
                </c:pt>
                <c:pt idx="451">
                  <c:v>28.672716000000001</c:v>
                </c:pt>
                <c:pt idx="452">
                  <c:v>27.622406000000002</c:v>
                </c:pt>
                <c:pt idx="453">
                  <c:v>27.325665000000001</c:v>
                </c:pt>
                <c:pt idx="454">
                  <c:v>27.261524000000001</c:v>
                </c:pt>
                <c:pt idx="455">
                  <c:v>27.264517000000001</c:v>
                </c:pt>
                <c:pt idx="456">
                  <c:v>27.712969999999999</c:v>
                </c:pt>
                <c:pt idx="457">
                  <c:v>28.646356999999998</c:v>
                </c:pt>
                <c:pt idx="458">
                  <c:v>28.592316</c:v>
                </c:pt>
                <c:pt idx="459">
                  <c:v>28.333176000000002</c:v>
                </c:pt>
                <c:pt idx="460">
                  <c:v>28.015353999999999</c:v>
                </c:pt>
                <c:pt idx="461">
                  <c:v>27.756536000000001</c:v>
                </c:pt>
                <c:pt idx="462">
                  <c:v>28.432835000000001</c:v>
                </c:pt>
                <c:pt idx="463">
                  <c:v>28.009426000000001</c:v>
                </c:pt>
                <c:pt idx="464">
                  <c:v>27.167826000000002</c:v>
                </c:pt>
                <c:pt idx="465">
                  <c:v>26.811250000000001</c:v>
                </c:pt>
                <c:pt idx="466">
                  <c:v>26.911798000000001</c:v>
                </c:pt>
                <c:pt idx="467">
                  <c:v>26.898754</c:v>
                </c:pt>
                <c:pt idx="468">
                  <c:v>27.608066999999998</c:v>
                </c:pt>
                <c:pt idx="469">
                  <c:v>28.710121000000001</c:v>
                </c:pt>
                <c:pt idx="470">
                  <c:v>28.782544999999999</c:v>
                </c:pt>
                <c:pt idx="471">
                  <c:v>28.188393000000001</c:v>
                </c:pt>
                <c:pt idx="472">
                  <c:v>27.991972000000001</c:v>
                </c:pt>
                <c:pt idx="473">
                  <c:v>27.422272</c:v>
                </c:pt>
                <c:pt idx="474">
                  <c:v>27.915295</c:v>
                </c:pt>
                <c:pt idx="475">
                  <c:v>27.661669</c:v>
                </c:pt>
                <c:pt idx="476">
                  <c:v>26.772110000000001</c:v>
                </c:pt>
                <c:pt idx="477">
                  <c:v>26.217545000000001</c:v>
                </c:pt>
                <c:pt idx="478">
                  <c:v>26.242004000000001</c:v>
                </c:pt>
                <c:pt idx="479">
                  <c:v>26.661617</c:v>
                </c:pt>
                <c:pt idx="480">
                  <c:v>27.156631000000001</c:v>
                </c:pt>
                <c:pt idx="481">
                  <c:v>28.09085</c:v>
                </c:pt>
                <c:pt idx="482">
                  <c:v>28.397797000000001</c:v>
                </c:pt>
                <c:pt idx="483">
                  <c:v>28.43291</c:v>
                </c:pt>
                <c:pt idx="484">
                  <c:v>28.081810000000001</c:v>
                </c:pt>
                <c:pt idx="485">
                  <c:v>27.851398</c:v>
                </c:pt>
                <c:pt idx="486">
                  <c:v>28.298615999999999</c:v>
                </c:pt>
                <c:pt idx="487">
                  <c:v>27.607254000000001</c:v>
                </c:pt>
                <c:pt idx="488">
                  <c:v>26.936104</c:v>
                </c:pt>
                <c:pt idx="489">
                  <c:v>26.691276999999999</c:v>
                </c:pt>
                <c:pt idx="490">
                  <c:v>26.369834999999998</c:v>
                </c:pt>
                <c:pt idx="491">
                  <c:v>26.792973</c:v>
                </c:pt>
                <c:pt idx="492">
                  <c:v>27.50441</c:v>
                </c:pt>
                <c:pt idx="493">
                  <c:v>28.037071000000001</c:v>
                </c:pt>
                <c:pt idx="494">
                  <c:v>28.439436000000001</c:v>
                </c:pt>
                <c:pt idx="495">
                  <c:v>28.6206</c:v>
                </c:pt>
                <c:pt idx="496">
                  <c:v>27.987347</c:v>
                </c:pt>
                <c:pt idx="497">
                  <c:v>27.660734000000001</c:v>
                </c:pt>
                <c:pt idx="498">
                  <c:v>28.115410000000001</c:v>
                </c:pt>
                <c:pt idx="499">
                  <c:v>27.794540000000001</c:v>
                </c:pt>
                <c:pt idx="500">
                  <c:v>26.859853999999999</c:v>
                </c:pt>
                <c:pt idx="501">
                  <c:v>26.782803000000001</c:v>
                </c:pt>
                <c:pt idx="502">
                  <c:v>26.545544</c:v>
                </c:pt>
                <c:pt idx="503">
                  <c:v>26.765740000000001</c:v>
                </c:pt>
                <c:pt idx="504">
                  <c:v>27.546516</c:v>
                </c:pt>
                <c:pt idx="505">
                  <c:v>28.506117</c:v>
                </c:pt>
                <c:pt idx="506">
                  <c:v>28.846651000000001</c:v>
                </c:pt>
                <c:pt idx="507">
                  <c:v>28.641044999999998</c:v>
                </c:pt>
                <c:pt idx="508">
                  <c:v>28.635414000000001</c:v>
                </c:pt>
                <c:pt idx="509">
                  <c:v>28.377106000000001</c:v>
                </c:pt>
                <c:pt idx="510">
                  <c:v>28.478480000000001</c:v>
                </c:pt>
                <c:pt idx="511">
                  <c:v>28.593658000000001</c:v>
                </c:pt>
                <c:pt idx="512">
                  <c:v>27.473057000000001</c:v>
                </c:pt>
                <c:pt idx="513">
                  <c:v>27.305336</c:v>
                </c:pt>
                <c:pt idx="514">
                  <c:v>27.183261999999999</c:v>
                </c:pt>
                <c:pt idx="515">
                  <c:v>27.333057</c:v>
                </c:pt>
                <c:pt idx="516">
                  <c:v>27.867424</c:v>
                </c:pt>
                <c:pt idx="517">
                  <c:v>28.886209999999998</c:v>
                </c:pt>
                <c:pt idx="518">
                  <c:v>28.893898</c:v>
                </c:pt>
                <c:pt idx="519">
                  <c:v>27.955736000000002</c:v>
                </c:pt>
                <c:pt idx="520">
                  <c:v>28.078385999999998</c:v>
                </c:pt>
                <c:pt idx="521">
                  <c:v>28.057511999999999</c:v>
                </c:pt>
                <c:pt idx="522">
                  <c:v>28.570872999999999</c:v>
                </c:pt>
                <c:pt idx="523">
                  <c:v>28.175564000000001</c:v>
                </c:pt>
                <c:pt idx="524">
                  <c:v>27.422367000000001</c:v>
                </c:pt>
                <c:pt idx="525">
                  <c:v>27.04945</c:v>
                </c:pt>
                <c:pt idx="526">
                  <c:v>26.78661</c:v>
                </c:pt>
                <c:pt idx="527">
                  <c:v>26.688637</c:v>
                </c:pt>
                <c:pt idx="528">
                  <c:v>27.388817</c:v>
                </c:pt>
                <c:pt idx="529">
                  <c:v>28.486238</c:v>
                </c:pt>
                <c:pt idx="530">
                  <c:v>28.564919</c:v>
                </c:pt>
                <c:pt idx="531">
                  <c:v>28.280259999999998</c:v>
                </c:pt>
                <c:pt idx="532">
                  <c:v>27.995933999999998</c:v>
                </c:pt>
                <c:pt idx="533">
                  <c:v>27.815002</c:v>
                </c:pt>
                <c:pt idx="534">
                  <c:v>28.179216</c:v>
                </c:pt>
                <c:pt idx="535">
                  <c:v>28.035247999999999</c:v>
                </c:pt>
                <c:pt idx="536">
                  <c:v>27.209002999999999</c:v>
                </c:pt>
                <c:pt idx="537">
                  <c:v>26.792303</c:v>
                </c:pt>
                <c:pt idx="538">
                  <c:v>26.599415</c:v>
                </c:pt>
                <c:pt idx="539">
                  <c:v>26.851825999999999</c:v>
                </c:pt>
                <c:pt idx="540">
                  <c:v>27.653873000000001</c:v>
                </c:pt>
                <c:pt idx="541">
                  <c:v>28.610082999999999</c:v>
                </c:pt>
                <c:pt idx="542">
                  <c:v>28.728401000000002</c:v>
                </c:pt>
                <c:pt idx="543">
                  <c:v>28.482664</c:v>
                </c:pt>
                <c:pt idx="544">
                  <c:v>28.439274000000001</c:v>
                </c:pt>
                <c:pt idx="545">
                  <c:v>28.321027999999998</c:v>
                </c:pt>
                <c:pt idx="546">
                  <c:v>28.517997999999999</c:v>
                </c:pt>
                <c:pt idx="547">
                  <c:v>28.204163000000001</c:v>
                </c:pt>
                <c:pt idx="548">
                  <c:v>27.628278999999999</c:v>
                </c:pt>
                <c:pt idx="549">
                  <c:v>27.160647999999998</c:v>
                </c:pt>
                <c:pt idx="550">
                  <c:v>27.354984000000002</c:v>
                </c:pt>
                <c:pt idx="551">
                  <c:v>27.345226</c:v>
                </c:pt>
                <c:pt idx="552">
                  <c:v>28.121445000000001</c:v>
                </c:pt>
                <c:pt idx="553">
                  <c:v>29.107073</c:v>
                </c:pt>
                <c:pt idx="554">
                  <c:v>29.149667999999998</c:v>
                </c:pt>
                <c:pt idx="555">
                  <c:v>29.296275999999999</c:v>
                </c:pt>
                <c:pt idx="556">
                  <c:v>28.812961999999999</c:v>
                </c:pt>
                <c:pt idx="557">
                  <c:v>28.970848</c:v>
                </c:pt>
                <c:pt idx="558">
                  <c:v>29.614554999999999</c:v>
                </c:pt>
                <c:pt idx="559">
                  <c:v>29.221077000000001</c:v>
                </c:pt>
                <c:pt idx="560">
                  <c:v>27.785419999999998</c:v>
                </c:pt>
                <c:pt idx="561">
                  <c:v>27.636641999999998</c:v>
                </c:pt>
                <c:pt idx="562">
                  <c:v>27.026426000000001</c:v>
                </c:pt>
                <c:pt idx="563">
                  <c:v>26.954985000000001</c:v>
                </c:pt>
                <c:pt idx="564">
                  <c:v>27.947528999999999</c:v>
                </c:pt>
                <c:pt idx="565">
                  <c:v>28.499127999999999</c:v>
                </c:pt>
                <c:pt idx="566">
                  <c:v>28.789324000000001</c:v>
                </c:pt>
                <c:pt idx="567">
                  <c:v>28.667757000000002</c:v>
                </c:pt>
                <c:pt idx="568">
                  <c:v>28.172905</c:v>
                </c:pt>
                <c:pt idx="569">
                  <c:v>28.113530000000001</c:v>
                </c:pt>
                <c:pt idx="570">
                  <c:v>28.377869</c:v>
                </c:pt>
                <c:pt idx="571">
                  <c:v>27.917501000000001</c:v>
                </c:pt>
                <c:pt idx="572">
                  <c:v>27.068860000000001</c:v>
                </c:pt>
                <c:pt idx="573">
                  <c:v>26.664639000000001</c:v>
                </c:pt>
                <c:pt idx="574">
                  <c:v>26.416347999999999</c:v>
                </c:pt>
                <c:pt idx="575">
                  <c:v>26.628746</c:v>
                </c:pt>
                <c:pt idx="576">
                  <c:v>27.624846999999999</c:v>
                </c:pt>
                <c:pt idx="577">
                  <c:v>28.784164000000001</c:v>
                </c:pt>
                <c:pt idx="578">
                  <c:v>28.769401999999999</c:v>
                </c:pt>
                <c:pt idx="579">
                  <c:v>28.632576</c:v>
                </c:pt>
                <c:pt idx="580">
                  <c:v>28.132853000000001</c:v>
                </c:pt>
                <c:pt idx="581">
                  <c:v>28.104074000000001</c:v>
                </c:pt>
                <c:pt idx="582">
                  <c:v>28.285274999999999</c:v>
                </c:pt>
                <c:pt idx="583">
                  <c:v>27.821249999999999</c:v>
                </c:pt>
                <c:pt idx="584">
                  <c:v>27.171565999999999</c:v>
                </c:pt>
                <c:pt idx="585">
                  <c:v>26.720590000000001</c:v>
                </c:pt>
                <c:pt idx="586">
                  <c:v>26.709381</c:v>
                </c:pt>
                <c:pt idx="587">
                  <c:v>27.032845999999999</c:v>
                </c:pt>
                <c:pt idx="588">
                  <c:v>27.839780000000001</c:v>
                </c:pt>
                <c:pt idx="589">
                  <c:v>28.793254999999998</c:v>
                </c:pt>
                <c:pt idx="590">
                  <c:v>29.081271999999998</c:v>
                </c:pt>
                <c:pt idx="591">
                  <c:v>28.701609999999999</c:v>
                </c:pt>
                <c:pt idx="592">
                  <c:v>28.410982000000001</c:v>
                </c:pt>
                <c:pt idx="593">
                  <c:v>28.414401999999999</c:v>
                </c:pt>
                <c:pt idx="594">
                  <c:v>28.637854000000001</c:v>
                </c:pt>
                <c:pt idx="595">
                  <c:v>28.140716999999999</c:v>
                </c:pt>
                <c:pt idx="596">
                  <c:v>27.526423999999999</c:v>
                </c:pt>
                <c:pt idx="597">
                  <c:v>26.789856</c:v>
                </c:pt>
                <c:pt idx="598">
                  <c:v>27.197706</c:v>
                </c:pt>
                <c:pt idx="599">
                  <c:v>27.388726999999999</c:v>
                </c:pt>
                <c:pt idx="600">
                  <c:v>27.727705</c:v>
                </c:pt>
                <c:pt idx="601">
                  <c:v>28.399426999999999</c:v>
                </c:pt>
                <c:pt idx="602">
                  <c:v>28.851461</c:v>
                </c:pt>
                <c:pt idx="603">
                  <c:v>28.652636999999999</c:v>
                </c:pt>
                <c:pt idx="604">
                  <c:v>28.099143999999999</c:v>
                </c:pt>
                <c:pt idx="605">
                  <c:v>28.151888</c:v>
                </c:pt>
                <c:pt idx="606">
                  <c:v>28.262810000000002</c:v>
                </c:pt>
                <c:pt idx="607">
                  <c:v>27.800080000000001</c:v>
                </c:pt>
                <c:pt idx="608">
                  <c:v>26.975704</c:v>
                </c:pt>
                <c:pt idx="609">
                  <c:v>26.352934000000001</c:v>
                </c:pt>
                <c:pt idx="610">
                  <c:v>26.094754999999999</c:v>
                </c:pt>
                <c:pt idx="611">
                  <c:v>26.373477999999999</c:v>
                </c:pt>
                <c:pt idx="612">
                  <c:v>27.297961999999998</c:v>
                </c:pt>
                <c:pt idx="613">
                  <c:v>28.222770000000001</c:v>
                </c:pt>
                <c:pt idx="614">
                  <c:v>28.862738</c:v>
                </c:pt>
                <c:pt idx="615">
                  <c:v>28.600950000000001</c:v>
                </c:pt>
                <c:pt idx="616">
                  <c:v>28.298683</c:v>
                </c:pt>
                <c:pt idx="617">
                  <c:v>28.314934000000001</c:v>
                </c:pt>
                <c:pt idx="618">
                  <c:v>28.258913</c:v>
                </c:pt>
                <c:pt idx="619">
                  <c:v>28.025126</c:v>
                </c:pt>
                <c:pt idx="620">
                  <c:v>27.474352</c:v>
                </c:pt>
                <c:pt idx="621">
                  <c:v>26.942474000000001</c:v>
                </c:pt>
                <c:pt idx="622">
                  <c:v>27.069970000000001</c:v>
                </c:pt>
                <c:pt idx="623">
                  <c:v>27.265322000000001</c:v>
                </c:pt>
                <c:pt idx="624">
                  <c:v>28.201799999999999</c:v>
                </c:pt>
                <c:pt idx="625">
                  <c:v>28.966681999999999</c:v>
                </c:pt>
                <c:pt idx="626">
                  <c:v>29.077421000000001</c:v>
                </c:pt>
                <c:pt idx="627">
                  <c:v>28.903917</c:v>
                </c:pt>
                <c:pt idx="628">
                  <c:v>28.598158000000002</c:v>
                </c:pt>
                <c:pt idx="629">
                  <c:v>28.29862</c:v>
                </c:pt>
                <c:pt idx="630">
                  <c:v>28.658875999999999</c:v>
                </c:pt>
                <c:pt idx="631">
                  <c:v>28.199759</c:v>
                </c:pt>
                <c:pt idx="632">
                  <c:v>27.740735999999998</c:v>
                </c:pt>
                <c:pt idx="633">
                  <c:v>27.320347000000002</c:v>
                </c:pt>
                <c:pt idx="634">
                  <c:v>27.197811000000002</c:v>
                </c:pt>
                <c:pt idx="635">
                  <c:v>27.297771000000001</c:v>
                </c:pt>
                <c:pt idx="636">
                  <c:v>28.102499999999999</c:v>
                </c:pt>
                <c:pt idx="637">
                  <c:v>28.639744</c:v>
                </c:pt>
                <c:pt idx="638">
                  <c:v>28.878613999999999</c:v>
                </c:pt>
                <c:pt idx="639">
                  <c:v>28.795881000000001</c:v>
                </c:pt>
                <c:pt idx="640">
                  <c:v>28.657364000000001</c:v>
                </c:pt>
                <c:pt idx="641">
                  <c:v>28.299168000000002</c:v>
                </c:pt>
                <c:pt idx="642">
                  <c:v>28.496047999999998</c:v>
                </c:pt>
                <c:pt idx="643">
                  <c:v>28.032426999999998</c:v>
                </c:pt>
                <c:pt idx="644">
                  <c:v>27.442882999999998</c:v>
                </c:pt>
                <c:pt idx="645">
                  <c:v>27.254759</c:v>
                </c:pt>
                <c:pt idx="646">
                  <c:v>26.94407</c:v>
                </c:pt>
                <c:pt idx="647">
                  <c:v>27.248867000000001</c:v>
                </c:pt>
                <c:pt idx="648">
                  <c:v>27.980160000000001</c:v>
                </c:pt>
                <c:pt idx="649">
                  <c:v>28.480170999999999</c:v>
                </c:pt>
                <c:pt idx="650">
                  <c:v>28.900846000000001</c:v>
                </c:pt>
                <c:pt idx="651">
                  <c:v>28.771318000000001</c:v>
                </c:pt>
                <c:pt idx="652">
                  <c:v>28.609074</c:v>
                </c:pt>
                <c:pt idx="653">
                  <c:v>28.172432000000001</c:v>
                </c:pt>
                <c:pt idx="654">
                  <c:v>28.26763</c:v>
                </c:pt>
                <c:pt idx="655">
                  <c:v>28.231660000000002</c:v>
                </c:pt>
                <c:pt idx="656">
                  <c:v>27.654699999999998</c:v>
                </c:pt>
                <c:pt idx="657">
                  <c:v>27.320055</c:v>
                </c:pt>
                <c:pt idx="658">
                  <c:v>27.033394000000001</c:v>
                </c:pt>
                <c:pt idx="659">
                  <c:v>27.311126999999999</c:v>
                </c:pt>
                <c:pt idx="660">
                  <c:v>27.752445000000002</c:v>
                </c:pt>
                <c:pt idx="661">
                  <c:v>28.619586999999999</c:v>
                </c:pt>
                <c:pt idx="662">
                  <c:v>29.004028000000002</c:v>
                </c:pt>
                <c:pt idx="663">
                  <c:v>29.040330000000001</c:v>
                </c:pt>
                <c:pt idx="664">
                  <c:v>28.63514</c:v>
                </c:pt>
                <c:pt idx="665">
                  <c:v>28.599136000000001</c:v>
                </c:pt>
                <c:pt idx="666">
                  <c:v>29.148790000000002</c:v>
                </c:pt>
                <c:pt idx="667">
                  <c:v>28.918209999999998</c:v>
                </c:pt>
                <c:pt idx="668">
                  <c:v>27.729161999999999</c:v>
                </c:pt>
                <c:pt idx="669">
                  <c:v>27.431813999999999</c:v>
                </c:pt>
                <c:pt idx="670">
                  <c:v>27.572299999999998</c:v>
                </c:pt>
                <c:pt idx="671">
                  <c:v>27.381208000000001</c:v>
                </c:pt>
                <c:pt idx="672">
                  <c:v>27.992457999999999</c:v>
                </c:pt>
                <c:pt idx="673">
                  <c:v>28.573264999999999</c:v>
                </c:pt>
                <c:pt idx="674">
                  <c:v>28.706951</c:v>
                </c:pt>
                <c:pt idx="675">
                  <c:v>28.60135</c:v>
                </c:pt>
                <c:pt idx="676">
                  <c:v>28.150528000000001</c:v>
                </c:pt>
                <c:pt idx="677">
                  <c:v>28.154067999999999</c:v>
                </c:pt>
                <c:pt idx="678">
                  <c:v>28.406094</c:v>
                </c:pt>
                <c:pt idx="679">
                  <c:v>27.909804999999999</c:v>
                </c:pt>
                <c:pt idx="680">
                  <c:v>27.452836999999999</c:v>
                </c:pt>
                <c:pt idx="681">
                  <c:v>26.899567000000001</c:v>
                </c:pt>
                <c:pt idx="682">
                  <c:v>26.846319999999999</c:v>
                </c:pt>
                <c:pt idx="683">
                  <c:v>27.162434000000001</c:v>
                </c:pt>
                <c:pt idx="684">
                  <c:v>27.91339</c:v>
                </c:pt>
                <c:pt idx="685">
                  <c:v>28.748200000000001</c:v>
                </c:pt>
                <c:pt idx="686">
                  <c:v>29.120450000000002</c:v>
                </c:pt>
                <c:pt idx="687">
                  <c:v>29.147597999999999</c:v>
                </c:pt>
                <c:pt idx="688">
                  <c:v>28.850597</c:v>
                </c:pt>
                <c:pt idx="689">
                  <c:v>28.773392000000001</c:v>
                </c:pt>
                <c:pt idx="690">
                  <c:v>29.763983</c:v>
                </c:pt>
                <c:pt idx="691">
                  <c:v>29.162496999999998</c:v>
                </c:pt>
                <c:pt idx="692">
                  <c:v>28.202895999999999</c:v>
                </c:pt>
                <c:pt idx="693">
                  <c:v>27.799702</c:v>
                </c:pt>
                <c:pt idx="694">
                  <c:v>27.589801999999999</c:v>
                </c:pt>
                <c:pt idx="695">
                  <c:v>27.749324999999999</c:v>
                </c:pt>
                <c:pt idx="696">
                  <c:v>27.83418</c:v>
                </c:pt>
                <c:pt idx="697">
                  <c:v>28.674807000000001</c:v>
                </c:pt>
                <c:pt idx="698">
                  <c:v>29.320868000000001</c:v>
                </c:pt>
                <c:pt idx="699">
                  <c:v>28.872826</c:v>
                </c:pt>
                <c:pt idx="700">
                  <c:v>28.644043</c:v>
                </c:pt>
                <c:pt idx="701">
                  <c:v>28.332858999999999</c:v>
                </c:pt>
                <c:pt idx="702">
                  <c:v>28.550896000000002</c:v>
                </c:pt>
                <c:pt idx="703">
                  <c:v>27.727533000000001</c:v>
                </c:pt>
                <c:pt idx="704">
                  <c:v>26.880375000000001</c:v>
                </c:pt>
                <c:pt idx="705">
                  <c:v>26.993870000000001</c:v>
                </c:pt>
                <c:pt idx="706">
                  <c:v>25.773323000000001</c:v>
                </c:pt>
                <c:pt idx="707">
                  <c:v>26.669730000000001</c:v>
                </c:pt>
                <c:pt idx="708">
                  <c:v>27.642181000000001</c:v>
                </c:pt>
                <c:pt idx="709">
                  <c:v>28.438604000000002</c:v>
                </c:pt>
                <c:pt idx="710">
                  <c:v>28.569873999999999</c:v>
                </c:pt>
                <c:pt idx="711">
                  <c:v>28.388110999999999</c:v>
                </c:pt>
                <c:pt idx="712">
                  <c:v>27.881502000000001</c:v>
                </c:pt>
                <c:pt idx="713">
                  <c:v>27.847624</c:v>
                </c:pt>
                <c:pt idx="714">
                  <c:v>28.409420000000001</c:v>
                </c:pt>
                <c:pt idx="715">
                  <c:v>27.840263</c:v>
                </c:pt>
                <c:pt idx="716">
                  <c:v>27.428505000000001</c:v>
                </c:pt>
                <c:pt idx="717">
                  <c:v>26.65916</c:v>
                </c:pt>
                <c:pt idx="718">
                  <c:v>26.700862999999998</c:v>
                </c:pt>
                <c:pt idx="719">
                  <c:v>26.875129999999999</c:v>
                </c:pt>
                <c:pt idx="720">
                  <c:v>27.507639000000001</c:v>
                </c:pt>
                <c:pt idx="721">
                  <c:v>28.615241999999999</c:v>
                </c:pt>
                <c:pt idx="722">
                  <c:v>28.964835999999998</c:v>
                </c:pt>
                <c:pt idx="723">
                  <c:v>28.870773</c:v>
                </c:pt>
                <c:pt idx="724">
                  <c:v>28.489211999999998</c:v>
                </c:pt>
                <c:pt idx="725">
                  <c:v>28.021281999999999</c:v>
                </c:pt>
                <c:pt idx="726">
                  <c:v>28.252459000000002</c:v>
                </c:pt>
                <c:pt idx="727">
                  <c:v>28.008379999999999</c:v>
                </c:pt>
                <c:pt idx="728">
                  <c:v>27.234386000000001</c:v>
                </c:pt>
                <c:pt idx="729">
                  <c:v>26.437494000000001</c:v>
                </c:pt>
                <c:pt idx="730">
                  <c:v>26.717483999999999</c:v>
                </c:pt>
                <c:pt idx="731">
                  <c:v>27.055759999999999</c:v>
                </c:pt>
                <c:pt idx="732">
                  <c:v>27.531766999999999</c:v>
                </c:pt>
                <c:pt idx="733">
                  <c:v>28.406009999999998</c:v>
                </c:pt>
                <c:pt idx="734">
                  <c:v>28.556839</c:v>
                </c:pt>
                <c:pt idx="735">
                  <c:v>28.824017000000001</c:v>
                </c:pt>
                <c:pt idx="736">
                  <c:v>28.394843999999999</c:v>
                </c:pt>
                <c:pt idx="737">
                  <c:v>28.231102</c:v>
                </c:pt>
                <c:pt idx="738">
                  <c:v>28.727388000000001</c:v>
                </c:pt>
                <c:pt idx="739">
                  <c:v>28.362912999999999</c:v>
                </c:pt>
                <c:pt idx="740">
                  <c:v>27.443425999999999</c:v>
                </c:pt>
                <c:pt idx="741">
                  <c:v>27.113303999999999</c:v>
                </c:pt>
                <c:pt idx="742">
                  <c:v>26.765903000000002</c:v>
                </c:pt>
                <c:pt idx="743">
                  <c:v>27.182971999999999</c:v>
                </c:pt>
                <c:pt idx="744">
                  <c:v>28.199314000000001</c:v>
                </c:pt>
                <c:pt idx="745">
                  <c:v>28.826778000000001</c:v>
                </c:pt>
                <c:pt idx="746">
                  <c:v>29.070879999999999</c:v>
                </c:pt>
                <c:pt idx="747">
                  <c:v>28.895423999999998</c:v>
                </c:pt>
                <c:pt idx="748">
                  <c:v>28.413478999999999</c:v>
                </c:pt>
                <c:pt idx="749">
                  <c:v>28.423645</c:v>
                </c:pt>
                <c:pt idx="750">
                  <c:v>28.565704</c:v>
                </c:pt>
                <c:pt idx="751">
                  <c:v>28.296250000000001</c:v>
                </c:pt>
                <c:pt idx="752">
                  <c:v>27.411937999999999</c:v>
                </c:pt>
                <c:pt idx="753">
                  <c:v>26.413506999999999</c:v>
                </c:pt>
                <c:pt idx="754">
                  <c:v>26.707027</c:v>
                </c:pt>
                <c:pt idx="755">
                  <c:v>26.99287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E2-4115-9E40-E2BBDFFE5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686000"/>
        <c:axId val="848689808"/>
      </c:scatterChart>
      <c:valAx>
        <c:axId val="848686000"/>
        <c:scaling>
          <c:orientation val="minMax"/>
          <c:max val="2015"/>
          <c:min val="1950"/>
        </c:scaling>
        <c:delete val="0"/>
        <c:axPos val="b"/>
        <c:numFmt formatCode="0.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689808"/>
        <c:crosses val="autoZero"/>
        <c:crossBetween val="midCat"/>
        <c:minorUnit val="5"/>
      </c:valAx>
      <c:valAx>
        <c:axId val="848689808"/>
        <c:scaling>
          <c:orientation val="minMax"/>
          <c:max val="30"/>
          <c:min val="25.5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68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Climatologia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'Temp-aire'!$I$10:$I$21</c:f>
                <c:numCache>
                  <c:formatCode>General</c:formatCode>
                  <c:ptCount val="12"/>
                  <c:pt idx="0">
                    <c:v>0.57260159721150283</c:v>
                  </c:pt>
                  <c:pt idx="1">
                    <c:v>0.51337753863520474</c:v>
                  </c:pt>
                  <c:pt idx="2">
                    <c:v>0.5656754374771561</c:v>
                  </c:pt>
                  <c:pt idx="3">
                    <c:v>0.47401101324543715</c:v>
                  </c:pt>
                  <c:pt idx="4">
                    <c:v>0.37465992112471191</c:v>
                  </c:pt>
                  <c:pt idx="5">
                    <c:v>0.42405095099474538</c:v>
                  </c:pt>
                  <c:pt idx="6">
                    <c:v>0.37239111327062829</c:v>
                  </c:pt>
                  <c:pt idx="7">
                    <c:v>0.47856600770302715</c:v>
                  </c:pt>
                  <c:pt idx="8">
                    <c:v>0.44372269550753723</c:v>
                  </c:pt>
                  <c:pt idx="9">
                    <c:v>0.48068630314779937</c:v>
                  </c:pt>
                  <c:pt idx="10">
                    <c:v>0.56190505259838464</c:v>
                  </c:pt>
                  <c:pt idx="11">
                    <c:v>0.59648090806346055</c:v>
                  </c:pt>
                </c:numCache>
              </c:numRef>
            </c:plus>
            <c:minus>
              <c:numRef>
                <c:f>'Temp-aire'!$I$10:$I$21</c:f>
                <c:numCache>
                  <c:formatCode>General</c:formatCode>
                  <c:ptCount val="12"/>
                  <c:pt idx="0">
                    <c:v>0.57260159721150283</c:v>
                  </c:pt>
                  <c:pt idx="1">
                    <c:v>0.51337753863520474</c:v>
                  </c:pt>
                  <c:pt idx="2">
                    <c:v>0.5656754374771561</c:v>
                  </c:pt>
                  <c:pt idx="3">
                    <c:v>0.47401101324543715</c:v>
                  </c:pt>
                  <c:pt idx="4">
                    <c:v>0.37465992112471191</c:v>
                  </c:pt>
                  <c:pt idx="5">
                    <c:v>0.42405095099474538</c:v>
                  </c:pt>
                  <c:pt idx="6">
                    <c:v>0.37239111327062829</c:v>
                  </c:pt>
                  <c:pt idx="7">
                    <c:v>0.47856600770302715</c:v>
                  </c:pt>
                  <c:pt idx="8">
                    <c:v>0.44372269550753723</c:v>
                  </c:pt>
                  <c:pt idx="9">
                    <c:v>0.48068630314779937</c:v>
                  </c:pt>
                  <c:pt idx="10">
                    <c:v>0.56190505259838464</c:v>
                  </c:pt>
                  <c:pt idx="11">
                    <c:v>0.59648090806346055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'Temp-aire'!$G$10:$G$21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'Temp-aire'!$H$10:$H$21</c:f>
              <c:numCache>
                <c:formatCode>0.00</c:formatCode>
                <c:ptCount val="12"/>
                <c:pt idx="0">
                  <c:v>26.972881355932209</c:v>
                </c:pt>
                <c:pt idx="1">
                  <c:v>26.901666666666678</c:v>
                </c:pt>
                <c:pt idx="2">
                  <c:v>27.236666666666679</c:v>
                </c:pt>
                <c:pt idx="3">
                  <c:v>27.685000000000002</c:v>
                </c:pt>
                <c:pt idx="4">
                  <c:v>28.178333333333338</c:v>
                </c:pt>
                <c:pt idx="5">
                  <c:v>28.353333333333332</c:v>
                </c:pt>
                <c:pt idx="6">
                  <c:v>28.211666666666662</c:v>
                </c:pt>
                <c:pt idx="7">
                  <c:v>28.17499999999999</c:v>
                </c:pt>
                <c:pt idx="8">
                  <c:v>28.214999999999996</c:v>
                </c:pt>
                <c:pt idx="9">
                  <c:v>27.911864406779664</c:v>
                </c:pt>
                <c:pt idx="10">
                  <c:v>27.832203389830507</c:v>
                </c:pt>
                <c:pt idx="11">
                  <c:v>27.400000000000002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B7-4130-9CE8-16D434D95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09616"/>
        <c:axId val="189211696"/>
      </c:scatterChart>
      <c:valAx>
        <c:axId val="18920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1696"/>
        <c:crosses val="autoZero"/>
        <c:crossBetween val="midCat"/>
      </c:valAx>
      <c:valAx>
        <c:axId val="189211696"/>
        <c:scaling>
          <c:orientation val="minMax"/>
          <c:min val="2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644639968493211E-2"/>
          <c:y val="0.15330358073471859"/>
          <c:w val="0.9012562991582368"/>
          <c:h val="0.73874059966330918"/>
        </c:manualLayout>
      </c:layout>
      <c:scatterChart>
        <c:scatterStyle val="lineMarker"/>
        <c:varyColors val="0"/>
        <c:ser>
          <c:idx val="0"/>
          <c:order val="0"/>
          <c:tx>
            <c:v>AirT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'Temp-aire'!$K$12:$K$71</c:f>
              <c:numCache>
                <c:formatCode>General</c:formatCode>
                <c:ptCount val="60"/>
                <c:pt idx="0">
                  <c:v>2013</c:v>
                </c:pt>
                <c:pt idx="1">
                  <c:v>2012</c:v>
                </c:pt>
                <c:pt idx="2">
                  <c:v>2011</c:v>
                </c:pt>
                <c:pt idx="3">
                  <c:v>2010</c:v>
                </c:pt>
                <c:pt idx="4">
                  <c:v>2009</c:v>
                </c:pt>
                <c:pt idx="5">
                  <c:v>2008</c:v>
                </c:pt>
                <c:pt idx="6">
                  <c:v>2007</c:v>
                </c:pt>
                <c:pt idx="7">
                  <c:v>2006</c:v>
                </c:pt>
                <c:pt idx="8">
                  <c:v>2005</c:v>
                </c:pt>
                <c:pt idx="9">
                  <c:v>2004</c:v>
                </c:pt>
                <c:pt idx="10">
                  <c:v>2003</c:v>
                </c:pt>
                <c:pt idx="11">
                  <c:v>2002</c:v>
                </c:pt>
                <c:pt idx="12">
                  <c:v>2001</c:v>
                </c:pt>
                <c:pt idx="13">
                  <c:v>2000</c:v>
                </c:pt>
                <c:pt idx="14">
                  <c:v>1999</c:v>
                </c:pt>
                <c:pt idx="15">
                  <c:v>1998</c:v>
                </c:pt>
                <c:pt idx="16">
                  <c:v>1997</c:v>
                </c:pt>
                <c:pt idx="17">
                  <c:v>1996</c:v>
                </c:pt>
                <c:pt idx="18">
                  <c:v>1995</c:v>
                </c:pt>
                <c:pt idx="19">
                  <c:v>1994</c:v>
                </c:pt>
                <c:pt idx="20">
                  <c:v>1993</c:v>
                </c:pt>
                <c:pt idx="21">
                  <c:v>1992</c:v>
                </c:pt>
                <c:pt idx="22">
                  <c:v>1991</c:v>
                </c:pt>
                <c:pt idx="23">
                  <c:v>1990</c:v>
                </c:pt>
                <c:pt idx="24">
                  <c:v>1989</c:v>
                </c:pt>
                <c:pt idx="25">
                  <c:v>1988</c:v>
                </c:pt>
                <c:pt idx="26">
                  <c:v>1987</c:v>
                </c:pt>
                <c:pt idx="27">
                  <c:v>1986</c:v>
                </c:pt>
                <c:pt idx="28">
                  <c:v>1985</c:v>
                </c:pt>
                <c:pt idx="29">
                  <c:v>1984</c:v>
                </c:pt>
                <c:pt idx="30">
                  <c:v>1983</c:v>
                </c:pt>
                <c:pt idx="31">
                  <c:v>1982</c:v>
                </c:pt>
                <c:pt idx="32">
                  <c:v>1981</c:v>
                </c:pt>
                <c:pt idx="33">
                  <c:v>1980</c:v>
                </c:pt>
                <c:pt idx="34">
                  <c:v>1979</c:v>
                </c:pt>
                <c:pt idx="35">
                  <c:v>1978</c:v>
                </c:pt>
                <c:pt idx="36">
                  <c:v>1977</c:v>
                </c:pt>
                <c:pt idx="37">
                  <c:v>1976</c:v>
                </c:pt>
                <c:pt idx="38">
                  <c:v>1975</c:v>
                </c:pt>
                <c:pt idx="39">
                  <c:v>1974</c:v>
                </c:pt>
                <c:pt idx="40">
                  <c:v>1973</c:v>
                </c:pt>
                <c:pt idx="41">
                  <c:v>1972</c:v>
                </c:pt>
                <c:pt idx="42">
                  <c:v>1971</c:v>
                </c:pt>
                <c:pt idx="43">
                  <c:v>1970</c:v>
                </c:pt>
                <c:pt idx="44">
                  <c:v>1969</c:v>
                </c:pt>
                <c:pt idx="45">
                  <c:v>1968</c:v>
                </c:pt>
                <c:pt idx="46">
                  <c:v>1967</c:v>
                </c:pt>
                <c:pt idx="47">
                  <c:v>1966</c:v>
                </c:pt>
                <c:pt idx="48">
                  <c:v>1965</c:v>
                </c:pt>
                <c:pt idx="49">
                  <c:v>1964</c:v>
                </c:pt>
                <c:pt idx="50">
                  <c:v>1963</c:v>
                </c:pt>
                <c:pt idx="51">
                  <c:v>1962</c:v>
                </c:pt>
                <c:pt idx="52">
                  <c:v>1961</c:v>
                </c:pt>
                <c:pt idx="53">
                  <c:v>1960</c:v>
                </c:pt>
                <c:pt idx="54">
                  <c:v>1959</c:v>
                </c:pt>
                <c:pt idx="55">
                  <c:v>1958</c:v>
                </c:pt>
                <c:pt idx="56">
                  <c:v>1957</c:v>
                </c:pt>
                <c:pt idx="57">
                  <c:v>1956</c:v>
                </c:pt>
                <c:pt idx="58">
                  <c:v>1955</c:v>
                </c:pt>
                <c:pt idx="59">
                  <c:v>1954</c:v>
                </c:pt>
              </c:numCache>
            </c:numRef>
          </c:xVal>
          <c:yVal>
            <c:numRef>
              <c:f>'Temp-aire'!$L$12:$L$71</c:f>
              <c:numCache>
                <c:formatCode>General</c:formatCode>
                <c:ptCount val="60"/>
                <c:pt idx="0">
                  <c:v>28.191666666666674</c:v>
                </c:pt>
                <c:pt idx="1">
                  <c:v>28.122222222222224</c:v>
                </c:pt>
                <c:pt idx="2">
                  <c:v>27.763636363636365</c:v>
                </c:pt>
                <c:pt idx="3">
                  <c:v>28.133333333333329</c:v>
                </c:pt>
                <c:pt idx="4">
                  <c:v>28.166666666666661</c:v>
                </c:pt>
                <c:pt idx="5">
                  <c:v>27.633333333333336</c:v>
                </c:pt>
                <c:pt idx="6">
                  <c:v>27.775000000000002</c:v>
                </c:pt>
                <c:pt idx="7">
                  <c:v>27.974999999999998</c:v>
                </c:pt>
                <c:pt idx="8">
                  <c:v>28.133333333333329</c:v>
                </c:pt>
                <c:pt idx="9">
                  <c:v>27.858333333333338</c:v>
                </c:pt>
                <c:pt idx="10">
                  <c:v>28.025000000000002</c:v>
                </c:pt>
                <c:pt idx="11">
                  <c:v>28.05</c:v>
                </c:pt>
                <c:pt idx="12">
                  <c:v>27.708333333333332</c:v>
                </c:pt>
                <c:pt idx="13">
                  <c:v>27.390909090909087</c:v>
                </c:pt>
                <c:pt idx="14">
                  <c:v>27.408333333333331</c:v>
                </c:pt>
                <c:pt idx="15">
                  <c:v>28.100000000000005</c:v>
                </c:pt>
                <c:pt idx="16">
                  <c:v>27.766666666666666</c:v>
                </c:pt>
                <c:pt idx="17">
                  <c:v>27.691666666666666</c:v>
                </c:pt>
                <c:pt idx="18">
                  <c:v>27.791666666666668</c:v>
                </c:pt>
                <c:pt idx="19">
                  <c:v>27.5</c:v>
                </c:pt>
                <c:pt idx="20">
                  <c:v>27.791666666666661</c:v>
                </c:pt>
                <c:pt idx="21">
                  <c:v>27.774999999999995</c:v>
                </c:pt>
                <c:pt idx="22">
                  <c:v>27.624999999999996</c:v>
                </c:pt>
                <c:pt idx="23">
                  <c:v>27.474999999999998</c:v>
                </c:pt>
                <c:pt idx="24">
                  <c:v>27.575000000000003</c:v>
                </c:pt>
                <c:pt idx="25">
                  <c:v>27.508333333333329</c:v>
                </c:pt>
                <c:pt idx="26">
                  <c:v>27.966666666666669</c:v>
                </c:pt>
                <c:pt idx="27">
                  <c:v>27.666666666666671</c:v>
                </c:pt>
                <c:pt idx="28">
                  <c:v>27.466666666666665</c:v>
                </c:pt>
                <c:pt idx="29">
                  <c:v>27.391666666666666</c:v>
                </c:pt>
                <c:pt idx="30">
                  <c:v>28.116666666666664</c:v>
                </c:pt>
                <c:pt idx="31">
                  <c:v>27.591666666666669</c:v>
                </c:pt>
                <c:pt idx="32">
                  <c:v>27.858333333333334</c:v>
                </c:pt>
                <c:pt idx="33">
                  <c:v>28.108333333333334</c:v>
                </c:pt>
                <c:pt idx="34">
                  <c:v>28.099999999999998</c:v>
                </c:pt>
                <c:pt idx="35">
                  <c:v>28.133333333333329</c:v>
                </c:pt>
                <c:pt idx="36">
                  <c:v>27.691666666666663</c:v>
                </c:pt>
                <c:pt idx="37">
                  <c:v>27.224999999999998</c:v>
                </c:pt>
                <c:pt idx="38">
                  <c:v>27.058333333333337</c:v>
                </c:pt>
                <c:pt idx="39">
                  <c:v>27.783333333333331</c:v>
                </c:pt>
                <c:pt idx="40">
                  <c:v>27.933333333333334</c:v>
                </c:pt>
                <c:pt idx="41">
                  <c:v>28.416666666666668</c:v>
                </c:pt>
                <c:pt idx="42">
                  <c:v>27.866666666666664</c:v>
                </c:pt>
                <c:pt idx="43">
                  <c:v>27.574999999999999</c:v>
                </c:pt>
                <c:pt idx="44">
                  <c:v>27.5</c:v>
                </c:pt>
                <c:pt idx="45">
                  <c:v>27.258333333333336</c:v>
                </c:pt>
                <c:pt idx="46">
                  <c:v>27.691666666666666</c:v>
                </c:pt>
                <c:pt idx="47">
                  <c:v>27.474999999999998</c:v>
                </c:pt>
                <c:pt idx="48">
                  <c:v>27.641666666666666</c:v>
                </c:pt>
                <c:pt idx="49">
                  <c:v>27.45</c:v>
                </c:pt>
                <c:pt idx="50">
                  <c:v>27.841666666666669</c:v>
                </c:pt>
                <c:pt idx="51">
                  <c:v>27.858333333333334</c:v>
                </c:pt>
                <c:pt idx="52">
                  <c:v>27.341666666666669</c:v>
                </c:pt>
                <c:pt idx="53">
                  <c:v>27.900000000000002</c:v>
                </c:pt>
                <c:pt idx="54">
                  <c:v>27.474999999999998</c:v>
                </c:pt>
                <c:pt idx="55">
                  <c:v>28.333333333333329</c:v>
                </c:pt>
                <c:pt idx="56">
                  <c:v>28.108333333333334</c:v>
                </c:pt>
                <c:pt idx="57">
                  <c:v>27.299999999999997</c:v>
                </c:pt>
                <c:pt idx="58">
                  <c:v>27.641666666666666</c:v>
                </c:pt>
                <c:pt idx="59">
                  <c:v>27.833333333333332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B-4D50-B5AC-1B895EDA97FC}"/>
            </c:ext>
          </c:extLst>
        </c:ser>
        <c:ser>
          <c:idx val="1"/>
          <c:order val="1"/>
          <c:tx>
            <c:strRef>
              <c:f>HadISST!$J$2</c:f>
              <c:strCache>
                <c:ptCount val="1"/>
                <c:pt idx="0">
                  <c:v>HADISST (°C)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HadISST!$A$3:$A$67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HadISST!$B$3:$B$67</c:f>
              <c:numCache>
                <c:formatCode>General</c:formatCode>
                <c:ptCount val="65"/>
                <c:pt idx="0">
                  <c:v>28.355173833333328</c:v>
                </c:pt>
                <c:pt idx="1">
                  <c:v>28.293394333333335</c:v>
                </c:pt>
                <c:pt idx="2">
                  <c:v>28.339949749999999</c:v>
                </c:pt>
                <c:pt idx="3">
                  <c:v>28.264226666666669</c:v>
                </c:pt>
                <c:pt idx="4">
                  <c:v>28.428455916666664</c:v>
                </c:pt>
                <c:pt idx="5">
                  <c:v>28.769775499999994</c:v>
                </c:pt>
                <c:pt idx="6">
                  <c:v>28.08855208333333</c:v>
                </c:pt>
                <c:pt idx="7">
                  <c:v>28.127610249999993</c:v>
                </c:pt>
                <c:pt idx="8">
                  <c:v>28.209015749999995</c:v>
                </c:pt>
                <c:pt idx="9">
                  <c:v>28.362006750000003</c:v>
                </c:pt>
                <c:pt idx="10">
                  <c:v>28.552892583333328</c:v>
                </c:pt>
                <c:pt idx="11">
                  <c:v>28.266666999999998</c:v>
                </c:pt>
                <c:pt idx="12">
                  <c:v>28.298869166666666</c:v>
                </c:pt>
                <c:pt idx="13">
                  <c:v>28.077443916666667</c:v>
                </c:pt>
                <c:pt idx="14">
                  <c:v>28.024439666666662</c:v>
                </c:pt>
                <c:pt idx="15">
                  <c:v>27.931871750000003</c:v>
                </c:pt>
                <c:pt idx="16">
                  <c:v>28.058624499999993</c:v>
                </c:pt>
                <c:pt idx="17">
                  <c:v>28.510966333333329</c:v>
                </c:pt>
                <c:pt idx="18">
                  <c:v>28.115058000000001</c:v>
                </c:pt>
                <c:pt idx="19">
                  <c:v>28.120864750000006</c:v>
                </c:pt>
                <c:pt idx="20">
                  <c:v>28.316777833333333</c:v>
                </c:pt>
                <c:pt idx="21">
                  <c:v>27.888757999999999</c:v>
                </c:pt>
                <c:pt idx="22">
                  <c:v>28.107895583333335</c:v>
                </c:pt>
                <c:pt idx="23">
                  <c:v>27.87795366666667</c:v>
                </c:pt>
                <c:pt idx="24">
                  <c:v>27.760664083333335</c:v>
                </c:pt>
                <c:pt idx="25">
                  <c:v>27.93991741666667</c:v>
                </c:pt>
                <c:pt idx="26">
                  <c:v>27.649690250000003</c:v>
                </c:pt>
                <c:pt idx="27">
                  <c:v>28.092704083333334</c:v>
                </c:pt>
                <c:pt idx="28">
                  <c:v>28.246921083333334</c:v>
                </c:pt>
                <c:pt idx="29">
                  <c:v>27.5675025</c:v>
                </c:pt>
                <c:pt idx="30">
                  <c:v>27.473912250000001</c:v>
                </c:pt>
                <c:pt idx="31">
                  <c:v>27.73608175</c:v>
                </c:pt>
                <c:pt idx="32">
                  <c:v>28.159372166666667</c:v>
                </c:pt>
                <c:pt idx="33">
                  <c:v>27.829861750000003</c:v>
                </c:pt>
                <c:pt idx="34">
                  <c:v>28.183046749999992</c:v>
                </c:pt>
                <c:pt idx="35">
                  <c:v>28.043225333333336</c:v>
                </c:pt>
                <c:pt idx="36">
                  <c:v>27.986774416666663</c:v>
                </c:pt>
                <c:pt idx="37">
                  <c:v>27.972403500000002</c:v>
                </c:pt>
                <c:pt idx="38">
                  <c:v>27.774049833333333</c:v>
                </c:pt>
                <c:pt idx="39">
                  <c:v>27.514467499999995</c:v>
                </c:pt>
                <c:pt idx="40">
                  <c:v>27.558954583333335</c:v>
                </c:pt>
                <c:pt idx="41">
                  <c:v>27.592790750000002</c:v>
                </c:pt>
                <c:pt idx="42">
                  <c:v>28.07664158333333</c:v>
                </c:pt>
                <c:pt idx="43">
                  <c:v>27.869388916666669</c:v>
                </c:pt>
                <c:pt idx="44">
                  <c:v>27.683181750000003</c:v>
                </c:pt>
                <c:pt idx="45">
                  <c:v>28.037218416666665</c:v>
                </c:pt>
                <c:pt idx="46">
                  <c:v>28.474781416666669</c:v>
                </c:pt>
                <c:pt idx="47">
                  <c:v>27.772011333333335</c:v>
                </c:pt>
                <c:pt idx="48">
                  <c:v>27.815735333333336</c:v>
                </c:pt>
                <c:pt idx="49">
                  <c:v>28.076882083333331</c:v>
                </c:pt>
                <c:pt idx="50">
                  <c:v>27.645168583333334</c:v>
                </c:pt>
                <c:pt idx="51">
                  <c:v>27.886182833333336</c:v>
                </c:pt>
                <c:pt idx="52">
                  <c:v>28.205158166666674</c:v>
                </c:pt>
                <c:pt idx="53">
                  <c:v>28.066027083333335</c:v>
                </c:pt>
                <c:pt idx="54">
                  <c:v>28.061047249999998</c:v>
                </c:pt>
                <c:pt idx="55">
                  <c:v>28.31934583333333</c:v>
                </c:pt>
                <c:pt idx="56">
                  <c:v>27.904639750000001</c:v>
                </c:pt>
                <c:pt idx="57">
                  <c:v>28.568486000000004</c:v>
                </c:pt>
                <c:pt idx="58">
                  <c:v>27.856275833333338</c:v>
                </c:pt>
                <c:pt idx="59">
                  <c:v>27.723436416666669</c:v>
                </c:pt>
                <c:pt idx="60">
                  <c:v>27.847912249999997</c:v>
                </c:pt>
                <c:pt idx="61">
                  <c:v>27.961707083333327</c:v>
                </c:pt>
                <c:pt idx="62">
                  <c:v>28.018068</c:v>
                </c:pt>
                <c:pt idx="63">
                  <c:v>28.178450916666662</c:v>
                </c:pt>
                <c:pt idx="64">
                  <c:v>28.075387000000003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B-4D50-B5AC-1B895EDA9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686000"/>
        <c:axId val="848689808"/>
      </c:scatterChart>
      <c:scatterChart>
        <c:scatterStyle val="lineMarker"/>
        <c:varyColors val="0"/>
        <c:ser>
          <c:idx val="2"/>
          <c:order val="2"/>
          <c:tx>
            <c:strRef>
              <c:f>SST_Modis!$M$1</c:f>
              <c:strCache>
                <c:ptCount val="1"/>
                <c:pt idx="0">
                  <c:v>SST_Aqua</c:v>
                </c:pt>
              </c:strCache>
            </c:strRef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SST_Modis!$J$2:$J$16</c:f>
              <c:numCache>
                <c:formatCode>General</c:formatCode>
                <c:ptCount val="15"/>
                <c:pt idx="0">
                  <c:v>2017</c:v>
                </c:pt>
                <c:pt idx="1">
                  <c:v>2016</c:v>
                </c:pt>
                <c:pt idx="2">
                  <c:v>2015</c:v>
                </c:pt>
                <c:pt idx="3">
                  <c:v>2014</c:v>
                </c:pt>
                <c:pt idx="4">
                  <c:v>2013</c:v>
                </c:pt>
                <c:pt idx="5">
                  <c:v>2012</c:v>
                </c:pt>
                <c:pt idx="6">
                  <c:v>2011</c:v>
                </c:pt>
                <c:pt idx="7">
                  <c:v>2010</c:v>
                </c:pt>
                <c:pt idx="8">
                  <c:v>2009</c:v>
                </c:pt>
                <c:pt idx="9">
                  <c:v>2008</c:v>
                </c:pt>
                <c:pt idx="10">
                  <c:v>2007</c:v>
                </c:pt>
                <c:pt idx="11">
                  <c:v>2006</c:v>
                </c:pt>
                <c:pt idx="12">
                  <c:v>2005</c:v>
                </c:pt>
                <c:pt idx="13">
                  <c:v>2004</c:v>
                </c:pt>
                <c:pt idx="14">
                  <c:v>2003</c:v>
                </c:pt>
              </c:numCache>
            </c:numRef>
          </c:xVal>
          <c:yVal>
            <c:numRef>
              <c:f>SST_Modis!$M$2:$M$16</c:f>
              <c:numCache>
                <c:formatCode>0.0</c:formatCode>
                <c:ptCount val="15"/>
                <c:pt idx="0">
                  <c:v>29.965</c:v>
                </c:pt>
                <c:pt idx="1">
                  <c:v>29.559000000000001</c:v>
                </c:pt>
                <c:pt idx="2">
                  <c:v>29.78</c:v>
                </c:pt>
                <c:pt idx="3">
                  <c:v>29.622</c:v>
                </c:pt>
                <c:pt idx="4">
                  <c:v>29.526</c:v>
                </c:pt>
                <c:pt idx="5">
                  <c:v>29.521999999999998</c:v>
                </c:pt>
                <c:pt idx="6">
                  <c:v>29.556000000000001</c:v>
                </c:pt>
                <c:pt idx="7">
                  <c:v>29.622</c:v>
                </c:pt>
                <c:pt idx="8">
                  <c:v>29.452000000000002</c:v>
                </c:pt>
                <c:pt idx="9">
                  <c:v>29.414000000000001</c:v>
                </c:pt>
                <c:pt idx="10">
                  <c:v>29.611999999999998</c:v>
                </c:pt>
                <c:pt idx="11">
                  <c:v>29.873999999999999</c:v>
                </c:pt>
                <c:pt idx="12">
                  <c:v>29.45</c:v>
                </c:pt>
                <c:pt idx="13">
                  <c:v>29.559000000000001</c:v>
                </c:pt>
                <c:pt idx="14">
                  <c:v>29.602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7B-4D50-B5AC-1B895EDA97FC}"/>
            </c:ext>
          </c:extLst>
        </c:ser>
        <c:ser>
          <c:idx val="3"/>
          <c:order val="3"/>
          <c:tx>
            <c:strRef>
              <c:f>SST_Modis!$L$1</c:f>
              <c:strCache>
                <c:ptCount val="1"/>
                <c:pt idx="0">
                  <c:v>SST_Terra_v2</c:v>
                </c:pt>
              </c:strCache>
            </c:strRef>
          </c:tx>
          <c:spPr>
            <a:ln w="254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SST_Modis!$J$2:$J$18</c:f>
              <c:numCache>
                <c:formatCode>General</c:formatCode>
                <c:ptCount val="17"/>
                <c:pt idx="0">
                  <c:v>2017</c:v>
                </c:pt>
                <c:pt idx="1">
                  <c:v>2016</c:v>
                </c:pt>
                <c:pt idx="2">
                  <c:v>2015</c:v>
                </c:pt>
                <c:pt idx="3">
                  <c:v>2014</c:v>
                </c:pt>
                <c:pt idx="4">
                  <c:v>2013</c:v>
                </c:pt>
                <c:pt idx="5">
                  <c:v>2012</c:v>
                </c:pt>
                <c:pt idx="6">
                  <c:v>2011</c:v>
                </c:pt>
                <c:pt idx="7">
                  <c:v>2010</c:v>
                </c:pt>
                <c:pt idx="8">
                  <c:v>2009</c:v>
                </c:pt>
                <c:pt idx="9">
                  <c:v>2008</c:v>
                </c:pt>
                <c:pt idx="10">
                  <c:v>2007</c:v>
                </c:pt>
                <c:pt idx="11">
                  <c:v>2006</c:v>
                </c:pt>
                <c:pt idx="12">
                  <c:v>2005</c:v>
                </c:pt>
                <c:pt idx="13">
                  <c:v>2004</c:v>
                </c:pt>
                <c:pt idx="14">
                  <c:v>2003</c:v>
                </c:pt>
                <c:pt idx="15">
                  <c:v>2002</c:v>
                </c:pt>
                <c:pt idx="16">
                  <c:v>2001</c:v>
                </c:pt>
              </c:numCache>
            </c:numRef>
          </c:xVal>
          <c:yVal>
            <c:numRef>
              <c:f>SST_Modis!$L$2:$L$18</c:f>
              <c:numCache>
                <c:formatCode>0.0</c:formatCode>
                <c:ptCount val="17"/>
                <c:pt idx="0">
                  <c:v>29.683</c:v>
                </c:pt>
                <c:pt idx="1">
                  <c:v>29.559000000000001</c:v>
                </c:pt>
                <c:pt idx="2">
                  <c:v>29.777999999999999</c:v>
                </c:pt>
                <c:pt idx="3">
                  <c:v>29.565999999999999</c:v>
                </c:pt>
                <c:pt idx="4">
                  <c:v>29.504000000000001</c:v>
                </c:pt>
                <c:pt idx="5">
                  <c:v>29.433</c:v>
                </c:pt>
                <c:pt idx="6">
                  <c:v>29.254000000000001</c:v>
                </c:pt>
                <c:pt idx="7">
                  <c:v>29.289000000000001</c:v>
                </c:pt>
                <c:pt idx="8">
                  <c:v>29.312999999999999</c:v>
                </c:pt>
                <c:pt idx="9">
                  <c:v>29.161000000000001</c:v>
                </c:pt>
                <c:pt idx="10">
                  <c:v>29.245999999999999</c:v>
                </c:pt>
                <c:pt idx="11">
                  <c:v>29.56</c:v>
                </c:pt>
                <c:pt idx="12">
                  <c:v>29.337</c:v>
                </c:pt>
                <c:pt idx="13">
                  <c:v>29.245000000000001</c:v>
                </c:pt>
                <c:pt idx="14">
                  <c:v>29.492999999999999</c:v>
                </c:pt>
                <c:pt idx="15">
                  <c:v>29.596</c:v>
                </c:pt>
                <c:pt idx="16">
                  <c:v>29.129000000000001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7B-4D50-B5AC-1B895EDA9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959407"/>
        <c:axId val="1206961327"/>
      </c:scatterChart>
      <c:valAx>
        <c:axId val="848686000"/>
        <c:scaling>
          <c:orientation val="minMax"/>
          <c:max val="2017"/>
          <c:min val="1950"/>
        </c:scaling>
        <c:delete val="0"/>
        <c:axPos val="b"/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689808"/>
        <c:crosses val="autoZero"/>
        <c:crossBetween val="midCat"/>
        <c:minorUnit val="5"/>
      </c:valAx>
      <c:valAx>
        <c:axId val="848689808"/>
        <c:scaling>
          <c:orientation val="minMax"/>
          <c:max val="29"/>
          <c:min val="27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686000"/>
        <c:crosses val="autoZero"/>
        <c:crossBetween val="midCat"/>
        <c:majorUnit val="0.5"/>
      </c:valAx>
      <c:valAx>
        <c:axId val="1206961327"/>
        <c:scaling>
          <c:orientation val="minMax"/>
          <c:max val="31"/>
          <c:min val="29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59407"/>
        <c:crosses val="max"/>
        <c:crossBetween val="midCat"/>
      </c:valAx>
      <c:valAx>
        <c:axId val="1206959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696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STDA Air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'Temp-aire'!$C$22:$C$741</c:f>
              <c:numCache>
                <c:formatCode>0.0</c:formatCode>
                <c:ptCount val="720"/>
                <c:pt idx="0">
                  <c:v>1953.99999998459</c:v>
                </c:pt>
                <c:pt idx="1">
                  <c:v>1954.0833333179501</c:v>
                </c:pt>
                <c:pt idx="2">
                  <c:v>1954.1666666513099</c:v>
                </c:pt>
                <c:pt idx="3">
                  <c:v>1954.24999998467</c:v>
                </c:pt>
                <c:pt idx="4">
                  <c:v>1954.3333333180301</c:v>
                </c:pt>
                <c:pt idx="5">
                  <c:v>1954.41666665139</c:v>
                </c:pt>
                <c:pt idx="6">
                  <c:v>1954.49999998475</c:v>
                </c:pt>
                <c:pt idx="7">
                  <c:v>1954.5833333181099</c:v>
                </c:pt>
                <c:pt idx="8">
                  <c:v>1954.66666665147</c:v>
                </c:pt>
                <c:pt idx="9">
                  <c:v>1954.7499999848301</c:v>
                </c:pt>
                <c:pt idx="10">
                  <c:v>1954.8333333181899</c:v>
                </c:pt>
                <c:pt idx="11">
                  <c:v>1954.91666665155</c:v>
                </c:pt>
                <c:pt idx="12">
                  <c:v>1954.9999999849099</c:v>
                </c:pt>
                <c:pt idx="13">
                  <c:v>1955.08333331827</c:v>
                </c:pt>
                <c:pt idx="14">
                  <c:v>1955.1666666516301</c:v>
                </c:pt>
                <c:pt idx="15">
                  <c:v>1955.2499999849899</c:v>
                </c:pt>
                <c:pt idx="16">
                  <c:v>1955.33333331835</c:v>
                </c:pt>
                <c:pt idx="17">
                  <c:v>1955.4166666517101</c:v>
                </c:pt>
                <c:pt idx="18">
                  <c:v>1955.49999998507</c:v>
                </c:pt>
                <c:pt idx="19">
                  <c:v>1955.58333331843</c:v>
                </c:pt>
                <c:pt idx="20">
                  <c:v>1955.6666666517899</c:v>
                </c:pt>
                <c:pt idx="21">
                  <c:v>1955.74999998515</c:v>
                </c:pt>
                <c:pt idx="22">
                  <c:v>1955.8333333185101</c:v>
                </c:pt>
                <c:pt idx="23">
                  <c:v>1955.9166666518699</c:v>
                </c:pt>
                <c:pt idx="24">
                  <c:v>1955.99999998523</c:v>
                </c:pt>
                <c:pt idx="25">
                  <c:v>1956.0833333185899</c:v>
                </c:pt>
                <c:pt idx="26">
                  <c:v>1956.16666665195</c:v>
                </c:pt>
                <c:pt idx="27">
                  <c:v>1956.2499999853101</c:v>
                </c:pt>
                <c:pt idx="28">
                  <c:v>1956.3333333186699</c:v>
                </c:pt>
                <c:pt idx="29">
                  <c:v>1956.41666665203</c:v>
                </c:pt>
                <c:pt idx="30">
                  <c:v>1956.4999999853901</c:v>
                </c:pt>
                <c:pt idx="31">
                  <c:v>1956.58333331875</c:v>
                </c:pt>
                <c:pt idx="32">
                  <c:v>1956.6666666521101</c:v>
                </c:pt>
                <c:pt idx="33">
                  <c:v>1956.7499999854699</c:v>
                </c:pt>
                <c:pt idx="34">
                  <c:v>1956.83333331883</c:v>
                </c:pt>
                <c:pt idx="35">
                  <c:v>1956.9166666521901</c:v>
                </c:pt>
                <c:pt idx="36">
                  <c:v>1956.9999999855499</c:v>
                </c:pt>
                <c:pt idx="37">
                  <c:v>1957.08333331891</c:v>
                </c:pt>
                <c:pt idx="38">
                  <c:v>1957.1666666522699</c:v>
                </c:pt>
                <c:pt idx="39">
                  <c:v>1957.24999998563</c:v>
                </c:pt>
                <c:pt idx="40">
                  <c:v>1957.3333333189901</c:v>
                </c:pt>
                <c:pt idx="41">
                  <c:v>1957.4166666523499</c:v>
                </c:pt>
                <c:pt idx="42">
                  <c:v>1957.49999998571</c:v>
                </c:pt>
                <c:pt idx="43">
                  <c:v>1957.5833333190701</c:v>
                </c:pt>
                <c:pt idx="44">
                  <c:v>1957.66666665243</c:v>
                </c:pt>
                <c:pt idx="45">
                  <c:v>1957.7499999857901</c:v>
                </c:pt>
                <c:pt idx="46">
                  <c:v>1957.8333333191499</c:v>
                </c:pt>
                <c:pt idx="47">
                  <c:v>1957.91666665251</c:v>
                </c:pt>
                <c:pt idx="48">
                  <c:v>1957.9999999858701</c:v>
                </c:pt>
                <c:pt idx="49">
                  <c:v>1958.08333331923</c:v>
                </c:pt>
                <c:pt idx="50">
                  <c:v>1958.16666665259</c:v>
                </c:pt>
                <c:pt idx="51">
                  <c:v>1958.2499999859499</c:v>
                </c:pt>
                <c:pt idx="52">
                  <c:v>1958.33333331931</c:v>
                </c:pt>
                <c:pt idx="53">
                  <c:v>1958.4166666526701</c:v>
                </c:pt>
                <c:pt idx="54">
                  <c:v>1958.4999999860299</c:v>
                </c:pt>
                <c:pt idx="55">
                  <c:v>1958.58333331939</c:v>
                </c:pt>
                <c:pt idx="56">
                  <c:v>1958.6666666527501</c:v>
                </c:pt>
                <c:pt idx="57">
                  <c:v>1958.74999998611</c:v>
                </c:pt>
                <c:pt idx="58">
                  <c:v>1958.8333333194701</c:v>
                </c:pt>
                <c:pt idx="59">
                  <c:v>1958.9166666528299</c:v>
                </c:pt>
                <c:pt idx="60">
                  <c:v>1958.99999998619</c:v>
                </c:pt>
                <c:pt idx="61">
                  <c:v>1959.0833333195501</c:v>
                </c:pt>
                <c:pt idx="62">
                  <c:v>1959.16666665291</c:v>
                </c:pt>
                <c:pt idx="63">
                  <c:v>1959.24999998628</c:v>
                </c:pt>
                <c:pt idx="64">
                  <c:v>1959.3333333196399</c:v>
                </c:pt>
                <c:pt idx="65">
                  <c:v>1959.416666653</c:v>
                </c:pt>
                <c:pt idx="66">
                  <c:v>1959.4999999863601</c:v>
                </c:pt>
                <c:pt idx="67">
                  <c:v>1959.5833333197199</c:v>
                </c:pt>
                <c:pt idx="68">
                  <c:v>1959.66666665308</c:v>
                </c:pt>
                <c:pt idx="69">
                  <c:v>1959.7499999864399</c:v>
                </c:pt>
                <c:pt idx="70">
                  <c:v>1959.8333333198</c:v>
                </c:pt>
                <c:pt idx="71">
                  <c:v>1959.9166666531601</c:v>
                </c:pt>
                <c:pt idx="72">
                  <c:v>1959.9999999865199</c:v>
                </c:pt>
                <c:pt idx="73">
                  <c:v>1960.08333331988</c:v>
                </c:pt>
                <c:pt idx="74">
                  <c:v>1960.1666666532401</c:v>
                </c:pt>
                <c:pt idx="75">
                  <c:v>1960.2499999866</c:v>
                </c:pt>
                <c:pt idx="76">
                  <c:v>1960.33333331996</c:v>
                </c:pt>
                <c:pt idx="77">
                  <c:v>1960.4166666533199</c:v>
                </c:pt>
                <c:pt idx="78">
                  <c:v>1960.49999998668</c:v>
                </c:pt>
                <c:pt idx="79">
                  <c:v>1960.5833333200401</c:v>
                </c:pt>
                <c:pt idx="80">
                  <c:v>1960.6666666533999</c:v>
                </c:pt>
                <c:pt idx="81">
                  <c:v>1960.74999998676</c:v>
                </c:pt>
                <c:pt idx="82">
                  <c:v>1960.8333333201199</c:v>
                </c:pt>
                <c:pt idx="83">
                  <c:v>1960.91666665348</c:v>
                </c:pt>
                <c:pt idx="84">
                  <c:v>1960.9999999868401</c:v>
                </c:pt>
                <c:pt idx="85">
                  <c:v>1961.0833333201999</c:v>
                </c:pt>
                <c:pt idx="86">
                  <c:v>1961.16666665356</c:v>
                </c:pt>
                <c:pt idx="87">
                  <c:v>1961.2499999869201</c:v>
                </c:pt>
                <c:pt idx="88">
                  <c:v>1961.33333332028</c:v>
                </c:pt>
                <c:pt idx="89">
                  <c:v>1961.41666665364</c:v>
                </c:pt>
                <c:pt idx="90">
                  <c:v>1961.4999999869999</c:v>
                </c:pt>
                <c:pt idx="91">
                  <c:v>1961.58333332036</c:v>
                </c:pt>
                <c:pt idx="92">
                  <c:v>1961.6666666537201</c:v>
                </c:pt>
                <c:pt idx="93">
                  <c:v>1961.7499999870799</c:v>
                </c:pt>
                <c:pt idx="94">
                  <c:v>1961.83333332044</c:v>
                </c:pt>
                <c:pt idx="95">
                  <c:v>1961.9166666537999</c:v>
                </c:pt>
                <c:pt idx="96">
                  <c:v>1961.99999998716</c:v>
                </c:pt>
                <c:pt idx="97">
                  <c:v>1962.0833333205201</c:v>
                </c:pt>
                <c:pt idx="98">
                  <c:v>1962.1666666538799</c:v>
                </c:pt>
                <c:pt idx="99">
                  <c:v>1962.24999998724</c:v>
                </c:pt>
                <c:pt idx="100">
                  <c:v>1962.3333333205999</c:v>
                </c:pt>
                <c:pt idx="101">
                  <c:v>1962.41666665396</c:v>
                </c:pt>
                <c:pt idx="102">
                  <c:v>1962.4999999873201</c:v>
                </c:pt>
                <c:pt idx="103">
                  <c:v>1962.5833333206799</c:v>
                </c:pt>
                <c:pt idx="104">
                  <c:v>1962.66666665404</c:v>
                </c:pt>
                <c:pt idx="105">
                  <c:v>1962.7499999874001</c:v>
                </c:pt>
                <c:pt idx="106">
                  <c:v>1962.8333333207599</c:v>
                </c:pt>
                <c:pt idx="107">
                  <c:v>1962.91666665412</c:v>
                </c:pt>
                <c:pt idx="108">
                  <c:v>1962.9999999874799</c:v>
                </c:pt>
                <c:pt idx="109">
                  <c:v>1963.08333332084</c:v>
                </c:pt>
                <c:pt idx="110">
                  <c:v>1963.1666666542001</c:v>
                </c:pt>
                <c:pt idx="111">
                  <c:v>1963.2499999875599</c:v>
                </c:pt>
                <c:pt idx="112">
                  <c:v>1963.33333332092</c:v>
                </c:pt>
                <c:pt idx="113">
                  <c:v>1963.4166666542801</c:v>
                </c:pt>
                <c:pt idx="114">
                  <c:v>1963.49999998764</c:v>
                </c:pt>
                <c:pt idx="115">
                  <c:v>1963.5833333210001</c:v>
                </c:pt>
                <c:pt idx="116">
                  <c:v>1963.6666666543599</c:v>
                </c:pt>
                <c:pt idx="117">
                  <c:v>1963.74999998772</c:v>
                </c:pt>
                <c:pt idx="118">
                  <c:v>1963.8333333210801</c:v>
                </c:pt>
                <c:pt idx="119">
                  <c:v>1963.91666665444</c:v>
                </c:pt>
                <c:pt idx="120">
                  <c:v>1963.9999999878</c:v>
                </c:pt>
                <c:pt idx="121">
                  <c:v>1964.0833333211599</c:v>
                </c:pt>
                <c:pt idx="122">
                  <c:v>1964.16666665452</c:v>
                </c:pt>
                <c:pt idx="123">
                  <c:v>1964.2499999878801</c:v>
                </c:pt>
                <c:pt idx="124">
                  <c:v>1964.3333333212399</c:v>
                </c:pt>
                <c:pt idx="125">
                  <c:v>1964.4166666546</c:v>
                </c:pt>
                <c:pt idx="126">
                  <c:v>1964.4999999879601</c:v>
                </c:pt>
                <c:pt idx="127">
                  <c:v>1964.58333332132</c:v>
                </c:pt>
                <c:pt idx="128">
                  <c:v>1964.6666666546801</c:v>
                </c:pt>
                <c:pt idx="129">
                  <c:v>1964.7499999880399</c:v>
                </c:pt>
                <c:pt idx="130">
                  <c:v>1964.8333333214</c:v>
                </c:pt>
                <c:pt idx="131">
                  <c:v>1964.9166666547601</c:v>
                </c:pt>
                <c:pt idx="132">
                  <c:v>1964.99999998812</c:v>
                </c:pt>
                <c:pt idx="133">
                  <c:v>1965.08333332148</c:v>
                </c:pt>
                <c:pt idx="134">
                  <c:v>1965.1666666548399</c:v>
                </c:pt>
                <c:pt idx="135">
                  <c:v>1965.2499999882</c:v>
                </c:pt>
                <c:pt idx="136">
                  <c:v>1965.3333333215601</c:v>
                </c:pt>
                <c:pt idx="137">
                  <c:v>1965.4166666549199</c:v>
                </c:pt>
                <c:pt idx="138">
                  <c:v>1965.49999998828</c:v>
                </c:pt>
                <c:pt idx="139">
                  <c:v>1965.5833333216401</c:v>
                </c:pt>
                <c:pt idx="140">
                  <c:v>1965.666666655</c:v>
                </c:pt>
                <c:pt idx="141">
                  <c:v>1965.7499999883601</c:v>
                </c:pt>
                <c:pt idx="142">
                  <c:v>1965.8333333217199</c:v>
                </c:pt>
                <c:pt idx="143">
                  <c:v>1965.91666665508</c:v>
                </c:pt>
                <c:pt idx="144">
                  <c:v>1965.9999999884401</c:v>
                </c:pt>
                <c:pt idx="145">
                  <c:v>1966.0833333218</c:v>
                </c:pt>
                <c:pt idx="146">
                  <c:v>1966.16666665516</c:v>
                </c:pt>
                <c:pt idx="147">
                  <c:v>1966.2499999885199</c:v>
                </c:pt>
                <c:pt idx="148">
                  <c:v>1966.33333332188</c:v>
                </c:pt>
                <c:pt idx="149">
                  <c:v>1966.4166666552401</c:v>
                </c:pt>
                <c:pt idx="150">
                  <c:v>1966.4999999885999</c:v>
                </c:pt>
                <c:pt idx="151">
                  <c:v>1966.58333332196</c:v>
                </c:pt>
                <c:pt idx="152">
                  <c:v>1966.6666666553199</c:v>
                </c:pt>
                <c:pt idx="153">
                  <c:v>1966.74999998868</c:v>
                </c:pt>
                <c:pt idx="154">
                  <c:v>1966.8333333220401</c:v>
                </c:pt>
                <c:pt idx="155">
                  <c:v>1966.9166666553999</c:v>
                </c:pt>
                <c:pt idx="156">
                  <c:v>1966.99999998876</c:v>
                </c:pt>
                <c:pt idx="157">
                  <c:v>1967.0833333221201</c:v>
                </c:pt>
                <c:pt idx="158">
                  <c:v>1967.16666665548</c:v>
                </c:pt>
                <c:pt idx="159">
                  <c:v>1967.24999998884</c:v>
                </c:pt>
                <c:pt idx="160">
                  <c:v>1967.3333333221999</c:v>
                </c:pt>
                <c:pt idx="161">
                  <c:v>1967.41666665556</c:v>
                </c:pt>
                <c:pt idx="162">
                  <c:v>1967.4999999889201</c:v>
                </c:pt>
                <c:pt idx="163">
                  <c:v>1967.5833333222799</c:v>
                </c:pt>
                <c:pt idx="164">
                  <c:v>1967.66666665564</c:v>
                </c:pt>
                <c:pt idx="165">
                  <c:v>1967.7499999889999</c:v>
                </c:pt>
                <c:pt idx="166">
                  <c:v>1967.83333332236</c:v>
                </c:pt>
                <c:pt idx="167">
                  <c:v>1967.9166666557201</c:v>
                </c:pt>
                <c:pt idx="168">
                  <c:v>1967.9999999890799</c:v>
                </c:pt>
                <c:pt idx="169">
                  <c:v>1968.08333332244</c:v>
                </c:pt>
                <c:pt idx="170">
                  <c:v>1968.1666666558001</c:v>
                </c:pt>
                <c:pt idx="171">
                  <c:v>1968.24999998916</c:v>
                </c:pt>
                <c:pt idx="172">
                  <c:v>1968.33333332252</c:v>
                </c:pt>
                <c:pt idx="173">
                  <c:v>1968.4166666558799</c:v>
                </c:pt>
                <c:pt idx="174">
                  <c:v>1968.49999998924</c:v>
                </c:pt>
                <c:pt idx="175">
                  <c:v>1968.5833333226001</c:v>
                </c:pt>
                <c:pt idx="176">
                  <c:v>1968.6666666559599</c:v>
                </c:pt>
                <c:pt idx="177">
                  <c:v>1968.74999998933</c:v>
                </c:pt>
                <c:pt idx="178">
                  <c:v>1968.8333333226899</c:v>
                </c:pt>
                <c:pt idx="179">
                  <c:v>1968.91666665605</c:v>
                </c:pt>
                <c:pt idx="180">
                  <c:v>1968.9999999894101</c:v>
                </c:pt>
                <c:pt idx="181">
                  <c:v>1969.0833333227699</c:v>
                </c:pt>
                <c:pt idx="182">
                  <c:v>1969.16666665613</c:v>
                </c:pt>
                <c:pt idx="183">
                  <c:v>1969.2499999894901</c:v>
                </c:pt>
                <c:pt idx="184">
                  <c:v>1969.33333332285</c:v>
                </c:pt>
                <c:pt idx="185">
                  <c:v>1969.4166666562101</c:v>
                </c:pt>
                <c:pt idx="186">
                  <c:v>1969.4999999895699</c:v>
                </c:pt>
                <c:pt idx="187">
                  <c:v>1969.58333332293</c:v>
                </c:pt>
                <c:pt idx="188">
                  <c:v>1969.6666666562901</c:v>
                </c:pt>
                <c:pt idx="189">
                  <c:v>1969.74999998965</c:v>
                </c:pt>
                <c:pt idx="190">
                  <c:v>1969.83333332301</c:v>
                </c:pt>
                <c:pt idx="191">
                  <c:v>1969.9166666563699</c:v>
                </c:pt>
                <c:pt idx="192">
                  <c:v>1969.99999998973</c:v>
                </c:pt>
                <c:pt idx="193">
                  <c:v>1970.0833333230901</c:v>
                </c:pt>
                <c:pt idx="194">
                  <c:v>1970.1666666564499</c:v>
                </c:pt>
                <c:pt idx="195">
                  <c:v>1970.24999998981</c:v>
                </c:pt>
                <c:pt idx="196">
                  <c:v>1970.3333333231701</c:v>
                </c:pt>
                <c:pt idx="197">
                  <c:v>1970.41666665653</c:v>
                </c:pt>
                <c:pt idx="198">
                  <c:v>1970.4999999898901</c:v>
                </c:pt>
                <c:pt idx="199">
                  <c:v>1970.5833333232499</c:v>
                </c:pt>
                <c:pt idx="200">
                  <c:v>1970.66666665661</c:v>
                </c:pt>
                <c:pt idx="201">
                  <c:v>1970.7499999899701</c:v>
                </c:pt>
                <c:pt idx="202">
                  <c:v>1970.83333332333</c:v>
                </c:pt>
                <c:pt idx="203">
                  <c:v>1970.91666665669</c:v>
                </c:pt>
                <c:pt idx="204">
                  <c:v>1970.9999999900499</c:v>
                </c:pt>
                <c:pt idx="205">
                  <c:v>1971.08333332341</c:v>
                </c:pt>
                <c:pt idx="206">
                  <c:v>1971.1666666567701</c:v>
                </c:pt>
                <c:pt idx="207">
                  <c:v>1971.2499999901299</c:v>
                </c:pt>
                <c:pt idx="208">
                  <c:v>1971.33333332349</c:v>
                </c:pt>
                <c:pt idx="209">
                  <c:v>1971.4166666568501</c:v>
                </c:pt>
                <c:pt idx="210">
                  <c:v>1971.49999999021</c:v>
                </c:pt>
                <c:pt idx="211">
                  <c:v>1971.5833333235701</c:v>
                </c:pt>
                <c:pt idx="212">
                  <c:v>1971.6666666569299</c:v>
                </c:pt>
                <c:pt idx="213">
                  <c:v>1971.74999999029</c:v>
                </c:pt>
                <c:pt idx="214">
                  <c:v>1971.8333333236501</c:v>
                </c:pt>
                <c:pt idx="215">
                  <c:v>1971.91666665701</c:v>
                </c:pt>
                <c:pt idx="216">
                  <c:v>1971.99999999037</c:v>
                </c:pt>
                <c:pt idx="217">
                  <c:v>1972.0833333237299</c:v>
                </c:pt>
                <c:pt idx="218">
                  <c:v>1972.16666665709</c:v>
                </c:pt>
                <c:pt idx="219">
                  <c:v>1972.2499999904501</c:v>
                </c:pt>
                <c:pt idx="220">
                  <c:v>1972.3333333238099</c:v>
                </c:pt>
                <c:pt idx="221">
                  <c:v>1972.41666665717</c:v>
                </c:pt>
                <c:pt idx="222">
                  <c:v>1972.4999999905299</c:v>
                </c:pt>
                <c:pt idx="223">
                  <c:v>1972.58333332389</c:v>
                </c:pt>
                <c:pt idx="224">
                  <c:v>1972.6666666572501</c:v>
                </c:pt>
                <c:pt idx="225">
                  <c:v>1972.7499999906099</c:v>
                </c:pt>
                <c:pt idx="226">
                  <c:v>1972.83333332397</c:v>
                </c:pt>
                <c:pt idx="227">
                  <c:v>1972.9166666573301</c:v>
                </c:pt>
                <c:pt idx="228">
                  <c:v>1972.99999999069</c:v>
                </c:pt>
                <c:pt idx="229">
                  <c:v>1973.08333332405</c:v>
                </c:pt>
                <c:pt idx="230">
                  <c:v>1973.1666666574099</c:v>
                </c:pt>
                <c:pt idx="231">
                  <c:v>1973.24999999077</c:v>
                </c:pt>
                <c:pt idx="232">
                  <c:v>1973.3333333241301</c:v>
                </c:pt>
                <c:pt idx="233">
                  <c:v>1973.4166666574899</c:v>
                </c:pt>
                <c:pt idx="234">
                  <c:v>1973.49999999085</c:v>
                </c:pt>
                <c:pt idx="235">
                  <c:v>1973.5833333242099</c:v>
                </c:pt>
                <c:pt idx="236">
                  <c:v>1973.66666665757</c:v>
                </c:pt>
                <c:pt idx="237">
                  <c:v>1973.7499999909301</c:v>
                </c:pt>
                <c:pt idx="238">
                  <c:v>1973.8333333242899</c:v>
                </c:pt>
                <c:pt idx="239">
                  <c:v>1973.91666665765</c:v>
                </c:pt>
                <c:pt idx="240">
                  <c:v>1973.9999999910101</c:v>
                </c:pt>
                <c:pt idx="241">
                  <c:v>1974.08333332437</c:v>
                </c:pt>
                <c:pt idx="242">
                  <c:v>1974.16666665773</c:v>
                </c:pt>
                <c:pt idx="243">
                  <c:v>1974.2499999910899</c:v>
                </c:pt>
                <c:pt idx="244">
                  <c:v>1974.33333332445</c:v>
                </c:pt>
                <c:pt idx="245">
                  <c:v>1974.4166666578101</c:v>
                </c:pt>
                <c:pt idx="246">
                  <c:v>1974.4999999911699</c:v>
                </c:pt>
                <c:pt idx="247">
                  <c:v>1974.58333332453</c:v>
                </c:pt>
                <c:pt idx="248">
                  <c:v>1974.6666666578899</c:v>
                </c:pt>
                <c:pt idx="249">
                  <c:v>1974.74999999125</c:v>
                </c:pt>
                <c:pt idx="250">
                  <c:v>1974.8333333246101</c:v>
                </c:pt>
                <c:pt idx="251">
                  <c:v>1974.9166666579699</c:v>
                </c:pt>
                <c:pt idx="252">
                  <c:v>1974.99999999133</c:v>
                </c:pt>
                <c:pt idx="253">
                  <c:v>1975.0833333246901</c:v>
                </c:pt>
                <c:pt idx="254">
                  <c:v>1975.16666665805</c:v>
                </c:pt>
                <c:pt idx="255">
                  <c:v>1975.24999999141</c:v>
                </c:pt>
                <c:pt idx="256">
                  <c:v>1975.3333333247699</c:v>
                </c:pt>
                <c:pt idx="257">
                  <c:v>1975.41666665813</c:v>
                </c:pt>
                <c:pt idx="258">
                  <c:v>1975.4999999914901</c:v>
                </c:pt>
                <c:pt idx="259">
                  <c:v>1975.5833333248499</c:v>
                </c:pt>
                <c:pt idx="260">
                  <c:v>1975.66666665821</c:v>
                </c:pt>
                <c:pt idx="261">
                  <c:v>1975.7499999915699</c:v>
                </c:pt>
                <c:pt idx="262">
                  <c:v>1975.83333332493</c:v>
                </c:pt>
                <c:pt idx="263">
                  <c:v>1975.9166666582901</c:v>
                </c:pt>
                <c:pt idx="264">
                  <c:v>1975.9999999916499</c:v>
                </c:pt>
                <c:pt idx="265">
                  <c:v>1976.08333332501</c:v>
                </c:pt>
                <c:pt idx="266">
                  <c:v>1976.1666666583701</c:v>
                </c:pt>
                <c:pt idx="267">
                  <c:v>1976.24999999173</c:v>
                </c:pt>
                <c:pt idx="268">
                  <c:v>1976.3333333250901</c:v>
                </c:pt>
                <c:pt idx="269">
                  <c:v>1976.4166666584499</c:v>
                </c:pt>
                <c:pt idx="270">
                  <c:v>1976.49999999181</c:v>
                </c:pt>
                <c:pt idx="271">
                  <c:v>1976.5833333251701</c:v>
                </c:pt>
                <c:pt idx="272">
                  <c:v>1976.6666666585299</c:v>
                </c:pt>
                <c:pt idx="273">
                  <c:v>1976.74999999189</c:v>
                </c:pt>
                <c:pt idx="274">
                  <c:v>1976.8333333252499</c:v>
                </c:pt>
                <c:pt idx="275">
                  <c:v>1976.91666665861</c:v>
                </c:pt>
                <c:pt idx="276">
                  <c:v>1976.9999999919701</c:v>
                </c:pt>
                <c:pt idx="277">
                  <c:v>1977.0833333253299</c:v>
                </c:pt>
                <c:pt idx="278">
                  <c:v>1977.16666665869</c:v>
                </c:pt>
                <c:pt idx="279">
                  <c:v>1977.2499999920501</c:v>
                </c:pt>
                <c:pt idx="280">
                  <c:v>1977.33333332541</c:v>
                </c:pt>
                <c:pt idx="281">
                  <c:v>1977.4166666587701</c:v>
                </c:pt>
                <c:pt idx="282">
                  <c:v>1977.4999999921299</c:v>
                </c:pt>
                <c:pt idx="283">
                  <c:v>1977.58333332549</c:v>
                </c:pt>
                <c:pt idx="284">
                  <c:v>1977.6666666588501</c:v>
                </c:pt>
                <c:pt idx="285">
                  <c:v>1977.74999999221</c:v>
                </c:pt>
                <c:pt idx="286">
                  <c:v>1977.83333332557</c:v>
                </c:pt>
                <c:pt idx="287">
                  <c:v>1977.9166666589297</c:v>
                </c:pt>
                <c:pt idx="288">
                  <c:v>1977.99999999229</c:v>
                </c:pt>
                <c:pt idx="289">
                  <c:v>1978.0833333256503</c:v>
                </c:pt>
                <c:pt idx="290">
                  <c:v>1978.1666666590106</c:v>
                </c:pt>
                <c:pt idx="291">
                  <c:v>1978.2499999923707</c:v>
                </c:pt>
                <c:pt idx="292">
                  <c:v>1978.333333325731</c:v>
                </c:pt>
                <c:pt idx="293">
                  <c:v>1978.4166666590913</c:v>
                </c:pt>
                <c:pt idx="294">
                  <c:v>1978.4999999924516</c:v>
                </c:pt>
                <c:pt idx="295">
                  <c:v>1978.583333325812</c:v>
                </c:pt>
                <c:pt idx="296">
                  <c:v>1978.6666666591721</c:v>
                </c:pt>
                <c:pt idx="297">
                  <c:v>1978.7499999925324</c:v>
                </c:pt>
                <c:pt idx="298">
                  <c:v>1978.8333333258927</c:v>
                </c:pt>
                <c:pt idx="299">
                  <c:v>1978.916666659253</c:v>
                </c:pt>
                <c:pt idx="300">
                  <c:v>1978.9999999926133</c:v>
                </c:pt>
                <c:pt idx="301">
                  <c:v>1979.0833333259736</c:v>
                </c:pt>
                <c:pt idx="302">
                  <c:v>1979.1666666593337</c:v>
                </c:pt>
                <c:pt idx="303">
                  <c:v>1979.249999992694</c:v>
                </c:pt>
                <c:pt idx="304">
                  <c:v>1979.3333333260543</c:v>
                </c:pt>
                <c:pt idx="305">
                  <c:v>1979.4166666594147</c:v>
                </c:pt>
                <c:pt idx="306">
                  <c:v>1979.499999992775</c:v>
                </c:pt>
                <c:pt idx="307">
                  <c:v>1979.5833333261351</c:v>
                </c:pt>
                <c:pt idx="308">
                  <c:v>1979.6666666594954</c:v>
                </c:pt>
                <c:pt idx="309">
                  <c:v>1979.7499999928557</c:v>
                </c:pt>
                <c:pt idx="310">
                  <c:v>1979.833333326216</c:v>
                </c:pt>
                <c:pt idx="311">
                  <c:v>1979.9166666595763</c:v>
                </c:pt>
                <c:pt idx="312">
                  <c:v>1979.9999999929364</c:v>
                </c:pt>
                <c:pt idx="313">
                  <c:v>1980.0833333262967</c:v>
                </c:pt>
                <c:pt idx="314">
                  <c:v>1980.166666659657</c:v>
                </c:pt>
                <c:pt idx="315">
                  <c:v>1980.2499999930174</c:v>
                </c:pt>
                <c:pt idx="316">
                  <c:v>1980.3333333263777</c:v>
                </c:pt>
                <c:pt idx="317">
                  <c:v>1980.416666659738</c:v>
                </c:pt>
                <c:pt idx="318">
                  <c:v>1980.4999999930981</c:v>
                </c:pt>
                <c:pt idx="319">
                  <c:v>1980.5833333264584</c:v>
                </c:pt>
                <c:pt idx="320">
                  <c:v>1980.6666666598187</c:v>
                </c:pt>
                <c:pt idx="321">
                  <c:v>1980.749999993179</c:v>
                </c:pt>
                <c:pt idx="322">
                  <c:v>1980.8333333265393</c:v>
                </c:pt>
                <c:pt idx="323">
                  <c:v>1980.9166666598994</c:v>
                </c:pt>
                <c:pt idx="324">
                  <c:v>1980.9999999932597</c:v>
                </c:pt>
                <c:pt idx="325">
                  <c:v>1981.08333332662</c:v>
                </c:pt>
                <c:pt idx="326">
                  <c:v>1981.1666666599799</c:v>
                </c:pt>
                <c:pt idx="327">
                  <c:v>1981.24999999334</c:v>
                </c:pt>
                <c:pt idx="328">
                  <c:v>1981.3333333267001</c:v>
                </c:pt>
                <c:pt idx="329">
                  <c:v>1981.4166666600599</c:v>
                </c:pt>
                <c:pt idx="330">
                  <c:v>1981.49999999342</c:v>
                </c:pt>
                <c:pt idx="331">
                  <c:v>1981.5833333267799</c:v>
                </c:pt>
                <c:pt idx="332">
                  <c:v>1981.66666666014</c:v>
                </c:pt>
                <c:pt idx="333">
                  <c:v>1981.7499999935001</c:v>
                </c:pt>
                <c:pt idx="334">
                  <c:v>1981.8333333268599</c:v>
                </c:pt>
                <c:pt idx="335">
                  <c:v>1981.91666666022</c:v>
                </c:pt>
                <c:pt idx="336">
                  <c:v>1981.9999999935801</c:v>
                </c:pt>
                <c:pt idx="337">
                  <c:v>1982.08333332694</c:v>
                </c:pt>
                <c:pt idx="338">
                  <c:v>1982.1666666603001</c:v>
                </c:pt>
                <c:pt idx="339">
                  <c:v>1982.2499999936599</c:v>
                </c:pt>
                <c:pt idx="340">
                  <c:v>1982.33333332702</c:v>
                </c:pt>
                <c:pt idx="341">
                  <c:v>1982.4166666603801</c:v>
                </c:pt>
                <c:pt idx="342">
                  <c:v>1982.4999999937399</c:v>
                </c:pt>
                <c:pt idx="343">
                  <c:v>1982.5833333271</c:v>
                </c:pt>
                <c:pt idx="344">
                  <c:v>1982.6666666604599</c:v>
                </c:pt>
                <c:pt idx="345">
                  <c:v>1982.74999999382</c:v>
                </c:pt>
                <c:pt idx="346">
                  <c:v>1982.8333333271801</c:v>
                </c:pt>
                <c:pt idx="347">
                  <c:v>1982.9166666605399</c:v>
                </c:pt>
                <c:pt idx="348">
                  <c:v>1982.9999999939</c:v>
                </c:pt>
                <c:pt idx="349">
                  <c:v>1983.0833333272601</c:v>
                </c:pt>
                <c:pt idx="350">
                  <c:v>1983.16666666062</c:v>
                </c:pt>
                <c:pt idx="351">
                  <c:v>1983.2499999939801</c:v>
                </c:pt>
                <c:pt idx="352">
                  <c:v>1983.3333333273399</c:v>
                </c:pt>
                <c:pt idx="353">
                  <c:v>1983.4166666607</c:v>
                </c:pt>
                <c:pt idx="354">
                  <c:v>1983.4999999940601</c:v>
                </c:pt>
                <c:pt idx="355">
                  <c:v>1983.58333332742</c:v>
                </c:pt>
                <c:pt idx="356">
                  <c:v>1983.66666666078</c:v>
                </c:pt>
                <c:pt idx="357">
                  <c:v>1983.7499999941399</c:v>
                </c:pt>
                <c:pt idx="358">
                  <c:v>1983.8333333275</c:v>
                </c:pt>
                <c:pt idx="359">
                  <c:v>1983.9166666608601</c:v>
                </c:pt>
                <c:pt idx="360">
                  <c:v>1983.9999999942199</c:v>
                </c:pt>
                <c:pt idx="361">
                  <c:v>1984.08333332758</c:v>
                </c:pt>
                <c:pt idx="362">
                  <c:v>1984.1666666609401</c:v>
                </c:pt>
                <c:pt idx="363">
                  <c:v>1984.2499999943</c:v>
                </c:pt>
                <c:pt idx="364">
                  <c:v>1984.3333333276601</c:v>
                </c:pt>
                <c:pt idx="365">
                  <c:v>1984.4166666610199</c:v>
                </c:pt>
                <c:pt idx="366">
                  <c:v>1984.49999999438</c:v>
                </c:pt>
                <c:pt idx="367">
                  <c:v>1984.5833333277401</c:v>
                </c:pt>
                <c:pt idx="368">
                  <c:v>1984.6666666611</c:v>
                </c:pt>
                <c:pt idx="369">
                  <c:v>1984.74999999446</c:v>
                </c:pt>
                <c:pt idx="370">
                  <c:v>1984.8333333278199</c:v>
                </c:pt>
                <c:pt idx="371">
                  <c:v>1984.91666666118</c:v>
                </c:pt>
                <c:pt idx="372">
                  <c:v>1984.9999999945401</c:v>
                </c:pt>
                <c:pt idx="373">
                  <c:v>1985.0833333278999</c:v>
                </c:pt>
                <c:pt idx="374">
                  <c:v>1985.16666666126</c:v>
                </c:pt>
                <c:pt idx="375">
                  <c:v>1985.2499999946201</c:v>
                </c:pt>
                <c:pt idx="376">
                  <c:v>1985.33333332798</c:v>
                </c:pt>
                <c:pt idx="377">
                  <c:v>1985.4166666613401</c:v>
                </c:pt>
                <c:pt idx="378">
                  <c:v>1985.4999999946999</c:v>
                </c:pt>
                <c:pt idx="379">
                  <c:v>1985.58333332806</c:v>
                </c:pt>
                <c:pt idx="380">
                  <c:v>1985.6666666614201</c:v>
                </c:pt>
                <c:pt idx="381">
                  <c:v>1985.74999999478</c:v>
                </c:pt>
                <c:pt idx="382">
                  <c:v>1985.83333332814</c:v>
                </c:pt>
                <c:pt idx="383">
                  <c:v>1985.9166666614999</c:v>
                </c:pt>
                <c:pt idx="384">
                  <c:v>1985.99999999486</c:v>
                </c:pt>
                <c:pt idx="385">
                  <c:v>1986.0833333282201</c:v>
                </c:pt>
                <c:pt idx="386">
                  <c:v>1986.1666666615799</c:v>
                </c:pt>
                <c:pt idx="387">
                  <c:v>1986.24999999494</c:v>
                </c:pt>
                <c:pt idx="388">
                  <c:v>1986.3333333282999</c:v>
                </c:pt>
                <c:pt idx="389">
                  <c:v>1986.41666666166</c:v>
                </c:pt>
                <c:pt idx="390">
                  <c:v>1986.4999999950201</c:v>
                </c:pt>
                <c:pt idx="391">
                  <c:v>1986.5833333283799</c:v>
                </c:pt>
                <c:pt idx="392">
                  <c:v>1986.66666666174</c:v>
                </c:pt>
                <c:pt idx="393">
                  <c:v>1986.7499999951001</c:v>
                </c:pt>
                <c:pt idx="394">
                  <c:v>1986.83333332846</c:v>
                </c:pt>
                <c:pt idx="395">
                  <c:v>1986.91666666182</c:v>
                </c:pt>
                <c:pt idx="396">
                  <c:v>1986.9999999951799</c:v>
                </c:pt>
                <c:pt idx="397">
                  <c:v>1987.08333332854</c:v>
                </c:pt>
                <c:pt idx="398">
                  <c:v>1987.1666666619001</c:v>
                </c:pt>
                <c:pt idx="399">
                  <c:v>1987.2499999952599</c:v>
                </c:pt>
                <c:pt idx="400">
                  <c:v>1987.33333332862</c:v>
                </c:pt>
                <c:pt idx="401">
                  <c:v>1987.4166666619799</c:v>
                </c:pt>
                <c:pt idx="402">
                  <c:v>1987.49999999534</c:v>
                </c:pt>
                <c:pt idx="403">
                  <c:v>1987.5833333287001</c:v>
                </c:pt>
                <c:pt idx="404">
                  <c:v>1987.6666666620599</c:v>
                </c:pt>
                <c:pt idx="405">
                  <c:v>1987.74999999543</c:v>
                </c:pt>
                <c:pt idx="406">
                  <c:v>1987.8333333287901</c:v>
                </c:pt>
                <c:pt idx="407">
                  <c:v>1987.9166666621497</c:v>
                </c:pt>
                <c:pt idx="408">
                  <c:v>1987.9999999955098</c:v>
                </c:pt>
                <c:pt idx="409">
                  <c:v>1988.0833333288699</c:v>
                </c:pt>
                <c:pt idx="410">
                  <c:v>1988.1666666622298</c:v>
                </c:pt>
                <c:pt idx="411">
                  <c:v>1988.2499999955899</c:v>
                </c:pt>
                <c:pt idx="412">
                  <c:v>1988.3333333289497</c:v>
                </c:pt>
                <c:pt idx="413">
                  <c:v>1988.4166666623098</c:v>
                </c:pt>
                <c:pt idx="414">
                  <c:v>1988.4999999956699</c:v>
                </c:pt>
                <c:pt idx="415">
                  <c:v>1988.5833333290298</c:v>
                </c:pt>
                <c:pt idx="416">
                  <c:v>1988.6666666623898</c:v>
                </c:pt>
                <c:pt idx="417">
                  <c:v>1988.7499999957499</c:v>
                </c:pt>
                <c:pt idx="418">
                  <c:v>1988.8333333291098</c:v>
                </c:pt>
                <c:pt idx="419">
                  <c:v>1988.9166666624699</c:v>
                </c:pt>
                <c:pt idx="420">
                  <c:v>1988.9999999958297</c:v>
                </c:pt>
                <c:pt idx="421">
                  <c:v>1989.0833333291898</c:v>
                </c:pt>
                <c:pt idx="422">
                  <c:v>1989.1666666625499</c:v>
                </c:pt>
                <c:pt idx="423">
                  <c:v>1989.2499999959098</c:v>
                </c:pt>
                <c:pt idx="424">
                  <c:v>1989.3333333292699</c:v>
                </c:pt>
                <c:pt idx="425">
                  <c:v>1989.41666666263</c:v>
                </c:pt>
                <c:pt idx="426">
                  <c:v>1989.4999999959898</c:v>
                </c:pt>
                <c:pt idx="427">
                  <c:v>1989.5833333293499</c:v>
                </c:pt>
                <c:pt idx="428">
                  <c:v>1989.6666666627098</c:v>
                </c:pt>
                <c:pt idx="429">
                  <c:v>1989.7499999960698</c:v>
                </c:pt>
                <c:pt idx="430">
                  <c:v>1989.8333333294299</c:v>
                </c:pt>
                <c:pt idx="431">
                  <c:v>1989.9166666627898</c:v>
                </c:pt>
                <c:pt idx="432">
                  <c:v>1989.9999999961499</c:v>
                </c:pt>
                <c:pt idx="433">
                  <c:v>1990.08333332951</c:v>
                </c:pt>
                <c:pt idx="434">
                  <c:v>1990.1666666628698</c:v>
                </c:pt>
                <c:pt idx="435">
                  <c:v>1990.2499999962299</c:v>
                </c:pt>
                <c:pt idx="436">
                  <c:v>1990.3333333295898</c:v>
                </c:pt>
                <c:pt idx="437">
                  <c:v>1990.4166666629499</c:v>
                </c:pt>
                <c:pt idx="438">
                  <c:v>1990.49999999631</c:v>
                </c:pt>
                <c:pt idx="439">
                  <c:v>1990.5833333296698</c:v>
                </c:pt>
                <c:pt idx="440">
                  <c:v>1990.6666666630299</c:v>
                </c:pt>
                <c:pt idx="441">
                  <c:v>1990.74999999639</c:v>
                </c:pt>
                <c:pt idx="442">
                  <c:v>1990.8333333297498</c:v>
                </c:pt>
                <c:pt idx="443">
                  <c:v>1990.9166666631099</c:v>
                </c:pt>
                <c:pt idx="444">
                  <c:v>1990.9999999964698</c:v>
                </c:pt>
                <c:pt idx="445">
                  <c:v>1991.0833333298301</c:v>
                </c:pt>
                <c:pt idx="446">
                  <c:v>1991.16666666319</c:v>
                </c:pt>
                <c:pt idx="447">
                  <c:v>1991.2499999965501</c:v>
                </c:pt>
                <c:pt idx="448">
                  <c:v>1991.3333333299099</c:v>
                </c:pt>
                <c:pt idx="449">
                  <c:v>1991.41666666327</c:v>
                </c:pt>
                <c:pt idx="450">
                  <c:v>1991.4999999966301</c:v>
                </c:pt>
                <c:pt idx="451">
                  <c:v>1991.58333332999</c:v>
                </c:pt>
                <c:pt idx="452">
                  <c:v>1991.66666666335</c:v>
                </c:pt>
                <c:pt idx="453">
                  <c:v>1991.7499999967099</c:v>
                </c:pt>
                <c:pt idx="454">
                  <c:v>1991.83333333007</c:v>
                </c:pt>
                <c:pt idx="455">
                  <c:v>1991.9166666634301</c:v>
                </c:pt>
                <c:pt idx="456">
                  <c:v>1991.9999999967899</c:v>
                </c:pt>
                <c:pt idx="457">
                  <c:v>1992.08333333015</c:v>
                </c:pt>
                <c:pt idx="458">
                  <c:v>1992.1666666635101</c:v>
                </c:pt>
                <c:pt idx="459">
                  <c:v>1992.24999999687</c:v>
                </c:pt>
                <c:pt idx="460">
                  <c:v>1992.3333333302301</c:v>
                </c:pt>
                <c:pt idx="461">
                  <c:v>1992.4166666635899</c:v>
                </c:pt>
                <c:pt idx="462">
                  <c:v>1992.49999999695</c:v>
                </c:pt>
                <c:pt idx="463">
                  <c:v>1992.5833333303101</c:v>
                </c:pt>
                <c:pt idx="464">
                  <c:v>1992.66666666367</c:v>
                </c:pt>
                <c:pt idx="465">
                  <c:v>1992.74999999703</c:v>
                </c:pt>
                <c:pt idx="466">
                  <c:v>1992.8333333303899</c:v>
                </c:pt>
                <c:pt idx="467">
                  <c:v>1992.91666666375</c:v>
                </c:pt>
                <c:pt idx="468">
                  <c:v>1992.9999999971101</c:v>
                </c:pt>
                <c:pt idx="469">
                  <c:v>1993.0833333304699</c:v>
                </c:pt>
                <c:pt idx="470">
                  <c:v>1993.16666666383</c:v>
                </c:pt>
                <c:pt idx="471">
                  <c:v>1993.2499999971899</c:v>
                </c:pt>
                <c:pt idx="472">
                  <c:v>1993.33333333055</c:v>
                </c:pt>
                <c:pt idx="473">
                  <c:v>1993.4166666639101</c:v>
                </c:pt>
                <c:pt idx="474">
                  <c:v>1993.4999999972699</c:v>
                </c:pt>
                <c:pt idx="475">
                  <c:v>1993.58333333063</c:v>
                </c:pt>
                <c:pt idx="476">
                  <c:v>1993.6666666639901</c:v>
                </c:pt>
                <c:pt idx="477">
                  <c:v>1993.74999999735</c:v>
                </c:pt>
                <c:pt idx="478">
                  <c:v>1993.83333333071</c:v>
                </c:pt>
                <c:pt idx="479">
                  <c:v>1993.9166666640699</c:v>
                </c:pt>
                <c:pt idx="480">
                  <c:v>1993.99999999743</c:v>
                </c:pt>
                <c:pt idx="481">
                  <c:v>1994.0833333307901</c:v>
                </c:pt>
                <c:pt idx="482">
                  <c:v>1994.1666666641499</c:v>
                </c:pt>
                <c:pt idx="483">
                  <c:v>1994.24999999751</c:v>
                </c:pt>
                <c:pt idx="484">
                  <c:v>1994.3333333308699</c:v>
                </c:pt>
                <c:pt idx="485">
                  <c:v>1994.41666666423</c:v>
                </c:pt>
                <c:pt idx="486">
                  <c:v>1994.4999999975901</c:v>
                </c:pt>
                <c:pt idx="487">
                  <c:v>1994.5833333309499</c:v>
                </c:pt>
                <c:pt idx="488">
                  <c:v>1994.66666666431</c:v>
                </c:pt>
                <c:pt idx="489">
                  <c:v>1994.7499999976701</c:v>
                </c:pt>
                <c:pt idx="490">
                  <c:v>1994.83333333103</c:v>
                </c:pt>
                <c:pt idx="491">
                  <c:v>1994.91666666439</c:v>
                </c:pt>
                <c:pt idx="492">
                  <c:v>1994.9999999977499</c:v>
                </c:pt>
                <c:pt idx="493">
                  <c:v>1995.08333333111</c:v>
                </c:pt>
                <c:pt idx="494">
                  <c:v>1995.1666666644701</c:v>
                </c:pt>
                <c:pt idx="495">
                  <c:v>1995.2499999978299</c:v>
                </c:pt>
                <c:pt idx="496">
                  <c:v>1995.33333333119</c:v>
                </c:pt>
                <c:pt idx="497">
                  <c:v>1995.4166666645499</c:v>
                </c:pt>
                <c:pt idx="498">
                  <c:v>1995.49999999791</c:v>
                </c:pt>
                <c:pt idx="499">
                  <c:v>1995.5833333312701</c:v>
                </c:pt>
                <c:pt idx="500">
                  <c:v>1995.6666666646299</c:v>
                </c:pt>
                <c:pt idx="501">
                  <c:v>1995.74999999799</c:v>
                </c:pt>
                <c:pt idx="502">
                  <c:v>1995.8333333313501</c:v>
                </c:pt>
                <c:pt idx="503">
                  <c:v>1995.91666666471</c:v>
                </c:pt>
                <c:pt idx="504">
                  <c:v>1995.9999999980701</c:v>
                </c:pt>
                <c:pt idx="505">
                  <c:v>1996.0833333314299</c:v>
                </c:pt>
                <c:pt idx="506">
                  <c:v>1996.16666666479</c:v>
                </c:pt>
                <c:pt idx="507">
                  <c:v>1996.2499999981501</c:v>
                </c:pt>
                <c:pt idx="508">
                  <c:v>1996.3333333315099</c:v>
                </c:pt>
                <c:pt idx="509">
                  <c:v>1996.41666666487</c:v>
                </c:pt>
                <c:pt idx="510">
                  <c:v>1996.4999999982299</c:v>
                </c:pt>
                <c:pt idx="511">
                  <c:v>1996.58333333159</c:v>
                </c:pt>
                <c:pt idx="512">
                  <c:v>1996.6666666649501</c:v>
                </c:pt>
                <c:pt idx="513">
                  <c:v>1996.7499999983099</c:v>
                </c:pt>
                <c:pt idx="514">
                  <c:v>1996.83333333167</c:v>
                </c:pt>
                <c:pt idx="515">
                  <c:v>1996.9166666650301</c:v>
                </c:pt>
                <c:pt idx="516">
                  <c:v>1996.99999999839</c:v>
                </c:pt>
                <c:pt idx="517">
                  <c:v>1997.0833333317501</c:v>
                </c:pt>
                <c:pt idx="518">
                  <c:v>1997.1666666651099</c:v>
                </c:pt>
                <c:pt idx="519">
                  <c:v>1997.24999999848</c:v>
                </c:pt>
                <c:pt idx="520">
                  <c:v>1997.3333333318401</c:v>
                </c:pt>
                <c:pt idx="521">
                  <c:v>1997.4166666652</c:v>
                </c:pt>
                <c:pt idx="522">
                  <c:v>1997.49999999856</c:v>
                </c:pt>
                <c:pt idx="523">
                  <c:v>1997.5833333319199</c:v>
                </c:pt>
                <c:pt idx="524">
                  <c:v>1997.66666666528</c:v>
                </c:pt>
                <c:pt idx="525">
                  <c:v>1997.7499999986401</c:v>
                </c:pt>
                <c:pt idx="526">
                  <c:v>1997.8333333319999</c:v>
                </c:pt>
                <c:pt idx="527">
                  <c:v>1997.91666666536</c:v>
                </c:pt>
                <c:pt idx="528">
                  <c:v>1997.9999999987201</c:v>
                </c:pt>
                <c:pt idx="529">
                  <c:v>1998.08333333208</c:v>
                </c:pt>
                <c:pt idx="530">
                  <c:v>1998.1666666654401</c:v>
                </c:pt>
                <c:pt idx="531">
                  <c:v>1998.2499999987999</c:v>
                </c:pt>
                <c:pt idx="532">
                  <c:v>1998.33333333216</c:v>
                </c:pt>
                <c:pt idx="533">
                  <c:v>1998.4166666655201</c:v>
                </c:pt>
                <c:pt idx="534">
                  <c:v>1998.49999999888</c:v>
                </c:pt>
                <c:pt idx="535">
                  <c:v>1998.58333333224</c:v>
                </c:pt>
                <c:pt idx="536">
                  <c:v>1998.6666666655999</c:v>
                </c:pt>
                <c:pt idx="537">
                  <c:v>1998.74999999896</c:v>
                </c:pt>
                <c:pt idx="538">
                  <c:v>1998.8333333323201</c:v>
                </c:pt>
                <c:pt idx="539">
                  <c:v>1998.9166666656799</c:v>
                </c:pt>
                <c:pt idx="540">
                  <c:v>1998.99999999904</c:v>
                </c:pt>
                <c:pt idx="541">
                  <c:v>1999.0833333323999</c:v>
                </c:pt>
                <c:pt idx="542">
                  <c:v>1999.16666666576</c:v>
                </c:pt>
                <c:pt idx="543">
                  <c:v>1999.2499999991201</c:v>
                </c:pt>
                <c:pt idx="544">
                  <c:v>1999.3333333324799</c:v>
                </c:pt>
                <c:pt idx="545">
                  <c:v>1999.41666666584</c:v>
                </c:pt>
                <c:pt idx="546">
                  <c:v>1999.4999999992001</c:v>
                </c:pt>
                <c:pt idx="547">
                  <c:v>1999.58333333256</c:v>
                </c:pt>
                <c:pt idx="548">
                  <c:v>1999.66666666592</c:v>
                </c:pt>
                <c:pt idx="549">
                  <c:v>1999.7499999992799</c:v>
                </c:pt>
                <c:pt idx="550">
                  <c:v>1999.83333333264</c:v>
                </c:pt>
                <c:pt idx="551">
                  <c:v>1999.9166666660001</c:v>
                </c:pt>
                <c:pt idx="552">
                  <c:v>2000</c:v>
                </c:pt>
                <c:pt idx="553">
                  <c:v>2000.0833333333101</c:v>
                </c:pt>
                <c:pt idx="554">
                  <c:v>2000.1666666666399</c:v>
                </c:pt>
                <c:pt idx="555">
                  <c:v>2000.24999999997</c:v>
                </c:pt>
                <c:pt idx="556">
                  <c:v>2000.3333333333101</c:v>
                </c:pt>
                <c:pt idx="557">
                  <c:v>2000.4166666666399</c:v>
                </c:pt>
                <c:pt idx="558">
                  <c:v>2000.49999999997</c:v>
                </c:pt>
                <c:pt idx="559">
                  <c:v>2000.5833333333101</c:v>
                </c:pt>
                <c:pt idx="560">
                  <c:v>2000.6666666666399</c:v>
                </c:pt>
                <c:pt idx="561">
                  <c:v>2000.74999999997</c:v>
                </c:pt>
                <c:pt idx="562">
                  <c:v>2000.8333333333101</c:v>
                </c:pt>
                <c:pt idx="563">
                  <c:v>2000.9166666666399</c:v>
                </c:pt>
                <c:pt idx="564">
                  <c:v>2001</c:v>
                </c:pt>
                <c:pt idx="565">
                  <c:v>2001.0833333333101</c:v>
                </c:pt>
                <c:pt idx="566">
                  <c:v>2001.1666666666399</c:v>
                </c:pt>
                <c:pt idx="567">
                  <c:v>2001.24999999997</c:v>
                </c:pt>
                <c:pt idx="568">
                  <c:v>2001.3333333333101</c:v>
                </c:pt>
                <c:pt idx="569">
                  <c:v>2001.4166666666399</c:v>
                </c:pt>
                <c:pt idx="570">
                  <c:v>2001.49999999998</c:v>
                </c:pt>
                <c:pt idx="571">
                  <c:v>2001.5833333333101</c:v>
                </c:pt>
                <c:pt idx="572">
                  <c:v>2001.6666666666399</c:v>
                </c:pt>
                <c:pt idx="573">
                  <c:v>2001.74999999998</c:v>
                </c:pt>
                <c:pt idx="574">
                  <c:v>2001.8333333333101</c:v>
                </c:pt>
                <c:pt idx="575">
                  <c:v>2001.9166666666399</c:v>
                </c:pt>
                <c:pt idx="576">
                  <c:v>2002</c:v>
                </c:pt>
                <c:pt idx="577">
                  <c:v>2002.0833333333101</c:v>
                </c:pt>
                <c:pt idx="578">
                  <c:v>2002.1666666666399</c:v>
                </c:pt>
                <c:pt idx="579">
                  <c:v>2002.24999999998</c:v>
                </c:pt>
                <c:pt idx="580">
                  <c:v>2002.3333333333101</c:v>
                </c:pt>
                <c:pt idx="581">
                  <c:v>2002.4166666666399</c:v>
                </c:pt>
                <c:pt idx="582">
                  <c:v>2002.49999999998</c:v>
                </c:pt>
                <c:pt idx="583">
                  <c:v>2002.5833333333101</c:v>
                </c:pt>
                <c:pt idx="584">
                  <c:v>2002.6666666666399</c:v>
                </c:pt>
                <c:pt idx="585">
                  <c:v>2002.74999999998</c:v>
                </c:pt>
                <c:pt idx="586">
                  <c:v>2002.8333333333101</c:v>
                </c:pt>
                <c:pt idx="587">
                  <c:v>2002.9166666666399</c:v>
                </c:pt>
                <c:pt idx="588">
                  <c:v>2003</c:v>
                </c:pt>
                <c:pt idx="589">
                  <c:v>2003.0833333333101</c:v>
                </c:pt>
                <c:pt idx="590">
                  <c:v>2003.1666666666499</c:v>
                </c:pt>
                <c:pt idx="591">
                  <c:v>2003.24999999998</c:v>
                </c:pt>
                <c:pt idx="592">
                  <c:v>2003.3333333333101</c:v>
                </c:pt>
                <c:pt idx="593">
                  <c:v>2003.4166666666499</c:v>
                </c:pt>
                <c:pt idx="594">
                  <c:v>2003.49999999998</c:v>
                </c:pt>
                <c:pt idx="595">
                  <c:v>2003.5833333333101</c:v>
                </c:pt>
                <c:pt idx="596">
                  <c:v>2003.6666666666499</c:v>
                </c:pt>
                <c:pt idx="597">
                  <c:v>2003.74999999998</c:v>
                </c:pt>
                <c:pt idx="598">
                  <c:v>2003.8333333333101</c:v>
                </c:pt>
                <c:pt idx="599">
                  <c:v>2003.9166666666499</c:v>
                </c:pt>
                <c:pt idx="600">
                  <c:v>2004</c:v>
                </c:pt>
                <c:pt idx="601">
                  <c:v>2004.0833333333101</c:v>
                </c:pt>
                <c:pt idx="602">
                  <c:v>2004.1666666666499</c:v>
                </c:pt>
                <c:pt idx="603">
                  <c:v>2004.24999999998</c:v>
                </c:pt>
                <c:pt idx="604">
                  <c:v>2004.3333333333101</c:v>
                </c:pt>
                <c:pt idx="605">
                  <c:v>2004.4166666666499</c:v>
                </c:pt>
                <c:pt idx="606">
                  <c:v>2004.49999999998</c:v>
                </c:pt>
                <c:pt idx="607">
                  <c:v>2004.5833333333101</c:v>
                </c:pt>
                <c:pt idx="608">
                  <c:v>2004.6666666666499</c:v>
                </c:pt>
                <c:pt idx="609">
                  <c:v>2004.74999999998</c:v>
                </c:pt>
                <c:pt idx="610">
                  <c:v>2004.8333333333101</c:v>
                </c:pt>
                <c:pt idx="611">
                  <c:v>2004.9166666666499</c:v>
                </c:pt>
                <c:pt idx="612">
                  <c:v>2005</c:v>
                </c:pt>
                <c:pt idx="613">
                  <c:v>2005.0833333333201</c:v>
                </c:pt>
                <c:pt idx="614">
                  <c:v>2005.1666666666499</c:v>
                </c:pt>
                <c:pt idx="615">
                  <c:v>2005.24999999998</c:v>
                </c:pt>
                <c:pt idx="616">
                  <c:v>2005.3333333333201</c:v>
                </c:pt>
                <c:pt idx="617">
                  <c:v>2005.4166666666499</c:v>
                </c:pt>
                <c:pt idx="618">
                  <c:v>2005.49999999998</c:v>
                </c:pt>
                <c:pt idx="619">
                  <c:v>2005.5833333333201</c:v>
                </c:pt>
                <c:pt idx="620">
                  <c:v>2005.6666666666499</c:v>
                </c:pt>
                <c:pt idx="621">
                  <c:v>2005.74999999998</c:v>
                </c:pt>
                <c:pt idx="622">
                  <c:v>2005.8333333333201</c:v>
                </c:pt>
                <c:pt idx="623">
                  <c:v>2005.9166666666499</c:v>
                </c:pt>
                <c:pt idx="624">
                  <c:v>2006</c:v>
                </c:pt>
                <c:pt idx="625">
                  <c:v>2006.0833333333201</c:v>
                </c:pt>
                <c:pt idx="626">
                  <c:v>2006.1666666666499</c:v>
                </c:pt>
                <c:pt idx="627">
                  <c:v>2006.24999999998</c:v>
                </c:pt>
                <c:pt idx="628">
                  <c:v>2006.3333333333201</c:v>
                </c:pt>
                <c:pt idx="629">
                  <c:v>2006.4166666666499</c:v>
                </c:pt>
                <c:pt idx="630">
                  <c:v>2006.49999999998</c:v>
                </c:pt>
                <c:pt idx="631">
                  <c:v>2006.5833333333201</c:v>
                </c:pt>
                <c:pt idx="632">
                  <c:v>2006.6666666666499</c:v>
                </c:pt>
                <c:pt idx="633">
                  <c:v>2006.74999999998</c:v>
                </c:pt>
                <c:pt idx="634">
                  <c:v>2006.8333333333201</c:v>
                </c:pt>
                <c:pt idx="635">
                  <c:v>2006.9166666666499</c:v>
                </c:pt>
                <c:pt idx="636">
                  <c:v>2007</c:v>
                </c:pt>
                <c:pt idx="637">
                  <c:v>2007.0833333333201</c:v>
                </c:pt>
                <c:pt idx="638">
                  <c:v>2007.1666666666499</c:v>
                </c:pt>
                <c:pt idx="639">
                  <c:v>2007.24999999999</c:v>
                </c:pt>
                <c:pt idx="640">
                  <c:v>2007.3333333333201</c:v>
                </c:pt>
                <c:pt idx="641">
                  <c:v>2007.4166666666499</c:v>
                </c:pt>
                <c:pt idx="642">
                  <c:v>2007.49999999999</c:v>
                </c:pt>
                <c:pt idx="643">
                  <c:v>2007.5833333333201</c:v>
                </c:pt>
                <c:pt idx="644">
                  <c:v>2007.6666666666499</c:v>
                </c:pt>
                <c:pt idx="645">
                  <c:v>2007.74999999999</c:v>
                </c:pt>
                <c:pt idx="646">
                  <c:v>2007.8333333333201</c:v>
                </c:pt>
                <c:pt idx="647">
                  <c:v>2007.9166666666499</c:v>
                </c:pt>
                <c:pt idx="648">
                  <c:v>2008</c:v>
                </c:pt>
                <c:pt idx="649">
                  <c:v>2008.0833333333201</c:v>
                </c:pt>
                <c:pt idx="650">
                  <c:v>2008.1666666666499</c:v>
                </c:pt>
                <c:pt idx="651">
                  <c:v>2008.24999999999</c:v>
                </c:pt>
                <c:pt idx="652">
                  <c:v>2008.3333333333201</c:v>
                </c:pt>
                <c:pt idx="653">
                  <c:v>2008.4166666666499</c:v>
                </c:pt>
                <c:pt idx="654">
                  <c:v>2008.49999999999</c:v>
                </c:pt>
                <c:pt idx="655">
                  <c:v>2008.5833333333201</c:v>
                </c:pt>
                <c:pt idx="656">
                  <c:v>2008.6666666666599</c:v>
                </c:pt>
                <c:pt idx="657">
                  <c:v>2008.74999999999</c:v>
                </c:pt>
                <c:pt idx="658">
                  <c:v>2008.8333333333201</c:v>
                </c:pt>
                <c:pt idx="659">
                  <c:v>2008.9166666666599</c:v>
                </c:pt>
                <c:pt idx="660">
                  <c:v>2009</c:v>
                </c:pt>
                <c:pt idx="661">
                  <c:v>2009.0833333333201</c:v>
                </c:pt>
                <c:pt idx="662">
                  <c:v>2009.1666666666599</c:v>
                </c:pt>
                <c:pt idx="663">
                  <c:v>2009.24999999999</c:v>
                </c:pt>
                <c:pt idx="664">
                  <c:v>2009.3333333333201</c:v>
                </c:pt>
                <c:pt idx="665">
                  <c:v>2009.4166666666599</c:v>
                </c:pt>
                <c:pt idx="666">
                  <c:v>2009.49999999999</c:v>
                </c:pt>
                <c:pt idx="667">
                  <c:v>2009.5833333333201</c:v>
                </c:pt>
                <c:pt idx="668">
                  <c:v>2009.6666666666599</c:v>
                </c:pt>
                <c:pt idx="669">
                  <c:v>2009.74999999999</c:v>
                </c:pt>
                <c:pt idx="670">
                  <c:v>2009.8333333333201</c:v>
                </c:pt>
                <c:pt idx="671">
                  <c:v>2009.9166666666599</c:v>
                </c:pt>
                <c:pt idx="672">
                  <c:v>2010</c:v>
                </c:pt>
                <c:pt idx="673">
                  <c:v>2010.0833333333201</c:v>
                </c:pt>
                <c:pt idx="674">
                  <c:v>2010.1666666666599</c:v>
                </c:pt>
                <c:pt idx="675">
                  <c:v>2010.24999999999</c:v>
                </c:pt>
                <c:pt idx="676">
                  <c:v>2010.3333333333201</c:v>
                </c:pt>
                <c:pt idx="677">
                  <c:v>2010.4166666666599</c:v>
                </c:pt>
                <c:pt idx="678">
                  <c:v>2010.49999999999</c:v>
                </c:pt>
                <c:pt idx="679">
                  <c:v>2010.5833333333301</c:v>
                </c:pt>
                <c:pt idx="680">
                  <c:v>2010.6666666666599</c:v>
                </c:pt>
                <c:pt idx="681">
                  <c:v>2010.74999999999</c:v>
                </c:pt>
                <c:pt idx="682">
                  <c:v>2010.8333333333301</c:v>
                </c:pt>
                <c:pt idx="683">
                  <c:v>2010.9166666666599</c:v>
                </c:pt>
                <c:pt idx="684">
                  <c:v>2011</c:v>
                </c:pt>
                <c:pt idx="685">
                  <c:v>2011.0833333333301</c:v>
                </c:pt>
                <c:pt idx="686">
                  <c:v>2011.1666666666599</c:v>
                </c:pt>
                <c:pt idx="687">
                  <c:v>2011.24999999999</c:v>
                </c:pt>
                <c:pt idx="688">
                  <c:v>2011.3333333333301</c:v>
                </c:pt>
                <c:pt idx="689">
                  <c:v>2011.4166666666599</c:v>
                </c:pt>
                <c:pt idx="690">
                  <c:v>2011.49999999999</c:v>
                </c:pt>
                <c:pt idx="691">
                  <c:v>2011.5833333333301</c:v>
                </c:pt>
                <c:pt idx="692">
                  <c:v>2011.6666666666599</c:v>
                </c:pt>
                <c:pt idx="693">
                  <c:v>2011.74999999999</c:v>
                </c:pt>
                <c:pt idx="694">
                  <c:v>2011.8333333333301</c:v>
                </c:pt>
                <c:pt idx="695">
                  <c:v>2011.9166666666599</c:v>
                </c:pt>
                <c:pt idx="696">
                  <c:v>2012</c:v>
                </c:pt>
                <c:pt idx="697">
                  <c:v>2012.0833333333301</c:v>
                </c:pt>
                <c:pt idx="698">
                  <c:v>2012.1666666666599</c:v>
                </c:pt>
                <c:pt idx="699">
                  <c:v>2012.24999999999</c:v>
                </c:pt>
                <c:pt idx="700">
                  <c:v>2012.3333333333301</c:v>
                </c:pt>
                <c:pt idx="701">
                  <c:v>2012.4166666666599</c:v>
                </c:pt>
                <c:pt idx="702">
                  <c:v>2012.5</c:v>
                </c:pt>
                <c:pt idx="703">
                  <c:v>2012.5833333333301</c:v>
                </c:pt>
                <c:pt idx="704">
                  <c:v>2012.6666666666599</c:v>
                </c:pt>
                <c:pt idx="705">
                  <c:v>2012.75</c:v>
                </c:pt>
                <c:pt idx="706">
                  <c:v>2012.8333333333301</c:v>
                </c:pt>
                <c:pt idx="707">
                  <c:v>2012.9166666666599</c:v>
                </c:pt>
                <c:pt idx="708">
                  <c:v>2013</c:v>
                </c:pt>
                <c:pt idx="709">
                  <c:v>2013.0833333333301</c:v>
                </c:pt>
                <c:pt idx="710">
                  <c:v>2013.1666666666599</c:v>
                </c:pt>
                <c:pt idx="711">
                  <c:v>2013.25</c:v>
                </c:pt>
                <c:pt idx="712">
                  <c:v>2013.3333333333301</c:v>
                </c:pt>
                <c:pt idx="713">
                  <c:v>2013.4166666666599</c:v>
                </c:pt>
                <c:pt idx="714">
                  <c:v>2013.5</c:v>
                </c:pt>
                <c:pt idx="715">
                  <c:v>2013.5833333333301</c:v>
                </c:pt>
                <c:pt idx="716">
                  <c:v>2013.6666666666599</c:v>
                </c:pt>
                <c:pt idx="717">
                  <c:v>2013.75</c:v>
                </c:pt>
                <c:pt idx="718">
                  <c:v>2013.8333333333301</c:v>
                </c:pt>
                <c:pt idx="719">
                  <c:v>2013.9166666666599</c:v>
                </c:pt>
              </c:numCache>
            </c:numRef>
          </c:xVal>
          <c:yVal>
            <c:numRef>
              <c:f>'Temp-aire'!$F$22:$F$741</c:f>
              <c:numCache>
                <c:formatCode>0.00</c:formatCode>
                <c:ptCount val="720"/>
                <c:pt idx="0">
                  <c:v>-1.1751300716048563</c:v>
                </c:pt>
                <c:pt idx="1">
                  <c:v>-0.58761173593345406</c:v>
                </c:pt>
                <c:pt idx="2">
                  <c:v>0.28874036684669685</c:v>
                </c:pt>
                <c:pt idx="3">
                  <c:v>0.24261039677669438</c:v>
                </c:pt>
                <c:pt idx="4">
                  <c:v>0.32473894272284271</c:v>
                </c:pt>
                <c:pt idx="5">
                  <c:v>0.81751182458959581</c:v>
                </c:pt>
                <c:pt idx="6">
                  <c:v>1.5798801646100991</c:v>
                </c:pt>
                <c:pt idx="7">
                  <c:v>1.0970273516078821</c:v>
                </c:pt>
                <c:pt idx="8">
                  <c:v>0.64229304222092143</c:v>
                </c:pt>
                <c:pt idx="9">
                  <c:v>-0.23271810752067018</c:v>
                </c:pt>
                <c:pt idx="10">
                  <c:v>-5.731108784587409E-2</c:v>
                </c:pt>
                <c:pt idx="11">
                  <c:v>-0.16764995936695137</c:v>
                </c:pt>
                <c:pt idx="12">
                  <c:v>-0.12728109087912701</c:v>
                </c:pt>
                <c:pt idx="13">
                  <c:v>0.38633036782362029</c:v>
                </c:pt>
                <c:pt idx="14">
                  <c:v>-1.6558376139577458</c:v>
                </c:pt>
                <c:pt idx="15">
                  <c:v>-1.0231829777104269</c:v>
                </c:pt>
                <c:pt idx="16">
                  <c:v>-0.20907849736951745</c:v>
                </c:pt>
                <c:pt idx="17">
                  <c:v>-0.83323320583169747</c:v>
                </c:pt>
                <c:pt idx="18">
                  <c:v>-3.1329068420020617E-2</c:v>
                </c:pt>
                <c:pt idx="19">
                  <c:v>0.88806976082543654</c:v>
                </c:pt>
                <c:pt idx="20">
                  <c:v>0.19156108276765069</c:v>
                </c:pt>
                <c:pt idx="21">
                  <c:v>-0.85682575950791229</c:v>
                </c:pt>
                <c:pt idx="22">
                  <c:v>0.12065492178079455</c:v>
                </c:pt>
                <c:pt idx="23">
                  <c:v>0.33529991873389681</c:v>
                </c:pt>
                <c:pt idx="24">
                  <c:v>-1.0004885748172379</c:v>
                </c:pt>
                <c:pt idx="25">
                  <c:v>-0.58761173593345406</c:v>
                </c:pt>
                <c:pt idx="26">
                  <c:v>-0.9487183482106768</c:v>
                </c:pt>
                <c:pt idx="27">
                  <c:v>-0.17932072805234356</c:v>
                </c:pt>
                <c:pt idx="28">
                  <c:v>-1.2767133775542472</c:v>
                </c:pt>
                <c:pt idx="29">
                  <c:v>-1.304874643094923</c:v>
                </c:pt>
                <c:pt idx="30">
                  <c:v>-0.29986394059170085</c:v>
                </c:pt>
                <c:pt idx="31">
                  <c:v>-1.4104637377815172</c:v>
                </c:pt>
                <c:pt idx="32">
                  <c:v>-0.48453685641225946</c:v>
                </c:pt>
                <c:pt idx="33">
                  <c:v>-2.1050410634823962</c:v>
                </c:pt>
                <c:pt idx="34">
                  <c:v>-0.76917512635256757</c:v>
                </c:pt>
                <c:pt idx="35">
                  <c:v>-0.83824979683475098</c:v>
                </c:pt>
                <c:pt idx="36">
                  <c:v>2.1430583673599624</c:v>
                </c:pt>
                <c:pt idx="37">
                  <c:v>-1.5615538396905284</c:v>
                </c:pt>
                <c:pt idx="38">
                  <c:v>0.64229999972023755</c:v>
                </c:pt>
                <c:pt idx="39">
                  <c:v>-2.2889763521975408</c:v>
                </c:pt>
                <c:pt idx="40">
                  <c:v>0.59164766276901803</c:v>
                </c:pt>
                <c:pt idx="41">
                  <c:v>0.58169110595798723</c:v>
                </c:pt>
                <c:pt idx="42">
                  <c:v>1.5798801646100991</c:v>
                </c:pt>
                <c:pt idx="43">
                  <c:v>1.9328577147376871</c:v>
                </c:pt>
                <c:pt idx="44">
                  <c:v>1.5437569611274631</c:v>
                </c:pt>
                <c:pt idx="45">
                  <c:v>1.0154971964538066</c:v>
                </c:pt>
                <c:pt idx="46">
                  <c:v>1.3664169891675066</c:v>
                </c:pt>
                <c:pt idx="47">
                  <c:v>1.0058997562016905</c:v>
                </c:pt>
                <c:pt idx="48">
                  <c:v>0.92056788984660853</c:v>
                </c:pt>
                <c:pt idx="49">
                  <c:v>0.58111878857503096</c:v>
                </c:pt>
                <c:pt idx="50">
                  <c:v>1.1726394490305361</c:v>
                </c:pt>
                <c:pt idx="51">
                  <c:v>1.5084037712638081</c:v>
                </c:pt>
                <c:pt idx="52">
                  <c:v>0.85855638281520286</c:v>
                </c:pt>
                <c:pt idx="53">
                  <c:v>1.760794699116055</c:v>
                </c:pt>
                <c:pt idx="54">
                  <c:v>2.1169499089534689</c:v>
                </c:pt>
                <c:pt idx="55">
                  <c:v>1.0970273516078821</c:v>
                </c:pt>
                <c:pt idx="56">
                  <c:v>2.2198549003073733</c:v>
                </c:pt>
                <c:pt idx="57">
                  <c:v>1.8476407324367985</c:v>
                </c:pt>
                <c:pt idx="58">
                  <c:v>1.1884509795408318</c:v>
                </c:pt>
                <c:pt idx="59">
                  <c:v>-0.33529991873390275</c:v>
                </c:pt>
                <c:pt idx="60">
                  <c:v>-1.0004885748172379</c:v>
                </c:pt>
                <c:pt idx="61">
                  <c:v>-2.7302843641990204</c:v>
                </c:pt>
                <c:pt idx="62">
                  <c:v>-1.3022779810842111</c:v>
                </c:pt>
                <c:pt idx="63">
                  <c:v>-1.0231829777104269</c:v>
                </c:pt>
                <c:pt idx="64">
                  <c:v>-1.0098046575080624</c:v>
                </c:pt>
                <c:pt idx="65">
                  <c:v>-0.36159176856847203</c:v>
                </c:pt>
                <c:pt idx="66">
                  <c:v>-0.56839881276339066</c:v>
                </c:pt>
                <c:pt idx="67">
                  <c:v>5.2239397695631823E-2</c:v>
                </c:pt>
                <c:pt idx="68">
                  <c:v>0.41692706249428207</c:v>
                </c:pt>
                <c:pt idx="69">
                  <c:v>0.18335366047082208</c:v>
                </c:pt>
                <c:pt idx="70">
                  <c:v>0.12065492178079455</c:v>
                </c:pt>
                <c:pt idx="71">
                  <c:v>0.33529991873389681</c:v>
                </c:pt>
                <c:pt idx="72">
                  <c:v>-0.65120558124198857</c:v>
                </c:pt>
                <c:pt idx="73">
                  <c:v>1.3602724715806946</c:v>
                </c:pt>
                <c:pt idx="74">
                  <c:v>-0.77193853177390648</c:v>
                </c:pt>
                <c:pt idx="75">
                  <c:v>1.7193693336783309</c:v>
                </c:pt>
                <c:pt idx="76">
                  <c:v>1.1254651028613878</c:v>
                </c:pt>
                <c:pt idx="77">
                  <c:v>0.11004966869475344</c:v>
                </c:pt>
                <c:pt idx="78">
                  <c:v>0.77427554809503918</c:v>
                </c:pt>
                <c:pt idx="79">
                  <c:v>0.4701545792605305</c:v>
                </c:pt>
                <c:pt idx="80">
                  <c:v>0.41692706249428207</c:v>
                </c:pt>
                <c:pt idx="81">
                  <c:v>0.39138954446657193</c:v>
                </c:pt>
                <c:pt idx="82">
                  <c:v>-0.23527709747254905</c:v>
                </c:pt>
                <c:pt idx="83">
                  <c:v>-0.33529991873390275</c:v>
                </c:pt>
                <c:pt idx="84">
                  <c:v>-0.12728109087912701</c:v>
                </c:pt>
                <c:pt idx="85">
                  <c:v>-1.3667654189391176</c:v>
                </c:pt>
                <c:pt idx="86">
                  <c:v>-2.3629568797048206</c:v>
                </c:pt>
                <c:pt idx="87">
                  <c:v>-1.0231829777104269</c:v>
                </c:pt>
                <c:pt idx="88">
                  <c:v>-0.47598721741570227</c:v>
                </c:pt>
                <c:pt idx="89">
                  <c:v>1.0533325432212126</c:v>
                </c:pt>
                <c:pt idx="90">
                  <c:v>-3.1329068420020617E-2</c:v>
                </c:pt>
                <c:pt idx="91">
                  <c:v>0.26119698847808487</c:v>
                </c:pt>
                <c:pt idx="92">
                  <c:v>-0.25917087668562011</c:v>
                </c:pt>
                <c:pt idx="93">
                  <c:v>0.18335366047082208</c:v>
                </c:pt>
                <c:pt idx="94">
                  <c:v>-3.4386652707526539</c:v>
                </c:pt>
                <c:pt idx="95">
                  <c:v>-1.3411996749355932</c:v>
                </c:pt>
                <c:pt idx="96">
                  <c:v>-0.82584707802961321</c:v>
                </c:pt>
                <c:pt idx="97">
                  <c:v>0.19154194707220265</c:v>
                </c:pt>
                <c:pt idx="98">
                  <c:v>0.99585963259377197</c:v>
                </c:pt>
                <c:pt idx="99">
                  <c:v>-0.17932072805234356</c:v>
                </c:pt>
                <c:pt idx="100">
                  <c:v>2.1930999830461082</c:v>
                </c:pt>
                <c:pt idx="101">
                  <c:v>-2.7197989548846078</c:v>
                </c:pt>
                <c:pt idx="102">
                  <c:v>-3.1329068420020617E-2</c:v>
                </c:pt>
                <c:pt idx="103">
                  <c:v>-0.15671819308681381</c:v>
                </c:pt>
                <c:pt idx="104">
                  <c:v>0.19156108276765069</c:v>
                </c:pt>
                <c:pt idx="105">
                  <c:v>1.4315689644453062</c:v>
                </c:pt>
                <c:pt idx="106">
                  <c:v>1.0104849699141567</c:v>
                </c:pt>
                <c:pt idx="107">
                  <c:v>0.33529991873389681</c:v>
                </c:pt>
                <c:pt idx="108">
                  <c:v>2.317699864147587</c:v>
                </c:pt>
                <c:pt idx="109">
                  <c:v>2.1394261545863511</c:v>
                </c:pt>
                <c:pt idx="110">
                  <c:v>1.7029788983408409</c:v>
                </c:pt>
                <c:pt idx="111">
                  <c:v>0.45357595919120958</c:v>
                </c:pt>
                <c:pt idx="112">
                  <c:v>-1.0098046575080624</c:v>
                </c:pt>
                <c:pt idx="113">
                  <c:v>-1.5406953617265398</c:v>
                </c:pt>
                <c:pt idx="114">
                  <c:v>-1.1054685571067606</c:v>
                </c:pt>
                <c:pt idx="115">
                  <c:v>-0.78359096543416551</c:v>
                </c:pt>
                <c:pt idx="116">
                  <c:v>-0.93526881586553023</c:v>
                </c:pt>
                <c:pt idx="117">
                  <c:v>-0.23271810752067018</c:v>
                </c:pt>
                <c:pt idx="118">
                  <c:v>-0.5912091167258926</c:v>
                </c:pt>
                <c:pt idx="119">
                  <c:v>0.16764995936694543</c:v>
                </c:pt>
                <c:pt idx="120">
                  <c:v>-0.30192258766674546</c:v>
                </c:pt>
                <c:pt idx="121">
                  <c:v>0.38633036782362029</c:v>
                </c:pt>
                <c:pt idx="122">
                  <c:v>-0.418378898900372</c:v>
                </c:pt>
                <c:pt idx="123">
                  <c:v>0.66454152160573232</c:v>
                </c:pt>
                <c:pt idx="124">
                  <c:v>5.783022267665789E-2</c:v>
                </c:pt>
                <c:pt idx="125">
                  <c:v>-0.59741248720008056</c:v>
                </c:pt>
                <c:pt idx="126">
                  <c:v>-0.83693368493508047</c:v>
                </c:pt>
                <c:pt idx="127">
                  <c:v>-1.4104637377815172</c:v>
                </c:pt>
                <c:pt idx="128">
                  <c:v>-1.1606347955921696</c:v>
                </c:pt>
                <c:pt idx="129">
                  <c:v>-1.064861643503662</c:v>
                </c:pt>
                <c:pt idx="130">
                  <c:v>-1.1251071456059112</c:v>
                </c:pt>
                <c:pt idx="131">
                  <c:v>-1.5088496343025446</c:v>
                </c:pt>
                <c:pt idx="132">
                  <c:v>-1.1751300716048563</c:v>
                </c:pt>
                <c:pt idx="133">
                  <c:v>-0.39282331518204333</c:v>
                </c:pt>
                <c:pt idx="134">
                  <c:v>-0.24159908246360165</c:v>
                </c:pt>
                <c:pt idx="135">
                  <c:v>-0.17932072805234356</c:v>
                </c:pt>
                <c:pt idx="136">
                  <c:v>-0.47598721741570227</c:v>
                </c:pt>
                <c:pt idx="137">
                  <c:v>-0.36159176856847203</c:v>
                </c:pt>
                <c:pt idx="138">
                  <c:v>0.77427554809503918</c:v>
                </c:pt>
                <c:pt idx="139">
                  <c:v>-0.15671819308681381</c:v>
                </c:pt>
                <c:pt idx="140">
                  <c:v>0.41692706249428207</c:v>
                </c:pt>
                <c:pt idx="141">
                  <c:v>0.18335366047082208</c:v>
                </c:pt>
                <c:pt idx="142">
                  <c:v>-1.1251071456059112</c:v>
                </c:pt>
                <c:pt idx="143">
                  <c:v>0.33529991873389681</c:v>
                </c:pt>
                <c:pt idx="144">
                  <c:v>1.4444923802094762</c:v>
                </c:pt>
                <c:pt idx="145">
                  <c:v>1.3602724715806946</c:v>
                </c:pt>
                <c:pt idx="146">
                  <c:v>-0.9487183482106768</c:v>
                </c:pt>
                <c:pt idx="147">
                  <c:v>0.87550708402025501</c:v>
                </c:pt>
                <c:pt idx="148">
                  <c:v>-0.47598721741570227</c:v>
                </c:pt>
                <c:pt idx="149">
                  <c:v>-1.5406953617265398</c:v>
                </c:pt>
                <c:pt idx="150">
                  <c:v>-0.29986394059170085</c:v>
                </c:pt>
                <c:pt idx="151">
                  <c:v>-0.36567578386926686</c:v>
                </c:pt>
                <c:pt idx="152">
                  <c:v>-0.93526881586553023</c:v>
                </c:pt>
                <c:pt idx="153">
                  <c:v>-1.064861643503662</c:v>
                </c:pt>
                <c:pt idx="154">
                  <c:v>-2.0149371937392733</c:v>
                </c:pt>
                <c:pt idx="155">
                  <c:v>-2.6823993498711864</c:v>
                </c:pt>
                <c:pt idx="156">
                  <c:v>-1.0004885748172379</c:v>
                </c:pt>
                <c:pt idx="157">
                  <c:v>-0.39282331518204333</c:v>
                </c:pt>
                <c:pt idx="158">
                  <c:v>0.28874036684669685</c:v>
                </c:pt>
                <c:pt idx="159">
                  <c:v>0.45357595919120958</c:v>
                </c:pt>
                <c:pt idx="160">
                  <c:v>0.32473894272284271</c:v>
                </c:pt>
                <c:pt idx="161">
                  <c:v>0.11004966869475344</c:v>
                </c:pt>
                <c:pt idx="162">
                  <c:v>0.50574067592334937</c:v>
                </c:pt>
                <c:pt idx="163">
                  <c:v>5.2239397695631823E-2</c:v>
                </c:pt>
                <c:pt idx="164">
                  <c:v>-0.48453685641225946</c:v>
                </c:pt>
                <c:pt idx="165">
                  <c:v>-0.44075399151641997</c:v>
                </c:pt>
                <c:pt idx="166">
                  <c:v>-0.5912091167258926</c:v>
                </c:pt>
                <c:pt idx="167">
                  <c:v>-5.9561230389330787E-15</c:v>
                </c:pt>
                <c:pt idx="168">
                  <c:v>-1.1751300716048563</c:v>
                </c:pt>
                <c:pt idx="169">
                  <c:v>-0.78240015668487162</c:v>
                </c:pt>
                <c:pt idx="170">
                  <c:v>-0.418378898900372</c:v>
                </c:pt>
                <c:pt idx="171">
                  <c:v>-2.9218730394411012</c:v>
                </c:pt>
                <c:pt idx="172">
                  <c:v>-3.9458005780160574</c:v>
                </c:pt>
                <c:pt idx="173">
                  <c:v>-1.304874643094923</c:v>
                </c:pt>
                <c:pt idx="174">
                  <c:v>-1.1054685571067606</c:v>
                </c:pt>
                <c:pt idx="175">
                  <c:v>-0.78359096543416551</c:v>
                </c:pt>
                <c:pt idx="176">
                  <c:v>-0.93526881586553023</c:v>
                </c:pt>
                <c:pt idx="177">
                  <c:v>-0.44075399151641997</c:v>
                </c:pt>
                <c:pt idx="178">
                  <c:v>-0.23527709747254905</c:v>
                </c:pt>
                <c:pt idx="179">
                  <c:v>0.50294987810084224</c:v>
                </c:pt>
                <c:pt idx="180">
                  <c:v>0.22200190269612233</c:v>
                </c:pt>
                <c:pt idx="181">
                  <c:v>0.77590720932644863</c:v>
                </c:pt>
                <c:pt idx="182">
                  <c:v>1.1726394490305361</c:v>
                </c:pt>
                <c:pt idx="183">
                  <c:v>0.87550708402025501</c:v>
                </c:pt>
                <c:pt idx="184">
                  <c:v>0.32473894272284271</c:v>
                </c:pt>
                <c:pt idx="185">
                  <c:v>-1.5406953617265398</c:v>
                </c:pt>
                <c:pt idx="186">
                  <c:v>-2.1796080457935103</c:v>
                </c:pt>
                <c:pt idx="187">
                  <c:v>-1.8283789193464159</c:v>
                </c:pt>
                <c:pt idx="188">
                  <c:v>-1.1606347955921696</c:v>
                </c:pt>
                <c:pt idx="189">
                  <c:v>-1.4809334114951542</c:v>
                </c:pt>
                <c:pt idx="190">
                  <c:v>-1.4810391648592549</c:v>
                </c:pt>
                <c:pt idx="191">
                  <c:v>-0.67059983746779961</c:v>
                </c:pt>
                <c:pt idx="192">
                  <c:v>-0.65120558124198857</c:v>
                </c:pt>
                <c:pt idx="193">
                  <c:v>0.19154194707220265</c:v>
                </c:pt>
                <c:pt idx="194">
                  <c:v>0.11196055040993279</c:v>
                </c:pt>
                <c:pt idx="195">
                  <c:v>0.24261039677669438</c:v>
                </c:pt>
                <c:pt idx="196">
                  <c:v>-1.0098046575080624</c:v>
                </c:pt>
                <c:pt idx="197">
                  <c:v>-0.12577104993685509</c:v>
                </c:pt>
                <c:pt idx="198">
                  <c:v>-0.83693368493508047</c:v>
                </c:pt>
                <c:pt idx="199">
                  <c:v>-3.0821244640411192</c:v>
                </c:pt>
                <c:pt idx="200">
                  <c:v>-1.6113667550454405</c:v>
                </c:pt>
                <c:pt idx="201">
                  <c:v>0.39138954446657193</c:v>
                </c:pt>
                <c:pt idx="202">
                  <c:v>0.12065492178079455</c:v>
                </c:pt>
                <c:pt idx="203">
                  <c:v>1.0058997562016905</c:v>
                </c:pt>
                <c:pt idx="204">
                  <c:v>1.4444923802094762</c:v>
                </c:pt>
                <c:pt idx="205">
                  <c:v>1.3602724715806946</c:v>
                </c:pt>
                <c:pt idx="206">
                  <c:v>1.5261990819040767</c:v>
                </c:pt>
                <c:pt idx="207">
                  <c:v>0.87550708402025501</c:v>
                </c:pt>
                <c:pt idx="208">
                  <c:v>5.783022267665789E-2</c:v>
                </c:pt>
                <c:pt idx="209">
                  <c:v>-0.12577104993685509</c:v>
                </c:pt>
                <c:pt idx="210">
                  <c:v>-0.56839881276339066</c:v>
                </c:pt>
                <c:pt idx="211">
                  <c:v>-0.57463337465171993</c:v>
                </c:pt>
                <c:pt idx="212">
                  <c:v>-0.48453685641225946</c:v>
                </c:pt>
                <c:pt idx="213">
                  <c:v>-0.23271810752067018</c:v>
                </c:pt>
                <c:pt idx="214">
                  <c:v>-0.76917512635256757</c:v>
                </c:pt>
                <c:pt idx="215">
                  <c:v>-0.33529991873390275</c:v>
                </c:pt>
                <c:pt idx="216">
                  <c:v>-0.82584707802961321</c:v>
                </c:pt>
                <c:pt idx="217">
                  <c:v>-1.7563422604419459</c:v>
                </c:pt>
                <c:pt idx="218">
                  <c:v>-0.418378898900372</c:v>
                </c:pt>
                <c:pt idx="219">
                  <c:v>-0.60125185288138894</c:v>
                </c:pt>
                <c:pt idx="220">
                  <c:v>-1.2767133775542472</c:v>
                </c:pt>
                <c:pt idx="221">
                  <c:v>1.9966154177476636</c:v>
                </c:pt>
                <c:pt idx="222">
                  <c:v>2.6540196532968392</c:v>
                </c:pt>
                <c:pt idx="223">
                  <c:v>2.7686880778674845</c:v>
                </c:pt>
                <c:pt idx="224">
                  <c:v>3.5720507786671933</c:v>
                </c:pt>
                <c:pt idx="225">
                  <c:v>3.7199636883985172</c:v>
                </c:pt>
                <c:pt idx="226">
                  <c:v>2.9681110758075562</c:v>
                </c:pt>
                <c:pt idx="227">
                  <c:v>3.5206491467059253</c:v>
                </c:pt>
                <c:pt idx="228">
                  <c:v>3.3655488448733166</c:v>
                </c:pt>
                <c:pt idx="229">
                  <c:v>0.97069563007785931</c:v>
                </c:pt>
                <c:pt idx="230">
                  <c:v>2.0565385312143754</c:v>
                </c:pt>
                <c:pt idx="231">
                  <c:v>-0.17932072805234356</c:v>
                </c:pt>
                <c:pt idx="232">
                  <c:v>-1.0098046575080624</c:v>
                </c:pt>
                <c:pt idx="233">
                  <c:v>-0.83323320583169747</c:v>
                </c:pt>
                <c:pt idx="234">
                  <c:v>-1.1054685571067606</c:v>
                </c:pt>
                <c:pt idx="235">
                  <c:v>-0.57463337465171993</c:v>
                </c:pt>
                <c:pt idx="236">
                  <c:v>-0.25917087668562011</c:v>
                </c:pt>
                <c:pt idx="237">
                  <c:v>0.18335366047082208</c:v>
                </c:pt>
                <c:pt idx="238">
                  <c:v>-0.23527709747254905</c:v>
                </c:pt>
                <c:pt idx="239">
                  <c:v>0.33529991873389681</c:v>
                </c:pt>
                <c:pt idx="240">
                  <c:v>4.7360405908497653E-2</c:v>
                </c:pt>
                <c:pt idx="241">
                  <c:v>0.19154194707220265</c:v>
                </c:pt>
                <c:pt idx="242">
                  <c:v>0.81907981615700165</c:v>
                </c:pt>
                <c:pt idx="243">
                  <c:v>3.1644834362171657E-2</c:v>
                </c:pt>
                <c:pt idx="244">
                  <c:v>1.1254651028613878</c:v>
                </c:pt>
                <c:pt idx="245">
                  <c:v>-0.59741248720008056</c:v>
                </c:pt>
                <c:pt idx="246">
                  <c:v>-0.83693368493508047</c:v>
                </c:pt>
                <c:pt idx="247">
                  <c:v>-0.57463337465171993</c:v>
                </c:pt>
                <c:pt idx="248">
                  <c:v>-0.25917087668562011</c:v>
                </c:pt>
                <c:pt idx="249">
                  <c:v>0.18335366047082208</c:v>
                </c:pt>
                <c:pt idx="250">
                  <c:v>-0.23527709747254905</c:v>
                </c:pt>
                <c:pt idx="251">
                  <c:v>0.50294987810084224</c:v>
                </c:pt>
                <c:pt idx="252">
                  <c:v>-0.12728109087912701</c:v>
                </c:pt>
                <c:pt idx="253">
                  <c:v>-0.78240015668487162</c:v>
                </c:pt>
                <c:pt idx="254">
                  <c:v>-1.1254981646474409</c:v>
                </c:pt>
                <c:pt idx="255">
                  <c:v>-1.2341485401249421</c:v>
                </c:pt>
                <c:pt idx="256">
                  <c:v>-1.0098046575080624</c:v>
                </c:pt>
                <c:pt idx="257">
                  <c:v>-1.7765160803581483</c:v>
                </c:pt>
                <c:pt idx="258">
                  <c:v>-2.1796080457935103</c:v>
                </c:pt>
                <c:pt idx="259">
                  <c:v>-2.0373365101288692</c:v>
                </c:pt>
                <c:pt idx="260">
                  <c:v>-1.6113667550454405</c:v>
                </c:pt>
                <c:pt idx="261">
                  <c:v>-2.5211128314738884</c:v>
                </c:pt>
                <c:pt idx="262">
                  <c:v>-1.3030731552325798</c:v>
                </c:pt>
                <c:pt idx="263">
                  <c:v>-1.8441495530364413</c:v>
                </c:pt>
                <c:pt idx="264">
                  <c:v>-1.5244130651800996</c:v>
                </c:pt>
                <c:pt idx="265">
                  <c:v>-2.5354959434476028</c:v>
                </c:pt>
                <c:pt idx="266">
                  <c:v>-1.832617430394516</c:v>
                </c:pt>
                <c:pt idx="267">
                  <c:v>-2.2889763521975408</c:v>
                </c:pt>
                <c:pt idx="268">
                  <c:v>-1.0098046575080624</c:v>
                </c:pt>
                <c:pt idx="269">
                  <c:v>-2.2481575176213822</c:v>
                </c:pt>
                <c:pt idx="270">
                  <c:v>-1.6425383014501307</c:v>
                </c:pt>
                <c:pt idx="271">
                  <c:v>-0.57463337465171993</c:v>
                </c:pt>
                <c:pt idx="272">
                  <c:v>-0.48453685641225946</c:v>
                </c:pt>
                <c:pt idx="273">
                  <c:v>-0.23271810752067018</c:v>
                </c:pt>
                <c:pt idx="274">
                  <c:v>1.1884509795408318</c:v>
                </c:pt>
                <c:pt idx="275">
                  <c:v>-0.33529991873390275</c:v>
                </c:pt>
                <c:pt idx="276">
                  <c:v>-0.30192258766674546</c:v>
                </c:pt>
                <c:pt idx="277">
                  <c:v>-0.58761173593345406</c:v>
                </c:pt>
                <c:pt idx="278">
                  <c:v>-1.1254981646474409</c:v>
                </c:pt>
                <c:pt idx="279">
                  <c:v>-1.2341485401249421</c:v>
                </c:pt>
                <c:pt idx="280">
                  <c:v>-1.2767133775542472</c:v>
                </c:pt>
                <c:pt idx="281">
                  <c:v>-0.36159176856847203</c:v>
                </c:pt>
                <c:pt idx="282">
                  <c:v>-1.1054685571067606</c:v>
                </c:pt>
                <c:pt idx="283">
                  <c:v>-0.57463337465171993</c:v>
                </c:pt>
                <c:pt idx="284">
                  <c:v>1.3183909814008317</c:v>
                </c:pt>
                <c:pt idx="285">
                  <c:v>1.0154971964538066</c:v>
                </c:pt>
                <c:pt idx="286">
                  <c:v>1.0104849699141567</c:v>
                </c:pt>
                <c:pt idx="287">
                  <c:v>1.0058997562016905</c:v>
                </c:pt>
                <c:pt idx="288">
                  <c:v>0.92056788984660853</c:v>
                </c:pt>
                <c:pt idx="289">
                  <c:v>0.77590720932644863</c:v>
                </c:pt>
                <c:pt idx="290">
                  <c:v>0.81907981615700165</c:v>
                </c:pt>
                <c:pt idx="291">
                  <c:v>0.66454152160573232</c:v>
                </c:pt>
                <c:pt idx="292">
                  <c:v>0.85855638281520286</c:v>
                </c:pt>
                <c:pt idx="293">
                  <c:v>0.34587038732637038</c:v>
                </c:pt>
                <c:pt idx="294">
                  <c:v>0.50574067592334937</c:v>
                </c:pt>
                <c:pt idx="295">
                  <c:v>0.26119698847808487</c:v>
                </c:pt>
                <c:pt idx="296">
                  <c:v>0.86765902194756084</c:v>
                </c:pt>
                <c:pt idx="297">
                  <c:v>1.0154971964538066</c:v>
                </c:pt>
                <c:pt idx="298">
                  <c:v>1.0104849699141567</c:v>
                </c:pt>
                <c:pt idx="299">
                  <c:v>1.0058997562016905</c:v>
                </c:pt>
                <c:pt idx="300">
                  <c:v>0.92056788984660853</c:v>
                </c:pt>
                <c:pt idx="301">
                  <c:v>0.58111878857503096</c:v>
                </c:pt>
                <c:pt idx="302">
                  <c:v>0.81907981615700165</c:v>
                </c:pt>
                <c:pt idx="303">
                  <c:v>0.45357595919120958</c:v>
                </c:pt>
                <c:pt idx="304">
                  <c:v>0.85855638281520286</c:v>
                </c:pt>
                <c:pt idx="305">
                  <c:v>0.34587038732637038</c:v>
                </c:pt>
                <c:pt idx="306">
                  <c:v>0.50574067592334937</c:v>
                </c:pt>
                <c:pt idx="307">
                  <c:v>0.26119698847808487</c:v>
                </c:pt>
                <c:pt idx="308">
                  <c:v>0.86765902194756084</c:v>
                </c:pt>
                <c:pt idx="309">
                  <c:v>1.0154971964538066</c:v>
                </c:pt>
                <c:pt idx="310">
                  <c:v>1.0104849699141567</c:v>
                </c:pt>
                <c:pt idx="311">
                  <c:v>0.67059983746779361</c:v>
                </c:pt>
                <c:pt idx="312">
                  <c:v>0.74592639305898389</c:v>
                </c:pt>
                <c:pt idx="313">
                  <c:v>0.77590720932644863</c:v>
                </c:pt>
                <c:pt idx="314">
                  <c:v>0.64229999972023755</c:v>
                </c:pt>
                <c:pt idx="315">
                  <c:v>0.45357595919120958</c:v>
                </c:pt>
                <c:pt idx="316">
                  <c:v>0.85855638281520286</c:v>
                </c:pt>
                <c:pt idx="317">
                  <c:v>0.58169110595798723</c:v>
                </c:pt>
                <c:pt idx="318">
                  <c:v>0.77427554809503918</c:v>
                </c:pt>
                <c:pt idx="319">
                  <c:v>0.4701545792605305</c:v>
                </c:pt>
                <c:pt idx="320">
                  <c:v>0.86765902194756084</c:v>
                </c:pt>
                <c:pt idx="321">
                  <c:v>0.80746131245806418</c:v>
                </c:pt>
                <c:pt idx="322">
                  <c:v>1.0104849699141567</c:v>
                </c:pt>
                <c:pt idx="323">
                  <c:v>0.67059983746779361</c:v>
                </c:pt>
                <c:pt idx="324">
                  <c:v>0.74592639305898389</c:v>
                </c:pt>
                <c:pt idx="325">
                  <c:v>0.38633036782362029</c:v>
                </c:pt>
                <c:pt idx="326">
                  <c:v>0.64229999972023755</c:v>
                </c:pt>
                <c:pt idx="327">
                  <c:v>-0.17932072805234356</c:v>
                </c:pt>
                <c:pt idx="328">
                  <c:v>-0.47598721741570227</c:v>
                </c:pt>
                <c:pt idx="329">
                  <c:v>-0.59741248720008056</c:v>
                </c:pt>
                <c:pt idx="330">
                  <c:v>0.50574067592334937</c:v>
                </c:pt>
                <c:pt idx="331">
                  <c:v>-0.57463337465171993</c:v>
                </c:pt>
                <c:pt idx="332">
                  <c:v>0.19156108276765069</c:v>
                </c:pt>
                <c:pt idx="333">
                  <c:v>-2.468222352492774E-2</c:v>
                </c:pt>
                <c:pt idx="334">
                  <c:v>0.83251896028748806</c:v>
                </c:pt>
                <c:pt idx="335">
                  <c:v>0.50294987810084224</c:v>
                </c:pt>
                <c:pt idx="336">
                  <c:v>-0.4765640844543701</c:v>
                </c:pt>
                <c:pt idx="337">
                  <c:v>-0.19803489443062569</c:v>
                </c:pt>
                <c:pt idx="338">
                  <c:v>-1.1254981646474409</c:v>
                </c:pt>
                <c:pt idx="339">
                  <c:v>-0.81221741529590419</c:v>
                </c:pt>
                <c:pt idx="340">
                  <c:v>-0.47598721741570227</c:v>
                </c:pt>
                <c:pt idx="341">
                  <c:v>0.11004966869475344</c:v>
                </c:pt>
                <c:pt idx="342">
                  <c:v>-0.29986394059170085</c:v>
                </c:pt>
                <c:pt idx="343">
                  <c:v>0.26119698847808487</c:v>
                </c:pt>
                <c:pt idx="344">
                  <c:v>0.19156108276765069</c:v>
                </c:pt>
                <c:pt idx="345">
                  <c:v>-0.64878987551216238</c:v>
                </c:pt>
                <c:pt idx="346">
                  <c:v>0.29862093140746954</c:v>
                </c:pt>
                <c:pt idx="347">
                  <c:v>-0.67059983746779961</c:v>
                </c:pt>
                <c:pt idx="348">
                  <c:v>0.74592639305898389</c:v>
                </c:pt>
                <c:pt idx="349">
                  <c:v>0.38633036782362029</c:v>
                </c:pt>
                <c:pt idx="350">
                  <c:v>1.3494192654673065</c:v>
                </c:pt>
                <c:pt idx="351">
                  <c:v>0.87550708402025501</c:v>
                </c:pt>
                <c:pt idx="352">
                  <c:v>1.1254651028613878</c:v>
                </c:pt>
                <c:pt idx="353">
                  <c:v>1.9966154177476636</c:v>
                </c:pt>
                <c:pt idx="354">
                  <c:v>1.3113452924384092</c:v>
                </c:pt>
                <c:pt idx="355">
                  <c:v>0.88806976082543654</c:v>
                </c:pt>
                <c:pt idx="356">
                  <c:v>0.19156108276765069</c:v>
                </c:pt>
                <c:pt idx="357">
                  <c:v>-0.44075399151641997</c:v>
                </c:pt>
                <c:pt idx="358">
                  <c:v>0.83251896028748806</c:v>
                </c:pt>
                <c:pt idx="359">
                  <c:v>-5.9561230389330787E-15</c:v>
                </c:pt>
                <c:pt idx="360">
                  <c:v>-0.30192258766674546</c:v>
                </c:pt>
                <c:pt idx="361">
                  <c:v>0.58111878857503096</c:v>
                </c:pt>
                <c:pt idx="362">
                  <c:v>-0.59515871533714237</c:v>
                </c:pt>
                <c:pt idx="363">
                  <c:v>-0.39028629046686625</c:v>
                </c:pt>
                <c:pt idx="364">
                  <c:v>-0.20907849736951745</c:v>
                </c:pt>
                <c:pt idx="365">
                  <c:v>-0.36159176856847203</c:v>
                </c:pt>
                <c:pt idx="366">
                  <c:v>-1.3740034292784504</c:v>
                </c:pt>
                <c:pt idx="367">
                  <c:v>-1.2015061469990642</c:v>
                </c:pt>
                <c:pt idx="368">
                  <c:v>-1.6113667550454405</c:v>
                </c:pt>
                <c:pt idx="369">
                  <c:v>-0.85682575950791229</c:v>
                </c:pt>
                <c:pt idx="370">
                  <c:v>-0.76917512635256757</c:v>
                </c:pt>
                <c:pt idx="371">
                  <c:v>-1.8441495530364413</c:v>
                </c:pt>
                <c:pt idx="372">
                  <c:v>-1.8736960587553488</c:v>
                </c:pt>
                <c:pt idx="373">
                  <c:v>-0.78240015668487162</c:v>
                </c:pt>
                <c:pt idx="374">
                  <c:v>-0.9487183482106768</c:v>
                </c:pt>
                <c:pt idx="375">
                  <c:v>-1.4451141025394647</c:v>
                </c:pt>
                <c:pt idx="376">
                  <c:v>5.783022267665789E-2</c:v>
                </c:pt>
                <c:pt idx="377">
                  <c:v>0.34587038732637038</c:v>
                </c:pt>
                <c:pt idx="378">
                  <c:v>0.23720580375166916</c:v>
                </c:pt>
                <c:pt idx="379">
                  <c:v>-0.57463337465171993</c:v>
                </c:pt>
                <c:pt idx="380">
                  <c:v>-0.93526881586553023</c:v>
                </c:pt>
                <c:pt idx="381">
                  <c:v>0.59942542846231428</c:v>
                </c:pt>
                <c:pt idx="382">
                  <c:v>-0.23527709747254905</c:v>
                </c:pt>
                <c:pt idx="383">
                  <c:v>-0.83824979683475098</c:v>
                </c:pt>
                <c:pt idx="384">
                  <c:v>-0.82584707802961321</c:v>
                </c:pt>
                <c:pt idx="385">
                  <c:v>-0.58761173593345406</c:v>
                </c:pt>
                <c:pt idx="386">
                  <c:v>-0.418378898900372</c:v>
                </c:pt>
                <c:pt idx="387">
                  <c:v>-0.17932072805234356</c:v>
                </c:pt>
                <c:pt idx="388">
                  <c:v>0.32473894272284271</c:v>
                </c:pt>
                <c:pt idx="389">
                  <c:v>0.11004966869475344</c:v>
                </c:pt>
                <c:pt idx="390">
                  <c:v>0.23720580375166916</c:v>
                </c:pt>
                <c:pt idx="391">
                  <c:v>0.4701545792605305</c:v>
                </c:pt>
                <c:pt idx="392">
                  <c:v>0.19156108276765069</c:v>
                </c:pt>
                <c:pt idx="393">
                  <c:v>-0.64878987551216238</c:v>
                </c:pt>
                <c:pt idx="394">
                  <c:v>0.12065492178079455</c:v>
                </c:pt>
                <c:pt idx="395">
                  <c:v>-0.50294987810084812</c:v>
                </c:pt>
                <c:pt idx="396">
                  <c:v>0.22200190269612233</c:v>
                </c:pt>
                <c:pt idx="397">
                  <c:v>0.97069563007785931</c:v>
                </c:pt>
                <c:pt idx="398">
                  <c:v>0.64229999972023755</c:v>
                </c:pt>
                <c:pt idx="399">
                  <c:v>0.87550708402025501</c:v>
                </c:pt>
                <c:pt idx="400">
                  <c:v>-0.20907849736951745</c:v>
                </c:pt>
                <c:pt idx="401">
                  <c:v>2.2324361363792806</c:v>
                </c:pt>
                <c:pt idx="402">
                  <c:v>1.3113452924384092</c:v>
                </c:pt>
                <c:pt idx="403">
                  <c:v>1.0970273516078821</c:v>
                </c:pt>
                <c:pt idx="404">
                  <c:v>-0.48453685641225946</c:v>
                </c:pt>
                <c:pt idx="405">
                  <c:v>-0.44075399151641997</c:v>
                </c:pt>
                <c:pt idx="406">
                  <c:v>-5.731108784587409E-2</c:v>
                </c:pt>
                <c:pt idx="407">
                  <c:v>-0.50294987810084812</c:v>
                </c:pt>
                <c:pt idx="408">
                  <c:v>-0.4765640844543701</c:v>
                </c:pt>
                <c:pt idx="409">
                  <c:v>-0.39282331518204333</c:v>
                </c:pt>
                <c:pt idx="410">
                  <c:v>-0.418378898900372</c:v>
                </c:pt>
                <c:pt idx="411">
                  <c:v>-0.81221741529590419</c:v>
                </c:pt>
                <c:pt idx="412">
                  <c:v>-0.47598721741570227</c:v>
                </c:pt>
                <c:pt idx="413">
                  <c:v>-0.36159176856847203</c:v>
                </c:pt>
                <c:pt idx="414">
                  <c:v>-0.56839881276339066</c:v>
                </c:pt>
                <c:pt idx="415">
                  <c:v>-0.57463337465171993</c:v>
                </c:pt>
                <c:pt idx="416">
                  <c:v>-0.70990283613889893</c:v>
                </c:pt>
                <c:pt idx="417">
                  <c:v>-0.44075399151641997</c:v>
                </c:pt>
                <c:pt idx="418">
                  <c:v>-0.23527709747254905</c:v>
                </c:pt>
                <c:pt idx="419">
                  <c:v>-0.67059983746779961</c:v>
                </c:pt>
                <c:pt idx="420">
                  <c:v>-0.4765640844543701</c:v>
                </c:pt>
                <c:pt idx="421">
                  <c:v>-0.39282331518204333</c:v>
                </c:pt>
                <c:pt idx="422">
                  <c:v>-0.418378898900372</c:v>
                </c:pt>
                <c:pt idx="423">
                  <c:v>-0.60125185288138894</c:v>
                </c:pt>
                <c:pt idx="424">
                  <c:v>-0.47598721741570227</c:v>
                </c:pt>
                <c:pt idx="425">
                  <c:v>-0.12577104993685509</c:v>
                </c:pt>
                <c:pt idx="426">
                  <c:v>-0.56839881276339066</c:v>
                </c:pt>
                <c:pt idx="427">
                  <c:v>-0.57463337465171993</c:v>
                </c:pt>
                <c:pt idx="428">
                  <c:v>-0.70990283613889893</c:v>
                </c:pt>
                <c:pt idx="429">
                  <c:v>-0.64878987551216238</c:v>
                </c:pt>
                <c:pt idx="430">
                  <c:v>-0.23527709747254905</c:v>
                </c:pt>
                <c:pt idx="431">
                  <c:v>0.50294987810084224</c:v>
                </c:pt>
                <c:pt idx="432">
                  <c:v>-0.65120558124198857</c:v>
                </c:pt>
                <c:pt idx="433">
                  <c:v>-0.39282331518204333</c:v>
                </c:pt>
                <c:pt idx="434">
                  <c:v>-0.418378898900372</c:v>
                </c:pt>
                <c:pt idx="435">
                  <c:v>-0.81221741529590419</c:v>
                </c:pt>
                <c:pt idx="436">
                  <c:v>-0.74289593746188709</c:v>
                </c:pt>
                <c:pt idx="437">
                  <c:v>-0.36159176856847203</c:v>
                </c:pt>
                <c:pt idx="438">
                  <c:v>-0.56839881276339066</c:v>
                </c:pt>
                <c:pt idx="439">
                  <c:v>-0.57463337465171993</c:v>
                </c:pt>
                <c:pt idx="440">
                  <c:v>-0.70990283613889893</c:v>
                </c:pt>
                <c:pt idx="441">
                  <c:v>-0.64878987551216238</c:v>
                </c:pt>
                <c:pt idx="442">
                  <c:v>-0.23527709747254905</c:v>
                </c:pt>
                <c:pt idx="443">
                  <c:v>-0.83824979683475098</c:v>
                </c:pt>
                <c:pt idx="444">
                  <c:v>-0.4765640844543701</c:v>
                </c:pt>
                <c:pt idx="445">
                  <c:v>-0.39282331518204333</c:v>
                </c:pt>
                <c:pt idx="446">
                  <c:v>-0.418378898900372</c:v>
                </c:pt>
                <c:pt idx="447">
                  <c:v>-0.17932072805234356</c:v>
                </c:pt>
                <c:pt idx="448">
                  <c:v>-0.20907849736951745</c:v>
                </c:pt>
                <c:pt idx="449">
                  <c:v>0.11004966869475344</c:v>
                </c:pt>
                <c:pt idx="450">
                  <c:v>-3.1329068420020617E-2</c:v>
                </c:pt>
                <c:pt idx="451">
                  <c:v>0.4701545792605305</c:v>
                </c:pt>
                <c:pt idx="452">
                  <c:v>-3.3804896958988702E-2</c:v>
                </c:pt>
                <c:pt idx="453">
                  <c:v>-0.23271810752067018</c:v>
                </c:pt>
                <c:pt idx="454">
                  <c:v>-0.23527709747254905</c:v>
                </c:pt>
                <c:pt idx="455">
                  <c:v>-1.1735497155686476</c:v>
                </c:pt>
                <c:pt idx="456">
                  <c:v>-0.65120558124198857</c:v>
                </c:pt>
                <c:pt idx="457">
                  <c:v>0.38633036782362029</c:v>
                </c:pt>
                <c:pt idx="458">
                  <c:v>0.28874036684669685</c:v>
                </c:pt>
                <c:pt idx="459">
                  <c:v>1.0864726464347703</c:v>
                </c:pt>
                <c:pt idx="460">
                  <c:v>0.59164766276901803</c:v>
                </c:pt>
                <c:pt idx="461">
                  <c:v>0.81751182458959581</c:v>
                </c:pt>
                <c:pt idx="462">
                  <c:v>-0.83693368493508047</c:v>
                </c:pt>
                <c:pt idx="463">
                  <c:v>-0.36567578386926686</c:v>
                </c:pt>
                <c:pt idx="464">
                  <c:v>-0.93526881586553023</c:v>
                </c:pt>
                <c:pt idx="465">
                  <c:v>-2.468222352492774E-2</c:v>
                </c:pt>
                <c:pt idx="466">
                  <c:v>0.12065492178079455</c:v>
                </c:pt>
                <c:pt idx="467">
                  <c:v>-5.9561230389330787E-15</c:v>
                </c:pt>
                <c:pt idx="468">
                  <c:v>0.22200190269612233</c:v>
                </c:pt>
                <c:pt idx="469">
                  <c:v>0.19154194707220265</c:v>
                </c:pt>
                <c:pt idx="470">
                  <c:v>0.11196055040993279</c:v>
                </c:pt>
                <c:pt idx="471">
                  <c:v>0.45357595919120958</c:v>
                </c:pt>
                <c:pt idx="472">
                  <c:v>-0.20907849736951745</c:v>
                </c:pt>
                <c:pt idx="473">
                  <c:v>0.58169110595798723</c:v>
                </c:pt>
                <c:pt idx="474">
                  <c:v>-3.1329068420020617E-2</c:v>
                </c:pt>
                <c:pt idx="475">
                  <c:v>0.67911217004298352</c:v>
                </c:pt>
                <c:pt idx="476">
                  <c:v>-1.3860007753188011</c:v>
                </c:pt>
                <c:pt idx="477">
                  <c:v>0.80746131245806418</c:v>
                </c:pt>
                <c:pt idx="478">
                  <c:v>-0.5912091167258926</c:v>
                </c:pt>
                <c:pt idx="479">
                  <c:v>-5.9561230389330787E-15</c:v>
                </c:pt>
                <c:pt idx="480">
                  <c:v>-0.82584707802961321</c:v>
                </c:pt>
                <c:pt idx="481">
                  <c:v>-0.97718857743628929</c:v>
                </c:pt>
                <c:pt idx="482">
                  <c:v>-0.418378898900372</c:v>
                </c:pt>
                <c:pt idx="483">
                  <c:v>-0.81221741529590419</c:v>
                </c:pt>
                <c:pt idx="484">
                  <c:v>-0.20907849736951745</c:v>
                </c:pt>
                <c:pt idx="485">
                  <c:v>-0.12577104993685509</c:v>
                </c:pt>
                <c:pt idx="486">
                  <c:v>-0.56839881276339066</c:v>
                </c:pt>
                <c:pt idx="487">
                  <c:v>-0.15671819308681381</c:v>
                </c:pt>
                <c:pt idx="488">
                  <c:v>-3.3804896958988702E-2</c:v>
                </c:pt>
                <c:pt idx="489">
                  <c:v>-0.64878987551216238</c:v>
                </c:pt>
                <c:pt idx="490">
                  <c:v>-0.5912091167258926</c:v>
                </c:pt>
                <c:pt idx="491">
                  <c:v>-0.67059983746779961</c:v>
                </c:pt>
                <c:pt idx="492">
                  <c:v>4.7360405908497653E-2</c:v>
                </c:pt>
                <c:pt idx="493">
                  <c:v>-0.39282331518204333</c:v>
                </c:pt>
                <c:pt idx="494">
                  <c:v>-6.4819266026837574E-2</c:v>
                </c:pt>
                <c:pt idx="495">
                  <c:v>0.45357595919120958</c:v>
                </c:pt>
                <c:pt idx="496">
                  <c:v>0.59164766276901803</c:v>
                </c:pt>
                <c:pt idx="497">
                  <c:v>0.34587038732637038</c:v>
                </c:pt>
                <c:pt idx="498">
                  <c:v>-0.56839881276339066</c:v>
                </c:pt>
                <c:pt idx="499">
                  <c:v>-0.36567578386926686</c:v>
                </c:pt>
                <c:pt idx="500">
                  <c:v>0.86765902194756084</c:v>
                </c:pt>
                <c:pt idx="501">
                  <c:v>-0.44075399151641997</c:v>
                </c:pt>
                <c:pt idx="502">
                  <c:v>0.29862093140746954</c:v>
                </c:pt>
                <c:pt idx="503">
                  <c:v>0.16764995936694543</c:v>
                </c:pt>
                <c:pt idx="504">
                  <c:v>0.57128489627136547</c:v>
                </c:pt>
                <c:pt idx="505">
                  <c:v>0.58111878857503096</c:v>
                </c:pt>
                <c:pt idx="506">
                  <c:v>0.28874036684669685</c:v>
                </c:pt>
                <c:pt idx="507">
                  <c:v>0.45357595919120958</c:v>
                </c:pt>
                <c:pt idx="508">
                  <c:v>-0.74289593746188709</c:v>
                </c:pt>
                <c:pt idx="509">
                  <c:v>0.11004966869475344</c:v>
                </c:pt>
                <c:pt idx="510">
                  <c:v>-0.56839881276339066</c:v>
                </c:pt>
                <c:pt idx="511">
                  <c:v>-0.36567578386926686</c:v>
                </c:pt>
                <c:pt idx="512">
                  <c:v>-0.48453685641225946</c:v>
                </c:pt>
                <c:pt idx="513">
                  <c:v>-0.23271810752067018</c:v>
                </c:pt>
                <c:pt idx="514">
                  <c:v>-0.5912091167258926</c:v>
                </c:pt>
                <c:pt idx="515">
                  <c:v>-0.83824979683475098</c:v>
                </c:pt>
                <c:pt idx="516">
                  <c:v>-0.82584707802961321</c:v>
                </c:pt>
                <c:pt idx="517">
                  <c:v>0.19154194707220265</c:v>
                </c:pt>
                <c:pt idx="518">
                  <c:v>-1.4790577975209815</c:v>
                </c:pt>
                <c:pt idx="519">
                  <c:v>-1.0231829777104269</c:v>
                </c:pt>
                <c:pt idx="520">
                  <c:v>5.783022267665789E-2</c:v>
                </c:pt>
                <c:pt idx="521">
                  <c:v>-0.59741248720008056</c:v>
                </c:pt>
                <c:pt idx="522">
                  <c:v>0.50574067592334937</c:v>
                </c:pt>
                <c:pt idx="523">
                  <c:v>0.88806976082543654</c:v>
                </c:pt>
                <c:pt idx="524">
                  <c:v>0.64229304222092143</c:v>
                </c:pt>
                <c:pt idx="525">
                  <c:v>1.2235330804495563</c:v>
                </c:pt>
                <c:pt idx="526">
                  <c:v>0.29862093140746954</c:v>
                </c:pt>
                <c:pt idx="527">
                  <c:v>0.67059983746779361</c:v>
                </c:pt>
                <c:pt idx="528">
                  <c:v>0.74592639305898389</c:v>
                </c:pt>
                <c:pt idx="529">
                  <c:v>1.5550608923321052</c:v>
                </c:pt>
                <c:pt idx="530">
                  <c:v>0.46552018328346723</c:v>
                </c:pt>
                <c:pt idx="531">
                  <c:v>1.5084037712638081</c:v>
                </c:pt>
                <c:pt idx="532">
                  <c:v>0.85855638281520286</c:v>
                </c:pt>
                <c:pt idx="533">
                  <c:v>0.58169110595798723</c:v>
                </c:pt>
                <c:pt idx="534">
                  <c:v>0.23720580375166916</c:v>
                </c:pt>
                <c:pt idx="535">
                  <c:v>1.5149425331727808</c:v>
                </c:pt>
                <c:pt idx="536">
                  <c:v>0.41692706249428207</c:v>
                </c:pt>
                <c:pt idx="537">
                  <c:v>0.59942542846231428</c:v>
                </c:pt>
                <c:pt idx="538">
                  <c:v>0.29862093140746954</c:v>
                </c:pt>
                <c:pt idx="539">
                  <c:v>-0.16764995936695137</c:v>
                </c:pt>
                <c:pt idx="540">
                  <c:v>-0.30192258766674546</c:v>
                </c:pt>
                <c:pt idx="541">
                  <c:v>-1.1719769981877</c:v>
                </c:pt>
                <c:pt idx="542">
                  <c:v>0.11196055040993279</c:v>
                </c:pt>
                <c:pt idx="543">
                  <c:v>0.24261039677669438</c:v>
                </c:pt>
                <c:pt idx="544">
                  <c:v>5.783022267665789E-2</c:v>
                </c:pt>
                <c:pt idx="545">
                  <c:v>-0.83323320583169747</c:v>
                </c:pt>
                <c:pt idx="546">
                  <c:v>-0.29986394059170085</c:v>
                </c:pt>
                <c:pt idx="547">
                  <c:v>-1.2015061469990642</c:v>
                </c:pt>
                <c:pt idx="548">
                  <c:v>-1.8367327347720799</c:v>
                </c:pt>
                <c:pt idx="549">
                  <c:v>-1.4809334114951542</c:v>
                </c:pt>
                <c:pt idx="550">
                  <c:v>-0.76917512635256757</c:v>
                </c:pt>
                <c:pt idx="551">
                  <c:v>-1.0058997562016962</c:v>
                </c:pt>
                <c:pt idx="552">
                  <c:v>-1.5244130651800996</c:v>
                </c:pt>
                <c:pt idx="553">
                  <c:v>-1.1719769981877</c:v>
                </c:pt>
                <c:pt idx="554">
                  <c:v>-1.4790577975209815</c:v>
                </c:pt>
                <c:pt idx="555">
                  <c:v>-0.81221741529590419</c:v>
                </c:pt>
                <c:pt idx="556">
                  <c:v>-0.74289593746188709</c:v>
                </c:pt>
                <c:pt idx="557">
                  <c:v>-0.59741248720008056</c:v>
                </c:pt>
                <c:pt idx="558">
                  <c:v>-1.1054685571067606</c:v>
                </c:pt>
                <c:pt idx="559">
                  <c:v>5.2239397695631823E-2</c:v>
                </c:pt>
                <c:pt idx="560">
                  <c:v>-1.1606347955921696</c:v>
                </c:pt>
                <c:pt idx="561">
                  <c:v>-0.23271810752067018</c:v>
                </c:pt>
                <c:pt idx="562">
                  <c:v>-0.23527709747254905</c:v>
                </c:pt>
                <c:pt idx="564">
                  <c:v>-0.12728109087912701</c:v>
                </c:pt>
                <c:pt idx="565">
                  <c:v>-1.7563422604419459</c:v>
                </c:pt>
                <c:pt idx="566">
                  <c:v>-0.9487183482106768</c:v>
                </c:pt>
                <c:pt idx="567">
                  <c:v>-0.81221741529590419</c:v>
                </c:pt>
                <c:pt idx="568">
                  <c:v>-0.47598721741570227</c:v>
                </c:pt>
                <c:pt idx="569">
                  <c:v>-0.36159176856847203</c:v>
                </c:pt>
                <c:pt idx="570">
                  <c:v>0.23720580375166916</c:v>
                </c:pt>
                <c:pt idx="571">
                  <c:v>1.3059849423903354</c:v>
                </c:pt>
                <c:pt idx="572">
                  <c:v>-3.3804896958988702E-2</c:v>
                </c:pt>
                <c:pt idx="573">
                  <c:v>0.39138954446657193</c:v>
                </c:pt>
                <c:pt idx="574">
                  <c:v>0.47658694103414445</c:v>
                </c:pt>
                <c:pt idx="575">
                  <c:v>0.83824979683473899</c:v>
                </c:pt>
                <c:pt idx="576">
                  <c:v>1.2698508834218516</c:v>
                </c:pt>
                <c:pt idx="577">
                  <c:v>-0.39282331518204333</c:v>
                </c:pt>
                <c:pt idx="578">
                  <c:v>-0.418378898900372</c:v>
                </c:pt>
                <c:pt idx="579">
                  <c:v>3.1644834362171657E-2</c:v>
                </c:pt>
                <c:pt idx="580">
                  <c:v>0.85855638281520286</c:v>
                </c:pt>
                <c:pt idx="581">
                  <c:v>0.81751182458959581</c:v>
                </c:pt>
                <c:pt idx="582">
                  <c:v>0.50574067592334937</c:v>
                </c:pt>
                <c:pt idx="583">
                  <c:v>1.3059849423903354</c:v>
                </c:pt>
                <c:pt idx="584">
                  <c:v>0.64229304222092143</c:v>
                </c:pt>
                <c:pt idx="585">
                  <c:v>1.0154971964538066</c:v>
                </c:pt>
                <c:pt idx="586">
                  <c:v>0.83251896028748806</c:v>
                </c:pt>
                <c:pt idx="587">
                  <c:v>0.83824979683473899</c:v>
                </c:pt>
                <c:pt idx="588">
                  <c:v>0.57128489627136547</c:v>
                </c:pt>
                <c:pt idx="589">
                  <c:v>0.97069563007785931</c:v>
                </c:pt>
                <c:pt idx="590">
                  <c:v>0.46552018328346723</c:v>
                </c:pt>
                <c:pt idx="591">
                  <c:v>0.45357595919120958</c:v>
                </c:pt>
                <c:pt idx="592">
                  <c:v>1.3923738229075631</c:v>
                </c:pt>
                <c:pt idx="593">
                  <c:v>-0.12577104993685509</c:v>
                </c:pt>
                <c:pt idx="594">
                  <c:v>-3.1329068420020617E-2</c:v>
                </c:pt>
                <c:pt idx="595">
                  <c:v>0.4701545792605305</c:v>
                </c:pt>
                <c:pt idx="596">
                  <c:v>0.86765902194756084</c:v>
                </c:pt>
                <c:pt idx="597">
                  <c:v>-2.468222352492774E-2</c:v>
                </c:pt>
                <c:pt idx="598">
                  <c:v>0.83251896028748806</c:v>
                </c:pt>
                <c:pt idx="599">
                  <c:v>0.67059983746779361</c:v>
                </c:pt>
                <c:pt idx="600">
                  <c:v>4.7360405908497653E-2</c:v>
                </c:pt>
                <c:pt idx="601">
                  <c:v>0.97069563007785931</c:v>
                </c:pt>
                <c:pt idx="602">
                  <c:v>-0.24159908246360165</c:v>
                </c:pt>
                <c:pt idx="603">
                  <c:v>0.24261039677669438</c:v>
                </c:pt>
                <c:pt idx="604">
                  <c:v>5.783022267665789E-2</c:v>
                </c:pt>
                <c:pt idx="605">
                  <c:v>0.34587038732637038</c:v>
                </c:pt>
                <c:pt idx="606">
                  <c:v>-3.1329068420020617E-2</c:v>
                </c:pt>
                <c:pt idx="607">
                  <c:v>0.88806976082543654</c:v>
                </c:pt>
                <c:pt idx="608">
                  <c:v>0.19156108276765069</c:v>
                </c:pt>
                <c:pt idx="609">
                  <c:v>0.18335366047082208</c:v>
                </c:pt>
                <c:pt idx="610">
                  <c:v>-0.41324310709921769</c:v>
                </c:pt>
                <c:pt idx="611">
                  <c:v>0.33529991873389681</c:v>
                </c:pt>
                <c:pt idx="612">
                  <c:v>0.74592639305898389</c:v>
                </c:pt>
                <c:pt idx="613">
                  <c:v>0.77590720932644863</c:v>
                </c:pt>
                <c:pt idx="614">
                  <c:v>1.7029788983408409</c:v>
                </c:pt>
                <c:pt idx="615">
                  <c:v>1.2974382088492928</c:v>
                </c:pt>
                <c:pt idx="616">
                  <c:v>0.85855638281520286</c:v>
                </c:pt>
                <c:pt idx="617">
                  <c:v>1.0533325432212126</c:v>
                </c:pt>
                <c:pt idx="618">
                  <c:v>1.3113452924384092</c:v>
                </c:pt>
                <c:pt idx="619">
                  <c:v>0.88806976082543654</c:v>
                </c:pt>
                <c:pt idx="620">
                  <c:v>0.64229304222092143</c:v>
                </c:pt>
                <c:pt idx="621">
                  <c:v>-0.23271810752067018</c:v>
                </c:pt>
                <c:pt idx="622">
                  <c:v>0.29862093140746954</c:v>
                </c:pt>
                <c:pt idx="623">
                  <c:v>0.16764995936694543</c:v>
                </c:pt>
                <c:pt idx="624">
                  <c:v>0.39664339948374078</c:v>
                </c:pt>
                <c:pt idx="625">
                  <c:v>-0.19803489443062569</c:v>
                </c:pt>
                <c:pt idx="626">
                  <c:v>-0.24159908246360165</c:v>
                </c:pt>
                <c:pt idx="627">
                  <c:v>-0.17932072805234356</c:v>
                </c:pt>
                <c:pt idx="628">
                  <c:v>0.32473894272284271</c:v>
                </c:pt>
                <c:pt idx="629">
                  <c:v>0.34587038732637038</c:v>
                </c:pt>
                <c:pt idx="630">
                  <c:v>1.042810420266729</c:v>
                </c:pt>
                <c:pt idx="631">
                  <c:v>1.0970273516078821</c:v>
                </c:pt>
                <c:pt idx="632">
                  <c:v>0.64229304222092143</c:v>
                </c:pt>
                <c:pt idx="633">
                  <c:v>1.0154971964538066</c:v>
                </c:pt>
                <c:pt idx="634">
                  <c:v>0.65455295066081309</c:v>
                </c:pt>
                <c:pt idx="635">
                  <c:v>0.67059983746779361</c:v>
                </c:pt>
                <c:pt idx="636">
                  <c:v>-0.12728109087912701</c:v>
                </c:pt>
                <c:pt idx="637">
                  <c:v>0.38633036782362029</c:v>
                </c:pt>
                <c:pt idx="638">
                  <c:v>0.28874036684669685</c:v>
                </c:pt>
                <c:pt idx="639">
                  <c:v>0.24261039677669438</c:v>
                </c:pt>
                <c:pt idx="640">
                  <c:v>-0.74289593746188709</c:v>
                </c:pt>
                <c:pt idx="641">
                  <c:v>0.81751182458959581</c:v>
                </c:pt>
                <c:pt idx="642">
                  <c:v>0.50574067592334937</c:v>
                </c:pt>
                <c:pt idx="643">
                  <c:v>-0.78359096543416551</c:v>
                </c:pt>
                <c:pt idx="644">
                  <c:v>-0.48453685641225946</c:v>
                </c:pt>
                <c:pt idx="645">
                  <c:v>-0.85682575950791229</c:v>
                </c:pt>
                <c:pt idx="646">
                  <c:v>0.65455295066081309</c:v>
                </c:pt>
                <c:pt idx="647">
                  <c:v>0.33529991873389681</c:v>
                </c:pt>
                <c:pt idx="648">
                  <c:v>4.7360405908497653E-2</c:v>
                </c:pt>
                <c:pt idx="649">
                  <c:v>-3.2464736792149761E-3</c:v>
                </c:pt>
                <c:pt idx="650">
                  <c:v>-0.418378898900372</c:v>
                </c:pt>
                <c:pt idx="651">
                  <c:v>3.1644834362171657E-2</c:v>
                </c:pt>
                <c:pt idx="652">
                  <c:v>-0.47598721741570227</c:v>
                </c:pt>
                <c:pt idx="653">
                  <c:v>-0.36159176856847203</c:v>
                </c:pt>
                <c:pt idx="654">
                  <c:v>-0.56839881276339066</c:v>
                </c:pt>
                <c:pt idx="655">
                  <c:v>-0.78359096543416551</c:v>
                </c:pt>
                <c:pt idx="656">
                  <c:v>-3.3804896958988702E-2</c:v>
                </c:pt>
                <c:pt idx="657">
                  <c:v>0.18335366047082208</c:v>
                </c:pt>
                <c:pt idx="658">
                  <c:v>-0.23527709747254905</c:v>
                </c:pt>
                <c:pt idx="659">
                  <c:v>-0.50294987810084812</c:v>
                </c:pt>
                <c:pt idx="660">
                  <c:v>-0.4765640844543701</c:v>
                </c:pt>
                <c:pt idx="661">
                  <c:v>0.19154194707220265</c:v>
                </c:pt>
                <c:pt idx="662">
                  <c:v>0.28874036684669685</c:v>
                </c:pt>
                <c:pt idx="663">
                  <c:v>0.66454152160573232</c:v>
                </c:pt>
                <c:pt idx="664">
                  <c:v>1.3923738229075631</c:v>
                </c:pt>
                <c:pt idx="665">
                  <c:v>0.58169110595798723</c:v>
                </c:pt>
                <c:pt idx="666">
                  <c:v>1.5798801646100991</c:v>
                </c:pt>
                <c:pt idx="667">
                  <c:v>0.88806976082543654</c:v>
                </c:pt>
                <c:pt idx="668">
                  <c:v>1.7691229408541025</c:v>
                </c:pt>
                <c:pt idx="669">
                  <c:v>0.80746131245806418</c:v>
                </c:pt>
                <c:pt idx="670">
                  <c:v>1.1884509795408318</c:v>
                </c:pt>
                <c:pt idx="671">
                  <c:v>1.676499593669484</c:v>
                </c:pt>
                <c:pt idx="672">
                  <c:v>1.6191338769970949</c:v>
                </c:pt>
                <c:pt idx="673">
                  <c:v>2.1394261545863511</c:v>
                </c:pt>
                <c:pt idx="674">
                  <c:v>2.4100981640879162</c:v>
                </c:pt>
                <c:pt idx="675">
                  <c:v>2.3522660209218915</c:v>
                </c:pt>
                <c:pt idx="676">
                  <c:v>2.1930999830461082</c:v>
                </c:pt>
                <c:pt idx="677">
                  <c:v>0.81751182458959581</c:v>
                </c:pt>
                <c:pt idx="678">
                  <c:v>-0.29986394059170085</c:v>
                </c:pt>
                <c:pt idx="679">
                  <c:v>-0.15671819308681381</c:v>
                </c:pt>
                <c:pt idx="680">
                  <c:v>-3.3804896958988702E-2</c:v>
                </c:pt>
                <c:pt idx="681">
                  <c:v>-2.468222352492774E-2</c:v>
                </c:pt>
                <c:pt idx="682">
                  <c:v>-1.3030731552325798</c:v>
                </c:pt>
                <c:pt idx="683">
                  <c:v>-0.33529991873390275</c:v>
                </c:pt>
                <c:pt idx="685">
                  <c:v>0.38633036782362029</c:v>
                </c:pt>
                <c:pt idx="686">
                  <c:v>0.11196055040993279</c:v>
                </c:pt>
                <c:pt idx="687">
                  <c:v>0.66454152160573232</c:v>
                </c:pt>
                <c:pt idx="688">
                  <c:v>0.32473894272284271</c:v>
                </c:pt>
                <c:pt idx="689">
                  <c:v>0.58169110595798723</c:v>
                </c:pt>
                <c:pt idx="690">
                  <c:v>-0.29986394059170085</c:v>
                </c:pt>
                <c:pt idx="691">
                  <c:v>-0.15671819308681381</c:v>
                </c:pt>
                <c:pt idx="692">
                  <c:v>-3.3804896958988702E-2</c:v>
                </c:pt>
                <c:pt idx="693">
                  <c:v>-1.2728975274994045</c:v>
                </c:pt>
                <c:pt idx="694">
                  <c:v>-0.94714113597923622</c:v>
                </c:pt>
                <c:pt idx="695">
                  <c:v>-0.50294987810084812</c:v>
                </c:pt>
                <c:pt idx="696">
                  <c:v>-0.12728109087912701</c:v>
                </c:pt>
                <c:pt idx="697">
                  <c:v>-0.39282331518204333</c:v>
                </c:pt>
                <c:pt idx="698">
                  <c:v>0.28874036684669685</c:v>
                </c:pt>
                <c:pt idx="699">
                  <c:v>0.66454152160573232</c:v>
                </c:pt>
                <c:pt idx="700">
                  <c:v>1.9261912629999232</c:v>
                </c:pt>
                <c:pt idx="701">
                  <c:v>1.5249739804844382</c:v>
                </c:pt>
                <c:pt idx="702">
                  <c:v>1.8484150367817793</c:v>
                </c:pt>
                <c:pt idx="703">
                  <c:v>0.4701545792605305</c:v>
                </c:pt>
                <c:pt idx="704">
                  <c:v>1.5437569611274631</c:v>
                </c:pt>
                <c:pt idx="708">
                  <c:v>4.7360405908497653E-2</c:v>
                </c:pt>
                <c:pt idx="709">
                  <c:v>0.58111878857503096</c:v>
                </c:pt>
                <c:pt idx="710">
                  <c:v>1.5261990819040767</c:v>
                </c:pt>
                <c:pt idx="711">
                  <c:v>1.2974382088492928</c:v>
                </c:pt>
                <c:pt idx="712">
                  <c:v>-0.20907849736951745</c:v>
                </c:pt>
                <c:pt idx="713">
                  <c:v>1.0533325432212126</c:v>
                </c:pt>
                <c:pt idx="714">
                  <c:v>0.23720580375166916</c:v>
                </c:pt>
                <c:pt idx="715">
                  <c:v>5.2239397695631823E-2</c:v>
                </c:pt>
                <c:pt idx="716">
                  <c:v>0.19156108276765069</c:v>
                </c:pt>
                <c:pt idx="717">
                  <c:v>1.0154971964538066</c:v>
                </c:pt>
                <c:pt idx="718">
                  <c:v>1.7223490084208501</c:v>
                </c:pt>
                <c:pt idx="719">
                  <c:v>2.3470994311372837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96-4C4D-91EE-BFC9729F9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718032"/>
        <c:axId val="571713872"/>
      </c:scatterChart>
      <c:valAx>
        <c:axId val="571718032"/>
        <c:scaling>
          <c:orientation val="minMax"/>
          <c:max val="2015"/>
          <c:min val="19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13872"/>
        <c:crosses val="autoZero"/>
        <c:crossBetween val="midCat"/>
      </c:valAx>
      <c:valAx>
        <c:axId val="57171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1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SST_AVHRR!$F$2:$F$40</c:f>
              <c:numCache>
                <c:formatCode>General</c:formatCode>
                <c:ptCount val="39"/>
                <c:pt idx="0">
                  <c:v>2019</c:v>
                </c:pt>
                <c:pt idx="1">
                  <c:v>2018</c:v>
                </c:pt>
                <c:pt idx="2">
                  <c:v>2017</c:v>
                </c:pt>
                <c:pt idx="3">
                  <c:v>2016</c:v>
                </c:pt>
                <c:pt idx="4">
                  <c:v>2015</c:v>
                </c:pt>
                <c:pt idx="5">
                  <c:v>2014</c:v>
                </c:pt>
                <c:pt idx="6">
                  <c:v>2013</c:v>
                </c:pt>
                <c:pt idx="7">
                  <c:v>2012</c:v>
                </c:pt>
                <c:pt idx="8">
                  <c:v>2011</c:v>
                </c:pt>
                <c:pt idx="9">
                  <c:v>2010</c:v>
                </c:pt>
                <c:pt idx="10">
                  <c:v>2009</c:v>
                </c:pt>
                <c:pt idx="11">
                  <c:v>2008</c:v>
                </c:pt>
                <c:pt idx="12">
                  <c:v>2007</c:v>
                </c:pt>
                <c:pt idx="13">
                  <c:v>2006</c:v>
                </c:pt>
                <c:pt idx="14">
                  <c:v>2005</c:v>
                </c:pt>
                <c:pt idx="15">
                  <c:v>2004</c:v>
                </c:pt>
                <c:pt idx="16">
                  <c:v>2003</c:v>
                </c:pt>
                <c:pt idx="17">
                  <c:v>2002</c:v>
                </c:pt>
                <c:pt idx="18">
                  <c:v>2001</c:v>
                </c:pt>
                <c:pt idx="19">
                  <c:v>2000</c:v>
                </c:pt>
                <c:pt idx="20">
                  <c:v>1999</c:v>
                </c:pt>
                <c:pt idx="21">
                  <c:v>1998</c:v>
                </c:pt>
                <c:pt idx="22">
                  <c:v>1997</c:v>
                </c:pt>
                <c:pt idx="23">
                  <c:v>1996</c:v>
                </c:pt>
                <c:pt idx="24">
                  <c:v>1995</c:v>
                </c:pt>
                <c:pt idx="25">
                  <c:v>1994</c:v>
                </c:pt>
                <c:pt idx="26">
                  <c:v>1993</c:v>
                </c:pt>
                <c:pt idx="27">
                  <c:v>1992</c:v>
                </c:pt>
                <c:pt idx="28">
                  <c:v>1991</c:v>
                </c:pt>
                <c:pt idx="29">
                  <c:v>1990</c:v>
                </c:pt>
                <c:pt idx="30">
                  <c:v>1989</c:v>
                </c:pt>
                <c:pt idx="31">
                  <c:v>1988</c:v>
                </c:pt>
                <c:pt idx="32">
                  <c:v>1987</c:v>
                </c:pt>
                <c:pt idx="33">
                  <c:v>1986</c:v>
                </c:pt>
                <c:pt idx="34">
                  <c:v>1985</c:v>
                </c:pt>
                <c:pt idx="35">
                  <c:v>1984</c:v>
                </c:pt>
                <c:pt idx="36">
                  <c:v>1983</c:v>
                </c:pt>
                <c:pt idx="37">
                  <c:v>1982</c:v>
                </c:pt>
                <c:pt idx="38">
                  <c:v>1981</c:v>
                </c:pt>
              </c:numCache>
            </c:numRef>
          </c:xVal>
          <c:yVal>
            <c:numRef>
              <c:f>SST_AVHRR!$G$2:$G$40</c:f>
              <c:numCache>
                <c:formatCode>0.00</c:formatCode>
                <c:ptCount val="39"/>
                <c:pt idx="0">
                  <c:v>26.154001787458821</c:v>
                </c:pt>
                <c:pt idx="1">
                  <c:v>20.122703119208211</c:v>
                </c:pt>
                <c:pt idx="2">
                  <c:v>20.003352431811308</c:v>
                </c:pt>
                <c:pt idx="3">
                  <c:v>21.924066258023363</c:v>
                </c:pt>
                <c:pt idx="4">
                  <c:v>23.209321709516644</c:v>
                </c:pt>
                <c:pt idx="5">
                  <c:v>22.788402050620238</c:v>
                </c:pt>
                <c:pt idx="6">
                  <c:v>21.942720358076503</c:v>
                </c:pt>
                <c:pt idx="7">
                  <c:v>21.666984190731057</c:v>
                </c:pt>
                <c:pt idx="8">
                  <c:v>20.381782318068783</c:v>
                </c:pt>
                <c:pt idx="9">
                  <c:v>18.908919303748387</c:v>
                </c:pt>
                <c:pt idx="10">
                  <c:v>23.229698554381571</c:v>
                </c:pt>
                <c:pt idx="11">
                  <c:v>20.907259480128157</c:v>
                </c:pt>
                <c:pt idx="12">
                  <c:v>21.556068682204767</c:v>
                </c:pt>
                <c:pt idx="13">
                  <c:v>21.068336416610673</c:v>
                </c:pt>
                <c:pt idx="14">
                  <c:v>21.105671989898742</c:v>
                </c:pt>
                <c:pt idx="15">
                  <c:v>22.560877957064665</c:v>
                </c:pt>
                <c:pt idx="16">
                  <c:v>22.656340975070346</c:v>
                </c:pt>
                <c:pt idx="17">
                  <c:v>23.197325383204383</c:v>
                </c:pt>
                <c:pt idx="18">
                  <c:v>21.445563622348363</c:v>
                </c:pt>
                <c:pt idx="19">
                  <c:v>20.358912248068432</c:v>
                </c:pt>
                <c:pt idx="20">
                  <c:v>19.152725869944319</c:v>
                </c:pt>
                <c:pt idx="21">
                  <c:v>21.603481926130936</c:v>
                </c:pt>
                <c:pt idx="22">
                  <c:v>23.599933635219113</c:v>
                </c:pt>
                <c:pt idx="23">
                  <c:v>21.533212708265193</c:v>
                </c:pt>
                <c:pt idx="24">
                  <c:v>21.669533567012166</c:v>
                </c:pt>
                <c:pt idx="25">
                  <c:v>23.376049677751769</c:v>
                </c:pt>
                <c:pt idx="26">
                  <c:v>20.431227743054741</c:v>
                </c:pt>
                <c:pt idx="27">
                  <c:v>21.242879932166506</c:v>
                </c:pt>
                <c:pt idx="28">
                  <c:v>21.118954769967228</c:v>
                </c:pt>
                <c:pt idx="29">
                  <c:v>21.302288770934279</c:v>
                </c:pt>
                <c:pt idx="30">
                  <c:v>21.002086672547467</c:v>
                </c:pt>
                <c:pt idx="31">
                  <c:v>19.713687572159891</c:v>
                </c:pt>
                <c:pt idx="32">
                  <c:v>20.699588359079982</c:v>
                </c:pt>
                <c:pt idx="33">
                  <c:v>21.548145443326749</c:v>
                </c:pt>
                <c:pt idx="34">
                  <c:v>21.115262664496942</c:v>
                </c:pt>
                <c:pt idx="35">
                  <c:v>18.675401710266872</c:v>
                </c:pt>
                <c:pt idx="36">
                  <c:v>21.128560587076333</c:v>
                </c:pt>
                <c:pt idx="37">
                  <c:v>21.597127235494153</c:v>
                </c:pt>
                <c:pt idx="38">
                  <c:v>18.599241269414293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3-48F2-8575-52395E5554DB}"/>
            </c:ext>
          </c:extLst>
        </c:ser>
        <c:ser>
          <c:idx val="1"/>
          <c:order val="1"/>
          <c:tx>
            <c:strRef>
              <c:f>SST_AVHRR!$J$1</c:f>
              <c:strCache>
                <c:ptCount val="1"/>
                <c:pt idx="0">
                  <c:v>SST_Day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SST_AVHRR!$I$2:$I$41</c:f>
              <c:numCache>
                <c:formatCode>General</c:formatCode>
                <c:ptCount val="40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</c:numCache>
            </c:numRef>
          </c:xVal>
          <c:yVal>
            <c:numRef>
              <c:f>SST_AVHRR!$J$2:$J$41</c:f>
              <c:numCache>
                <c:formatCode>General</c:formatCode>
                <c:ptCount val="40"/>
                <c:pt idx="0">
                  <c:v>30.478000000000002</c:v>
                </c:pt>
                <c:pt idx="1">
                  <c:v>28.672999999999998</c:v>
                </c:pt>
                <c:pt idx="2">
                  <c:v>28.863</c:v>
                </c:pt>
                <c:pt idx="3">
                  <c:v>27.675999999999998</c:v>
                </c:pt>
                <c:pt idx="4">
                  <c:v>28.161999999999999</c:v>
                </c:pt>
                <c:pt idx="5">
                  <c:v>28.777000000000001</c:v>
                </c:pt>
                <c:pt idx="6">
                  <c:v>28.86</c:v>
                </c:pt>
                <c:pt idx="7">
                  <c:v>28.908999999999999</c:v>
                </c:pt>
                <c:pt idx="8">
                  <c:v>28.004000000000001</c:v>
                </c:pt>
                <c:pt idx="9">
                  <c:v>28.08</c:v>
                </c:pt>
                <c:pt idx="10">
                  <c:v>28.036000000000001</c:v>
                </c:pt>
                <c:pt idx="11">
                  <c:v>28.465</c:v>
                </c:pt>
                <c:pt idx="12">
                  <c:v>28.855</c:v>
                </c:pt>
                <c:pt idx="13">
                  <c:v>28.003</c:v>
                </c:pt>
                <c:pt idx="14">
                  <c:v>28.106000000000002</c:v>
                </c:pt>
                <c:pt idx="15">
                  <c:v>28.468</c:v>
                </c:pt>
                <c:pt idx="16">
                  <c:v>28.928000000000001</c:v>
                </c:pt>
                <c:pt idx="17">
                  <c:v>29.463999999999999</c:v>
                </c:pt>
                <c:pt idx="18">
                  <c:v>29.169</c:v>
                </c:pt>
                <c:pt idx="19">
                  <c:v>28.827000000000002</c:v>
                </c:pt>
                <c:pt idx="20">
                  <c:v>27.646999999999998</c:v>
                </c:pt>
                <c:pt idx="21">
                  <c:v>29.367000000000001</c:v>
                </c:pt>
                <c:pt idx="22">
                  <c:v>29.632999999999999</c:v>
                </c:pt>
                <c:pt idx="23">
                  <c:v>29.940999999999999</c:v>
                </c:pt>
                <c:pt idx="24">
                  <c:v>29.065999999999999</c:v>
                </c:pt>
                <c:pt idx="25">
                  <c:v>28.614000000000001</c:v>
                </c:pt>
                <c:pt idx="26">
                  <c:v>28.963999999999999</c:v>
                </c:pt>
                <c:pt idx="27">
                  <c:v>28.584</c:v>
                </c:pt>
                <c:pt idx="28">
                  <c:v>27.704999999999998</c:v>
                </c:pt>
                <c:pt idx="29">
                  <c:v>29.277000000000001</c:v>
                </c:pt>
                <c:pt idx="30">
                  <c:v>28.783000000000001</c:v>
                </c:pt>
                <c:pt idx="31">
                  <c:v>28.760999999999999</c:v>
                </c:pt>
                <c:pt idx="32">
                  <c:v>29.771999999999998</c:v>
                </c:pt>
                <c:pt idx="33">
                  <c:v>28.728999999999999</c:v>
                </c:pt>
                <c:pt idx="34">
                  <c:v>28.908999999999999</c:v>
                </c:pt>
                <c:pt idx="35">
                  <c:v>28.689</c:v>
                </c:pt>
                <c:pt idx="36">
                  <c:v>28.853999999999999</c:v>
                </c:pt>
                <c:pt idx="37">
                  <c:v>28.390999999999998</c:v>
                </c:pt>
                <c:pt idx="38">
                  <c:v>28.344999999999999</c:v>
                </c:pt>
                <c:pt idx="39">
                  <c:v>28.239000000000001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E3-48F2-8575-52395E5554DB}"/>
            </c:ext>
          </c:extLst>
        </c:ser>
        <c:ser>
          <c:idx val="2"/>
          <c:order val="2"/>
          <c:tx>
            <c:strRef>
              <c:f>SST_AVHRR!$K$1</c:f>
              <c:strCache>
                <c:ptCount val="1"/>
                <c:pt idx="0">
                  <c:v>SST_Night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SST_AVHRR!$I$2:$I$41</c:f>
              <c:numCache>
                <c:formatCode>General</c:formatCode>
                <c:ptCount val="40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</c:numCache>
            </c:numRef>
          </c:xVal>
          <c:yVal>
            <c:numRef>
              <c:f>SST_AVHRR!$K$2:$K$41</c:f>
              <c:numCache>
                <c:formatCode>General</c:formatCode>
                <c:ptCount val="40"/>
                <c:pt idx="0">
                  <c:v>28.710999999999999</c:v>
                </c:pt>
                <c:pt idx="1">
                  <c:v>27.37</c:v>
                </c:pt>
                <c:pt idx="2">
                  <c:v>27.170999999999999</c:v>
                </c:pt>
                <c:pt idx="3">
                  <c:v>27.315000000000001</c:v>
                </c:pt>
                <c:pt idx="4">
                  <c:v>26.681000000000001</c:v>
                </c:pt>
                <c:pt idx="5">
                  <c:v>26.86</c:v>
                </c:pt>
                <c:pt idx="6">
                  <c:v>27.212</c:v>
                </c:pt>
                <c:pt idx="7">
                  <c:v>26.838999999999999</c:v>
                </c:pt>
                <c:pt idx="8">
                  <c:v>27.373000000000001</c:v>
                </c:pt>
                <c:pt idx="9">
                  <c:v>26.84</c:v>
                </c:pt>
                <c:pt idx="10">
                  <c:v>26.914000000000001</c:v>
                </c:pt>
                <c:pt idx="11">
                  <c:v>25.789000000000001</c:v>
                </c:pt>
                <c:pt idx="12">
                  <c:v>26.489000000000001</c:v>
                </c:pt>
                <c:pt idx="13">
                  <c:v>28.379000000000001</c:v>
                </c:pt>
                <c:pt idx="14">
                  <c:v>27.007000000000001</c:v>
                </c:pt>
                <c:pt idx="15">
                  <c:v>27.227</c:v>
                </c:pt>
                <c:pt idx="16">
                  <c:v>27.562000000000001</c:v>
                </c:pt>
                <c:pt idx="17">
                  <c:v>27.603999999999999</c:v>
                </c:pt>
                <c:pt idx="18">
                  <c:v>26.803999999999998</c:v>
                </c:pt>
                <c:pt idx="19">
                  <c:v>26.704000000000001</c:v>
                </c:pt>
                <c:pt idx="20">
                  <c:v>26.853999999999999</c:v>
                </c:pt>
                <c:pt idx="21">
                  <c:v>28.384</c:v>
                </c:pt>
                <c:pt idx="22">
                  <c:v>27.923999999999999</c:v>
                </c:pt>
                <c:pt idx="23">
                  <c:v>27.646000000000001</c:v>
                </c:pt>
                <c:pt idx="24">
                  <c:v>27.145</c:v>
                </c:pt>
                <c:pt idx="25">
                  <c:v>27.858000000000001</c:v>
                </c:pt>
                <c:pt idx="26">
                  <c:v>27.061</c:v>
                </c:pt>
                <c:pt idx="27">
                  <c:v>27.08</c:v>
                </c:pt>
                <c:pt idx="28">
                  <c:v>27.434999999999999</c:v>
                </c:pt>
                <c:pt idx="29">
                  <c:v>27.16</c:v>
                </c:pt>
                <c:pt idx="30">
                  <c:v>27.58</c:v>
                </c:pt>
                <c:pt idx="31">
                  <c:v>27.472000000000001</c:v>
                </c:pt>
                <c:pt idx="32">
                  <c:v>27.774999999999999</c:v>
                </c:pt>
                <c:pt idx="33">
                  <c:v>27.893000000000001</c:v>
                </c:pt>
                <c:pt idx="34">
                  <c:v>28.273</c:v>
                </c:pt>
                <c:pt idx="35">
                  <c:v>27.89</c:v>
                </c:pt>
                <c:pt idx="36">
                  <c:v>28.245000000000001</c:v>
                </c:pt>
                <c:pt idx="37">
                  <c:v>27.847000000000001</c:v>
                </c:pt>
                <c:pt idx="38">
                  <c:v>27.797999999999998</c:v>
                </c:pt>
                <c:pt idx="39">
                  <c:v>28.207999999999998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E3-48F2-8575-52395E555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725151"/>
        <c:axId val="1997725631"/>
      </c:scatterChart>
      <c:valAx>
        <c:axId val="1997725151"/>
        <c:scaling>
          <c:orientation val="minMax"/>
          <c:max val="202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25631"/>
        <c:crosses val="autoZero"/>
        <c:crossBetween val="midCat"/>
      </c:valAx>
      <c:valAx>
        <c:axId val="1997725631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2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SST_Modis!$C$2:$C$205</c:f>
              <c:numCache>
                <c:formatCode>0.0</c:formatCode>
                <c:ptCount val="204"/>
                <c:pt idx="0">
                  <c:v>2001</c:v>
                </c:pt>
                <c:pt idx="1">
                  <c:v>2001.0833333333101</c:v>
                </c:pt>
                <c:pt idx="2">
                  <c:v>2001.1666666666399</c:v>
                </c:pt>
                <c:pt idx="3">
                  <c:v>2001.24999999997</c:v>
                </c:pt>
                <c:pt idx="4">
                  <c:v>2001.3333333333101</c:v>
                </c:pt>
                <c:pt idx="5">
                  <c:v>2001.4166666666399</c:v>
                </c:pt>
                <c:pt idx="6">
                  <c:v>2001.49999999998</c:v>
                </c:pt>
                <c:pt idx="7">
                  <c:v>2001.5833333333101</c:v>
                </c:pt>
                <c:pt idx="8">
                  <c:v>2001.6666666666399</c:v>
                </c:pt>
                <c:pt idx="9">
                  <c:v>2001.74999999998</c:v>
                </c:pt>
                <c:pt idx="10">
                  <c:v>2001.8333333333101</c:v>
                </c:pt>
                <c:pt idx="11">
                  <c:v>2001.9166666666399</c:v>
                </c:pt>
                <c:pt idx="12">
                  <c:v>2002</c:v>
                </c:pt>
                <c:pt idx="13">
                  <c:v>2002.0833333333101</c:v>
                </c:pt>
                <c:pt idx="14">
                  <c:v>2002.1666666666399</c:v>
                </c:pt>
                <c:pt idx="15">
                  <c:v>2002.24999999998</c:v>
                </c:pt>
                <c:pt idx="16">
                  <c:v>2002.3333333333101</c:v>
                </c:pt>
                <c:pt idx="17">
                  <c:v>2002.4166666666399</c:v>
                </c:pt>
                <c:pt idx="18">
                  <c:v>2002.49999999998</c:v>
                </c:pt>
                <c:pt idx="19">
                  <c:v>2002.5833333333101</c:v>
                </c:pt>
                <c:pt idx="20">
                  <c:v>2002.6666666666399</c:v>
                </c:pt>
                <c:pt idx="21">
                  <c:v>2002.74999999998</c:v>
                </c:pt>
                <c:pt idx="22">
                  <c:v>2002.8333333333101</c:v>
                </c:pt>
                <c:pt idx="23">
                  <c:v>2002.9166666666399</c:v>
                </c:pt>
                <c:pt idx="24">
                  <c:v>2003</c:v>
                </c:pt>
                <c:pt idx="25">
                  <c:v>2003.0833333333101</c:v>
                </c:pt>
                <c:pt idx="26">
                  <c:v>2003.1666666666499</c:v>
                </c:pt>
                <c:pt idx="27">
                  <c:v>2003.24999999998</c:v>
                </c:pt>
                <c:pt idx="28">
                  <c:v>2003.3333333333101</c:v>
                </c:pt>
                <c:pt idx="29">
                  <c:v>2003.4166666666499</c:v>
                </c:pt>
                <c:pt idx="30">
                  <c:v>2003.49999999998</c:v>
                </c:pt>
                <c:pt idx="31">
                  <c:v>2003.5833333333101</c:v>
                </c:pt>
                <c:pt idx="32">
                  <c:v>2003.6666666666499</c:v>
                </c:pt>
                <c:pt idx="33">
                  <c:v>2003.74999999998</c:v>
                </c:pt>
                <c:pt idx="34">
                  <c:v>2003.8333333333101</c:v>
                </c:pt>
                <c:pt idx="35">
                  <c:v>2003.9166666666499</c:v>
                </c:pt>
                <c:pt idx="36">
                  <c:v>2004</c:v>
                </c:pt>
                <c:pt idx="37">
                  <c:v>2004.0833333333101</c:v>
                </c:pt>
                <c:pt idx="38">
                  <c:v>2004.1666666666499</c:v>
                </c:pt>
                <c:pt idx="39">
                  <c:v>2004.24999999998</c:v>
                </c:pt>
                <c:pt idx="40">
                  <c:v>2004.3333333333101</c:v>
                </c:pt>
                <c:pt idx="41">
                  <c:v>2004.4166666666499</c:v>
                </c:pt>
                <c:pt idx="42">
                  <c:v>2004.49999999998</c:v>
                </c:pt>
                <c:pt idx="43">
                  <c:v>2004.5833333333101</c:v>
                </c:pt>
                <c:pt idx="44">
                  <c:v>2004.6666666666499</c:v>
                </c:pt>
                <c:pt idx="45">
                  <c:v>2004.74999999998</c:v>
                </c:pt>
                <c:pt idx="46">
                  <c:v>2004.8333333333101</c:v>
                </c:pt>
                <c:pt idx="47">
                  <c:v>2004.9166666666499</c:v>
                </c:pt>
                <c:pt idx="48">
                  <c:v>2005</c:v>
                </c:pt>
                <c:pt idx="49">
                  <c:v>2005.0833333333201</c:v>
                </c:pt>
                <c:pt idx="50">
                  <c:v>2005.1666666666499</c:v>
                </c:pt>
                <c:pt idx="51">
                  <c:v>2005.24999999998</c:v>
                </c:pt>
                <c:pt idx="52">
                  <c:v>2005.3333333333201</c:v>
                </c:pt>
                <c:pt idx="53">
                  <c:v>2005.4166666666499</c:v>
                </c:pt>
                <c:pt idx="54">
                  <c:v>2005.49999999998</c:v>
                </c:pt>
                <c:pt idx="55">
                  <c:v>2005.5833333333201</c:v>
                </c:pt>
                <c:pt idx="56">
                  <c:v>2005.6666666666499</c:v>
                </c:pt>
                <c:pt idx="57">
                  <c:v>2005.74999999998</c:v>
                </c:pt>
                <c:pt idx="58">
                  <c:v>2005.8333333333201</c:v>
                </c:pt>
                <c:pt idx="59">
                  <c:v>2005.9166666666499</c:v>
                </c:pt>
                <c:pt idx="60">
                  <c:v>2006</c:v>
                </c:pt>
                <c:pt idx="61">
                  <c:v>2006.0833333333201</c:v>
                </c:pt>
                <c:pt idx="62">
                  <c:v>2006.1666666666499</c:v>
                </c:pt>
                <c:pt idx="63">
                  <c:v>2006.24999999998</c:v>
                </c:pt>
                <c:pt idx="64">
                  <c:v>2006.3333333333201</c:v>
                </c:pt>
                <c:pt idx="65">
                  <c:v>2006.4166666666499</c:v>
                </c:pt>
                <c:pt idx="66">
                  <c:v>2006.49999999998</c:v>
                </c:pt>
                <c:pt idx="67">
                  <c:v>2006.5833333333201</c:v>
                </c:pt>
                <c:pt idx="68">
                  <c:v>2006.6666666666499</c:v>
                </c:pt>
                <c:pt idx="69">
                  <c:v>2006.74999999998</c:v>
                </c:pt>
                <c:pt idx="70">
                  <c:v>2006.8333333333201</c:v>
                </c:pt>
                <c:pt idx="71">
                  <c:v>2006.9166666666499</c:v>
                </c:pt>
                <c:pt idx="72">
                  <c:v>2007</c:v>
                </c:pt>
                <c:pt idx="73">
                  <c:v>2007.0833333333201</c:v>
                </c:pt>
                <c:pt idx="74">
                  <c:v>2007.1666666666499</c:v>
                </c:pt>
                <c:pt idx="75">
                  <c:v>2007.24999999999</c:v>
                </c:pt>
                <c:pt idx="76">
                  <c:v>2007.3333333333201</c:v>
                </c:pt>
                <c:pt idx="77">
                  <c:v>2007.4166666666499</c:v>
                </c:pt>
                <c:pt idx="78">
                  <c:v>2007.49999999999</c:v>
                </c:pt>
                <c:pt idx="79">
                  <c:v>2007.5833333333201</c:v>
                </c:pt>
                <c:pt idx="80">
                  <c:v>2007.6666666666499</c:v>
                </c:pt>
                <c:pt idx="81">
                  <c:v>2007.74999999999</c:v>
                </c:pt>
                <c:pt idx="82">
                  <c:v>2007.8333333333201</c:v>
                </c:pt>
                <c:pt idx="83">
                  <c:v>2007.9166666666499</c:v>
                </c:pt>
                <c:pt idx="84">
                  <c:v>2008</c:v>
                </c:pt>
                <c:pt idx="85">
                  <c:v>2008.0833333333201</c:v>
                </c:pt>
                <c:pt idx="86">
                  <c:v>2008.1666666666499</c:v>
                </c:pt>
                <c:pt idx="87">
                  <c:v>2008.24999999999</c:v>
                </c:pt>
                <c:pt idx="88">
                  <c:v>2008.3333333333201</c:v>
                </c:pt>
                <c:pt idx="89">
                  <c:v>2008.4166666666499</c:v>
                </c:pt>
                <c:pt idx="90">
                  <c:v>2008.49999999999</c:v>
                </c:pt>
                <c:pt idx="91">
                  <c:v>2008.5833333333201</c:v>
                </c:pt>
                <c:pt idx="92">
                  <c:v>2008.6666666666599</c:v>
                </c:pt>
                <c:pt idx="93">
                  <c:v>2008.74999999999</c:v>
                </c:pt>
                <c:pt idx="94">
                  <c:v>2008.8333333333201</c:v>
                </c:pt>
                <c:pt idx="95">
                  <c:v>2008.9166666666599</c:v>
                </c:pt>
                <c:pt idx="96">
                  <c:v>2009</c:v>
                </c:pt>
                <c:pt idx="97">
                  <c:v>2009.0833333333201</c:v>
                </c:pt>
                <c:pt idx="98">
                  <c:v>2009.1666666666599</c:v>
                </c:pt>
                <c:pt idx="99">
                  <c:v>2009.24999999999</c:v>
                </c:pt>
                <c:pt idx="100">
                  <c:v>2009.3333333333201</c:v>
                </c:pt>
                <c:pt idx="101">
                  <c:v>2009.4166666666599</c:v>
                </c:pt>
                <c:pt idx="102">
                  <c:v>2009.49999999999</c:v>
                </c:pt>
                <c:pt idx="103">
                  <c:v>2009.5833333333201</c:v>
                </c:pt>
                <c:pt idx="104">
                  <c:v>2009.6666666666599</c:v>
                </c:pt>
                <c:pt idx="105">
                  <c:v>2009.74999999999</c:v>
                </c:pt>
                <c:pt idx="106">
                  <c:v>2009.8333333333201</c:v>
                </c:pt>
                <c:pt idx="107">
                  <c:v>2009.9166666666599</c:v>
                </c:pt>
                <c:pt idx="108">
                  <c:v>2010</c:v>
                </c:pt>
                <c:pt idx="109">
                  <c:v>2010.0833333333201</c:v>
                </c:pt>
                <c:pt idx="110">
                  <c:v>2010.1666666666599</c:v>
                </c:pt>
                <c:pt idx="111">
                  <c:v>2010.24999999999</c:v>
                </c:pt>
                <c:pt idx="112">
                  <c:v>2010.3333333333201</c:v>
                </c:pt>
                <c:pt idx="113">
                  <c:v>2010.4166666666599</c:v>
                </c:pt>
                <c:pt idx="114">
                  <c:v>2010.49999999999</c:v>
                </c:pt>
                <c:pt idx="115">
                  <c:v>2010.5833333333301</c:v>
                </c:pt>
                <c:pt idx="116">
                  <c:v>2010.6666666666599</c:v>
                </c:pt>
                <c:pt idx="117">
                  <c:v>2010.74999999999</c:v>
                </c:pt>
                <c:pt idx="118">
                  <c:v>2010.8333333333301</c:v>
                </c:pt>
                <c:pt idx="119">
                  <c:v>2010.9166666666599</c:v>
                </c:pt>
                <c:pt idx="120">
                  <c:v>2011</c:v>
                </c:pt>
                <c:pt idx="121">
                  <c:v>2011.0833333333301</c:v>
                </c:pt>
                <c:pt idx="122">
                  <c:v>2011.1666666666599</c:v>
                </c:pt>
                <c:pt idx="123">
                  <c:v>2011.24999999999</c:v>
                </c:pt>
                <c:pt idx="124">
                  <c:v>2011.3333333333301</c:v>
                </c:pt>
                <c:pt idx="125">
                  <c:v>2011.4166666666599</c:v>
                </c:pt>
                <c:pt idx="126">
                  <c:v>2011.49999999999</c:v>
                </c:pt>
                <c:pt idx="127">
                  <c:v>2011.5833333333301</c:v>
                </c:pt>
                <c:pt idx="128">
                  <c:v>2011.6666666666599</c:v>
                </c:pt>
                <c:pt idx="129">
                  <c:v>2011.74999999999</c:v>
                </c:pt>
                <c:pt idx="130">
                  <c:v>2011.8333333333301</c:v>
                </c:pt>
                <c:pt idx="131">
                  <c:v>2011.9166666666599</c:v>
                </c:pt>
                <c:pt idx="132">
                  <c:v>2012</c:v>
                </c:pt>
                <c:pt idx="133">
                  <c:v>2012.0833333333301</c:v>
                </c:pt>
                <c:pt idx="134">
                  <c:v>2012.1666666666599</c:v>
                </c:pt>
                <c:pt idx="135">
                  <c:v>2012.24999999999</c:v>
                </c:pt>
                <c:pt idx="136">
                  <c:v>2012.3333333333301</c:v>
                </c:pt>
                <c:pt idx="137">
                  <c:v>2012.4166666666599</c:v>
                </c:pt>
                <c:pt idx="138">
                  <c:v>2012.5</c:v>
                </c:pt>
                <c:pt idx="139">
                  <c:v>2012.5833333333301</c:v>
                </c:pt>
                <c:pt idx="140">
                  <c:v>2012.6666666666599</c:v>
                </c:pt>
                <c:pt idx="141">
                  <c:v>2012.75</c:v>
                </c:pt>
                <c:pt idx="142">
                  <c:v>2012.8333333333301</c:v>
                </c:pt>
                <c:pt idx="143">
                  <c:v>2012.9166666666599</c:v>
                </c:pt>
                <c:pt idx="144">
                  <c:v>2013</c:v>
                </c:pt>
                <c:pt idx="145">
                  <c:v>2013.0833333333301</c:v>
                </c:pt>
                <c:pt idx="146">
                  <c:v>2013.1666666666599</c:v>
                </c:pt>
                <c:pt idx="147">
                  <c:v>2013.25</c:v>
                </c:pt>
                <c:pt idx="148">
                  <c:v>2013.3333333333301</c:v>
                </c:pt>
                <c:pt idx="149">
                  <c:v>2013.4166666666599</c:v>
                </c:pt>
                <c:pt idx="150">
                  <c:v>2013.5</c:v>
                </c:pt>
                <c:pt idx="151">
                  <c:v>2013.5833333333301</c:v>
                </c:pt>
                <c:pt idx="152">
                  <c:v>2013.6666666666599</c:v>
                </c:pt>
                <c:pt idx="153">
                  <c:v>2013.75</c:v>
                </c:pt>
                <c:pt idx="154">
                  <c:v>2013.8333333333301</c:v>
                </c:pt>
                <c:pt idx="155">
                  <c:v>2013.9166666666599</c:v>
                </c:pt>
                <c:pt idx="156">
                  <c:v>2014</c:v>
                </c:pt>
                <c:pt idx="157">
                  <c:v>2014.0833333333333</c:v>
                </c:pt>
                <c:pt idx="158">
                  <c:v>2014.1666666666665</c:v>
                </c:pt>
                <c:pt idx="159">
                  <c:v>2014.25</c:v>
                </c:pt>
                <c:pt idx="160">
                  <c:v>2014.3333333333333</c:v>
                </c:pt>
                <c:pt idx="161">
                  <c:v>2014.4166666666665</c:v>
                </c:pt>
                <c:pt idx="162">
                  <c:v>2014.5</c:v>
                </c:pt>
                <c:pt idx="163">
                  <c:v>2014.5833333333333</c:v>
                </c:pt>
                <c:pt idx="164">
                  <c:v>2014.6666666666665</c:v>
                </c:pt>
                <c:pt idx="165">
                  <c:v>2014.75</c:v>
                </c:pt>
                <c:pt idx="166">
                  <c:v>2014.8333333333333</c:v>
                </c:pt>
                <c:pt idx="167">
                  <c:v>2014.9166666666665</c:v>
                </c:pt>
                <c:pt idx="168">
                  <c:v>2014.9999999999998</c:v>
                </c:pt>
                <c:pt idx="169">
                  <c:v>2015.083333333333</c:v>
                </c:pt>
                <c:pt idx="170">
                  <c:v>2015.1666666666665</c:v>
                </c:pt>
                <c:pt idx="171">
                  <c:v>2015.2499999999998</c:v>
                </c:pt>
                <c:pt idx="172">
                  <c:v>2015.3333333333333</c:v>
                </c:pt>
                <c:pt idx="173">
                  <c:v>2015.4166666666665</c:v>
                </c:pt>
                <c:pt idx="174">
                  <c:v>2015.4999999999998</c:v>
                </c:pt>
                <c:pt idx="175">
                  <c:v>2015.5833333333333</c:v>
                </c:pt>
                <c:pt idx="176">
                  <c:v>2015.6666666666665</c:v>
                </c:pt>
                <c:pt idx="177">
                  <c:v>2015.7499999999998</c:v>
                </c:pt>
                <c:pt idx="178">
                  <c:v>2015.8333333333333</c:v>
                </c:pt>
                <c:pt idx="179">
                  <c:v>2015.9166666666665</c:v>
                </c:pt>
                <c:pt idx="180">
                  <c:v>2016</c:v>
                </c:pt>
                <c:pt idx="181">
                  <c:v>2016.0833333333301</c:v>
                </c:pt>
                <c:pt idx="182">
                  <c:v>2016.1666666666699</c:v>
                </c:pt>
                <c:pt idx="183">
                  <c:v>2016.25</c:v>
                </c:pt>
                <c:pt idx="184">
                  <c:v>2016.3333333333301</c:v>
                </c:pt>
                <c:pt idx="185">
                  <c:v>2016.4166666666699</c:v>
                </c:pt>
                <c:pt idx="186">
                  <c:v>2016.5</c:v>
                </c:pt>
                <c:pt idx="187">
                  <c:v>2016.5833333333301</c:v>
                </c:pt>
                <c:pt idx="188">
                  <c:v>2016.6666666666699</c:v>
                </c:pt>
                <c:pt idx="189">
                  <c:v>2016.75</c:v>
                </c:pt>
                <c:pt idx="190">
                  <c:v>2016.8333333333301</c:v>
                </c:pt>
                <c:pt idx="191">
                  <c:v>2016.9166666666699</c:v>
                </c:pt>
                <c:pt idx="192">
                  <c:v>2017</c:v>
                </c:pt>
                <c:pt idx="193">
                  <c:v>2017.0833333333301</c:v>
                </c:pt>
                <c:pt idx="194">
                  <c:v>2017.1666666666699</c:v>
                </c:pt>
                <c:pt idx="195">
                  <c:v>2017.25</c:v>
                </c:pt>
                <c:pt idx="196">
                  <c:v>2017.3333333333301</c:v>
                </c:pt>
                <c:pt idx="197">
                  <c:v>2017.4166666666699</c:v>
                </c:pt>
                <c:pt idx="198">
                  <c:v>2017.5</c:v>
                </c:pt>
                <c:pt idx="199">
                  <c:v>2017.5833333333301</c:v>
                </c:pt>
                <c:pt idx="200">
                  <c:v>2017.6666666666599</c:v>
                </c:pt>
                <c:pt idx="201">
                  <c:v>2017.75</c:v>
                </c:pt>
                <c:pt idx="202">
                  <c:v>2017.8333333333301</c:v>
                </c:pt>
                <c:pt idx="203">
                  <c:v>2017.9166666666599</c:v>
                </c:pt>
              </c:numCache>
            </c:numRef>
          </c:xVal>
          <c:yVal>
            <c:numRef>
              <c:f>SST_Modis!$D$2:$D$205</c:f>
              <c:numCache>
                <c:formatCode>General</c:formatCode>
                <c:ptCount val="204"/>
                <c:pt idx="0">
                  <c:v>27.6721586796581</c:v>
                </c:pt>
                <c:pt idx="1">
                  <c:v>27.266836542013099</c:v>
                </c:pt>
                <c:pt idx="2">
                  <c:v>27.0164006149047</c:v>
                </c:pt>
                <c:pt idx="3">
                  <c:v>27.468211592732899</c:v>
                </c:pt>
                <c:pt idx="4">
                  <c:v>28.996548530098401</c:v>
                </c:pt>
                <c:pt idx="5">
                  <c:v>29.491659105547299</c:v>
                </c:pt>
                <c:pt idx="6">
                  <c:v>29.2572823006115</c:v>
                </c:pt>
                <c:pt idx="7">
                  <c:v>29.6441444471075</c:v>
                </c:pt>
                <c:pt idx="8">
                  <c:v>29.656015733976201</c:v>
                </c:pt>
                <c:pt idx="9">
                  <c:v>29.632981389718498</c:v>
                </c:pt>
                <c:pt idx="10">
                  <c:v>28.932136155345599</c:v>
                </c:pt>
                <c:pt idx="11">
                  <c:v>28.702787972996202</c:v>
                </c:pt>
                <c:pt idx="12">
                  <c:v>28.372978654345001</c:v>
                </c:pt>
                <c:pt idx="13">
                  <c:v>27.369406590142599</c:v>
                </c:pt>
                <c:pt idx="14">
                  <c:v>27.304802843257502</c:v>
                </c:pt>
                <c:pt idx="15">
                  <c:v>27.966350331940198</c:v>
                </c:pt>
                <c:pt idx="16">
                  <c:v>28.449312673370699</c:v>
                </c:pt>
                <c:pt idx="17">
                  <c:v>30.0458165049948</c:v>
                </c:pt>
                <c:pt idx="18">
                  <c:v>29.9286101325809</c:v>
                </c:pt>
                <c:pt idx="19">
                  <c:v>30.067854565442801</c:v>
                </c:pt>
                <c:pt idx="20">
                  <c:v>30.278739661706801</c:v>
                </c:pt>
                <c:pt idx="21">
                  <c:v>30.285128813275499</c:v>
                </c:pt>
                <c:pt idx="22">
                  <c:v>29.6185084985622</c:v>
                </c:pt>
                <c:pt idx="23">
                  <c:v>28.8114276373521</c:v>
                </c:pt>
                <c:pt idx="24">
                  <c:v>27.8908823313486</c:v>
                </c:pt>
                <c:pt idx="25">
                  <c:v>27.770690542994998</c:v>
                </c:pt>
                <c:pt idx="26">
                  <c:v>28.0474273407523</c:v>
                </c:pt>
                <c:pt idx="27">
                  <c:v>28.420514886796099</c:v>
                </c:pt>
                <c:pt idx="28">
                  <c:v>29.7439511533351</c:v>
                </c:pt>
                <c:pt idx="29">
                  <c:v>29.6372204698175</c:v>
                </c:pt>
                <c:pt idx="30">
                  <c:v>29.747964188312999</c:v>
                </c:pt>
                <c:pt idx="31">
                  <c:v>29.906191165251801</c:v>
                </c:pt>
                <c:pt idx="32">
                  <c:v>30.3967277984625</c:v>
                </c:pt>
                <c:pt idx="33">
                  <c:v>29.538294862179999</c:v>
                </c:pt>
                <c:pt idx="34">
                  <c:v>29.866645083667802</c:v>
                </c:pt>
                <c:pt idx="35">
                  <c:v>28.538731300711</c:v>
                </c:pt>
                <c:pt idx="36">
                  <c:v>27.5339328777257</c:v>
                </c:pt>
                <c:pt idx="37">
                  <c:v>27.658044134358999</c:v>
                </c:pt>
                <c:pt idx="38">
                  <c:v>27.055006649782602</c:v>
                </c:pt>
                <c:pt idx="39">
                  <c:v>27.919245351022902</c:v>
                </c:pt>
                <c:pt idx="40">
                  <c:v>29.486568446949899</c:v>
                </c:pt>
                <c:pt idx="41">
                  <c:v>29.836932454415699</c:v>
                </c:pt>
                <c:pt idx="42">
                  <c:v>29.8361236719348</c:v>
                </c:pt>
                <c:pt idx="43">
                  <c:v>29.612716532918299</c:v>
                </c:pt>
                <c:pt idx="44">
                  <c:v>29.3869604478746</c:v>
                </c:pt>
                <c:pt idx="45">
                  <c:v>29.7361429365329</c:v>
                </c:pt>
                <c:pt idx="46">
                  <c:v>29.002451660299901</c:v>
                </c:pt>
                <c:pt idx="47">
                  <c:v>27.965790429031198</c:v>
                </c:pt>
                <c:pt idx="48">
                  <c:v>27.2598663455828</c:v>
                </c:pt>
                <c:pt idx="49">
                  <c:v>26.5386746667238</c:v>
                </c:pt>
                <c:pt idx="50">
                  <c:v>27.606402342901799</c:v>
                </c:pt>
                <c:pt idx="51">
                  <c:v>28.548267448196501</c:v>
                </c:pt>
                <c:pt idx="52">
                  <c:v>29.669741871845801</c:v>
                </c:pt>
                <c:pt idx="53">
                  <c:v>30.5073857117244</c:v>
                </c:pt>
                <c:pt idx="54">
                  <c:v>30.8789286381812</c:v>
                </c:pt>
                <c:pt idx="55">
                  <c:v>30.5095972566324</c:v>
                </c:pt>
                <c:pt idx="56">
                  <c:v>29.879862712351098</c:v>
                </c:pt>
                <c:pt idx="57">
                  <c:v>29.161441457982701</c:v>
                </c:pt>
                <c:pt idx="58">
                  <c:v>28.955182384110302</c:v>
                </c:pt>
                <c:pt idx="59">
                  <c:v>29.032691472678199</c:v>
                </c:pt>
                <c:pt idx="60">
                  <c:v>28.001500518315002</c:v>
                </c:pt>
                <c:pt idx="61">
                  <c:v>27.289392488716398</c:v>
                </c:pt>
                <c:pt idx="62">
                  <c:v>27.0941262786233</c:v>
                </c:pt>
                <c:pt idx="63">
                  <c:v>27.734311863800901</c:v>
                </c:pt>
                <c:pt idx="64">
                  <c:v>29.375347518712299</c:v>
                </c:pt>
                <c:pt idx="65">
                  <c:v>30.224654727408499</c:v>
                </c:pt>
                <c:pt idx="66">
                  <c:v>30.299878204991099</c:v>
                </c:pt>
                <c:pt idx="67">
                  <c:v>29.997100016052499</c:v>
                </c:pt>
                <c:pt idx="68">
                  <c:v>29.816798138230499</c:v>
                </c:pt>
                <c:pt idx="69">
                  <c:v>29.602638896141201</c:v>
                </c:pt>
                <c:pt idx="70">
                  <c:v>29.4677382950164</c:v>
                </c:pt>
                <c:pt idx="71">
                  <c:v>28.8751665408479</c:v>
                </c:pt>
                <c:pt idx="72">
                  <c:v>27.389019776288801</c:v>
                </c:pt>
                <c:pt idx="73">
                  <c:v>27.570564245238302</c:v>
                </c:pt>
                <c:pt idx="74">
                  <c:v>27.080328154033499</c:v>
                </c:pt>
                <c:pt idx="75">
                  <c:v>28.0042676433163</c:v>
                </c:pt>
                <c:pt idx="76">
                  <c:v>29.003848257747599</c:v>
                </c:pt>
                <c:pt idx="77">
                  <c:v>29.817553554166398</c:v>
                </c:pt>
                <c:pt idx="78">
                  <c:v>30.641067472145899</c:v>
                </c:pt>
                <c:pt idx="79">
                  <c:v>29.696378472264001</c:v>
                </c:pt>
                <c:pt idx="80">
                  <c:v>29.773190264967901</c:v>
                </c:pt>
                <c:pt idx="81">
                  <c:v>29.239602137985301</c:v>
                </c:pt>
                <c:pt idx="82">
                  <c:v>28.811139753892</c:v>
                </c:pt>
                <c:pt idx="83">
                  <c:v>28.482914948624799</c:v>
                </c:pt>
                <c:pt idx="84">
                  <c:v>27.483233493746599</c:v>
                </c:pt>
                <c:pt idx="85">
                  <c:v>27.461929901729899</c:v>
                </c:pt>
                <c:pt idx="86">
                  <c:v>27.832175095765098</c:v>
                </c:pt>
                <c:pt idx="87">
                  <c:v>27.576762979720201</c:v>
                </c:pt>
                <c:pt idx="88">
                  <c:v>28.755112396020099</c:v>
                </c:pt>
                <c:pt idx="89">
                  <c:v>29.614361585369899</c:v>
                </c:pt>
                <c:pt idx="90">
                  <c:v>30.193407524553798</c:v>
                </c:pt>
                <c:pt idx="91">
                  <c:v>29.335851028353201</c:v>
                </c:pt>
                <c:pt idx="92">
                  <c:v>29.6883078575414</c:v>
                </c:pt>
                <c:pt idx="93">
                  <c:v>29.472274255409602</c:v>
                </c:pt>
                <c:pt idx="94">
                  <c:v>28.8320291631522</c:v>
                </c:pt>
                <c:pt idx="95">
                  <c:v>28.007593568552402</c:v>
                </c:pt>
                <c:pt idx="96">
                  <c:v>27.438351998094301</c:v>
                </c:pt>
                <c:pt idx="97">
                  <c:v>27.130515379625599</c:v>
                </c:pt>
                <c:pt idx="98">
                  <c:v>26.649075465444302</c:v>
                </c:pt>
                <c:pt idx="99">
                  <c:v>27.710709755291202</c:v>
                </c:pt>
                <c:pt idx="100">
                  <c:v>29.2407872263408</c:v>
                </c:pt>
                <c:pt idx="101">
                  <c:v>29.615779059010301</c:v>
                </c:pt>
                <c:pt idx="102">
                  <c:v>29.6727595932654</c:v>
                </c:pt>
                <c:pt idx="103">
                  <c:v>29.4322519069874</c:v>
                </c:pt>
                <c:pt idx="104">
                  <c:v>29.901402318787799</c:v>
                </c:pt>
                <c:pt idx="105">
                  <c:v>29.6910849844182</c:v>
                </c:pt>
                <c:pt idx="106">
                  <c:v>29.467158056080301</c:v>
                </c:pt>
                <c:pt idx="107">
                  <c:v>29.0032077622012</c:v>
                </c:pt>
                <c:pt idx="108">
                  <c:v>27.9558841416288</c:v>
                </c:pt>
                <c:pt idx="109">
                  <c:v>27.378130783236902</c:v>
                </c:pt>
                <c:pt idx="110">
                  <c:v>27.8655505939312</c:v>
                </c:pt>
                <c:pt idx="111">
                  <c:v>28.540068457210101</c:v>
                </c:pt>
                <c:pt idx="112">
                  <c:v>29.168379195418201</c:v>
                </c:pt>
                <c:pt idx="113">
                  <c:v>30.066990525942099</c:v>
                </c:pt>
                <c:pt idx="114">
                  <c:v>30.4315071477915</c:v>
                </c:pt>
                <c:pt idx="115">
                  <c:v>30.839607593870099</c:v>
                </c:pt>
                <c:pt idx="116">
                  <c:v>29.671185203978499</c:v>
                </c:pt>
                <c:pt idx="117">
                  <c:v>29.423518125438399</c:v>
                </c:pt>
                <c:pt idx="118">
                  <c:v>29.044062019764802</c:v>
                </c:pt>
                <c:pt idx="119">
                  <c:v>28.144167982200099</c:v>
                </c:pt>
                <c:pt idx="120">
                  <c:v>27.683809033161101</c:v>
                </c:pt>
                <c:pt idx="121">
                  <c:v>27.628027793452102</c:v>
                </c:pt>
                <c:pt idx="122">
                  <c:v>27.045530784522501</c:v>
                </c:pt>
                <c:pt idx="123">
                  <c:v>27.4558614750804</c:v>
                </c:pt>
                <c:pt idx="124">
                  <c:v>29.0719099412186</c:v>
                </c:pt>
                <c:pt idx="125">
                  <c:v>29.8492431662598</c:v>
                </c:pt>
                <c:pt idx="126">
                  <c:v>30.131515375719601</c:v>
                </c:pt>
                <c:pt idx="127">
                  <c:v>29.907098846185299</c:v>
                </c:pt>
                <c:pt idx="128">
                  <c:v>29.889071622135599</c:v>
                </c:pt>
                <c:pt idx="129">
                  <c:v>29.276125000722399</c:v>
                </c:pt>
                <c:pt idx="130">
                  <c:v>29.3260993053687</c:v>
                </c:pt>
                <c:pt idx="131">
                  <c:v>28.642957012239201</c:v>
                </c:pt>
                <c:pt idx="132">
                  <c:v>27.543481675592901</c:v>
                </c:pt>
                <c:pt idx="133">
                  <c:v>27.097799751442999</c:v>
                </c:pt>
                <c:pt idx="134">
                  <c:v>26.980684165359499</c:v>
                </c:pt>
                <c:pt idx="135">
                  <c:v>27.8807835870237</c:v>
                </c:pt>
                <c:pt idx="136">
                  <c:v>29.679612167163299</c:v>
                </c:pt>
                <c:pt idx="137">
                  <c:v>30.213421456252298</c:v>
                </c:pt>
                <c:pt idx="138">
                  <c:v>29.862247828765899</c:v>
                </c:pt>
                <c:pt idx="139">
                  <c:v>29.9896404264593</c:v>
                </c:pt>
                <c:pt idx="140">
                  <c:v>29.992801517155598</c:v>
                </c:pt>
                <c:pt idx="141">
                  <c:v>29.318286283295901</c:v>
                </c:pt>
                <c:pt idx="142">
                  <c:v>29.401699387354999</c:v>
                </c:pt>
                <c:pt idx="143">
                  <c:v>28.747607822913</c:v>
                </c:pt>
                <c:pt idx="144">
                  <c:v>27.463720547364399</c:v>
                </c:pt>
                <c:pt idx="145">
                  <c:v>27.453062444289898</c:v>
                </c:pt>
                <c:pt idx="146">
                  <c:v>27.204193619150299</c:v>
                </c:pt>
                <c:pt idx="147">
                  <c:v>28.164004115258699</c:v>
                </c:pt>
                <c:pt idx="148">
                  <c:v>29.402040631264899</c:v>
                </c:pt>
                <c:pt idx="149">
                  <c:v>30.2138714744511</c:v>
                </c:pt>
                <c:pt idx="150">
                  <c:v>29.909115211208601</c:v>
                </c:pt>
                <c:pt idx="151">
                  <c:v>29.751219746170499</c:v>
                </c:pt>
                <c:pt idx="152">
                  <c:v>29.966307446180998</c:v>
                </c:pt>
                <c:pt idx="153">
                  <c:v>29.850707579603299</c:v>
                </c:pt>
                <c:pt idx="154">
                  <c:v>29.498075262840398</c:v>
                </c:pt>
                <c:pt idx="155">
                  <c:v>28.918491090467199</c:v>
                </c:pt>
                <c:pt idx="156">
                  <c:v>28.031242328934599</c:v>
                </c:pt>
                <c:pt idx="157">
                  <c:v>27.520678346389499</c:v>
                </c:pt>
                <c:pt idx="158">
                  <c:v>27.210819191758802</c:v>
                </c:pt>
                <c:pt idx="159">
                  <c:v>27.815077329176098</c:v>
                </c:pt>
                <c:pt idx="160">
                  <c:v>29.318520489491998</c:v>
                </c:pt>
                <c:pt idx="161">
                  <c:v>30.210219577663601</c:v>
                </c:pt>
                <c:pt idx="162">
                  <c:v>29.9483234131079</c:v>
                </c:pt>
                <c:pt idx="163">
                  <c:v>29.642242107512399</c:v>
                </c:pt>
                <c:pt idx="164">
                  <c:v>30.4211307318884</c:v>
                </c:pt>
                <c:pt idx="165">
                  <c:v>29.666539450236701</c:v>
                </c:pt>
                <c:pt idx="166">
                  <c:v>29.615854790430902</c:v>
                </c:pt>
                <c:pt idx="167">
                  <c:v>28.772785487574101</c:v>
                </c:pt>
                <c:pt idx="168">
                  <c:v>27.465860769431099</c:v>
                </c:pt>
                <c:pt idx="169">
                  <c:v>27.694802446360899</c:v>
                </c:pt>
                <c:pt idx="170">
                  <c:v>27.199650730196701</c:v>
                </c:pt>
                <c:pt idx="171">
                  <c:v>27.5847849846648</c:v>
                </c:pt>
                <c:pt idx="172">
                  <c:v>28.9473134232706</c:v>
                </c:pt>
                <c:pt idx="173">
                  <c:v>29.5064424821527</c:v>
                </c:pt>
                <c:pt idx="174">
                  <c:v>29.498891508930601</c:v>
                </c:pt>
                <c:pt idx="175">
                  <c:v>29.766916929151201</c:v>
                </c:pt>
                <c:pt idx="176">
                  <c:v>30.2527123695074</c:v>
                </c:pt>
                <c:pt idx="177">
                  <c:v>30.028487247072</c:v>
                </c:pt>
                <c:pt idx="178">
                  <c:v>29.5242127558904</c:v>
                </c:pt>
                <c:pt idx="179">
                  <c:v>29.854555029179899</c:v>
                </c:pt>
                <c:pt idx="180">
                  <c:v>28.4857115356062</c:v>
                </c:pt>
                <c:pt idx="181">
                  <c:v>27.483570830186199</c:v>
                </c:pt>
                <c:pt idx="182">
                  <c:v>27.115266228933098</c:v>
                </c:pt>
                <c:pt idx="183">
                  <c:v>27.749833486467399</c:v>
                </c:pt>
                <c:pt idx="184">
                  <c:v>30.110752952988499</c:v>
                </c:pt>
                <c:pt idx="185">
                  <c:v>30.694787912754101</c:v>
                </c:pt>
                <c:pt idx="186">
                  <c:v>30.190807101069101</c:v>
                </c:pt>
                <c:pt idx="187">
                  <c:v>30.231444738186202</c:v>
                </c:pt>
                <c:pt idx="188">
                  <c:v>30.068601552955801</c:v>
                </c:pt>
                <c:pt idx="189">
                  <c:v>29.242142691844801</c:v>
                </c:pt>
                <c:pt idx="190">
                  <c:v>29.219307698041799</c:v>
                </c:pt>
                <c:pt idx="191">
                  <c:v>28.9677122090505</c:v>
                </c:pt>
                <c:pt idx="192">
                  <c:v>27.712686754990202</c:v>
                </c:pt>
                <c:pt idx="193">
                  <c:v>27.959440004378902</c:v>
                </c:pt>
                <c:pt idx="194">
                  <c:v>27.633059571668799</c:v>
                </c:pt>
                <c:pt idx="195">
                  <c:v>27.788824561983201</c:v>
                </c:pt>
                <c:pt idx="196">
                  <c:v>29.826465082322901</c:v>
                </c:pt>
                <c:pt idx="197">
                  <c:v>30.408015578279201</c:v>
                </c:pt>
                <c:pt idx="198">
                  <c:v>30.430084313846201</c:v>
                </c:pt>
                <c:pt idx="199">
                  <c:v>30.0896991748983</c:v>
                </c:pt>
                <c:pt idx="200">
                  <c:v>30.293844966329399</c:v>
                </c:pt>
                <c:pt idx="201">
                  <c:v>29.961795926588302</c:v>
                </c:pt>
                <c:pt idx="202">
                  <c:v>29.4523784852862</c:v>
                </c:pt>
                <c:pt idx="203">
                  <c:v>29.245263562885899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2D-4462-A43F-61C4719FC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707784"/>
        <c:axId val="643707456"/>
      </c:scatterChart>
      <c:valAx>
        <c:axId val="64370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07456"/>
        <c:crosses val="autoZero"/>
        <c:crossBetween val="midCat"/>
      </c:valAx>
      <c:valAx>
        <c:axId val="6437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07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SST_Modis!$H$2:$H$13</c:f>
                <c:numCache>
                  <c:formatCode>General</c:formatCode>
                  <c:ptCount val="12"/>
                  <c:pt idx="0">
                    <c:v>0.34720122185105617</c:v>
                  </c:pt>
                  <c:pt idx="1">
                    <c:v>0.31989208140656</c:v>
                  </c:pt>
                  <c:pt idx="2">
                    <c:v>0.37482343369929239</c:v>
                  </c:pt>
                  <c:pt idx="3">
                    <c:v>0.3427360850647565</c:v>
                  </c:pt>
                  <c:pt idx="4">
                    <c:v>0.42278680202823499</c:v>
                  </c:pt>
                  <c:pt idx="5">
                    <c:v>0.36328620209843232</c:v>
                  </c:pt>
                  <c:pt idx="6">
                    <c:v>0.41288173174789256</c:v>
                  </c:pt>
                  <c:pt idx="7">
                    <c:v>0.37732509467561015</c:v>
                  </c:pt>
                  <c:pt idx="8">
                    <c:v>0.29190133796810985</c:v>
                  </c:pt>
                  <c:pt idx="9">
                    <c:v>0.31271014144165449</c:v>
                  </c:pt>
                  <c:pt idx="10">
                    <c:v>0.31371049418050384</c:v>
                  </c:pt>
                  <c:pt idx="11">
                    <c:v>0.45879412702262162</c:v>
                  </c:pt>
                </c:numCache>
              </c:numRef>
            </c:plus>
            <c:minus>
              <c:numRef>
                <c:f>SST_Modis!$H$2:$H$13</c:f>
                <c:numCache>
                  <c:formatCode>General</c:formatCode>
                  <c:ptCount val="12"/>
                  <c:pt idx="0">
                    <c:v>0.34720122185105617</c:v>
                  </c:pt>
                  <c:pt idx="1">
                    <c:v>0.31989208140656</c:v>
                  </c:pt>
                  <c:pt idx="2">
                    <c:v>0.37482343369929239</c:v>
                  </c:pt>
                  <c:pt idx="3">
                    <c:v>0.3427360850647565</c:v>
                  </c:pt>
                  <c:pt idx="4">
                    <c:v>0.42278680202823499</c:v>
                  </c:pt>
                  <c:pt idx="5">
                    <c:v>0.36328620209843232</c:v>
                  </c:pt>
                  <c:pt idx="6">
                    <c:v>0.41288173174789256</c:v>
                  </c:pt>
                  <c:pt idx="7">
                    <c:v>0.37732509467561015</c:v>
                  </c:pt>
                  <c:pt idx="8">
                    <c:v>0.29190133796810985</c:v>
                  </c:pt>
                  <c:pt idx="9">
                    <c:v>0.31271014144165449</c:v>
                  </c:pt>
                  <c:pt idx="10">
                    <c:v>0.31371049418050384</c:v>
                  </c:pt>
                  <c:pt idx="11">
                    <c:v>0.45879412702262162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SST_Modis!$F$2:$F$13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SST_Modis!$G$2:$G$13</c:f>
              <c:numCache>
                <c:formatCode>0.00</c:formatCode>
                <c:ptCount val="12"/>
                <c:pt idx="0">
                  <c:v>27.728489497753774</c:v>
                </c:pt>
                <c:pt idx="1">
                  <c:v>27.427739228898886</c:v>
                </c:pt>
                <c:pt idx="2">
                  <c:v>27.290617627705057</c:v>
                </c:pt>
                <c:pt idx="3">
                  <c:v>27.90163999115774</c:v>
                </c:pt>
                <c:pt idx="4">
                  <c:v>29.308600703385864</c:v>
                </c:pt>
                <c:pt idx="5">
                  <c:v>29.997315020365281</c:v>
                </c:pt>
                <c:pt idx="6">
                  <c:v>30.05050080158923</c:v>
                </c:pt>
                <c:pt idx="7">
                  <c:v>29.907056173731949</c:v>
                </c:pt>
                <c:pt idx="8">
                  <c:v>29.960803549648851</c:v>
                </c:pt>
                <c:pt idx="9">
                  <c:v>29.595717178732098</c:v>
                </c:pt>
                <c:pt idx="10">
                  <c:v>29.296157573829699</c:v>
                </c:pt>
                <c:pt idx="11">
                  <c:v>28.747873637029699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38-49BA-9A82-1EBF5F5D4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880248"/>
        <c:axId val="579883856"/>
      </c:scatterChart>
      <c:valAx>
        <c:axId val="579880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883856"/>
        <c:crosses val="autoZero"/>
        <c:crossBetween val="midCat"/>
      </c:valAx>
      <c:valAx>
        <c:axId val="57988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880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SST_Modis!$L$1</c:f>
              <c:strCache>
                <c:ptCount val="1"/>
                <c:pt idx="0">
                  <c:v>SST_Terra_v2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SST_Modis!$J$2:$J$18</c:f>
              <c:numCache>
                <c:formatCode>General</c:formatCode>
                <c:ptCount val="17"/>
                <c:pt idx="0">
                  <c:v>2017</c:v>
                </c:pt>
                <c:pt idx="1">
                  <c:v>2016</c:v>
                </c:pt>
                <c:pt idx="2">
                  <c:v>2015</c:v>
                </c:pt>
                <c:pt idx="3">
                  <c:v>2014</c:v>
                </c:pt>
                <c:pt idx="4">
                  <c:v>2013</c:v>
                </c:pt>
                <c:pt idx="5">
                  <c:v>2012</c:v>
                </c:pt>
                <c:pt idx="6">
                  <c:v>2011</c:v>
                </c:pt>
                <c:pt idx="7">
                  <c:v>2010</c:v>
                </c:pt>
                <c:pt idx="8">
                  <c:v>2009</c:v>
                </c:pt>
                <c:pt idx="9">
                  <c:v>2008</c:v>
                </c:pt>
                <c:pt idx="10">
                  <c:v>2007</c:v>
                </c:pt>
                <c:pt idx="11">
                  <c:v>2006</c:v>
                </c:pt>
                <c:pt idx="12">
                  <c:v>2005</c:v>
                </c:pt>
                <c:pt idx="13">
                  <c:v>2004</c:v>
                </c:pt>
                <c:pt idx="14">
                  <c:v>2003</c:v>
                </c:pt>
                <c:pt idx="15">
                  <c:v>2002</c:v>
                </c:pt>
                <c:pt idx="16">
                  <c:v>2001</c:v>
                </c:pt>
              </c:numCache>
            </c:numRef>
          </c:xVal>
          <c:yVal>
            <c:numRef>
              <c:f>SST_Modis!$L$2:$L$18</c:f>
              <c:numCache>
                <c:formatCode>0.0</c:formatCode>
                <c:ptCount val="17"/>
                <c:pt idx="0">
                  <c:v>29.683</c:v>
                </c:pt>
                <c:pt idx="1">
                  <c:v>29.559000000000001</c:v>
                </c:pt>
                <c:pt idx="2">
                  <c:v>29.777999999999999</c:v>
                </c:pt>
                <c:pt idx="3">
                  <c:v>29.565999999999999</c:v>
                </c:pt>
                <c:pt idx="4">
                  <c:v>29.504000000000001</c:v>
                </c:pt>
                <c:pt idx="5">
                  <c:v>29.433</c:v>
                </c:pt>
                <c:pt idx="6">
                  <c:v>29.254000000000001</c:v>
                </c:pt>
                <c:pt idx="7">
                  <c:v>29.289000000000001</c:v>
                </c:pt>
                <c:pt idx="8">
                  <c:v>29.312999999999999</c:v>
                </c:pt>
                <c:pt idx="9">
                  <c:v>29.161000000000001</c:v>
                </c:pt>
                <c:pt idx="10">
                  <c:v>29.245999999999999</c:v>
                </c:pt>
                <c:pt idx="11">
                  <c:v>29.56</c:v>
                </c:pt>
                <c:pt idx="12">
                  <c:v>29.337</c:v>
                </c:pt>
                <c:pt idx="13">
                  <c:v>29.245000000000001</c:v>
                </c:pt>
                <c:pt idx="14">
                  <c:v>29.492999999999999</c:v>
                </c:pt>
                <c:pt idx="15">
                  <c:v>29.596</c:v>
                </c:pt>
                <c:pt idx="16">
                  <c:v>29.129000000000001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D-4BAD-8F00-24CF8CB3CB87}"/>
            </c:ext>
          </c:extLst>
        </c:ser>
        <c:ser>
          <c:idx val="1"/>
          <c:order val="1"/>
          <c:tx>
            <c:strRef>
              <c:f>SST_Modis!$M$1</c:f>
              <c:strCache>
                <c:ptCount val="1"/>
                <c:pt idx="0">
                  <c:v>SST_Aqua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SST_Modis!$J$2:$J$18</c:f>
              <c:numCache>
                <c:formatCode>General</c:formatCode>
                <c:ptCount val="17"/>
                <c:pt idx="0">
                  <c:v>2017</c:v>
                </c:pt>
                <c:pt idx="1">
                  <c:v>2016</c:v>
                </c:pt>
                <c:pt idx="2">
                  <c:v>2015</c:v>
                </c:pt>
                <c:pt idx="3">
                  <c:v>2014</c:v>
                </c:pt>
                <c:pt idx="4">
                  <c:v>2013</c:v>
                </c:pt>
                <c:pt idx="5">
                  <c:v>2012</c:v>
                </c:pt>
                <c:pt idx="6">
                  <c:v>2011</c:v>
                </c:pt>
                <c:pt idx="7">
                  <c:v>2010</c:v>
                </c:pt>
                <c:pt idx="8">
                  <c:v>2009</c:v>
                </c:pt>
                <c:pt idx="9">
                  <c:v>2008</c:v>
                </c:pt>
                <c:pt idx="10">
                  <c:v>2007</c:v>
                </c:pt>
                <c:pt idx="11">
                  <c:v>2006</c:v>
                </c:pt>
                <c:pt idx="12">
                  <c:v>2005</c:v>
                </c:pt>
                <c:pt idx="13">
                  <c:v>2004</c:v>
                </c:pt>
                <c:pt idx="14">
                  <c:v>2003</c:v>
                </c:pt>
                <c:pt idx="15">
                  <c:v>2002</c:v>
                </c:pt>
                <c:pt idx="16">
                  <c:v>2001</c:v>
                </c:pt>
              </c:numCache>
            </c:numRef>
          </c:xVal>
          <c:yVal>
            <c:numRef>
              <c:f>SST_Modis!$M$2:$M$18</c:f>
              <c:numCache>
                <c:formatCode>0.0</c:formatCode>
                <c:ptCount val="17"/>
                <c:pt idx="0">
                  <c:v>29.965</c:v>
                </c:pt>
                <c:pt idx="1">
                  <c:v>29.559000000000001</c:v>
                </c:pt>
                <c:pt idx="2">
                  <c:v>29.78</c:v>
                </c:pt>
                <c:pt idx="3">
                  <c:v>29.622</c:v>
                </c:pt>
                <c:pt idx="4">
                  <c:v>29.526</c:v>
                </c:pt>
                <c:pt idx="5">
                  <c:v>29.521999999999998</c:v>
                </c:pt>
                <c:pt idx="6">
                  <c:v>29.556000000000001</c:v>
                </c:pt>
                <c:pt idx="7">
                  <c:v>29.622</c:v>
                </c:pt>
                <c:pt idx="8">
                  <c:v>29.452000000000002</c:v>
                </c:pt>
                <c:pt idx="9">
                  <c:v>29.414000000000001</c:v>
                </c:pt>
                <c:pt idx="10">
                  <c:v>29.611999999999998</c:v>
                </c:pt>
                <c:pt idx="11">
                  <c:v>29.873999999999999</c:v>
                </c:pt>
                <c:pt idx="12">
                  <c:v>29.45</c:v>
                </c:pt>
                <c:pt idx="13">
                  <c:v>29.559000000000001</c:v>
                </c:pt>
                <c:pt idx="14">
                  <c:v>29.602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1D-4BAD-8F00-24CF8CB3C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110447"/>
        <c:axId val="353110927"/>
      </c:scatterChart>
      <c:valAx>
        <c:axId val="353110447"/>
        <c:scaling>
          <c:orientation val="minMax"/>
          <c:max val="20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927"/>
        <c:crosses val="autoZero"/>
        <c:crossBetween val="midCat"/>
        <c:majorUnit val="2"/>
      </c:valAx>
      <c:valAx>
        <c:axId val="35311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44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HadISST!$I$3:$I$794</c:f>
              <c:numCache>
                <c:formatCode>0.0</c:formatCode>
                <c:ptCount val="792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  <c:pt idx="780">
                  <c:v>1950.9166666692399</c:v>
                </c:pt>
                <c:pt idx="781">
                  <c:v>1950.8333333359101</c:v>
                </c:pt>
                <c:pt idx="782">
                  <c:v>1950.75000000258</c:v>
                </c:pt>
                <c:pt idx="783">
                  <c:v>1950.6666666692499</c:v>
                </c:pt>
                <c:pt idx="784">
                  <c:v>1950.5833333359201</c:v>
                </c:pt>
                <c:pt idx="785">
                  <c:v>1950.50000000259</c:v>
                </c:pt>
                <c:pt idx="786">
                  <c:v>1950.4166666692599</c:v>
                </c:pt>
                <c:pt idx="787">
                  <c:v>1950.3333333359301</c:v>
                </c:pt>
                <c:pt idx="788">
                  <c:v>1950.2500000026</c:v>
                </c:pt>
                <c:pt idx="789">
                  <c:v>1950.1666666692699</c:v>
                </c:pt>
                <c:pt idx="790">
                  <c:v>1950.0833333359401</c:v>
                </c:pt>
                <c:pt idx="791">
                  <c:v>1950.00000000261</c:v>
                </c:pt>
              </c:numCache>
            </c:numRef>
          </c:xVal>
          <c:yVal>
            <c:numRef>
              <c:f>HadISST!$K$3:$K$794</c:f>
              <c:numCache>
                <c:formatCode>General</c:formatCode>
                <c:ptCount val="792"/>
                <c:pt idx="0">
                  <c:v>2.7387556877269978</c:v>
                </c:pt>
                <c:pt idx="1">
                  <c:v>1.1874241759200166</c:v>
                </c:pt>
                <c:pt idx="2">
                  <c:v>2.6942475858023927</c:v>
                </c:pt>
                <c:pt idx="3">
                  <c:v>1.9489056012079469</c:v>
                </c:pt>
                <c:pt idx="4">
                  <c:v>0.2506281764520959</c:v>
                </c:pt>
                <c:pt idx="5">
                  <c:v>-0.18676245527217525</c:v>
                </c:pt>
                <c:pt idx="6">
                  <c:v>-0.22672432381425764</c:v>
                </c:pt>
                <c:pt idx="7">
                  <c:v>-8.4973518372327334E-2</c:v>
                </c:pt>
                <c:pt idx="8">
                  <c:v>-0.11476599942393409</c:v>
                </c:pt>
                <c:pt idx="9">
                  <c:v>0.33259595197688929</c:v>
                </c:pt>
                <c:pt idx="10">
                  <c:v>1.4826020699354048</c:v>
                </c:pt>
                <c:pt idx="11">
                  <c:v>1.5966428331472937</c:v>
                </c:pt>
                <c:pt idx="12">
                  <c:v>1.4188359039008049</c:v>
                </c:pt>
                <c:pt idx="13">
                  <c:v>0.80162907290046925</c:v>
                </c:pt>
                <c:pt idx="14">
                  <c:v>1.5870415686816393</c:v>
                </c:pt>
                <c:pt idx="15">
                  <c:v>0.9480548003216781</c:v>
                </c:pt>
                <c:pt idx="16">
                  <c:v>0.55844534567349147</c:v>
                </c:pt>
                <c:pt idx="17">
                  <c:v>-8.5962403950034984E-3</c:v>
                </c:pt>
                <c:pt idx="18">
                  <c:v>-0.24409315018678554</c:v>
                </c:pt>
                <c:pt idx="19">
                  <c:v>0.49150944389100931</c:v>
                </c:pt>
                <c:pt idx="20">
                  <c:v>0.87475363299552023</c:v>
                </c:pt>
                <c:pt idx="21">
                  <c:v>0.92318154614061443</c:v>
                </c:pt>
                <c:pt idx="22">
                  <c:v>0.56166196180551919</c:v>
                </c:pt>
                <c:pt idx="23">
                  <c:v>1.1960483504438795</c:v>
                </c:pt>
                <c:pt idx="24">
                  <c:v>1.1865809144624955</c:v>
                </c:pt>
                <c:pt idx="25">
                  <c:v>2.1620180533409159</c:v>
                </c:pt>
                <c:pt idx="26">
                  <c:v>1.1278935652095683</c:v>
                </c:pt>
                <c:pt idx="27">
                  <c:v>1.5315139632655386</c:v>
                </c:pt>
                <c:pt idx="28">
                  <c:v>1.1816775531606618</c:v>
                </c:pt>
                <c:pt idx="29">
                  <c:v>0.63942429148651359</c:v>
                </c:pt>
                <c:pt idx="30">
                  <c:v>0.16850558485971423</c:v>
                </c:pt>
                <c:pt idx="31">
                  <c:v>-0.46237102395406249</c:v>
                </c:pt>
                <c:pt idx="32">
                  <c:v>1.1048491915483596</c:v>
                </c:pt>
                <c:pt idx="33">
                  <c:v>0.77267531410079571</c:v>
                </c:pt>
                <c:pt idx="34">
                  <c:v>1.092082969002302</c:v>
                </c:pt>
                <c:pt idx="35">
                  <c:v>0.36053255382677263</c:v>
                </c:pt>
                <c:pt idx="36">
                  <c:v>0.95536793237343398</c:v>
                </c:pt>
                <c:pt idx="37">
                  <c:v>1.3853716173156629</c:v>
                </c:pt>
                <c:pt idx="38">
                  <c:v>0.669328421786338</c:v>
                </c:pt>
                <c:pt idx="39">
                  <c:v>1.340126328279345</c:v>
                </c:pt>
                <c:pt idx="40">
                  <c:v>1.0136138724470729</c:v>
                </c:pt>
                <c:pt idx="41">
                  <c:v>0.75256127048678201</c:v>
                </c:pt>
                <c:pt idx="42">
                  <c:v>0.21315641284811004</c:v>
                </c:pt>
                <c:pt idx="43">
                  <c:v>0.71532631859410689</c:v>
                </c:pt>
                <c:pt idx="44">
                  <c:v>0.73820606813552958</c:v>
                </c:pt>
                <c:pt idx="45">
                  <c:v>-0.3763411350984201</c:v>
                </c:pt>
                <c:pt idx="46">
                  <c:v>0.40452553976049571</c:v>
                </c:pt>
                <c:pt idx="47">
                  <c:v>0.37301091881529785</c:v>
                </c:pt>
                <c:pt idx="48">
                  <c:v>0.86322694616968998</c:v>
                </c:pt>
                <c:pt idx="49">
                  <c:v>1.9929719591451802</c:v>
                </c:pt>
                <c:pt idx="50">
                  <c:v>1.2544787304900733</c:v>
                </c:pt>
                <c:pt idx="51">
                  <c:v>1.0583950274545533</c:v>
                </c:pt>
                <c:pt idx="52">
                  <c:v>1.0608536971396318</c:v>
                </c:pt>
                <c:pt idx="53">
                  <c:v>0.79350914135560058</c:v>
                </c:pt>
                <c:pt idx="54">
                  <c:v>1.0112996779988668</c:v>
                </c:pt>
                <c:pt idx="55">
                  <c:v>0.75552101885767253</c:v>
                </c:pt>
                <c:pt idx="56">
                  <c:v>0.68171427014031016</c:v>
                </c:pt>
                <c:pt idx="57">
                  <c:v>0.9126124618892516</c:v>
                </c:pt>
                <c:pt idx="58">
                  <c:v>1.6319148782847122</c:v>
                </c:pt>
                <c:pt idx="59">
                  <c:v>1.5654605136661728</c:v>
                </c:pt>
                <c:pt idx="60">
                  <c:v>0.47879820477613044</c:v>
                </c:pt>
                <c:pt idx="61">
                  <c:v>1.1933585097972021</c:v>
                </c:pt>
                <c:pt idx="62">
                  <c:v>1.8472632387465151</c:v>
                </c:pt>
                <c:pt idx="63">
                  <c:v>1.6996299164971305</c:v>
                </c:pt>
                <c:pt idx="64">
                  <c:v>2.4958457809695918</c:v>
                </c:pt>
                <c:pt idx="65">
                  <c:v>2.8166824055329287</c:v>
                </c:pt>
                <c:pt idx="66">
                  <c:v>1.6117127504954001</c:v>
                </c:pt>
                <c:pt idx="67">
                  <c:v>2.5515333126407342</c:v>
                </c:pt>
                <c:pt idx="68">
                  <c:v>1.9789869244887195</c:v>
                </c:pt>
                <c:pt idx="69">
                  <c:v>3.4052327086320187</c:v>
                </c:pt>
                <c:pt idx="70">
                  <c:v>2.8234017535661806</c:v>
                </c:pt>
                <c:pt idx="71">
                  <c:v>1.5556977260498788</c:v>
                </c:pt>
                <c:pt idx="72">
                  <c:v>1.6648090921952365</c:v>
                </c:pt>
                <c:pt idx="73">
                  <c:v>1.5303031400350544</c:v>
                </c:pt>
                <c:pt idx="74">
                  <c:v>0.5211932732871204</c:v>
                </c:pt>
                <c:pt idx="75">
                  <c:v>0.54812948620601176</c:v>
                </c:pt>
                <c:pt idx="76">
                  <c:v>0.58336753868671276</c:v>
                </c:pt>
                <c:pt idx="77">
                  <c:v>0.70768907189881936</c:v>
                </c:pt>
                <c:pt idx="78">
                  <c:v>1.1151320817911092</c:v>
                </c:pt>
                <c:pt idx="79">
                  <c:v>-0.89120791230734386</c:v>
                </c:pt>
                <c:pt idx="80">
                  <c:v>-1.0576475482997332</c:v>
                </c:pt>
                <c:pt idx="81">
                  <c:v>-1.2712248805862552</c:v>
                </c:pt>
                <c:pt idx="82">
                  <c:v>-0.6842465960272518</c:v>
                </c:pt>
                <c:pt idx="83">
                  <c:v>-0.1316696207204941</c:v>
                </c:pt>
                <c:pt idx="84">
                  <c:v>-0.29191799382315264</c:v>
                </c:pt>
                <c:pt idx="85">
                  <c:v>0.63777235079712369</c:v>
                </c:pt>
                <c:pt idx="86">
                  <c:v>1.3541129539471299</c:v>
                </c:pt>
                <c:pt idx="87">
                  <c:v>1.2574443160807696</c:v>
                </c:pt>
                <c:pt idx="88">
                  <c:v>1.0785268726832853</c:v>
                </c:pt>
                <c:pt idx="89">
                  <c:v>0.58967851776652869</c:v>
                </c:pt>
                <c:pt idx="90">
                  <c:v>5.8694188375434074E-2</c:v>
                </c:pt>
                <c:pt idx="91">
                  <c:v>-0.59528395788371624</c:v>
                </c:pt>
                <c:pt idx="92">
                  <c:v>0.1273040874092885</c:v>
                </c:pt>
                <c:pt idx="93">
                  <c:v>-0.25498826948949604</c:v>
                </c:pt>
                <c:pt idx="94">
                  <c:v>-3.6425226381880782E-2</c:v>
                </c:pt>
                <c:pt idx="95">
                  <c:v>-0.32012585729006737</c:v>
                </c:pt>
                <c:pt idx="96">
                  <c:v>0.17138413269068237</c:v>
                </c:pt>
                <c:pt idx="97">
                  <c:v>0.3932061519240394</c:v>
                </c:pt>
                <c:pt idx="98">
                  <c:v>0.58964765184900503</c:v>
                </c:pt>
                <c:pt idx="99">
                  <c:v>0.64488151049043452</c:v>
                </c:pt>
                <c:pt idx="100">
                  <c:v>0.39759520599814024</c:v>
                </c:pt>
                <c:pt idx="101">
                  <c:v>0.32847630663745636</c:v>
                </c:pt>
                <c:pt idx="102">
                  <c:v>0.16925061398046592</c:v>
                </c:pt>
                <c:pt idx="103">
                  <c:v>0.62114042523033264</c:v>
                </c:pt>
                <c:pt idx="104">
                  <c:v>0.81079226640166135</c:v>
                </c:pt>
                <c:pt idx="105">
                  <c:v>0.53241221568769725</c:v>
                </c:pt>
                <c:pt idx="106">
                  <c:v>0.78322331682038082</c:v>
                </c:pt>
                <c:pt idx="107">
                  <c:v>0.46382417589952069</c:v>
                </c:pt>
                <c:pt idx="108">
                  <c:v>1.1727594536168136</c:v>
                </c:pt>
                <c:pt idx="109">
                  <c:v>1.8767198801153322</c:v>
                </c:pt>
                <c:pt idx="110">
                  <c:v>1.0882052306884236</c:v>
                </c:pt>
                <c:pt idx="111">
                  <c:v>1.0987842386186306</c:v>
                </c:pt>
                <c:pt idx="112">
                  <c:v>1.2630397920594432</c:v>
                </c:pt>
                <c:pt idx="113">
                  <c:v>1.1583008704632214</c:v>
                </c:pt>
                <c:pt idx="114">
                  <c:v>1.2773340332447942</c:v>
                </c:pt>
                <c:pt idx="115">
                  <c:v>0.8296415211785696</c:v>
                </c:pt>
                <c:pt idx="116">
                  <c:v>0.6543164135214985</c:v>
                </c:pt>
                <c:pt idx="117">
                  <c:v>0.19225334692124268</c:v>
                </c:pt>
                <c:pt idx="118">
                  <c:v>0.30432892175127724</c:v>
                </c:pt>
                <c:pt idx="119">
                  <c:v>0.58103501992025319</c:v>
                </c:pt>
                <c:pt idx="120">
                  <c:v>1.1316486651652551</c:v>
                </c:pt>
                <c:pt idx="121">
                  <c:v>0.76787437892387078</c:v>
                </c:pt>
                <c:pt idx="122">
                  <c:v>1.1246371514584583</c:v>
                </c:pt>
                <c:pt idx="123">
                  <c:v>1.6530954206426332</c:v>
                </c:pt>
                <c:pt idx="124">
                  <c:v>1.9913443200546557</c:v>
                </c:pt>
                <c:pt idx="125">
                  <c:v>1.9876739629584852</c:v>
                </c:pt>
                <c:pt idx="126">
                  <c:v>2.0340531432898112</c:v>
                </c:pt>
                <c:pt idx="127">
                  <c:v>2.2603466785478608</c:v>
                </c:pt>
                <c:pt idx="128">
                  <c:v>2.5540814129866214</c:v>
                </c:pt>
                <c:pt idx="129">
                  <c:v>1.4259905865592166</c:v>
                </c:pt>
                <c:pt idx="130">
                  <c:v>-0.13899893055823406</c:v>
                </c:pt>
                <c:pt idx="131">
                  <c:v>0.76286693927369165</c:v>
                </c:pt>
                <c:pt idx="132">
                  <c:v>1.0646879586593077</c:v>
                </c:pt>
                <c:pt idx="133">
                  <c:v>0.72351586720199557</c:v>
                </c:pt>
                <c:pt idx="134">
                  <c:v>1.3081937187952</c:v>
                </c:pt>
                <c:pt idx="135">
                  <c:v>1.1554219490339401</c:v>
                </c:pt>
                <c:pt idx="136">
                  <c:v>0.93866695488145724</c:v>
                </c:pt>
                <c:pt idx="137">
                  <c:v>0.5195528651393202</c:v>
                </c:pt>
                <c:pt idx="138">
                  <c:v>-6.0145996266392533E-2</c:v>
                </c:pt>
                <c:pt idx="139">
                  <c:v>0.24806723021517904</c:v>
                </c:pt>
                <c:pt idx="140">
                  <c:v>1.1127774675438815</c:v>
                </c:pt>
                <c:pt idx="141">
                  <c:v>0.18118980258794581</c:v>
                </c:pt>
                <c:pt idx="142">
                  <c:v>0.49208282905580841</c:v>
                </c:pt>
                <c:pt idx="143">
                  <c:v>0.58417953164937841</c:v>
                </c:pt>
                <c:pt idx="144">
                  <c:v>0.63952079780685622</c:v>
                </c:pt>
                <c:pt idx="145">
                  <c:v>1.0569068712238741</c:v>
                </c:pt>
                <c:pt idx="146">
                  <c:v>1.747929948466842</c:v>
                </c:pt>
                <c:pt idx="147">
                  <c:v>1.2008302527445993</c:v>
                </c:pt>
                <c:pt idx="148">
                  <c:v>0.88105914313108846</c:v>
                </c:pt>
                <c:pt idx="149">
                  <c:v>0.38528644906129522</c:v>
                </c:pt>
                <c:pt idx="150">
                  <c:v>1.8663612920017739E-2</c:v>
                </c:pt>
                <c:pt idx="151">
                  <c:v>0.13264329308522418</c:v>
                </c:pt>
                <c:pt idx="152">
                  <c:v>1.6519795179992101</c:v>
                </c:pt>
                <c:pt idx="153">
                  <c:v>0.41289874158356543</c:v>
                </c:pt>
                <c:pt idx="154">
                  <c:v>0.60503416831132695</c:v>
                </c:pt>
                <c:pt idx="155">
                  <c:v>0.63908312933308331</c:v>
                </c:pt>
                <c:pt idx="156">
                  <c:v>0.51178571671527173</c:v>
                </c:pt>
                <c:pt idx="157">
                  <c:v>0.66331344484008847</c:v>
                </c:pt>
                <c:pt idx="158">
                  <c:v>0.5624527957659966</c:v>
                </c:pt>
                <c:pt idx="159">
                  <c:v>-0.13243345132442208</c:v>
                </c:pt>
                <c:pt idx="160">
                  <c:v>-0.48771913798035238</c:v>
                </c:pt>
                <c:pt idx="161">
                  <c:v>-0.23834016073716902</c:v>
                </c:pt>
                <c:pt idx="162">
                  <c:v>-0.40548307349807627</c:v>
                </c:pt>
                <c:pt idx="163">
                  <c:v>-0.39979758628993162</c:v>
                </c:pt>
                <c:pt idx="164">
                  <c:v>0.28841798174682004</c:v>
                </c:pt>
                <c:pt idx="165">
                  <c:v>0.2548272702901358</c:v>
                </c:pt>
                <c:pt idx="166">
                  <c:v>0.30829073202983226</c:v>
                </c:pt>
                <c:pt idx="167">
                  <c:v>0.7832231972397159</c:v>
                </c:pt>
                <c:pt idx="168">
                  <c:v>0.78777372330984974</c:v>
                </c:pt>
                <c:pt idx="169">
                  <c:v>1.7778697913782421E-3</c:v>
                </c:pt>
                <c:pt idx="170">
                  <c:v>0.62224346653673812</c:v>
                </c:pt>
                <c:pt idx="171">
                  <c:v>0.61002275995926314</c:v>
                </c:pt>
                <c:pt idx="172">
                  <c:v>0.37083119492474592</c:v>
                </c:pt>
                <c:pt idx="173">
                  <c:v>0.28377485682193493</c:v>
                </c:pt>
                <c:pt idx="174">
                  <c:v>0.46708538486232343</c:v>
                </c:pt>
                <c:pt idx="175">
                  <c:v>-0.20432842343632127</c:v>
                </c:pt>
                <c:pt idx="176">
                  <c:v>-0.63986987624293656</c:v>
                </c:pt>
                <c:pt idx="177">
                  <c:v>-0.78548212989564681</c:v>
                </c:pt>
                <c:pt idx="178">
                  <c:v>-0.87500327345229101</c:v>
                </c:pt>
                <c:pt idx="179">
                  <c:v>-0.58048599126626432</c:v>
                </c:pt>
                <c:pt idx="180">
                  <c:v>-0.73454581836563793</c:v>
                </c:pt>
                <c:pt idx="181">
                  <c:v>1.460864776572452E-3</c:v>
                </c:pt>
                <c:pt idx="182">
                  <c:v>2.1064506489970325E-2</c:v>
                </c:pt>
                <c:pt idx="183">
                  <c:v>9.9562130307849731E-2</c:v>
                </c:pt>
                <c:pt idx="184">
                  <c:v>0.27034124679753946</c:v>
                </c:pt>
                <c:pt idx="185">
                  <c:v>-4.8936361395815975E-2</c:v>
                </c:pt>
                <c:pt idx="186">
                  <c:v>-0.56560001539801363</c:v>
                </c:pt>
                <c:pt idx="187">
                  <c:v>-0.27229557194927428</c:v>
                </c:pt>
                <c:pt idx="188">
                  <c:v>-0.35300219850788667</c:v>
                </c:pt>
                <c:pt idx="189">
                  <c:v>-0.60624282249457118</c:v>
                </c:pt>
                <c:pt idx="190">
                  <c:v>-0.3314685460195701</c:v>
                </c:pt>
                <c:pt idx="191">
                  <c:v>-0.83899445791301652</c:v>
                </c:pt>
                <c:pt idx="192">
                  <c:v>0.31450212107621989</c:v>
                </c:pt>
                <c:pt idx="193">
                  <c:v>-1.1915399576955805</c:v>
                </c:pt>
                <c:pt idx="194">
                  <c:v>0.13064219567149835</c:v>
                </c:pt>
                <c:pt idx="195">
                  <c:v>0.47228147987769281</c:v>
                </c:pt>
                <c:pt idx="196">
                  <c:v>0.89990304090882101</c:v>
                </c:pt>
                <c:pt idx="197">
                  <c:v>0.6962489041453096</c:v>
                </c:pt>
                <c:pt idx="198">
                  <c:v>0.36026214474362778</c:v>
                </c:pt>
                <c:pt idx="199">
                  <c:v>-0.29552982957563889</c:v>
                </c:pt>
                <c:pt idx="200">
                  <c:v>0.20024139504093491</c:v>
                </c:pt>
                <c:pt idx="201">
                  <c:v>-0.10880609086619179</c:v>
                </c:pt>
                <c:pt idx="202">
                  <c:v>-0.7256340509760365</c:v>
                </c:pt>
                <c:pt idx="203">
                  <c:v>0.22455130069477605</c:v>
                </c:pt>
                <c:pt idx="204">
                  <c:v>0.84219279181047124</c:v>
                </c:pt>
                <c:pt idx="205">
                  <c:v>1.0110394156315228</c:v>
                </c:pt>
                <c:pt idx="206">
                  <c:v>0.5593547678977171</c:v>
                </c:pt>
                <c:pt idx="207">
                  <c:v>1.773488612293147</c:v>
                </c:pt>
                <c:pt idx="208">
                  <c:v>2.4440294966347484</c:v>
                </c:pt>
                <c:pt idx="209">
                  <c:v>1.6370254414935088</c:v>
                </c:pt>
                <c:pt idx="210">
                  <c:v>1.2661398367075136</c:v>
                </c:pt>
                <c:pt idx="211">
                  <c:v>1.3306371154729035</c:v>
                </c:pt>
                <c:pt idx="212">
                  <c:v>1.2840452182099673</c:v>
                </c:pt>
                <c:pt idx="213">
                  <c:v>1.4506221155408217</c:v>
                </c:pt>
                <c:pt idx="214">
                  <c:v>1.5705209224988557</c:v>
                </c:pt>
                <c:pt idx="215">
                  <c:v>0.92919378782440698</c:v>
                </c:pt>
                <c:pt idx="216">
                  <c:v>0.80107887420771062</c:v>
                </c:pt>
                <c:pt idx="217">
                  <c:v>0.94953727270890176</c:v>
                </c:pt>
                <c:pt idx="218">
                  <c:v>0.84193735690143989</c:v>
                </c:pt>
                <c:pt idx="219">
                  <c:v>0.28251662569720737</c:v>
                </c:pt>
                <c:pt idx="220">
                  <c:v>-0.1630270129203438</c:v>
                </c:pt>
                <c:pt idx="221">
                  <c:v>0.2714548987832982</c:v>
                </c:pt>
                <c:pt idx="222">
                  <c:v>0.2357672426745398</c:v>
                </c:pt>
                <c:pt idx="223">
                  <c:v>-1.9634725558366419E-3</c:v>
                </c:pt>
                <c:pt idx="224">
                  <c:v>-0.25924467180658062</c:v>
                </c:pt>
                <c:pt idx="225">
                  <c:v>-0.29956879047676244</c:v>
                </c:pt>
                <c:pt idx="226">
                  <c:v>0.12990669835497254</c:v>
                </c:pt>
                <c:pt idx="227">
                  <c:v>0.30039414459015468</c:v>
                </c:pt>
                <c:pt idx="228">
                  <c:v>-0.45194904443891509</c:v>
                </c:pt>
                <c:pt idx="229">
                  <c:v>-0.69809312169788595</c:v>
                </c:pt>
                <c:pt idx="230">
                  <c:v>-0.50612923996627501</c:v>
                </c:pt>
                <c:pt idx="231">
                  <c:v>-2.5965433400036157E-2</c:v>
                </c:pt>
                <c:pt idx="232">
                  <c:v>-0.26073501755699569</c:v>
                </c:pt>
                <c:pt idx="233">
                  <c:v>0.12639079338366058</c:v>
                </c:pt>
                <c:pt idx="234">
                  <c:v>0.39762883909824553</c:v>
                </c:pt>
                <c:pt idx="235">
                  <c:v>0.14285545118276857</c:v>
                </c:pt>
                <c:pt idx="236">
                  <c:v>0.49972352619028593</c:v>
                </c:pt>
                <c:pt idx="237">
                  <c:v>0.71624258494953452</c:v>
                </c:pt>
                <c:pt idx="238">
                  <c:v>0.84543527744692548</c:v>
                </c:pt>
                <c:pt idx="239">
                  <c:v>1.8883786091316832</c:v>
                </c:pt>
                <c:pt idx="240">
                  <c:v>0.95870986585389328</c:v>
                </c:pt>
                <c:pt idx="241">
                  <c:v>0.73846899375041775</c:v>
                </c:pt>
                <c:pt idx="242">
                  <c:v>0.53070909712793279</c:v>
                </c:pt>
                <c:pt idx="243">
                  <c:v>0.33756998181041231</c:v>
                </c:pt>
                <c:pt idx="244">
                  <c:v>1.1178406713416205</c:v>
                </c:pt>
                <c:pt idx="245">
                  <c:v>1.149071754610467</c:v>
                </c:pt>
                <c:pt idx="246">
                  <c:v>0.96152208487381119</c:v>
                </c:pt>
                <c:pt idx="247">
                  <c:v>0.69779307074825325</c:v>
                </c:pt>
                <c:pt idx="248">
                  <c:v>0.92194386433170472</c:v>
                </c:pt>
                <c:pt idx="249">
                  <c:v>0.98377515688135941</c:v>
                </c:pt>
                <c:pt idx="250">
                  <c:v>0.59703874795628753</c:v>
                </c:pt>
                <c:pt idx="251">
                  <c:v>0.62089268780298035</c:v>
                </c:pt>
                <c:pt idx="252">
                  <c:v>2.2771354799819774E-2</c:v>
                </c:pt>
                <c:pt idx="253">
                  <c:v>-0.21292328663678403</c:v>
                </c:pt>
                <c:pt idx="254">
                  <c:v>-6.6966367190493842E-2</c:v>
                </c:pt>
                <c:pt idx="255">
                  <c:v>-0.73116567150515444</c:v>
                </c:pt>
                <c:pt idx="256">
                  <c:v>-0.76207020697522498</c:v>
                </c:pt>
                <c:pt idx="257">
                  <c:v>-0.87210461714340848</c:v>
                </c:pt>
                <c:pt idx="258">
                  <c:v>-0.49922006470809388</c:v>
                </c:pt>
                <c:pt idx="259">
                  <c:v>-0.25119028132158433</c:v>
                </c:pt>
                <c:pt idx="260">
                  <c:v>-0.19086612287235671</c:v>
                </c:pt>
                <c:pt idx="261">
                  <c:v>-0.28370403874787625</c:v>
                </c:pt>
                <c:pt idx="262">
                  <c:v>-0.76297507445585466</c:v>
                </c:pt>
                <c:pt idx="263">
                  <c:v>-0.24112641900761012</c:v>
                </c:pt>
                <c:pt idx="264">
                  <c:v>-0.38350199111348116</c:v>
                </c:pt>
                <c:pt idx="265">
                  <c:v>-0.406099802559587</c:v>
                </c:pt>
                <c:pt idx="266">
                  <c:v>-0.2532693457356282</c:v>
                </c:pt>
                <c:pt idx="267">
                  <c:v>-0.21515093414170622</c:v>
                </c:pt>
                <c:pt idx="268">
                  <c:v>9.3846000903211269E-2</c:v>
                </c:pt>
                <c:pt idx="269">
                  <c:v>-0.1507720868981183</c:v>
                </c:pt>
                <c:pt idx="270">
                  <c:v>1.1099141979850071</c:v>
                </c:pt>
                <c:pt idx="271">
                  <c:v>1.152723325988233</c:v>
                </c:pt>
                <c:pt idx="272">
                  <c:v>1.3271863657341565</c:v>
                </c:pt>
                <c:pt idx="273">
                  <c:v>-0.12780819181495787</c:v>
                </c:pt>
                <c:pt idx="274">
                  <c:v>-2.92862750449943E-2</c:v>
                </c:pt>
                <c:pt idx="275">
                  <c:v>8.8425055667478505E-2</c:v>
                </c:pt>
                <c:pt idx="276">
                  <c:v>-0.32404498918258129</c:v>
                </c:pt>
                <c:pt idx="277">
                  <c:v>-0.37625695046570168</c:v>
                </c:pt>
                <c:pt idx="278">
                  <c:v>-0.3994183352640841</c:v>
                </c:pt>
                <c:pt idx="279">
                  <c:v>-0.4202036249835282</c:v>
                </c:pt>
                <c:pt idx="280">
                  <c:v>-0.66815226775293024</c:v>
                </c:pt>
                <c:pt idx="281">
                  <c:v>-0.94106107478643908</c:v>
                </c:pt>
                <c:pt idx="282">
                  <c:v>-0.13793454036286468</c:v>
                </c:pt>
                <c:pt idx="283">
                  <c:v>4.5360562922674576E-2</c:v>
                </c:pt>
                <c:pt idx="284">
                  <c:v>-0.18908509230050596</c:v>
                </c:pt>
                <c:pt idx="285">
                  <c:v>-0.6056865549023932</c:v>
                </c:pt>
                <c:pt idx="286">
                  <c:v>-0.34597723375812273</c:v>
                </c:pt>
                <c:pt idx="287">
                  <c:v>-1.0383854999191595</c:v>
                </c:pt>
                <c:pt idx="288">
                  <c:v>-1.3815072161983781</c:v>
                </c:pt>
                <c:pt idx="289">
                  <c:v>-0.48753839086338702</c:v>
                </c:pt>
                <c:pt idx="290">
                  <c:v>-0.83866673641658351</c:v>
                </c:pt>
                <c:pt idx="291">
                  <c:v>-1.1631948514326664</c:v>
                </c:pt>
                <c:pt idx="292">
                  <c:v>-1.1462503946463862</c:v>
                </c:pt>
                <c:pt idx="293">
                  <c:v>-1.3909927723080802</c:v>
                </c:pt>
                <c:pt idx="294">
                  <c:v>-0.79199774943581258</c:v>
                </c:pt>
                <c:pt idx="295">
                  <c:v>-0.63265888315019958</c:v>
                </c:pt>
                <c:pt idx="296">
                  <c:v>-0.13632241555032293</c:v>
                </c:pt>
                <c:pt idx="297">
                  <c:v>-0.29044352966464992</c:v>
                </c:pt>
                <c:pt idx="298">
                  <c:v>-0.20329564960320481</c:v>
                </c:pt>
                <c:pt idx="299">
                  <c:v>-1.0660336419525558</c:v>
                </c:pt>
                <c:pt idx="300">
                  <c:v>-0.49936820170753449</c:v>
                </c:pt>
                <c:pt idx="301">
                  <c:v>6.4399040416267817E-2</c:v>
                </c:pt>
                <c:pt idx="302">
                  <c:v>1.373124011464736E-2</c:v>
                </c:pt>
                <c:pt idx="303">
                  <c:v>0.16202884573014745</c:v>
                </c:pt>
                <c:pt idx="304">
                  <c:v>5.3618684137981584E-2</c:v>
                </c:pt>
                <c:pt idx="305">
                  <c:v>-0.33276133784976475</c:v>
                </c:pt>
                <c:pt idx="306">
                  <c:v>-0.24355179809185915</c:v>
                </c:pt>
                <c:pt idx="307">
                  <c:v>-0.43582039625702773</c:v>
                </c:pt>
                <c:pt idx="308">
                  <c:v>-0.30832636327312779</c:v>
                </c:pt>
                <c:pt idx="309">
                  <c:v>-0.52560380003217611</c:v>
                </c:pt>
                <c:pt idx="310">
                  <c:v>-0.96719677827097894</c:v>
                </c:pt>
                <c:pt idx="311">
                  <c:v>6.7108226395148116E-2</c:v>
                </c:pt>
                <c:pt idx="312">
                  <c:v>-0.858741829451239</c:v>
                </c:pt>
                <c:pt idx="313">
                  <c:v>-0.51325383766449439</c:v>
                </c:pt>
                <c:pt idx="314">
                  <c:v>-1.4404190533592232</c:v>
                </c:pt>
                <c:pt idx="315">
                  <c:v>-0.44505374927044428</c:v>
                </c:pt>
                <c:pt idx="316">
                  <c:v>0.22467716693014714</c:v>
                </c:pt>
                <c:pt idx="317">
                  <c:v>-1.0990586761867065</c:v>
                </c:pt>
                <c:pt idx="318">
                  <c:v>-1.3899130984052386</c:v>
                </c:pt>
                <c:pt idx="319">
                  <c:v>-1.142022841952006</c:v>
                </c:pt>
                <c:pt idx="320">
                  <c:v>-1.912428961702459</c:v>
                </c:pt>
                <c:pt idx="321">
                  <c:v>-1.8903408214776374</c:v>
                </c:pt>
                <c:pt idx="322">
                  <c:v>-1.2443209197685134</c:v>
                </c:pt>
                <c:pt idx="323">
                  <c:v>-1.058657179279596</c:v>
                </c:pt>
                <c:pt idx="324">
                  <c:v>-1.6635407429092925</c:v>
                </c:pt>
                <c:pt idx="325">
                  <c:v>-0.84996705424153662</c:v>
                </c:pt>
                <c:pt idx="326">
                  <c:v>-0.65781856767633728</c:v>
                </c:pt>
                <c:pt idx="327">
                  <c:v>0.1154204527533481</c:v>
                </c:pt>
                <c:pt idx="328">
                  <c:v>0.58028995826835217</c:v>
                </c:pt>
                <c:pt idx="329">
                  <c:v>0.83364957311406773</c:v>
                </c:pt>
                <c:pt idx="330">
                  <c:v>0.88087134257246213</c:v>
                </c:pt>
                <c:pt idx="331">
                  <c:v>0.82340458206121914</c:v>
                </c:pt>
                <c:pt idx="332">
                  <c:v>0.30928067372360196</c:v>
                </c:pt>
                <c:pt idx="333">
                  <c:v>0.39613407250555455</c:v>
                </c:pt>
                <c:pt idx="334">
                  <c:v>0.44185374184782256</c:v>
                </c:pt>
                <c:pt idx="335">
                  <c:v>0.27336523877623575</c:v>
                </c:pt>
                <c:pt idx="336">
                  <c:v>0.93700294398690187</c:v>
                </c:pt>
                <c:pt idx="337">
                  <c:v>0.26539924010448579</c:v>
                </c:pt>
                <c:pt idx="338">
                  <c:v>1.1882956054880565</c:v>
                </c:pt>
                <c:pt idx="339">
                  <c:v>0.67298015227364105</c:v>
                </c:pt>
                <c:pt idx="340">
                  <c:v>1.1326668632706005</c:v>
                </c:pt>
                <c:pt idx="341">
                  <c:v>0.67342355553110467</c:v>
                </c:pt>
                <c:pt idx="342">
                  <c:v>1.2616455423352322</c:v>
                </c:pt>
                <c:pt idx="343">
                  <c:v>1.169391220042481</c:v>
                </c:pt>
                <c:pt idx="344">
                  <c:v>0.50871928791805243</c:v>
                </c:pt>
                <c:pt idx="345">
                  <c:v>0.30730679108631981</c:v>
                </c:pt>
                <c:pt idx="346">
                  <c:v>-0.30450515761891722</c:v>
                </c:pt>
                <c:pt idx="347">
                  <c:v>-0.5164539455081737</c:v>
                </c:pt>
                <c:pt idx="348">
                  <c:v>-1.8538181690139268</c:v>
                </c:pt>
                <c:pt idx="349">
                  <c:v>-1.9599854739877827</c:v>
                </c:pt>
                <c:pt idx="350">
                  <c:v>-1.3378990391168921</c:v>
                </c:pt>
                <c:pt idx="351">
                  <c:v>-1.0839712245577076</c:v>
                </c:pt>
                <c:pt idx="352">
                  <c:v>-1.3322474114000837</c:v>
                </c:pt>
                <c:pt idx="353">
                  <c:v>-1.4556862987340879</c:v>
                </c:pt>
                <c:pt idx="354">
                  <c:v>-0.59121508135522138</c:v>
                </c:pt>
                <c:pt idx="355">
                  <c:v>-0.58502754874000829</c:v>
                </c:pt>
                <c:pt idx="356">
                  <c:v>-0.92420900024084995</c:v>
                </c:pt>
                <c:pt idx="357">
                  <c:v>-1.478905531900236</c:v>
                </c:pt>
                <c:pt idx="358">
                  <c:v>-1.6115743218942833</c:v>
                </c:pt>
                <c:pt idx="359">
                  <c:v>-1.8894214706614203</c:v>
                </c:pt>
                <c:pt idx="360">
                  <c:v>-1.7266682391965438</c:v>
                </c:pt>
                <c:pt idx="361">
                  <c:v>-2.5397020547149283</c:v>
                </c:pt>
                <c:pt idx="362">
                  <c:v>-1.8397795537782127</c:v>
                </c:pt>
                <c:pt idx="363">
                  <c:v>-1.27949118662289</c:v>
                </c:pt>
                <c:pt idx="364">
                  <c:v>-1.2569072967205046</c:v>
                </c:pt>
                <c:pt idx="365">
                  <c:v>-0.85715686443738548</c:v>
                </c:pt>
                <c:pt idx="366">
                  <c:v>-1.1788849399339343</c:v>
                </c:pt>
                <c:pt idx="367">
                  <c:v>-1.0294063878618711</c:v>
                </c:pt>
                <c:pt idx="368">
                  <c:v>-1.6344919205709303</c:v>
                </c:pt>
                <c:pt idx="369">
                  <c:v>-1.8533749857521649</c:v>
                </c:pt>
                <c:pt idx="370">
                  <c:v>-1.1751341216289053</c:v>
                </c:pt>
                <c:pt idx="371">
                  <c:v>-2.9659953551940479</c:v>
                </c:pt>
                <c:pt idx="372">
                  <c:v>-2.4034348021990977</c:v>
                </c:pt>
                <c:pt idx="373">
                  <c:v>-2.1920965458291204</c:v>
                </c:pt>
                <c:pt idx="374">
                  <c:v>-2.4274545334543558</c:v>
                </c:pt>
                <c:pt idx="375">
                  <c:v>-1.5321602271896952</c:v>
                </c:pt>
                <c:pt idx="376">
                  <c:v>-1.1333103663167419</c:v>
                </c:pt>
                <c:pt idx="377">
                  <c:v>-1.0596272859409146</c:v>
                </c:pt>
                <c:pt idx="378">
                  <c:v>-1.5525760031278732</c:v>
                </c:pt>
                <c:pt idx="379">
                  <c:v>-0.46113691144443886</c:v>
                </c:pt>
                <c:pt idx="380">
                  <c:v>0.19438862843995552</c:v>
                </c:pt>
                <c:pt idx="381">
                  <c:v>0.38651435161150804</c:v>
                </c:pt>
                <c:pt idx="382">
                  <c:v>0.46242438395433849</c:v>
                </c:pt>
                <c:pt idx="383">
                  <c:v>0.8690402752653581</c:v>
                </c:pt>
                <c:pt idx="384">
                  <c:v>-9.5616951660563762E-2</c:v>
                </c:pt>
                <c:pt idx="385">
                  <c:v>0.12540665551577779</c:v>
                </c:pt>
                <c:pt idx="386">
                  <c:v>-0.37381367344475586</c:v>
                </c:pt>
                <c:pt idx="387">
                  <c:v>-0.47251096403208198</c:v>
                </c:pt>
                <c:pt idx="388">
                  <c:v>6.269769419060886E-2</c:v>
                </c:pt>
                <c:pt idx="389">
                  <c:v>0.5945376226636041</c:v>
                </c:pt>
                <c:pt idx="390">
                  <c:v>1.6138835187968623</c:v>
                </c:pt>
                <c:pt idx="391">
                  <c:v>1.0982084955084386</c:v>
                </c:pt>
                <c:pt idx="392">
                  <c:v>1.2012513645996024</c:v>
                </c:pt>
                <c:pt idx="393">
                  <c:v>0.79224851644419547</c:v>
                </c:pt>
                <c:pt idx="394">
                  <c:v>-0.34697473809362528</c:v>
                </c:pt>
                <c:pt idx="395">
                  <c:v>-0.31476719849325024</c:v>
                </c:pt>
                <c:pt idx="396">
                  <c:v>-1.5131912861030163</c:v>
                </c:pt>
                <c:pt idx="397">
                  <c:v>-1.2103859058258191</c:v>
                </c:pt>
                <c:pt idx="398">
                  <c:v>-1.1696203740385318</c:v>
                </c:pt>
                <c:pt idx="399">
                  <c:v>-1.2385669602933698</c:v>
                </c:pt>
                <c:pt idx="400">
                  <c:v>-1.6560526256767059</c:v>
                </c:pt>
                <c:pt idx="401">
                  <c:v>-1.0752782920656261</c:v>
                </c:pt>
                <c:pt idx="402">
                  <c:v>-0.16980195502044687</c:v>
                </c:pt>
                <c:pt idx="403">
                  <c:v>4.2356408566579025E-2</c:v>
                </c:pt>
                <c:pt idx="404">
                  <c:v>0.15230364053944451</c:v>
                </c:pt>
                <c:pt idx="405">
                  <c:v>-0.35694593838451555</c:v>
                </c:pt>
                <c:pt idx="406">
                  <c:v>0.33297960540324423</c:v>
                </c:pt>
                <c:pt idx="407">
                  <c:v>0.45304946568067228</c:v>
                </c:pt>
                <c:pt idx="408">
                  <c:v>0.10079673994518017</c:v>
                </c:pt>
                <c:pt idx="409">
                  <c:v>-0.95827498760034335</c:v>
                </c:pt>
                <c:pt idx="410">
                  <c:v>-0.45819216866700596</c:v>
                </c:pt>
                <c:pt idx="411">
                  <c:v>3.7775268410703638E-2</c:v>
                </c:pt>
                <c:pt idx="412">
                  <c:v>-7.5216932626316207E-2</c:v>
                </c:pt>
                <c:pt idx="413">
                  <c:v>0.68442382814205616</c:v>
                </c:pt>
                <c:pt idx="414">
                  <c:v>0.68229428228457922</c:v>
                </c:pt>
                <c:pt idx="415">
                  <c:v>1.4253540213906228</c:v>
                </c:pt>
                <c:pt idx="416">
                  <c:v>0.22880300931479242</c:v>
                </c:pt>
                <c:pt idx="417">
                  <c:v>1.6364896603402352</c:v>
                </c:pt>
                <c:pt idx="418">
                  <c:v>0.47672536513460312</c:v>
                </c:pt>
                <c:pt idx="419">
                  <c:v>0.67614668256696819</c:v>
                </c:pt>
                <c:pt idx="420">
                  <c:v>-0.33689328400539553</c:v>
                </c:pt>
                <c:pt idx="421">
                  <c:v>7.5758915121920192E-3</c:v>
                </c:pt>
                <c:pt idx="422">
                  <c:v>-0.71378580323540552</c:v>
                </c:pt>
                <c:pt idx="423">
                  <c:v>5.2871375629040904E-3</c:v>
                </c:pt>
                <c:pt idx="424">
                  <c:v>0.17016171744452302</c:v>
                </c:pt>
                <c:pt idx="425">
                  <c:v>0.81510451999883626</c:v>
                </c:pt>
                <c:pt idx="426">
                  <c:v>0.59578246556929382</c:v>
                </c:pt>
                <c:pt idx="427">
                  <c:v>0.93392156985012464</c:v>
                </c:pt>
                <c:pt idx="428">
                  <c:v>-0.87553504868263032</c:v>
                </c:pt>
                <c:pt idx="429">
                  <c:v>-0.95733914827342248</c:v>
                </c:pt>
                <c:pt idx="430">
                  <c:v>6.8328114517301392E-2</c:v>
                </c:pt>
                <c:pt idx="431">
                  <c:v>0.52957497974971912</c:v>
                </c:pt>
                <c:pt idx="432">
                  <c:v>0.6036732416718974</c:v>
                </c:pt>
                <c:pt idx="433">
                  <c:v>0.35646844075810846</c:v>
                </c:pt>
                <c:pt idx="434">
                  <c:v>-0.5765539389106441</c:v>
                </c:pt>
                <c:pt idx="435">
                  <c:v>-0.25759448530570322</c:v>
                </c:pt>
                <c:pt idx="436">
                  <c:v>-0.58219878736545971</c:v>
                </c:pt>
                <c:pt idx="437">
                  <c:v>0.80751922283668842</c:v>
                </c:pt>
                <c:pt idx="438">
                  <c:v>-6.8764750411448194E-2</c:v>
                </c:pt>
                <c:pt idx="439">
                  <c:v>-6.6287284934817961E-2</c:v>
                </c:pt>
                <c:pt idx="440">
                  <c:v>-1.0284346827833808</c:v>
                </c:pt>
                <c:pt idx="441">
                  <c:v>-0.18283912663392368</c:v>
                </c:pt>
                <c:pt idx="442">
                  <c:v>7.6320970593840728E-2</c:v>
                </c:pt>
                <c:pt idx="443">
                  <c:v>-0.65722899317824657</c:v>
                </c:pt>
                <c:pt idx="444">
                  <c:v>-0.74010006174374832</c:v>
                </c:pt>
                <c:pt idx="445">
                  <c:v>-0.18047465332119084</c:v>
                </c:pt>
                <c:pt idx="446">
                  <c:v>-1.2678512985736672</c:v>
                </c:pt>
                <c:pt idx="447">
                  <c:v>-1.9511923812471506</c:v>
                </c:pt>
                <c:pt idx="448">
                  <c:v>-0.83296394226075809</c:v>
                </c:pt>
                <c:pt idx="449">
                  <c:v>-0.61013258951484883</c:v>
                </c:pt>
                <c:pt idx="450">
                  <c:v>-0.78898815338329709</c:v>
                </c:pt>
                <c:pt idx="451">
                  <c:v>0.8705098207003773</c:v>
                </c:pt>
                <c:pt idx="452">
                  <c:v>0.39919298656709151</c:v>
                </c:pt>
                <c:pt idx="453">
                  <c:v>0.85640965667609814</c:v>
                </c:pt>
                <c:pt idx="454">
                  <c:v>0.97856748847734842</c:v>
                </c:pt>
                <c:pt idx="455">
                  <c:v>0.56164839525398935</c:v>
                </c:pt>
                <c:pt idx="456">
                  <c:v>-0.26536088759782278</c:v>
                </c:pt>
                <c:pt idx="457">
                  <c:v>-0.10459633297710309</c:v>
                </c:pt>
                <c:pt idx="458">
                  <c:v>-1.0550757035712581</c:v>
                </c:pt>
                <c:pt idx="459">
                  <c:v>-1.4352160703872852</c:v>
                </c:pt>
                <c:pt idx="460">
                  <c:v>-1.4127256958847703</c:v>
                </c:pt>
                <c:pt idx="461">
                  <c:v>-1.5728257447222322</c:v>
                </c:pt>
                <c:pt idx="462">
                  <c:v>-0.57753388113429893</c:v>
                </c:pt>
                <c:pt idx="463">
                  <c:v>-0.76011664644468468</c:v>
                </c:pt>
                <c:pt idx="464">
                  <c:v>-0.88796262130560755</c:v>
                </c:pt>
                <c:pt idx="465">
                  <c:v>-0.41537875856719625</c:v>
                </c:pt>
                <c:pt idx="466">
                  <c:v>8.1772626679413055E-2</c:v>
                </c:pt>
                <c:pt idx="467">
                  <c:v>-0.54319890886047806</c:v>
                </c:pt>
                <c:pt idx="468">
                  <c:v>-0.59361823581935869</c:v>
                </c:pt>
                <c:pt idx="469">
                  <c:v>9.7538744664140101E-2</c:v>
                </c:pt>
                <c:pt idx="470">
                  <c:v>-0.45248394144958926</c:v>
                </c:pt>
                <c:pt idx="471">
                  <c:v>-1.8631779527034256</c:v>
                </c:pt>
                <c:pt idx="472">
                  <c:v>-1.4818515223420712</c:v>
                </c:pt>
                <c:pt idx="473">
                  <c:v>-2.5402014679602729</c:v>
                </c:pt>
                <c:pt idx="474">
                  <c:v>-1.9645208277230732</c:v>
                </c:pt>
                <c:pt idx="475">
                  <c:v>-1.6150394831148707</c:v>
                </c:pt>
                <c:pt idx="476">
                  <c:v>-2.0084432155353431</c:v>
                </c:pt>
                <c:pt idx="477">
                  <c:v>-1.8831958732936731</c:v>
                </c:pt>
                <c:pt idx="478">
                  <c:v>-1.6357657252391893</c:v>
                </c:pt>
                <c:pt idx="479">
                  <c:v>-1.2595102228965951</c:v>
                </c:pt>
                <c:pt idx="480">
                  <c:v>-2.0062297364602952</c:v>
                </c:pt>
                <c:pt idx="481">
                  <c:v>-1.8655813805784023</c:v>
                </c:pt>
                <c:pt idx="482">
                  <c:v>-1.6712569744402925</c:v>
                </c:pt>
                <c:pt idx="483">
                  <c:v>-1.140413846570145</c:v>
                </c:pt>
                <c:pt idx="484">
                  <c:v>-1.2162572191485224</c:v>
                </c:pt>
                <c:pt idx="485">
                  <c:v>-1.2982906591078498</c:v>
                </c:pt>
                <c:pt idx="486">
                  <c:v>-0.93723554860773262</c:v>
                </c:pt>
                <c:pt idx="487">
                  <c:v>-1.7488128540532182</c:v>
                </c:pt>
                <c:pt idx="488">
                  <c:v>-1.5440897535320126</c:v>
                </c:pt>
                <c:pt idx="489">
                  <c:v>-0.71198805561721612</c:v>
                </c:pt>
                <c:pt idx="490">
                  <c:v>-1.3079714406321286</c:v>
                </c:pt>
                <c:pt idx="491">
                  <c:v>-0.86272781877354321</c:v>
                </c:pt>
                <c:pt idx="492">
                  <c:v>-0.91797666164701985</c:v>
                </c:pt>
                <c:pt idx="493">
                  <c:v>-2.036063507491201</c:v>
                </c:pt>
                <c:pt idx="494">
                  <c:v>-1.5393563789318037</c:v>
                </c:pt>
                <c:pt idx="495">
                  <c:v>-0.58562381119364237</c:v>
                </c:pt>
                <c:pt idx="496">
                  <c:v>-1.4955247302526475</c:v>
                </c:pt>
                <c:pt idx="497">
                  <c:v>-1.8500812345077</c:v>
                </c:pt>
                <c:pt idx="498">
                  <c:v>-1.4282204590238177</c:v>
                </c:pt>
                <c:pt idx="499">
                  <c:v>-1.2883905523062742</c:v>
                </c:pt>
                <c:pt idx="500">
                  <c:v>-1.7599936980528792</c:v>
                </c:pt>
                <c:pt idx="501">
                  <c:v>-0.48570828832123897</c:v>
                </c:pt>
                <c:pt idx="502">
                  <c:v>-0.85740463012431867</c:v>
                </c:pt>
                <c:pt idx="503">
                  <c:v>-0.94498957470005318</c:v>
                </c:pt>
                <c:pt idx="504">
                  <c:v>-0.78622062126479908</c:v>
                </c:pt>
                <c:pt idx="505">
                  <c:v>-0.54916416574177451</c:v>
                </c:pt>
                <c:pt idx="506">
                  <c:v>-0.24941423334738899</c:v>
                </c:pt>
                <c:pt idx="507">
                  <c:v>-0.52519074457703052</c:v>
                </c:pt>
                <c:pt idx="508">
                  <c:v>0.42040063860833893</c:v>
                </c:pt>
                <c:pt idx="509">
                  <c:v>0.22313299618265114</c:v>
                </c:pt>
                <c:pt idx="510">
                  <c:v>-0.45520706740580436</c:v>
                </c:pt>
                <c:pt idx="511">
                  <c:v>0.67615430917517094</c:v>
                </c:pt>
                <c:pt idx="512">
                  <c:v>-2.36927604525328E-2</c:v>
                </c:pt>
                <c:pt idx="513">
                  <c:v>0.80615026164780146</c:v>
                </c:pt>
                <c:pt idx="514">
                  <c:v>0.77788192471019357</c:v>
                </c:pt>
                <c:pt idx="515">
                  <c:v>0.76868473907226487</c:v>
                </c:pt>
                <c:pt idx="516">
                  <c:v>0.21794903168198243</c:v>
                </c:pt>
                <c:pt idx="517">
                  <c:v>0.65574970518680054</c:v>
                </c:pt>
                <c:pt idx="518">
                  <c:v>-9.9749077219974613E-2</c:v>
                </c:pt>
                <c:pt idx="519">
                  <c:v>-2.5508852640177779</c:v>
                </c:pt>
                <c:pt idx="520">
                  <c:v>-1.2263798275562716</c:v>
                </c:pt>
                <c:pt idx="521">
                  <c:v>-0.70178705770451466</c:v>
                </c:pt>
                <c:pt idx="522">
                  <c:v>-0.20759744311362713</c:v>
                </c:pt>
                <c:pt idx="523">
                  <c:v>-0.35168440715486193</c:v>
                </c:pt>
                <c:pt idx="524">
                  <c:v>-0.16722287124285887</c:v>
                </c:pt>
                <c:pt idx="525">
                  <c:v>0.1735231990175394</c:v>
                </c:pt>
                <c:pt idx="526">
                  <c:v>-0.23924426985890851</c:v>
                </c:pt>
                <c:pt idx="527">
                  <c:v>-1.1778918685054371</c:v>
                </c:pt>
                <c:pt idx="528">
                  <c:v>-1.2796846361851368</c:v>
                </c:pt>
                <c:pt idx="529">
                  <c:v>-0.61218159263516281</c:v>
                </c:pt>
                <c:pt idx="530">
                  <c:v>-1.1418616642126316</c:v>
                </c:pt>
                <c:pt idx="531">
                  <c:v>-1.5916296753315275</c:v>
                </c:pt>
                <c:pt idx="532">
                  <c:v>-1.4701383872627924</c:v>
                </c:pt>
                <c:pt idx="533">
                  <c:v>-1.4036223933746914</c:v>
                </c:pt>
                <c:pt idx="534">
                  <c:v>-1.2572228760079296</c:v>
                </c:pt>
                <c:pt idx="535">
                  <c:v>-0.69663606233424047</c:v>
                </c:pt>
                <c:pt idx="536">
                  <c:v>-0.77136882821006658</c:v>
                </c:pt>
                <c:pt idx="537">
                  <c:v>-0.4622214344293224</c:v>
                </c:pt>
                <c:pt idx="538">
                  <c:v>-0.71926438318838215</c:v>
                </c:pt>
                <c:pt idx="539">
                  <c:v>-0.68495265182377629</c:v>
                </c:pt>
                <c:pt idx="540">
                  <c:v>-0.45028433600108414</c:v>
                </c:pt>
                <c:pt idx="541">
                  <c:v>-0.21958673204801954</c:v>
                </c:pt>
                <c:pt idx="542">
                  <c:v>-0.62399684625545082</c:v>
                </c:pt>
                <c:pt idx="543">
                  <c:v>-0.99334674965436598</c:v>
                </c:pt>
                <c:pt idx="544">
                  <c:v>-0.1594616315711222</c:v>
                </c:pt>
                <c:pt idx="545">
                  <c:v>6.0840629048453172E-2</c:v>
                </c:pt>
                <c:pt idx="546">
                  <c:v>-0.34930037390328922</c:v>
                </c:pt>
                <c:pt idx="547">
                  <c:v>-0.28137686997824035</c:v>
                </c:pt>
                <c:pt idx="548">
                  <c:v>0.41582254546768821</c:v>
                </c:pt>
                <c:pt idx="549">
                  <c:v>0.4484380599726468</c:v>
                </c:pt>
                <c:pt idx="550">
                  <c:v>1.2182249568486883</c:v>
                </c:pt>
                <c:pt idx="551">
                  <c:v>0.80544320519313828</c:v>
                </c:pt>
                <c:pt idx="552">
                  <c:v>1.0128191483858244</c:v>
                </c:pt>
                <c:pt idx="553">
                  <c:v>1.3558964910389484</c:v>
                </c:pt>
                <c:pt idx="554">
                  <c:v>0.71045806784128995</c:v>
                </c:pt>
                <c:pt idx="555">
                  <c:v>1.4115966690826298</c:v>
                </c:pt>
                <c:pt idx="556">
                  <c:v>0.94529809117192587</c:v>
                </c:pt>
                <c:pt idx="557">
                  <c:v>1.94145024442595</c:v>
                </c:pt>
                <c:pt idx="558">
                  <c:v>2.5894294734332384</c:v>
                </c:pt>
                <c:pt idx="559">
                  <c:v>2.2185958164942732</c:v>
                </c:pt>
                <c:pt idx="560">
                  <c:v>0.86077155197198429</c:v>
                </c:pt>
                <c:pt idx="561">
                  <c:v>1.6252382211757943</c:v>
                </c:pt>
                <c:pt idx="562">
                  <c:v>0.37571074228469653</c:v>
                </c:pt>
                <c:pt idx="563">
                  <c:v>-0.37334392419100404</c:v>
                </c:pt>
                <c:pt idx="564">
                  <c:v>0.46860968847240758</c:v>
                </c:pt>
                <c:pt idx="565">
                  <c:v>-0.57131964622660525</c:v>
                </c:pt>
                <c:pt idx="566">
                  <c:v>-0.43100998345462627</c:v>
                </c:pt>
                <c:pt idx="567">
                  <c:v>-0.44623314734234015</c:v>
                </c:pt>
                <c:pt idx="568">
                  <c:v>-0.94694675977257847</c:v>
                </c:pt>
                <c:pt idx="569">
                  <c:v>-0.5396683333897514</c:v>
                </c:pt>
                <c:pt idx="570">
                  <c:v>-0.72484061009476364</c:v>
                </c:pt>
                <c:pt idx="571">
                  <c:v>-0.98610428080116452</c:v>
                </c:pt>
                <c:pt idx="572">
                  <c:v>-1.16818753636727</c:v>
                </c:pt>
                <c:pt idx="573">
                  <c:v>-0.77784519393015195</c:v>
                </c:pt>
                <c:pt idx="574">
                  <c:v>-1.1886991548804025</c:v>
                </c:pt>
                <c:pt idx="575">
                  <c:v>-1.3588024851908858</c:v>
                </c:pt>
                <c:pt idx="576">
                  <c:v>-0.54111107870128206</c:v>
                </c:pt>
                <c:pt idx="577">
                  <c:v>0.33225876777733698</c:v>
                </c:pt>
                <c:pt idx="578">
                  <c:v>-0.49411725461196104</c:v>
                </c:pt>
                <c:pt idx="579">
                  <c:v>-0.55022413372723844</c:v>
                </c:pt>
                <c:pt idx="580">
                  <c:v>-1.0653552620935094</c:v>
                </c:pt>
                <c:pt idx="581">
                  <c:v>-0.56703444173207662</c:v>
                </c:pt>
                <c:pt idx="582">
                  <c:v>-0.97298890652101755</c:v>
                </c:pt>
                <c:pt idx="583">
                  <c:v>-1.2227269165851853</c:v>
                </c:pt>
                <c:pt idx="584">
                  <c:v>-0.87737270979731419</c:v>
                </c:pt>
                <c:pt idx="585">
                  <c:v>-0.63951751370838927</c:v>
                </c:pt>
                <c:pt idx="586">
                  <c:v>-0.43728093393819306</c:v>
                </c:pt>
                <c:pt idx="587">
                  <c:v>-0.13815196670581623</c:v>
                </c:pt>
                <c:pt idx="588">
                  <c:v>0.13144677593871784</c:v>
                </c:pt>
                <c:pt idx="589">
                  <c:v>0.36107769367339204</c:v>
                </c:pt>
                <c:pt idx="590">
                  <c:v>0.49379885099173554</c:v>
                </c:pt>
                <c:pt idx="591">
                  <c:v>-0.34616757609400994</c:v>
                </c:pt>
                <c:pt idx="592">
                  <c:v>-0.24310323118322366</c:v>
                </c:pt>
                <c:pt idx="593">
                  <c:v>0.3310693727409515</c:v>
                </c:pt>
                <c:pt idx="594">
                  <c:v>-2.8090984348188054E-2</c:v>
                </c:pt>
                <c:pt idx="595">
                  <c:v>-0.43735197413251642</c:v>
                </c:pt>
                <c:pt idx="596">
                  <c:v>0.1274173484949345</c:v>
                </c:pt>
                <c:pt idx="597">
                  <c:v>-0.46827115353179888</c:v>
                </c:pt>
                <c:pt idx="598">
                  <c:v>0.81492036332731177</c:v>
                </c:pt>
                <c:pt idx="599">
                  <c:v>0.93684513096551636</c:v>
                </c:pt>
                <c:pt idx="600">
                  <c:v>-0.21925284468155837</c:v>
                </c:pt>
                <c:pt idx="601">
                  <c:v>-0.8873768160388612</c:v>
                </c:pt>
                <c:pt idx="602">
                  <c:v>-0.23417751141853116</c:v>
                </c:pt>
                <c:pt idx="603">
                  <c:v>-0.49092612690914961</c:v>
                </c:pt>
                <c:pt idx="604">
                  <c:v>-1.1650115140843349</c:v>
                </c:pt>
                <c:pt idx="605">
                  <c:v>-0.42865847892751946</c:v>
                </c:pt>
                <c:pt idx="606">
                  <c:v>-1.0331942273756616</c:v>
                </c:pt>
                <c:pt idx="607">
                  <c:v>-1.2747710636542766</c:v>
                </c:pt>
                <c:pt idx="608">
                  <c:v>-1.4319612787382272</c:v>
                </c:pt>
                <c:pt idx="609">
                  <c:v>-1.5484735931280977</c:v>
                </c:pt>
                <c:pt idx="610">
                  <c:v>-2.0133531697096778</c:v>
                </c:pt>
                <c:pt idx="611">
                  <c:v>-2.1298814670088717</c:v>
                </c:pt>
                <c:pt idx="612">
                  <c:v>-1.5639836683640831</c:v>
                </c:pt>
                <c:pt idx="613">
                  <c:v>-1.4473883650456265</c:v>
                </c:pt>
                <c:pt idx="614">
                  <c:v>-0.19845515940361247</c:v>
                </c:pt>
                <c:pt idx="615">
                  <c:v>-0.6437069493211266</c:v>
                </c:pt>
                <c:pt idx="616">
                  <c:v>-0.5751005447290759</c:v>
                </c:pt>
                <c:pt idx="617">
                  <c:v>4.3204306688252647E-2</c:v>
                </c:pt>
                <c:pt idx="618">
                  <c:v>-1.0436380348704624</c:v>
                </c:pt>
                <c:pt idx="619">
                  <c:v>-0.7215199006258487</c:v>
                </c:pt>
                <c:pt idx="620">
                  <c:v>-2.0025932804607734E-2</c:v>
                </c:pt>
                <c:pt idx="621">
                  <c:v>-9.0953609607920871E-2</c:v>
                </c:pt>
                <c:pt idx="622">
                  <c:v>0.48736968517750368</c:v>
                </c:pt>
                <c:pt idx="623">
                  <c:v>0.56408003016460584</c:v>
                </c:pt>
                <c:pt idx="624">
                  <c:v>1.2642620929759751</c:v>
                </c:pt>
                <c:pt idx="625">
                  <c:v>0.91084998070191125</c:v>
                </c:pt>
                <c:pt idx="626">
                  <c:v>0.48159997029568502</c:v>
                </c:pt>
                <c:pt idx="627">
                  <c:v>0.25182862874862838</c:v>
                </c:pt>
                <c:pt idx="628">
                  <c:v>0.31025814478858965</c:v>
                </c:pt>
                <c:pt idx="629">
                  <c:v>-4.0091759150387082E-3</c:v>
                </c:pt>
                <c:pt idx="630">
                  <c:v>2.8247152976824841E-2</c:v>
                </c:pt>
                <c:pt idx="631">
                  <c:v>-0.29220362593914495</c:v>
                </c:pt>
                <c:pt idx="632">
                  <c:v>0.73424759319204691</c:v>
                </c:pt>
                <c:pt idx="633">
                  <c:v>0.8432619630974455</c:v>
                </c:pt>
                <c:pt idx="634">
                  <c:v>0.81518961256954714</c:v>
                </c:pt>
                <c:pt idx="635">
                  <c:v>0.66209757204612452</c:v>
                </c:pt>
                <c:pt idx="636">
                  <c:v>0.95353737892205592</c:v>
                </c:pt>
                <c:pt idx="637">
                  <c:v>-0.12555987460625243</c:v>
                </c:pt>
                <c:pt idx="638">
                  <c:v>-0.1481644738854061</c:v>
                </c:pt>
                <c:pt idx="639">
                  <c:v>-6.7513351441765401E-2</c:v>
                </c:pt>
                <c:pt idx="640">
                  <c:v>0.48529294425960534</c:v>
                </c:pt>
                <c:pt idx="641">
                  <c:v>-2.4232381642298527E-3</c:v>
                </c:pt>
                <c:pt idx="642">
                  <c:v>-0.40812551491195342</c:v>
                </c:pt>
                <c:pt idx="643">
                  <c:v>-0.70357118462436641</c:v>
                </c:pt>
                <c:pt idx="644">
                  <c:v>-0.10913126041283432</c:v>
                </c:pt>
                <c:pt idx="645">
                  <c:v>0.6811087238276351</c:v>
                </c:pt>
                <c:pt idx="646">
                  <c:v>0.16452702234900013</c:v>
                </c:pt>
                <c:pt idx="647">
                  <c:v>0.51437499605999681</c:v>
                </c:pt>
                <c:pt idx="648">
                  <c:v>0.57071702124475532</c:v>
                </c:pt>
                <c:pt idx="649">
                  <c:v>-0.63141428688348</c:v>
                </c:pt>
                <c:pt idx="650">
                  <c:v>-7.7739774941025769E-2</c:v>
                </c:pt>
                <c:pt idx="651">
                  <c:v>-0.14011875204357344</c:v>
                </c:pt>
                <c:pt idx="652">
                  <c:v>0.3425298718268171</c:v>
                </c:pt>
                <c:pt idx="653">
                  <c:v>-0.36920317755434368</c:v>
                </c:pt>
                <c:pt idx="654">
                  <c:v>-1.020276816001553</c:v>
                </c:pt>
                <c:pt idx="655">
                  <c:v>-0.21377848018329651</c:v>
                </c:pt>
                <c:pt idx="656">
                  <c:v>0.49063432406684232</c:v>
                </c:pt>
                <c:pt idx="657">
                  <c:v>0.84254005137781596</c:v>
                </c:pt>
                <c:pt idx="658">
                  <c:v>0.3935786348549043</c:v>
                </c:pt>
                <c:pt idx="659">
                  <c:v>0.7024415669109707</c:v>
                </c:pt>
                <c:pt idx="660">
                  <c:v>-0.14183764401998325</c:v>
                </c:pt>
                <c:pt idx="661">
                  <c:v>-0.18945857544080788</c:v>
                </c:pt>
                <c:pt idx="662">
                  <c:v>0.24911166831546341</c:v>
                </c:pt>
                <c:pt idx="663">
                  <c:v>0.6550497545188636</c:v>
                </c:pt>
                <c:pt idx="664">
                  <c:v>0.41959059342617439</c:v>
                </c:pt>
                <c:pt idx="665">
                  <c:v>0.86569824948705043</c:v>
                </c:pt>
                <c:pt idx="666">
                  <c:v>1.3411975006815349</c:v>
                </c:pt>
                <c:pt idx="667">
                  <c:v>1.4740301721685214</c:v>
                </c:pt>
                <c:pt idx="668">
                  <c:v>0.70147549805913745</c:v>
                </c:pt>
                <c:pt idx="669">
                  <c:v>1.1188418728627543</c:v>
                </c:pt>
                <c:pt idx="670">
                  <c:v>1.7754837027997383</c:v>
                </c:pt>
                <c:pt idx="671">
                  <c:v>0.91413275470100896</c:v>
                </c:pt>
                <c:pt idx="672">
                  <c:v>0.60919932268921062</c:v>
                </c:pt>
                <c:pt idx="673">
                  <c:v>-0.33630163839948801</c:v>
                </c:pt>
                <c:pt idx="674">
                  <c:v>-0.69194438999226704</c:v>
                </c:pt>
                <c:pt idx="675">
                  <c:v>-0.6425245953643357</c:v>
                </c:pt>
                <c:pt idx="676">
                  <c:v>-1.0131014351055299</c:v>
                </c:pt>
                <c:pt idx="677">
                  <c:v>-0.42234945648819566</c:v>
                </c:pt>
                <c:pt idx="678">
                  <c:v>-0.64919871465196344</c:v>
                </c:pt>
                <c:pt idx="679">
                  <c:v>-1.0050240614267627</c:v>
                </c:pt>
                <c:pt idx="680">
                  <c:v>-8.0946239248758822E-2</c:v>
                </c:pt>
                <c:pt idx="681">
                  <c:v>-0.19703260328587263</c:v>
                </c:pt>
                <c:pt idx="682">
                  <c:v>-8.6131200776387362E-2</c:v>
                </c:pt>
                <c:pt idx="683">
                  <c:v>0.25328990260733775</c:v>
                </c:pt>
                <c:pt idx="684">
                  <c:v>0.36178359569207819</c:v>
                </c:pt>
                <c:pt idx="685">
                  <c:v>0.21825108425231737</c:v>
                </c:pt>
                <c:pt idx="686">
                  <c:v>0.61790369334702777</c:v>
                </c:pt>
                <c:pt idx="687">
                  <c:v>0.97212161511221129</c:v>
                </c:pt>
                <c:pt idx="688">
                  <c:v>1.0565610489480297</c:v>
                </c:pt>
                <c:pt idx="689">
                  <c:v>1.370003301866509</c:v>
                </c:pt>
                <c:pt idx="690">
                  <c:v>2.9898906657176374</c:v>
                </c:pt>
                <c:pt idx="691">
                  <c:v>2.0745832451523833</c:v>
                </c:pt>
                <c:pt idx="692">
                  <c:v>2.0428661767954779</c:v>
                </c:pt>
                <c:pt idx="693">
                  <c:v>2.0283715259775086</c:v>
                </c:pt>
                <c:pt idx="694">
                  <c:v>1.8203637050620458</c:v>
                </c:pt>
                <c:pt idx="695">
                  <c:v>2.0260907030137192</c:v>
                </c:pt>
                <c:pt idx="696">
                  <c:v>0.11392352922469652</c:v>
                </c:pt>
                <c:pt idx="697">
                  <c:v>-1.4408406264636249E-2</c:v>
                </c:pt>
                <c:pt idx="698">
                  <c:v>1.2527713306730976</c:v>
                </c:pt>
                <c:pt idx="699">
                  <c:v>0.15992721157194961</c:v>
                </c:pt>
                <c:pt idx="700">
                  <c:v>0.44591114910787016</c:v>
                </c:pt>
                <c:pt idx="701">
                  <c:v>9.5080098993257325E-2</c:v>
                </c:pt>
                <c:pt idx="702">
                  <c:v>-0.26113502133366834</c:v>
                </c:pt>
                <c:pt idx="703">
                  <c:v>-1.453119988426206</c:v>
                </c:pt>
                <c:pt idx="704">
                  <c:v>-1.7018879295871339</c:v>
                </c:pt>
                <c:pt idx="705">
                  <c:v>3.611274224776951E-2</c:v>
                </c:pt>
                <c:pt idx="706">
                  <c:v>-2.8375943357008584</c:v>
                </c:pt>
                <c:pt idx="707">
                  <c:v>-1.2350035719278465</c:v>
                </c:pt>
                <c:pt idx="708">
                  <c:v>-0.48687037181899406</c:v>
                </c:pt>
                <c:pt idx="709">
                  <c:v>-0.7631837613881004</c:v>
                </c:pt>
                <c:pt idx="710">
                  <c:v>-1.1261656232235486</c:v>
                </c:pt>
                <c:pt idx="711">
                  <c:v>-1.2728345338461458</c:v>
                </c:pt>
                <c:pt idx="712">
                  <c:v>-1.8084416364785287</c:v>
                </c:pt>
                <c:pt idx="713">
                  <c:v>-1.3092127924500594</c:v>
                </c:pt>
                <c:pt idx="714">
                  <c:v>-0.64028516481164965</c:v>
                </c:pt>
                <c:pt idx="715">
                  <c:v>-1.1759855198811331</c:v>
                </c:pt>
                <c:pt idx="716">
                  <c:v>-0.14984295764982222</c:v>
                </c:pt>
                <c:pt idx="717">
                  <c:v>-0.7913909278747675</c:v>
                </c:pt>
                <c:pt idx="718">
                  <c:v>-0.45912345817944711</c:v>
                </c:pt>
                <c:pt idx="719">
                  <c:v>-0.61455908665976855</c:v>
                </c:pt>
                <c:pt idx="720">
                  <c:v>-0.90787263242566607</c:v>
                </c:pt>
                <c:pt idx="721">
                  <c:v>-0.2032324433341538</c:v>
                </c:pt>
                <c:pt idx="722">
                  <c:v>0.12496247791297645</c:v>
                </c:pt>
                <c:pt idx="723">
                  <c:v>0.15385877988870594</c:v>
                </c:pt>
                <c:pt idx="724">
                  <c:v>-1.1826462568264846E-2</c:v>
                </c:pt>
                <c:pt idx="725">
                  <c:v>-0.80663838017093004</c:v>
                </c:pt>
                <c:pt idx="726">
                  <c:v>-1.0609345022996102</c:v>
                </c:pt>
                <c:pt idx="727">
                  <c:v>-0.76268812390497731</c:v>
                </c:pt>
                <c:pt idx="728">
                  <c:v>-0.69949617478353077</c:v>
                </c:pt>
                <c:pt idx="729">
                  <c:v>-1.339415870485926</c:v>
                </c:pt>
                <c:pt idx="730">
                  <c:v>-0.41650258527338907</c:v>
                </c:pt>
                <c:pt idx="731">
                  <c:v>-6.8936460691050014E-2</c:v>
                </c:pt>
                <c:pt idx="732">
                  <c:v>-0.83237247229784905</c:v>
                </c:pt>
                <c:pt idx="733">
                  <c:v>-0.8665083759141502</c:v>
                </c:pt>
                <c:pt idx="734">
                  <c:v>-1.167456822878991</c:v>
                </c:pt>
                <c:pt idx="735">
                  <c:v>1.5653425879100121E-2</c:v>
                </c:pt>
                <c:pt idx="736">
                  <c:v>-0.29081311859097858</c:v>
                </c:pt>
                <c:pt idx="737">
                  <c:v>-0.1994094406207372</c:v>
                </c:pt>
                <c:pt idx="738">
                  <c:v>0.21185663182810724</c:v>
                </c:pt>
                <c:pt idx="739">
                  <c:v>0.10889277325364148</c:v>
                </c:pt>
                <c:pt idx="740">
                  <c:v>-0.10759374117513051</c:v>
                </c:pt>
                <c:pt idx="741">
                  <c:v>0.33138946937696584</c:v>
                </c:pt>
                <c:pt idx="742">
                  <c:v>-0.29234278470552577</c:v>
                </c:pt>
                <c:pt idx="743">
                  <c:v>0.31532830980517096</c:v>
                </c:pt>
                <c:pt idx="744">
                  <c:v>1.2564830230954387</c:v>
                </c:pt>
                <c:pt idx="745">
                  <c:v>0.46734728478699233</c:v>
                </c:pt>
                <c:pt idx="746">
                  <c:v>0.46087992910302172</c:v>
                </c:pt>
                <c:pt idx="747">
                  <c:v>0.22672429836100291</c:v>
                </c:pt>
                <c:pt idx="748">
                  <c:v>-0.23572117709615795</c:v>
                </c:pt>
                <c:pt idx="749">
                  <c:v>0.35781904907430057</c:v>
                </c:pt>
                <c:pt idx="750">
                  <c:v>-0.22145016082996885</c:v>
                </c:pt>
                <c:pt idx="751">
                  <c:v>-5.4990976206306059E-2</c:v>
                </c:pt>
                <c:pt idx="752">
                  <c:v>-0.19675286779903595</c:v>
                </c:pt>
                <c:pt idx="753">
                  <c:v>-1.39871894041282</c:v>
                </c:pt>
                <c:pt idx="754">
                  <c:v>-0.4433172455211829</c:v>
                </c:pt>
                <c:pt idx="755">
                  <c:v>-0.25890605016772755</c:v>
                </c:pt>
                <c:pt idx="756">
                  <c:v>0.13746413369425697</c:v>
                </c:pt>
                <c:pt idx="757">
                  <c:v>0.91595376144030594</c:v>
                </c:pt>
                <c:pt idx="758">
                  <c:v>0.89002964636587945</c:v>
                </c:pt>
                <c:pt idx="759">
                  <c:v>0.72288140102011422</c:v>
                </c:pt>
                <c:pt idx="760">
                  <c:v>0.78882929076651231</c:v>
                </c:pt>
                <c:pt idx="761">
                  <c:v>0.70961650719450042</c:v>
                </c:pt>
                <c:pt idx="762">
                  <c:v>0.69761025863376547</c:v>
                </c:pt>
                <c:pt idx="763">
                  <c:v>0.97870854534870033</c:v>
                </c:pt>
                <c:pt idx="764">
                  <c:v>0.27508998349292296</c:v>
                </c:pt>
                <c:pt idx="765">
                  <c:v>-1.0187376051547343E-3</c:v>
                </c:pt>
                <c:pt idx="766">
                  <c:v>-5.6234277774655769E-2</c:v>
                </c:pt>
                <c:pt idx="767">
                  <c:v>-1.0959472823498706</c:v>
                </c:pt>
                <c:pt idx="768">
                  <c:v>0.20908101718420991</c:v>
                </c:pt>
                <c:pt idx="769">
                  <c:v>0.32610570043993531</c:v>
                </c:pt>
                <c:pt idx="770">
                  <c:v>-0.22204832051092155</c:v>
                </c:pt>
                <c:pt idx="771">
                  <c:v>0.82675710789422208</c:v>
                </c:pt>
                <c:pt idx="772">
                  <c:v>0.7755522363391909</c:v>
                </c:pt>
                <c:pt idx="773">
                  <c:v>0.70965123575839151</c:v>
                </c:pt>
                <c:pt idx="774">
                  <c:v>0.15797065869547089</c:v>
                </c:pt>
                <c:pt idx="775">
                  <c:v>0.63857042063514091</c:v>
                </c:pt>
                <c:pt idx="776">
                  <c:v>-0.17544279453392816</c:v>
                </c:pt>
                <c:pt idx="777">
                  <c:v>-1.2254452939002931</c:v>
                </c:pt>
                <c:pt idx="778">
                  <c:v>-0.48888960297780204</c:v>
                </c:pt>
                <c:pt idx="779">
                  <c:v>0.14141355206753711</c:v>
                </c:pt>
                <c:pt idx="780">
                  <c:v>-0.4224223737258036</c:v>
                </c:pt>
                <c:pt idx="781">
                  <c:v>-0.33503044829011353</c:v>
                </c:pt>
                <c:pt idx="782">
                  <c:v>-0.7140075434713794</c:v>
                </c:pt>
                <c:pt idx="783">
                  <c:v>0.18384327623299415</c:v>
                </c:pt>
                <c:pt idx="784">
                  <c:v>-0.93118044241320641</c:v>
                </c:pt>
                <c:pt idx="785">
                  <c:v>-1.6163435293186288</c:v>
                </c:pt>
                <c:pt idx="786">
                  <c:v>-1.370909495904447</c:v>
                </c:pt>
                <c:pt idx="787">
                  <c:v>-1.6505853651400004</c:v>
                </c:pt>
                <c:pt idx="788">
                  <c:v>-1.9479391435809623</c:v>
                </c:pt>
                <c:pt idx="789">
                  <c:v>-1.1143673087939769</c:v>
                </c:pt>
                <c:pt idx="790">
                  <c:v>-1.9321373411385547</c:v>
                </c:pt>
                <c:pt idx="791">
                  <c:v>-2.1814472304363797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4A-4D7C-B816-9E4C171DE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484752"/>
        <c:axId val="385486000"/>
      </c:scatterChart>
      <c:valAx>
        <c:axId val="385484752"/>
        <c:scaling>
          <c:orientation val="minMax"/>
          <c:max val="2015"/>
          <c:min val="19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86000"/>
        <c:crosses val="autoZero"/>
        <c:crossBetween val="midCat"/>
      </c:valAx>
      <c:valAx>
        <c:axId val="3854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8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HadISST!$N$3:$N$14</c:f>
                <c:numCache>
                  <c:formatCode>General</c:formatCode>
                  <c:ptCount val="12"/>
                  <c:pt idx="0">
                    <c:v>0.31957548115328938</c:v>
                  </c:pt>
                  <c:pt idx="1">
                    <c:v>0.31545242292470038</c:v>
                  </c:pt>
                  <c:pt idx="2">
                    <c:v>0.31568470058438941</c:v>
                  </c:pt>
                  <c:pt idx="3">
                    <c:v>0.33830816711159206</c:v>
                  </c:pt>
                  <c:pt idx="4">
                    <c:v>0.33825273704960412</c:v>
                  </c:pt>
                  <c:pt idx="5">
                    <c:v>0.34553689116896424</c:v>
                  </c:pt>
                  <c:pt idx="6">
                    <c:v>0.37313977703457435</c:v>
                  </c:pt>
                  <c:pt idx="7">
                    <c:v>0.40677004412991236</c:v>
                  </c:pt>
                  <c:pt idx="8">
                    <c:v>0.35316631277494959</c:v>
                  </c:pt>
                  <c:pt idx="9">
                    <c:v>0.40448158973172554</c:v>
                  </c:pt>
                  <c:pt idx="10">
                    <c:v>0.38997324237435277</c:v>
                  </c:pt>
                  <c:pt idx="11">
                    <c:v>0.33105298681355738</c:v>
                  </c:pt>
                </c:numCache>
              </c:numRef>
            </c:plus>
            <c:minus>
              <c:numRef>
                <c:f>HadISST!$N$3:$N$14</c:f>
                <c:numCache>
                  <c:formatCode>General</c:formatCode>
                  <c:ptCount val="12"/>
                  <c:pt idx="0">
                    <c:v>0.31957548115328938</c:v>
                  </c:pt>
                  <c:pt idx="1">
                    <c:v>0.31545242292470038</c:v>
                  </c:pt>
                  <c:pt idx="2">
                    <c:v>0.31568470058438941</c:v>
                  </c:pt>
                  <c:pt idx="3">
                    <c:v>0.33830816711159206</c:v>
                  </c:pt>
                  <c:pt idx="4">
                    <c:v>0.33825273704960412</c:v>
                  </c:pt>
                  <c:pt idx="5">
                    <c:v>0.34553689116896424</c:v>
                  </c:pt>
                  <c:pt idx="6">
                    <c:v>0.37313977703457435</c:v>
                  </c:pt>
                  <c:pt idx="7">
                    <c:v>0.40677004412991236</c:v>
                  </c:pt>
                  <c:pt idx="8">
                    <c:v>0.35316631277494959</c:v>
                  </c:pt>
                  <c:pt idx="9">
                    <c:v>0.40448158973172554</c:v>
                  </c:pt>
                  <c:pt idx="10">
                    <c:v>0.38997324237435277</c:v>
                  </c:pt>
                  <c:pt idx="11">
                    <c:v>0.33105298681355738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HadISST!$L$3:$L$14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xVal>
          <c:yVal>
            <c:numRef>
              <c:f>HadISST!$M$3:$M$14</c:f>
              <c:numCache>
                <c:formatCode>0.00</c:formatCode>
                <c:ptCount val="12"/>
                <c:pt idx="0">
                  <c:v>27.797772833333337</c:v>
                </c:pt>
                <c:pt idx="1">
                  <c:v>28.679352166666664</c:v>
                </c:pt>
                <c:pt idx="2">
                  <c:v>28.925387257575757</c:v>
                </c:pt>
                <c:pt idx="3">
                  <c:v>28.818721318181826</c:v>
                </c:pt>
                <c:pt idx="4">
                  <c:v>28.493212333333329</c:v>
                </c:pt>
                <c:pt idx="5">
                  <c:v>28.300005318181832</c:v>
                </c:pt>
                <c:pt idx="6">
                  <c:v>28.648335863636365</c:v>
                </c:pt>
                <c:pt idx="7">
                  <c:v>28.318618681818187</c:v>
                </c:pt>
                <c:pt idx="8">
                  <c:v>27.481424484848482</c:v>
                </c:pt>
                <c:pt idx="9">
                  <c:v>26.979263060606051</c:v>
                </c:pt>
                <c:pt idx="10">
                  <c:v>26.879908863636363</c:v>
                </c:pt>
                <c:pt idx="11">
                  <c:v>27.078581621212127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17-4EC0-88B1-EF9B95DD3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093576"/>
        <c:axId val="795090952"/>
      </c:scatterChart>
      <c:valAx>
        <c:axId val="795093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90952"/>
        <c:crosses val="autoZero"/>
        <c:crossBetween val="midCat"/>
      </c:valAx>
      <c:valAx>
        <c:axId val="79509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93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HadISST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HadISST!$A$3:$A$67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HadISST!$B$3:$B$67</c:f>
              <c:numCache>
                <c:formatCode>General</c:formatCode>
                <c:ptCount val="65"/>
                <c:pt idx="0">
                  <c:v>28.355173833333328</c:v>
                </c:pt>
                <c:pt idx="1">
                  <c:v>28.293394333333335</c:v>
                </c:pt>
                <c:pt idx="2">
                  <c:v>28.339949749999999</c:v>
                </c:pt>
                <c:pt idx="3">
                  <c:v>28.264226666666669</c:v>
                </c:pt>
                <c:pt idx="4">
                  <c:v>28.428455916666664</c:v>
                </c:pt>
                <c:pt idx="5">
                  <c:v>28.769775499999994</c:v>
                </c:pt>
                <c:pt idx="6">
                  <c:v>28.08855208333333</c:v>
                </c:pt>
                <c:pt idx="7">
                  <c:v>28.127610249999993</c:v>
                </c:pt>
                <c:pt idx="8">
                  <c:v>28.209015749999995</c:v>
                </c:pt>
                <c:pt idx="9">
                  <c:v>28.362006750000003</c:v>
                </c:pt>
                <c:pt idx="10">
                  <c:v>28.552892583333328</c:v>
                </c:pt>
                <c:pt idx="11">
                  <c:v>28.266666999999998</c:v>
                </c:pt>
                <c:pt idx="12">
                  <c:v>28.298869166666666</c:v>
                </c:pt>
                <c:pt idx="13">
                  <c:v>28.077443916666667</c:v>
                </c:pt>
                <c:pt idx="14">
                  <c:v>28.024439666666662</c:v>
                </c:pt>
                <c:pt idx="15">
                  <c:v>27.931871750000003</c:v>
                </c:pt>
                <c:pt idx="16">
                  <c:v>28.058624499999993</c:v>
                </c:pt>
                <c:pt idx="17">
                  <c:v>28.510966333333329</c:v>
                </c:pt>
                <c:pt idx="18">
                  <c:v>28.115058000000001</c:v>
                </c:pt>
                <c:pt idx="19">
                  <c:v>28.120864750000006</c:v>
                </c:pt>
                <c:pt idx="20">
                  <c:v>28.316777833333333</c:v>
                </c:pt>
                <c:pt idx="21">
                  <c:v>27.888757999999999</c:v>
                </c:pt>
                <c:pt idx="22">
                  <c:v>28.107895583333335</c:v>
                </c:pt>
                <c:pt idx="23">
                  <c:v>27.87795366666667</c:v>
                </c:pt>
                <c:pt idx="24">
                  <c:v>27.760664083333335</c:v>
                </c:pt>
                <c:pt idx="25">
                  <c:v>27.93991741666667</c:v>
                </c:pt>
                <c:pt idx="26">
                  <c:v>27.649690250000003</c:v>
                </c:pt>
                <c:pt idx="27">
                  <c:v>28.092704083333334</c:v>
                </c:pt>
                <c:pt idx="28">
                  <c:v>28.246921083333334</c:v>
                </c:pt>
                <c:pt idx="29">
                  <c:v>27.5675025</c:v>
                </c:pt>
                <c:pt idx="30">
                  <c:v>27.473912250000001</c:v>
                </c:pt>
                <c:pt idx="31">
                  <c:v>27.73608175</c:v>
                </c:pt>
                <c:pt idx="32">
                  <c:v>28.159372166666667</c:v>
                </c:pt>
                <c:pt idx="33">
                  <c:v>27.829861750000003</c:v>
                </c:pt>
                <c:pt idx="34">
                  <c:v>28.183046749999992</c:v>
                </c:pt>
                <c:pt idx="35">
                  <c:v>28.043225333333336</c:v>
                </c:pt>
                <c:pt idx="36">
                  <c:v>27.986774416666663</c:v>
                </c:pt>
                <c:pt idx="37">
                  <c:v>27.972403500000002</c:v>
                </c:pt>
                <c:pt idx="38">
                  <c:v>27.774049833333333</c:v>
                </c:pt>
                <c:pt idx="39">
                  <c:v>27.514467499999995</c:v>
                </c:pt>
                <c:pt idx="40">
                  <c:v>27.558954583333335</c:v>
                </c:pt>
                <c:pt idx="41">
                  <c:v>27.592790750000002</c:v>
                </c:pt>
                <c:pt idx="42">
                  <c:v>28.07664158333333</c:v>
                </c:pt>
                <c:pt idx="43">
                  <c:v>27.869388916666669</c:v>
                </c:pt>
                <c:pt idx="44">
                  <c:v>27.683181750000003</c:v>
                </c:pt>
                <c:pt idx="45">
                  <c:v>28.037218416666665</c:v>
                </c:pt>
                <c:pt idx="46">
                  <c:v>28.474781416666669</c:v>
                </c:pt>
                <c:pt idx="47">
                  <c:v>27.772011333333335</c:v>
                </c:pt>
                <c:pt idx="48">
                  <c:v>27.815735333333336</c:v>
                </c:pt>
                <c:pt idx="49">
                  <c:v>28.076882083333331</c:v>
                </c:pt>
                <c:pt idx="50">
                  <c:v>27.645168583333334</c:v>
                </c:pt>
                <c:pt idx="51">
                  <c:v>27.886182833333336</c:v>
                </c:pt>
                <c:pt idx="52">
                  <c:v>28.205158166666674</c:v>
                </c:pt>
                <c:pt idx="53">
                  <c:v>28.066027083333335</c:v>
                </c:pt>
                <c:pt idx="54">
                  <c:v>28.061047249999998</c:v>
                </c:pt>
                <c:pt idx="55">
                  <c:v>28.31934583333333</c:v>
                </c:pt>
                <c:pt idx="56">
                  <c:v>27.904639750000001</c:v>
                </c:pt>
                <c:pt idx="57">
                  <c:v>28.568486000000004</c:v>
                </c:pt>
                <c:pt idx="58">
                  <c:v>27.856275833333338</c:v>
                </c:pt>
                <c:pt idx="59">
                  <c:v>27.723436416666669</c:v>
                </c:pt>
                <c:pt idx="60">
                  <c:v>27.847912249999997</c:v>
                </c:pt>
                <c:pt idx="61">
                  <c:v>27.961707083333327</c:v>
                </c:pt>
                <c:pt idx="62">
                  <c:v>28.018068</c:v>
                </c:pt>
                <c:pt idx="63">
                  <c:v>28.178450916666662</c:v>
                </c:pt>
                <c:pt idx="64">
                  <c:v>28.075387000000003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6C-47C6-B088-24578DECDC90}"/>
            </c:ext>
          </c:extLst>
        </c:ser>
        <c:ser>
          <c:idx val="2"/>
          <c:order val="2"/>
          <c:tx>
            <c:strRef>
              <c:f>SST_Modis!$L$1</c:f>
              <c:strCache>
                <c:ptCount val="1"/>
                <c:pt idx="0">
                  <c:v>SST_Terra_v2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SST_Modis!$J$2:$J$17</c:f>
              <c:numCache>
                <c:formatCode>General</c:formatCode>
                <c:ptCount val="16"/>
                <c:pt idx="0">
                  <c:v>2017</c:v>
                </c:pt>
                <c:pt idx="1">
                  <c:v>2016</c:v>
                </c:pt>
                <c:pt idx="2">
                  <c:v>2015</c:v>
                </c:pt>
                <c:pt idx="3">
                  <c:v>2014</c:v>
                </c:pt>
                <c:pt idx="4">
                  <c:v>2013</c:v>
                </c:pt>
                <c:pt idx="5">
                  <c:v>2012</c:v>
                </c:pt>
                <c:pt idx="6">
                  <c:v>2011</c:v>
                </c:pt>
                <c:pt idx="7">
                  <c:v>2010</c:v>
                </c:pt>
                <c:pt idx="8">
                  <c:v>2009</c:v>
                </c:pt>
                <c:pt idx="9">
                  <c:v>2008</c:v>
                </c:pt>
                <c:pt idx="10">
                  <c:v>2007</c:v>
                </c:pt>
                <c:pt idx="11">
                  <c:v>2006</c:v>
                </c:pt>
                <c:pt idx="12">
                  <c:v>2005</c:v>
                </c:pt>
                <c:pt idx="13">
                  <c:v>2004</c:v>
                </c:pt>
                <c:pt idx="14">
                  <c:v>2003</c:v>
                </c:pt>
                <c:pt idx="15">
                  <c:v>2002</c:v>
                </c:pt>
              </c:numCache>
            </c:numRef>
          </c:xVal>
          <c:yVal>
            <c:numRef>
              <c:f>SST_Modis!$L$2:$L$18</c:f>
              <c:numCache>
                <c:formatCode>0.0</c:formatCode>
                <c:ptCount val="17"/>
                <c:pt idx="0">
                  <c:v>29.683</c:v>
                </c:pt>
                <c:pt idx="1">
                  <c:v>29.559000000000001</c:v>
                </c:pt>
                <c:pt idx="2">
                  <c:v>29.777999999999999</c:v>
                </c:pt>
                <c:pt idx="3">
                  <c:v>29.565999999999999</c:v>
                </c:pt>
                <c:pt idx="4">
                  <c:v>29.504000000000001</c:v>
                </c:pt>
                <c:pt idx="5">
                  <c:v>29.433</c:v>
                </c:pt>
                <c:pt idx="6">
                  <c:v>29.254000000000001</c:v>
                </c:pt>
                <c:pt idx="7">
                  <c:v>29.289000000000001</c:v>
                </c:pt>
                <c:pt idx="8">
                  <c:v>29.312999999999999</c:v>
                </c:pt>
                <c:pt idx="9">
                  <c:v>29.161000000000001</c:v>
                </c:pt>
                <c:pt idx="10">
                  <c:v>29.245999999999999</c:v>
                </c:pt>
                <c:pt idx="11">
                  <c:v>29.56</c:v>
                </c:pt>
                <c:pt idx="12">
                  <c:v>29.337</c:v>
                </c:pt>
                <c:pt idx="13">
                  <c:v>29.245000000000001</c:v>
                </c:pt>
                <c:pt idx="14">
                  <c:v>29.492999999999999</c:v>
                </c:pt>
                <c:pt idx="15">
                  <c:v>29.596</c:v>
                </c:pt>
                <c:pt idx="16">
                  <c:v>29.129000000000001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6C-47C6-B088-24578DECDC90}"/>
            </c:ext>
          </c:extLst>
        </c:ser>
        <c:ser>
          <c:idx val="3"/>
          <c:order val="3"/>
          <c:tx>
            <c:v>IDEAM-Aire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'Temp-aire'!$K$12:$K$71</c:f>
              <c:numCache>
                <c:formatCode>General</c:formatCode>
                <c:ptCount val="60"/>
                <c:pt idx="0">
                  <c:v>2013</c:v>
                </c:pt>
                <c:pt idx="1">
                  <c:v>2012</c:v>
                </c:pt>
                <c:pt idx="2">
                  <c:v>2011</c:v>
                </c:pt>
                <c:pt idx="3">
                  <c:v>2010</c:v>
                </c:pt>
                <c:pt idx="4">
                  <c:v>2009</c:v>
                </c:pt>
                <c:pt idx="5">
                  <c:v>2008</c:v>
                </c:pt>
                <c:pt idx="6">
                  <c:v>2007</c:v>
                </c:pt>
                <c:pt idx="7">
                  <c:v>2006</c:v>
                </c:pt>
                <c:pt idx="8">
                  <c:v>2005</c:v>
                </c:pt>
                <c:pt idx="9">
                  <c:v>2004</c:v>
                </c:pt>
                <c:pt idx="10">
                  <c:v>2003</c:v>
                </c:pt>
                <c:pt idx="11">
                  <c:v>2002</c:v>
                </c:pt>
                <c:pt idx="12">
                  <c:v>2001</c:v>
                </c:pt>
                <c:pt idx="13">
                  <c:v>2000</c:v>
                </c:pt>
                <c:pt idx="14">
                  <c:v>1999</c:v>
                </c:pt>
                <c:pt idx="15">
                  <c:v>1998</c:v>
                </c:pt>
                <c:pt idx="16">
                  <c:v>1997</c:v>
                </c:pt>
                <c:pt idx="17">
                  <c:v>1996</c:v>
                </c:pt>
                <c:pt idx="18">
                  <c:v>1995</c:v>
                </c:pt>
                <c:pt idx="19">
                  <c:v>1994</c:v>
                </c:pt>
                <c:pt idx="20">
                  <c:v>1993</c:v>
                </c:pt>
                <c:pt idx="21">
                  <c:v>1992</c:v>
                </c:pt>
                <c:pt idx="22">
                  <c:v>1991</c:v>
                </c:pt>
                <c:pt idx="23">
                  <c:v>1990</c:v>
                </c:pt>
                <c:pt idx="24">
                  <c:v>1989</c:v>
                </c:pt>
                <c:pt idx="25">
                  <c:v>1988</c:v>
                </c:pt>
                <c:pt idx="26">
                  <c:v>1987</c:v>
                </c:pt>
                <c:pt idx="27">
                  <c:v>1986</c:v>
                </c:pt>
                <c:pt idx="28">
                  <c:v>1985</c:v>
                </c:pt>
                <c:pt idx="29">
                  <c:v>1984</c:v>
                </c:pt>
                <c:pt idx="30">
                  <c:v>1983</c:v>
                </c:pt>
                <c:pt idx="31">
                  <c:v>1982</c:v>
                </c:pt>
                <c:pt idx="32">
                  <c:v>1981</c:v>
                </c:pt>
                <c:pt idx="33">
                  <c:v>1980</c:v>
                </c:pt>
                <c:pt idx="34">
                  <c:v>1979</c:v>
                </c:pt>
                <c:pt idx="35">
                  <c:v>1978</c:v>
                </c:pt>
                <c:pt idx="36">
                  <c:v>1977</c:v>
                </c:pt>
                <c:pt idx="37">
                  <c:v>1976</c:v>
                </c:pt>
                <c:pt idx="38">
                  <c:v>1975</c:v>
                </c:pt>
                <c:pt idx="39">
                  <c:v>1974</c:v>
                </c:pt>
                <c:pt idx="40">
                  <c:v>1973</c:v>
                </c:pt>
                <c:pt idx="41">
                  <c:v>1972</c:v>
                </c:pt>
                <c:pt idx="42">
                  <c:v>1971</c:v>
                </c:pt>
                <c:pt idx="43">
                  <c:v>1970</c:v>
                </c:pt>
                <c:pt idx="44">
                  <c:v>1969</c:v>
                </c:pt>
                <c:pt idx="45">
                  <c:v>1968</c:v>
                </c:pt>
                <c:pt idx="46">
                  <c:v>1967</c:v>
                </c:pt>
                <c:pt idx="47">
                  <c:v>1966</c:v>
                </c:pt>
                <c:pt idx="48">
                  <c:v>1965</c:v>
                </c:pt>
                <c:pt idx="49">
                  <c:v>1964</c:v>
                </c:pt>
                <c:pt idx="50">
                  <c:v>1963</c:v>
                </c:pt>
                <c:pt idx="51">
                  <c:v>1962</c:v>
                </c:pt>
                <c:pt idx="52">
                  <c:v>1961</c:v>
                </c:pt>
                <c:pt idx="53">
                  <c:v>1960</c:v>
                </c:pt>
                <c:pt idx="54">
                  <c:v>1959</c:v>
                </c:pt>
                <c:pt idx="55">
                  <c:v>1958</c:v>
                </c:pt>
                <c:pt idx="56">
                  <c:v>1957</c:v>
                </c:pt>
                <c:pt idx="57">
                  <c:v>1956</c:v>
                </c:pt>
                <c:pt idx="58">
                  <c:v>1955</c:v>
                </c:pt>
                <c:pt idx="59">
                  <c:v>1954</c:v>
                </c:pt>
              </c:numCache>
            </c:numRef>
          </c:xVal>
          <c:yVal>
            <c:numRef>
              <c:f>'Temp-aire'!$L$12:$L$71</c:f>
              <c:numCache>
                <c:formatCode>General</c:formatCode>
                <c:ptCount val="60"/>
                <c:pt idx="0">
                  <c:v>28.191666666666674</c:v>
                </c:pt>
                <c:pt idx="1">
                  <c:v>28.122222222222224</c:v>
                </c:pt>
                <c:pt idx="2">
                  <c:v>27.763636363636365</c:v>
                </c:pt>
                <c:pt idx="3">
                  <c:v>28.133333333333329</c:v>
                </c:pt>
                <c:pt idx="4">
                  <c:v>28.166666666666661</c:v>
                </c:pt>
                <c:pt idx="5">
                  <c:v>27.633333333333336</c:v>
                </c:pt>
                <c:pt idx="6">
                  <c:v>27.775000000000002</c:v>
                </c:pt>
                <c:pt idx="7">
                  <c:v>27.974999999999998</c:v>
                </c:pt>
                <c:pt idx="8">
                  <c:v>28.133333333333329</c:v>
                </c:pt>
                <c:pt idx="9">
                  <c:v>27.858333333333338</c:v>
                </c:pt>
                <c:pt idx="10">
                  <c:v>28.025000000000002</c:v>
                </c:pt>
                <c:pt idx="11">
                  <c:v>28.05</c:v>
                </c:pt>
                <c:pt idx="12">
                  <c:v>27.708333333333332</c:v>
                </c:pt>
                <c:pt idx="13">
                  <c:v>27.390909090909087</c:v>
                </c:pt>
                <c:pt idx="14">
                  <c:v>27.408333333333331</c:v>
                </c:pt>
                <c:pt idx="15">
                  <c:v>28.100000000000005</c:v>
                </c:pt>
                <c:pt idx="16">
                  <c:v>27.766666666666666</c:v>
                </c:pt>
                <c:pt idx="17">
                  <c:v>27.691666666666666</c:v>
                </c:pt>
                <c:pt idx="18">
                  <c:v>27.791666666666668</c:v>
                </c:pt>
                <c:pt idx="19">
                  <c:v>27.5</c:v>
                </c:pt>
                <c:pt idx="20">
                  <c:v>27.791666666666661</c:v>
                </c:pt>
                <c:pt idx="21">
                  <c:v>27.774999999999995</c:v>
                </c:pt>
                <c:pt idx="22">
                  <c:v>27.624999999999996</c:v>
                </c:pt>
                <c:pt idx="23">
                  <c:v>27.474999999999998</c:v>
                </c:pt>
                <c:pt idx="24">
                  <c:v>27.575000000000003</c:v>
                </c:pt>
                <c:pt idx="25">
                  <c:v>27.508333333333329</c:v>
                </c:pt>
                <c:pt idx="26">
                  <c:v>27.966666666666669</c:v>
                </c:pt>
                <c:pt idx="27">
                  <c:v>27.666666666666671</c:v>
                </c:pt>
                <c:pt idx="28">
                  <c:v>27.466666666666665</c:v>
                </c:pt>
                <c:pt idx="29">
                  <c:v>27.391666666666666</c:v>
                </c:pt>
                <c:pt idx="30">
                  <c:v>28.116666666666664</c:v>
                </c:pt>
                <c:pt idx="31">
                  <c:v>27.591666666666669</c:v>
                </c:pt>
                <c:pt idx="32">
                  <c:v>27.858333333333334</c:v>
                </c:pt>
                <c:pt idx="33">
                  <c:v>28.108333333333334</c:v>
                </c:pt>
                <c:pt idx="34">
                  <c:v>28.099999999999998</c:v>
                </c:pt>
                <c:pt idx="35">
                  <c:v>28.133333333333329</c:v>
                </c:pt>
                <c:pt idx="36">
                  <c:v>27.691666666666663</c:v>
                </c:pt>
                <c:pt idx="37">
                  <c:v>27.224999999999998</c:v>
                </c:pt>
                <c:pt idx="38">
                  <c:v>27.058333333333337</c:v>
                </c:pt>
                <c:pt idx="39">
                  <c:v>27.783333333333331</c:v>
                </c:pt>
                <c:pt idx="40">
                  <c:v>27.933333333333334</c:v>
                </c:pt>
                <c:pt idx="41">
                  <c:v>28.416666666666668</c:v>
                </c:pt>
                <c:pt idx="42">
                  <c:v>27.866666666666664</c:v>
                </c:pt>
                <c:pt idx="43">
                  <c:v>27.574999999999999</c:v>
                </c:pt>
                <c:pt idx="44">
                  <c:v>27.5</c:v>
                </c:pt>
                <c:pt idx="45">
                  <c:v>27.258333333333336</c:v>
                </c:pt>
                <c:pt idx="46">
                  <c:v>27.691666666666666</c:v>
                </c:pt>
                <c:pt idx="47">
                  <c:v>27.474999999999998</c:v>
                </c:pt>
                <c:pt idx="48">
                  <c:v>27.641666666666666</c:v>
                </c:pt>
                <c:pt idx="49">
                  <c:v>27.45</c:v>
                </c:pt>
                <c:pt idx="50">
                  <c:v>27.841666666666669</c:v>
                </c:pt>
                <c:pt idx="51">
                  <c:v>27.858333333333334</c:v>
                </c:pt>
                <c:pt idx="52">
                  <c:v>27.341666666666669</c:v>
                </c:pt>
                <c:pt idx="53">
                  <c:v>27.900000000000002</c:v>
                </c:pt>
                <c:pt idx="54">
                  <c:v>27.474999999999998</c:v>
                </c:pt>
                <c:pt idx="55">
                  <c:v>28.333333333333329</c:v>
                </c:pt>
                <c:pt idx="56">
                  <c:v>28.108333333333334</c:v>
                </c:pt>
                <c:pt idx="57">
                  <c:v>27.299999999999997</c:v>
                </c:pt>
                <c:pt idx="58">
                  <c:v>27.641666666666666</c:v>
                </c:pt>
                <c:pt idx="59">
                  <c:v>27.833333333333332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6C-47C6-B088-24578DECD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761695"/>
        <c:axId val="15347626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AVHRR</c:v>
                </c:tx>
                <c:spPr>
                  <a:ln w="254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SST_AVHRR!$I$2:$I$41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1981</c:v>
                      </c:pt>
                      <c:pt idx="1">
                        <c:v>1982</c:v>
                      </c:pt>
                      <c:pt idx="2">
                        <c:v>1983</c:v>
                      </c:pt>
                      <c:pt idx="3">
                        <c:v>1984</c:v>
                      </c:pt>
                      <c:pt idx="4">
                        <c:v>1985</c:v>
                      </c:pt>
                      <c:pt idx="5">
                        <c:v>1986</c:v>
                      </c:pt>
                      <c:pt idx="6">
                        <c:v>1987</c:v>
                      </c:pt>
                      <c:pt idx="7">
                        <c:v>1988</c:v>
                      </c:pt>
                      <c:pt idx="8">
                        <c:v>1989</c:v>
                      </c:pt>
                      <c:pt idx="9">
                        <c:v>1990</c:v>
                      </c:pt>
                      <c:pt idx="10">
                        <c:v>1991</c:v>
                      </c:pt>
                      <c:pt idx="11">
                        <c:v>1992</c:v>
                      </c:pt>
                      <c:pt idx="12">
                        <c:v>1993</c:v>
                      </c:pt>
                      <c:pt idx="13">
                        <c:v>1994</c:v>
                      </c:pt>
                      <c:pt idx="14">
                        <c:v>1995</c:v>
                      </c:pt>
                      <c:pt idx="15">
                        <c:v>1996</c:v>
                      </c:pt>
                      <c:pt idx="16">
                        <c:v>1997</c:v>
                      </c:pt>
                      <c:pt idx="17">
                        <c:v>1998</c:v>
                      </c:pt>
                      <c:pt idx="18">
                        <c:v>1999</c:v>
                      </c:pt>
                      <c:pt idx="19">
                        <c:v>2000</c:v>
                      </c:pt>
                      <c:pt idx="20">
                        <c:v>2001</c:v>
                      </c:pt>
                      <c:pt idx="21">
                        <c:v>2002</c:v>
                      </c:pt>
                      <c:pt idx="22">
                        <c:v>2003</c:v>
                      </c:pt>
                      <c:pt idx="23">
                        <c:v>2004</c:v>
                      </c:pt>
                      <c:pt idx="24">
                        <c:v>2005</c:v>
                      </c:pt>
                      <c:pt idx="25">
                        <c:v>2006</c:v>
                      </c:pt>
                      <c:pt idx="26">
                        <c:v>2007</c:v>
                      </c:pt>
                      <c:pt idx="27">
                        <c:v>2008</c:v>
                      </c:pt>
                      <c:pt idx="28">
                        <c:v>2009</c:v>
                      </c:pt>
                      <c:pt idx="29">
                        <c:v>2010</c:v>
                      </c:pt>
                      <c:pt idx="30">
                        <c:v>2011</c:v>
                      </c:pt>
                      <c:pt idx="31">
                        <c:v>2012</c:v>
                      </c:pt>
                      <c:pt idx="32">
                        <c:v>2013</c:v>
                      </c:pt>
                      <c:pt idx="33">
                        <c:v>2014</c:v>
                      </c:pt>
                      <c:pt idx="34">
                        <c:v>2015</c:v>
                      </c:pt>
                      <c:pt idx="35">
                        <c:v>2016</c:v>
                      </c:pt>
                      <c:pt idx="36">
                        <c:v>2017</c:v>
                      </c:pt>
                      <c:pt idx="37">
                        <c:v>2018</c:v>
                      </c:pt>
                      <c:pt idx="38">
                        <c:v>2019</c:v>
                      </c:pt>
                      <c:pt idx="39">
                        <c:v>2020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SST_AVHRR!$K$2:$K$41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28.710999999999999</c:v>
                      </c:pt>
                      <c:pt idx="1">
                        <c:v>27.37</c:v>
                      </c:pt>
                      <c:pt idx="2">
                        <c:v>27.170999999999999</c:v>
                      </c:pt>
                      <c:pt idx="3">
                        <c:v>27.315000000000001</c:v>
                      </c:pt>
                      <c:pt idx="4">
                        <c:v>26.681000000000001</c:v>
                      </c:pt>
                      <c:pt idx="5">
                        <c:v>26.86</c:v>
                      </c:pt>
                      <c:pt idx="6">
                        <c:v>27.212</c:v>
                      </c:pt>
                      <c:pt idx="7">
                        <c:v>26.838999999999999</c:v>
                      </c:pt>
                      <c:pt idx="8">
                        <c:v>27.373000000000001</c:v>
                      </c:pt>
                      <c:pt idx="9">
                        <c:v>26.84</c:v>
                      </c:pt>
                      <c:pt idx="10">
                        <c:v>26.914000000000001</c:v>
                      </c:pt>
                      <c:pt idx="11">
                        <c:v>25.789000000000001</c:v>
                      </c:pt>
                      <c:pt idx="12">
                        <c:v>26.489000000000001</c:v>
                      </c:pt>
                      <c:pt idx="13">
                        <c:v>28.379000000000001</c:v>
                      </c:pt>
                      <c:pt idx="14">
                        <c:v>27.007000000000001</c:v>
                      </c:pt>
                      <c:pt idx="15">
                        <c:v>27.227</c:v>
                      </c:pt>
                      <c:pt idx="16">
                        <c:v>27.562000000000001</c:v>
                      </c:pt>
                      <c:pt idx="17">
                        <c:v>27.603999999999999</c:v>
                      </c:pt>
                      <c:pt idx="18">
                        <c:v>26.803999999999998</c:v>
                      </c:pt>
                      <c:pt idx="19">
                        <c:v>26.704000000000001</c:v>
                      </c:pt>
                      <c:pt idx="20">
                        <c:v>26.853999999999999</c:v>
                      </c:pt>
                      <c:pt idx="21">
                        <c:v>28.384</c:v>
                      </c:pt>
                      <c:pt idx="22">
                        <c:v>27.923999999999999</c:v>
                      </c:pt>
                      <c:pt idx="23">
                        <c:v>27.646000000000001</c:v>
                      </c:pt>
                      <c:pt idx="24">
                        <c:v>27.145</c:v>
                      </c:pt>
                      <c:pt idx="25">
                        <c:v>27.858000000000001</c:v>
                      </c:pt>
                      <c:pt idx="26">
                        <c:v>27.061</c:v>
                      </c:pt>
                      <c:pt idx="27">
                        <c:v>27.08</c:v>
                      </c:pt>
                      <c:pt idx="28">
                        <c:v>27.434999999999999</c:v>
                      </c:pt>
                      <c:pt idx="29">
                        <c:v>27.16</c:v>
                      </c:pt>
                      <c:pt idx="30">
                        <c:v>27.58</c:v>
                      </c:pt>
                      <c:pt idx="31">
                        <c:v>27.472000000000001</c:v>
                      </c:pt>
                      <c:pt idx="32">
                        <c:v>27.774999999999999</c:v>
                      </c:pt>
                      <c:pt idx="33">
                        <c:v>27.893000000000001</c:v>
                      </c:pt>
                      <c:pt idx="34">
                        <c:v>28.273</c:v>
                      </c:pt>
                      <c:pt idx="35">
                        <c:v>27.89</c:v>
                      </c:pt>
                      <c:pt idx="36">
                        <c:v>28.245000000000001</c:v>
                      </c:pt>
                      <c:pt idx="37">
                        <c:v>27.847000000000001</c:v>
                      </c:pt>
                      <c:pt idx="38">
                        <c:v>27.797999999999998</c:v>
                      </c:pt>
                      <c:pt idx="39">
                        <c:v>28.207999999999998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596C-47C6-B088-24578DECDC90}"/>
                  </c:ext>
                </c:extLst>
              </c15:ser>
            </c15:filteredScatterSeries>
          </c:ext>
        </c:extLst>
      </c:scatterChart>
      <c:valAx>
        <c:axId val="1534761695"/>
        <c:scaling>
          <c:orientation val="minMax"/>
          <c:max val="2015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762655"/>
        <c:crosses val="autoZero"/>
        <c:crossBetween val="midCat"/>
      </c:valAx>
      <c:valAx>
        <c:axId val="1534762655"/>
        <c:scaling>
          <c:orientation val="minMax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Temperatura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(°C)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76169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'SST-Dique'!$E$6:$E$45</c:f>
              <c:numCache>
                <c:formatCode>0.0</c:formatCode>
                <c:ptCount val="40"/>
                <c:pt idx="0">
                  <c:v>1996.2499999981501</c:v>
                </c:pt>
                <c:pt idx="1">
                  <c:v>1996.4999999982299</c:v>
                </c:pt>
                <c:pt idx="2">
                  <c:v>1996.6666666649501</c:v>
                </c:pt>
                <c:pt idx="3">
                  <c:v>1996.7499999983099</c:v>
                </c:pt>
                <c:pt idx="4">
                  <c:v>1997.0833333317501</c:v>
                </c:pt>
                <c:pt idx="5">
                  <c:v>1997.24999999848</c:v>
                </c:pt>
                <c:pt idx="6">
                  <c:v>1997.4166666652</c:v>
                </c:pt>
                <c:pt idx="7">
                  <c:v>1997.7499999986401</c:v>
                </c:pt>
                <c:pt idx="8">
                  <c:v>2000.0833333333101</c:v>
                </c:pt>
                <c:pt idx="9">
                  <c:v>2001.3333333333101</c:v>
                </c:pt>
                <c:pt idx="10">
                  <c:v>2001.6666666666399</c:v>
                </c:pt>
                <c:pt idx="11">
                  <c:v>2001.74999999998</c:v>
                </c:pt>
                <c:pt idx="12">
                  <c:v>2002.24999999998</c:v>
                </c:pt>
                <c:pt idx="13">
                  <c:v>2002.74999999998</c:v>
                </c:pt>
                <c:pt idx="14">
                  <c:v>2003.49999999998</c:v>
                </c:pt>
                <c:pt idx="15">
                  <c:v>2003.74999999998</c:v>
                </c:pt>
                <c:pt idx="16">
                  <c:v>2004.49999999998</c:v>
                </c:pt>
                <c:pt idx="17">
                  <c:v>2004.6666666666499</c:v>
                </c:pt>
                <c:pt idx="18">
                  <c:v>2004.74999999998</c:v>
                </c:pt>
                <c:pt idx="19">
                  <c:v>2006.8333333333201</c:v>
                </c:pt>
                <c:pt idx="20">
                  <c:v>2007.1666666666499</c:v>
                </c:pt>
                <c:pt idx="21">
                  <c:v>2007.8333333333201</c:v>
                </c:pt>
                <c:pt idx="22">
                  <c:v>2008.1666666666499</c:v>
                </c:pt>
                <c:pt idx="23">
                  <c:v>2009.24999999999</c:v>
                </c:pt>
                <c:pt idx="24">
                  <c:v>2009.5833333333201</c:v>
                </c:pt>
                <c:pt idx="25">
                  <c:v>2010.24999999999</c:v>
                </c:pt>
                <c:pt idx="26">
                  <c:v>2010.4166666666599</c:v>
                </c:pt>
                <c:pt idx="27">
                  <c:v>2010.6666666666599</c:v>
                </c:pt>
                <c:pt idx="28">
                  <c:v>2010.8333333333301</c:v>
                </c:pt>
                <c:pt idx="29">
                  <c:v>2011.3333333333301</c:v>
                </c:pt>
                <c:pt idx="30">
                  <c:v>2011.4166666666599</c:v>
                </c:pt>
                <c:pt idx="31">
                  <c:v>2011.8333333333301</c:v>
                </c:pt>
                <c:pt idx="32">
                  <c:v>2012.1666666666599</c:v>
                </c:pt>
                <c:pt idx="33">
                  <c:v>2012.5833333333301</c:v>
                </c:pt>
                <c:pt idx="34">
                  <c:v>2013.1666666666599</c:v>
                </c:pt>
                <c:pt idx="35">
                  <c:v>2013.3333333333301</c:v>
                </c:pt>
                <c:pt idx="36">
                  <c:v>2013.8333333333301</c:v>
                </c:pt>
                <c:pt idx="37">
                  <c:v>2014.1666666666599</c:v>
                </c:pt>
                <c:pt idx="38">
                  <c:v>2014.9166666666599</c:v>
                </c:pt>
                <c:pt idx="39">
                  <c:v>2015.1666666666599</c:v>
                </c:pt>
              </c:numCache>
            </c:numRef>
          </c:xVal>
          <c:yVal>
            <c:numRef>
              <c:f>'SST-Dique'!$A$6:$A$45</c:f>
              <c:numCache>
                <c:formatCode>General</c:formatCode>
                <c:ptCount val="40"/>
                <c:pt idx="0">
                  <c:v>30.55</c:v>
                </c:pt>
                <c:pt idx="1">
                  <c:v>32.35</c:v>
                </c:pt>
                <c:pt idx="2">
                  <c:v>29.3</c:v>
                </c:pt>
                <c:pt idx="3">
                  <c:v>30.1</c:v>
                </c:pt>
                <c:pt idx="4">
                  <c:v>29</c:v>
                </c:pt>
                <c:pt idx="5">
                  <c:v>27</c:v>
                </c:pt>
                <c:pt idx="6">
                  <c:v>31</c:v>
                </c:pt>
                <c:pt idx="7">
                  <c:v>32.299999999999997</c:v>
                </c:pt>
                <c:pt idx="8">
                  <c:v>29</c:v>
                </c:pt>
                <c:pt idx="9">
                  <c:v>29.5</c:v>
                </c:pt>
                <c:pt idx="10">
                  <c:v>29.7</c:v>
                </c:pt>
                <c:pt idx="11">
                  <c:v>30.1</c:v>
                </c:pt>
                <c:pt idx="12">
                  <c:v>30</c:v>
                </c:pt>
                <c:pt idx="13">
                  <c:v>30.2</c:v>
                </c:pt>
                <c:pt idx="14">
                  <c:v>30.2</c:v>
                </c:pt>
                <c:pt idx="15">
                  <c:v>30.2</c:v>
                </c:pt>
                <c:pt idx="16">
                  <c:v>29.5</c:v>
                </c:pt>
                <c:pt idx="17">
                  <c:v>29.1</c:v>
                </c:pt>
                <c:pt idx="18">
                  <c:v>28.7</c:v>
                </c:pt>
                <c:pt idx="19">
                  <c:v>28.5</c:v>
                </c:pt>
                <c:pt idx="20">
                  <c:v>29.8</c:v>
                </c:pt>
                <c:pt idx="21">
                  <c:v>30.4</c:v>
                </c:pt>
                <c:pt idx="22">
                  <c:v>30.2</c:v>
                </c:pt>
                <c:pt idx="23">
                  <c:v>31</c:v>
                </c:pt>
                <c:pt idx="24">
                  <c:v>31</c:v>
                </c:pt>
                <c:pt idx="25">
                  <c:v>30.7</c:v>
                </c:pt>
                <c:pt idx="26">
                  <c:v>30</c:v>
                </c:pt>
                <c:pt idx="27">
                  <c:v>29.2</c:v>
                </c:pt>
                <c:pt idx="28">
                  <c:v>28.8</c:v>
                </c:pt>
                <c:pt idx="29">
                  <c:v>30.3</c:v>
                </c:pt>
                <c:pt idx="30">
                  <c:v>30.3</c:v>
                </c:pt>
                <c:pt idx="31">
                  <c:v>29.4</c:v>
                </c:pt>
                <c:pt idx="32">
                  <c:v>30</c:v>
                </c:pt>
                <c:pt idx="33">
                  <c:v>30.9</c:v>
                </c:pt>
                <c:pt idx="34">
                  <c:v>31</c:v>
                </c:pt>
                <c:pt idx="35">
                  <c:v>31</c:v>
                </c:pt>
                <c:pt idx="36">
                  <c:v>30.2</c:v>
                </c:pt>
                <c:pt idx="37">
                  <c:v>29.4</c:v>
                </c:pt>
                <c:pt idx="38">
                  <c:v>29.7</c:v>
                </c:pt>
                <c:pt idx="39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91-47E5-8DB6-1F4941677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547983"/>
        <c:axId val="501571503"/>
      </c:scatterChart>
      <c:valAx>
        <c:axId val="50154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71503"/>
        <c:crosses val="autoZero"/>
        <c:crossBetween val="midCat"/>
      </c:valAx>
      <c:valAx>
        <c:axId val="50157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4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SST_Modis!$L$1</c:f>
              <c:strCache>
                <c:ptCount val="1"/>
                <c:pt idx="0">
                  <c:v>SST_Terra_v2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121391076115486"/>
                  <c:y val="-3.21259842519685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SST_Modis!$L$4:$L$18</c:f>
              <c:numCache>
                <c:formatCode>0.0</c:formatCode>
                <c:ptCount val="15"/>
                <c:pt idx="0">
                  <c:v>29.777999999999999</c:v>
                </c:pt>
                <c:pt idx="1">
                  <c:v>29.565999999999999</c:v>
                </c:pt>
                <c:pt idx="2">
                  <c:v>29.504000000000001</c:v>
                </c:pt>
                <c:pt idx="3">
                  <c:v>29.433</c:v>
                </c:pt>
                <c:pt idx="4">
                  <c:v>29.254000000000001</c:v>
                </c:pt>
                <c:pt idx="5">
                  <c:v>29.289000000000001</c:v>
                </c:pt>
                <c:pt idx="6">
                  <c:v>29.312999999999999</c:v>
                </c:pt>
                <c:pt idx="7">
                  <c:v>29.161000000000001</c:v>
                </c:pt>
                <c:pt idx="8">
                  <c:v>29.245999999999999</c:v>
                </c:pt>
                <c:pt idx="9">
                  <c:v>29.56</c:v>
                </c:pt>
                <c:pt idx="10">
                  <c:v>29.337</c:v>
                </c:pt>
                <c:pt idx="11">
                  <c:v>29.245000000000001</c:v>
                </c:pt>
                <c:pt idx="12">
                  <c:v>29.492999999999999</c:v>
                </c:pt>
                <c:pt idx="13">
                  <c:v>29.596</c:v>
                </c:pt>
                <c:pt idx="14">
                  <c:v>29.129000000000001</c:v>
                </c:pt>
              </c:numCache>
            </c:numRef>
          </c:xVal>
          <c:yVal>
            <c:numRef>
              <c:f>'Temp-aire'!$L$10:$L$24</c:f>
              <c:numCache>
                <c:formatCode>General</c:formatCode>
                <c:ptCount val="15"/>
                <c:pt idx="0">
                  <c:v>28.392886867412198</c:v>
                </c:pt>
                <c:pt idx="1">
                  <c:v>28.249761100998459</c:v>
                </c:pt>
                <c:pt idx="2">
                  <c:v>28.191666666666674</c:v>
                </c:pt>
                <c:pt idx="3">
                  <c:v>28.122222222222224</c:v>
                </c:pt>
                <c:pt idx="4">
                  <c:v>27.763636363636365</c:v>
                </c:pt>
                <c:pt idx="5">
                  <c:v>28.133333333333329</c:v>
                </c:pt>
                <c:pt idx="6">
                  <c:v>28.166666666666661</c:v>
                </c:pt>
                <c:pt idx="7">
                  <c:v>27.633333333333336</c:v>
                </c:pt>
                <c:pt idx="8">
                  <c:v>27.775000000000002</c:v>
                </c:pt>
                <c:pt idx="9">
                  <c:v>27.974999999999998</c:v>
                </c:pt>
                <c:pt idx="10">
                  <c:v>28.133333333333329</c:v>
                </c:pt>
                <c:pt idx="11">
                  <c:v>27.858333333333338</c:v>
                </c:pt>
                <c:pt idx="12">
                  <c:v>28.025000000000002</c:v>
                </c:pt>
                <c:pt idx="13">
                  <c:v>28.05</c:v>
                </c:pt>
                <c:pt idx="14">
                  <c:v>27.708333333333332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9-4C54-A335-4C5E00DBE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110447"/>
        <c:axId val="353110927"/>
      </c:scatterChart>
      <c:valAx>
        <c:axId val="35311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MODIS</a:t>
                </a:r>
                <a:r>
                  <a:rPr lang="en-US" baseline="0">
                    <a:solidFill>
                      <a:schemeClr val="tx1"/>
                    </a:solidFill>
                  </a:rPr>
                  <a:t> Terra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927"/>
        <c:crosses val="autoZero"/>
        <c:crossBetween val="midCat"/>
      </c:valAx>
      <c:valAx>
        <c:axId val="35311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 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44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SST_Modis!$M$1</c:f>
              <c:strCache>
                <c:ptCount val="1"/>
                <c:pt idx="0">
                  <c:v>SST_Aqua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108902012248471"/>
                  <c:y val="-0.143230898221055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SST_Modis!$M$4:$M$16</c:f>
              <c:numCache>
                <c:formatCode>0.0</c:formatCode>
                <c:ptCount val="13"/>
                <c:pt idx="0">
                  <c:v>29.78</c:v>
                </c:pt>
                <c:pt idx="1">
                  <c:v>29.622</c:v>
                </c:pt>
                <c:pt idx="2">
                  <c:v>29.526</c:v>
                </c:pt>
                <c:pt idx="3">
                  <c:v>29.521999999999998</c:v>
                </c:pt>
                <c:pt idx="4">
                  <c:v>29.556000000000001</c:v>
                </c:pt>
                <c:pt idx="5">
                  <c:v>29.622</c:v>
                </c:pt>
                <c:pt idx="6">
                  <c:v>29.452000000000002</c:v>
                </c:pt>
                <c:pt idx="7">
                  <c:v>29.414000000000001</c:v>
                </c:pt>
                <c:pt idx="8">
                  <c:v>29.611999999999998</c:v>
                </c:pt>
                <c:pt idx="9">
                  <c:v>29.873999999999999</c:v>
                </c:pt>
                <c:pt idx="10">
                  <c:v>29.45</c:v>
                </c:pt>
                <c:pt idx="11">
                  <c:v>29.559000000000001</c:v>
                </c:pt>
                <c:pt idx="12">
                  <c:v>29.602</c:v>
                </c:pt>
              </c:numCache>
            </c:numRef>
          </c:xVal>
          <c:yVal>
            <c:numRef>
              <c:f>'Temp-aire'!$L$10:$L$22</c:f>
              <c:numCache>
                <c:formatCode>General</c:formatCode>
                <c:ptCount val="13"/>
                <c:pt idx="0">
                  <c:v>28.392886867412198</c:v>
                </c:pt>
                <c:pt idx="1">
                  <c:v>28.249761100998459</c:v>
                </c:pt>
                <c:pt idx="2">
                  <c:v>28.191666666666674</c:v>
                </c:pt>
                <c:pt idx="3">
                  <c:v>28.122222222222224</c:v>
                </c:pt>
                <c:pt idx="4">
                  <c:v>27.763636363636365</c:v>
                </c:pt>
                <c:pt idx="5">
                  <c:v>28.133333333333329</c:v>
                </c:pt>
                <c:pt idx="6">
                  <c:v>28.166666666666661</c:v>
                </c:pt>
                <c:pt idx="7">
                  <c:v>27.633333333333336</c:v>
                </c:pt>
                <c:pt idx="8">
                  <c:v>27.775000000000002</c:v>
                </c:pt>
                <c:pt idx="9">
                  <c:v>27.974999999999998</c:v>
                </c:pt>
                <c:pt idx="10">
                  <c:v>28.133333333333329</c:v>
                </c:pt>
                <c:pt idx="11">
                  <c:v>27.858333333333338</c:v>
                </c:pt>
                <c:pt idx="12">
                  <c:v>28.025000000000002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B8-4B34-A898-339B7974E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110447"/>
        <c:axId val="353110927"/>
      </c:scatterChart>
      <c:valAx>
        <c:axId val="35311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MODIS Aqua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927"/>
        <c:crosses val="autoZero"/>
        <c:crossBetween val="midCat"/>
      </c:valAx>
      <c:valAx>
        <c:axId val="35311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 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44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HadISST!$J$2</c:f>
              <c:strCache>
                <c:ptCount val="1"/>
                <c:pt idx="0">
                  <c:v>HADISST (°C)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849081364829393E-2"/>
                  <c:y val="0.42254082822980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HadISST!$B$3:$B$64</c:f>
              <c:numCache>
                <c:formatCode>General</c:formatCode>
                <c:ptCount val="62"/>
                <c:pt idx="0">
                  <c:v>28.355173833333328</c:v>
                </c:pt>
                <c:pt idx="1">
                  <c:v>28.293394333333335</c:v>
                </c:pt>
                <c:pt idx="2">
                  <c:v>28.339949749999999</c:v>
                </c:pt>
                <c:pt idx="3">
                  <c:v>28.264226666666669</c:v>
                </c:pt>
                <c:pt idx="4">
                  <c:v>28.428455916666664</c:v>
                </c:pt>
                <c:pt idx="5">
                  <c:v>28.769775499999994</c:v>
                </c:pt>
                <c:pt idx="6">
                  <c:v>28.08855208333333</c:v>
                </c:pt>
                <c:pt idx="7">
                  <c:v>28.127610249999993</c:v>
                </c:pt>
                <c:pt idx="8">
                  <c:v>28.209015749999995</c:v>
                </c:pt>
                <c:pt idx="9">
                  <c:v>28.362006750000003</c:v>
                </c:pt>
                <c:pt idx="10">
                  <c:v>28.552892583333328</c:v>
                </c:pt>
                <c:pt idx="11">
                  <c:v>28.266666999999998</c:v>
                </c:pt>
                <c:pt idx="12">
                  <c:v>28.298869166666666</c:v>
                </c:pt>
                <c:pt idx="13">
                  <c:v>28.077443916666667</c:v>
                </c:pt>
                <c:pt idx="14">
                  <c:v>28.024439666666662</c:v>
                </c:pt>
                <c:pt idx="15">
                  <c:v>27.931871750000003</c:v>
                </c:pt>
                <c:pt idx="16">
                  <c:v>28.058624499999993</c:v>
                </c:pt>
                <c:pt idx="17">
                  <c:v>28.510966333333329</c:v>
                </c:pt>
                <c:pt idx="18">
                  <c:v>28.115058000000001</c:v>
                </c:pt>
                <c:pt idx="19">
                  <c:v>28.120864750000006</c:v>
                </c:pt>
                <c:pt idx="20">
                  <c:v>28.316777833333333</c:v>
                </c:pt>
                <c:pt idx="21">
                  <c:v>27.888757999999999</c:v>
                </c:pt>
                <c:pt idx="22">
                  <c:v>28.107895583333335</c:v>
                </c:pt>
                <c:pt idx="23">
                  <c:v>27.87795366666667</c:v>
                </c:pt>
                <c:pt idx="24">
                  <c:v>27.760664083333335</c:v>
                </c:pt>
                <c:pt idx="25">
                  <c:v>27.93991741666667</c:v>
                </c:pt>
                <c:pt idx="26">
                  <c:v>27.649690250000003</c:v>
                </c:pt>
                <c:pt idx="27">
                  <c:v>28.092704083333334</c:v>
                </c:pt>
                <c:pt idx="28">
                  <c:v>28.246921083333334</c:v>
                </c:pt>
                <c:pt idx="29">
                  <c:v>27.5675025</c:v>
                </c:pt>
                <c:pt idx="30">
                  <c:v>27.473912250000001</c:v>
                </c:pt>
                <c:pt idx="31">
                  <c:v>27.73608175</c:v>
                </c:pt>
                <c:pt idx="32">
                  <c:v>28.159372166666667</c:v>
                </c:pt>
                <c:pt idx="33">
                  <c:v>27.829861750000003</c:v>
                </c:pt>
                <c:pt idx="34">
                  <c:v>28.183046749999992</c:v>
                </c:pt>
                <c:pt idx="35">
                  <c:v>28.043225333333336</c:v>
                </c:pt>
                <c:pt idx="36">
                  <c:v>27.986774416666663</c:v>
                </c:pt>
                <c:pt idx="37">
                  <c:v>27.972403500000002</c:v>
                </c:pt>
                <c:pt idx="38">
                  <c:v>27.774049833333333</c:v>
                </c:pt>
                <c:pt idx="39">
                  <c:v>27.514467499999995</c:v>
                </c:pt>
                <c:pt idx="40">
                  <c:v>27.558954583333335</c:v>
                </c:pt>
                <c:pt idx="41">
                  <c:v>27.592790750000002</c:v>
                </c:pt>
                <c:pt idx="42">
                  <c:v>28.07664158333333</c:v>
                </c:pt>
                <c:pt idx="43">
                  <c:v>27.869388916666669</c:v>
                </c:pt>
                <c:pt idx="44">
                  <c:v>27.683181750000003</c:v>
                </c:pt>
                <c:pt idx="45">
                  <c:v>28.037218416666665</c:v>
                </c:pt>
                <c:pt idx="46">
                  <c:v>28.474781416666669</c:v>
                </c:pt>
                <c:pt idx="47">
                  <c:v>27.772011333333335</c:v>
                </c:pt>
                <c:pt idx="48">
                  <c:v>27.815735333333336</c:v>
                </c:pt>
                <c:pt idx="49">
                  <c:v>28.076882083333331</c:v>
                </c:pt>
                <c:pt idx="50">
                  <c:v>27.645168583333334</c:v>
                </c:pt>
                <c:pt idx="51">
                  <c:v>27.886182833333336</c:v>
                </c:pt>
                <c:pt idx="52">
                  <c:v>28.205158166666674</c:v>
                </c:pt>
                <c:pt idx="53">
                  <c:v>28.066027083333335</c:v>
                </c:pt>
                <c:pt idx="54">
                  <c:v>28.061047249999998</c:v>
                </c:pt>
                <c:pt idx="55">
                  <c:v>28.31934583333333</c:v>
                </c:pt>
                <c:pt idx="56">
                  <c:v>27.904639750000001</c:v>
                </c:pt>
                <c:pt idx="57">
                  <c:v>28.568486000000004</c:v>
                </c:pt>
                <c:pt idx="58">
                  <c:v>27.856275833333338</c:v>
                </c:pt>
                <c:pt idx="59">
                  <c:v>27.723436416666669</c:v>
                </c:pt>
                <c:pt idx="60">
                  <c:v>27.847912249999997</c:v>
                </c:pt>
                <c:pt idx="61">
                  <c:v>27.961707083333327</c:v>
                </c:pt>
              </c:numCache>
            </c:numRef>
          </c:xVal>
          <c:yVal>
            <c:numRef>
              <c:f>'Temp-aire'!$L$10:$L$71</c:f>
              <c:numCache>
                <c:formatCode>General</c:formatCode>
                <c:ptCount val="62"/>
                <c:pt idx="0">
                  <c:v>28.392886867412198</c:v>
                </c:pt>
                <c:pt idx="1">
                  <c:v>28.249761100998459</c:v>
                </c:pt>
                <c:pt idx="2">
                  <c:v>28.191666666666674</c:v>
                </c:pt>
                <c:pt idx="3">
                  <c:v>28.122222222222224</c:v>
                </c:pt>
                <c:pt idx="4">
                  <c:v>27.763636363636365</c:v>
                </c:pt>
                <c:pt idx="5">
                  <c:v>28.133333333333329</c:v>
                </c:pt>
                <c:pt idx="6">
                  <c:v>28.166666666666661</c:v>
                </c:pt>
                <c:pt idx="7">
                  <c:v>27.633333333333336</c:v>
                </c:pt>
                <c:pt idx="8">
                  <c:v>27.775000000000002</c:v>
                </c:pt>
                <c:pt idx="9">
                  <c:v>27.974999999999998</c:v>
                </c:pt>
                <c:pt idx="10">
                  <c:v>28.133333333333329</c:v>
                </c:pt>
                <c:pt idx="11">
                  <c:v>27.858333333333338</c:v>
                </c:pt>
                <c:pt idx="12">
                  <c:v>28.025000000000002</c:v>
                </c:pt>
                <c:pt idx="13">
                  <c:v>28.05</c:v>
                </c:pt>
                <c:pt idx="14">
                  <c:v>27.708333333333332</c:v>
                </c:pt>
                <c:pt idx="15">
                  <c:v>27.390909090909087</c:v>
                </c:pt>
                <c:pt idx="16">
                  <c:v>27.408333333333331</c:v>
                </c:pt>
                <c:pt idx="17">
                  <c:v>28.100000000000005</c:v>
                </c:pt>
                <c:pt idx="18">
                  <c:v>27.766666666666666</c:v>
                </c:pt>
                <c:pt idx="19">
                  <c:v>27.691666666666666</c:v>
                </c:pt>
                <c:pt idx="20">
                  <c:v>27.791666666666668</c:v>
                </c:pt>
                <c:pt idx="21">
                  <c:v>27.5</c:v>
                </c:pt>
                <c:pt idx="22">
                  <c:v>27.791666666666661</c:v>
                </c:pt>
                <c:pt idx="23">
                  <c:v>27.774999999999995</c:v>
                </c:pt>
                <c:pt idx="24">
                  <c:v>27.624999999999996</c:v>
                </c:pt>
                <c:pt idx="25">
                  <c:v>27.474999999999998</c:v>
                </c:pt>
                <c:pt idx="26">
                  <c:v>27.575000000000003</c:v>
                </c:pt>
                <c:pt idx="27">
                  <c:v>27.508333333333329</c:v>
                </c:pt>
                <c:pt idx="28">
                  <c:v>27.966666666666669</c:v>
                </c:pt>
                <c:pt idx="29">
                  <c:v>27.666666666666671</c:v>
                </c:pt>
                <c:pt idx="30">
                  <c:v>27.466666666666665</c:v>
                </c:pt>
                <c:pt idx="31">
                  <c:v>27.391666666666666</c:v>
                </c:pt>
                <c:pt idx="32">
                  <c:v>28.116666666666664</c:v>
                </c:pt>
                <c:pt idx="33">
                  <c:v>27.591666666666669</c:v>
                </c:pt>
                <c:pt idx="34">
                  <c:v>27.858333333333334</c:v>
                </c:pt>
                <c:pt idx="35">
                  <c:v>28.108333333333334</c:v>
                </c:pt>
                <c:pt idx="36">
                  <c:v>28.099999999999998</c:v>
                </c:pt>
                <c:pt idx="37">
                  <c:v>28.133333333333329</c:v>
                </c:pt>
                <c:pt idx="38">
                  <c:v>27.691666666666663</c:v>
                </c:pt>
                <c:pt idx="39">
                  <c:v>27.224999999999998</c:v>
                </c:pt>
                <c:pt idx="40">
                  <c:v>27.058333333333337</c:v>
                </c:pt>
                <c:pt idx="41">
                  <c:v>27.783333333333331</c:v>
                </c:pt>
                <c:pt idx="42">
                  <c:v>27.933333333333334</c:v>
                </c:pt>
                <c:pt idx="43">
                  <c:v>28.416666666666668</c:v>
                </c:pt>
                <c:pt idx="44">
                  <c:v>27.866666666666664</c:v>
                </c:pt>
                <c:pt idx="45">
                  <c:v>27.574999999999999</c:v>
                </c:pt>
                <c:pt idx="46">
                  <c:v>27.5</c:v>
                </c:pt>
                <c:pt idx="47">
                  <c:v>27.258333333333336</c:v>
                </c:pt>
                <c:pt idx="48">
                  <c:v>27.691666666666666</c:v>
                </c:pt>
                <c:pt idx="49">
                  <c:v>27.474999999999998</c:v>
                </c:pt>
                <c:pt idx="50">
                  <c:v>27.641666666666666</c:v>
                </c:pt>
                <c:pt idx="51">
                  <c:v>27.45</c:v>
                </c:pt>
                <c:pt idx="52">
                  <c:v>27.841666666666669</c:v>
                </c:pt>
                <c:pt idx="53">
                  <c:v>27.858333333333334</c:v>
                </c:pt>
                <c:pt idx="54">
                  <c:v>27.341666666666669</c:v>
                </c:pt>
                <c:pt idx="55">
                  <c:v>27.900000000000002</c:v>
                </c:pt>
                <c:pt idx="56">
                  <c:v>27.474999999999998</c:v>
                </c:pt>
                <c:pt idx="57">
                  <c:v>28.333333333333329</c:v>
                </c:pt>
                <c:pt idx="58">
                  <c:v>28.108333333333334</c:v>
                </c:pt>
                <c:pt idx="59">
                  <c:v>27.299999999999997</c:v>
                </c:pt>
                <c:pt idx="60">
                  <c:v>27.641666666666666</c:v>
                </c:pt>
                <c:pt idx="61">
                  <c:v>27.833333333333332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27-4A9D-9088-EFC765FBE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110447"/>
        <c:axId val="353110927"/>
      </c:scatterChart>
      <c:valAx>
        <c:axId val="35311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HADISST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927"/>
        <c:crosses val="autoZero"/>
        <c:crossBetween val="midCat"/>
      </c:valAx>
      <c:valAx>
        <c:axId val="35311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 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44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173354</xdr:colOff>
      <xdr:row>0</xdr:row>
      <xdr:rowOff>93345</xdr:rowOff>
    </xdr:from>
    <xdr:to>
      <xdr:col>36</xdr:col>
      <xdr:colOff>68580</xdr:colOff>
      <xdr:row>17</xdr:row>
      <xdr:rowOff>150495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73AE55-BF27-4BDD-8F02-B2AFEB38E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</xdr:colOff>
      <xdr:row>36</xdr:row>
      <xdr:rowOff>128587</xdr:rowOff>
    </xdr:from>
    <xdr:to>
      <xdr:col>22</xdr:col>
      <xdr:colOff>62865</xdr:colOff>
      <xdr:row>51</xdr:row>
      <xdr:rowOff>14287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CC62AED-5147-44FF-A797-1BE60AD51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400050</xdr:colOff>
      <xdr:row>18</xdr:row>
      <xdr:rowOff>20955</xdr:rowOff>
    </xdr:from>
    <xdr:to>
      <xdr:col>27</xdr:col>
      <xdr:colOff>683896</xdr:colOff>
      <xdr:row>35</xdr:row>
      <xdr:rowOff>78105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726CDB-378E-45CC-B8C4-18AA7418F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</xdr:row>
      <xdr:rowOff>60960</xdr:rowOff>
    </xdr:from>
    <xdr:to>
      <xdr:col>24</xdr:col>
      <xdr:colOff>84772</xdr:colOff>
      <xdr:row>15</xdr:row>
      <xdr:rowOff>137160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E8C9F86-A7FC-48B7-B7BF-A3236A2F2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312420</xdr:colOff>
      <xdr:row>5</xdr:row>
      <xdr:rowOff>34290</xdr:rowOff>
    </xdr:from>
    <xdr:to>
      <xdr:col>17</xdr:col>
      <xdr:colOff>129540</xdr:colOff>
      <xdr:row>20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485920-1AC0-4373-9184-ED9B37F4A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739140</xdr:colOff>
      <xdr:row>6</xdr:row>
      <xdr:rowOff>60960</xdr:rowOff>
    </xdr:from>
    <xdr:to>
      <xdr:col>19</xdr:col>
      <xdr:colOff>556260</xdr:colOff>
      <xdr:row>21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B93A9B-50E6-4291-B79B-75D43C284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617220</xdr:colOff>
      <xdr:row>34</xdr:row>
      <xdr:rowOff>34290</xdr:rowOff>
    </xdr:from>
    <xdr:to>
      <xdr:col>12</xdr:col>
      <xdr:colOff>100965</xdr:colOff>
      <xdr:row>49</xdr:row>
      <xdr:rowOff>34290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D9A8BB-9FFF-41C8-923F-43858F951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160020</xdr:colOff>
      <xdr:row>18</xdr:row>
      <xdr:rowOff>64770</xdr:rowOff>
    </xdr:from>
    <xdr:to>
      <xdr:col>11</xdr:col>
      <xdr:colOff>579120</xdr:colOff>
      <xdr:row>33</xdr:row>
      <xdr:rowOff>64770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6631C7-DE7A-4B19-89B5-701FC2D84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161925</xdr:colOff>
      <xdr:row>19</xdr:row>
      <xdr:rowOff>139065</xdr:rowOff>
    </xdr:from>
    <xdr:to>
      <xdr:col>18</xdr:col>
      <xdr:colOff>622935</xdr:colOff>
      <xdr:row>34</xdr:row>
      <xdr:rowOff>24765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26EFE-DF8E-47E3-8B8E-46C33B486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137160</xdr:colOff>
      <xdr:row>2</xdr:row>
      <xdr:rowOff>7620</xdr:rowOff>
    </xdr:from>
    <xdr:to>
      <xdr:col>20</xdr:col>
      <xdr:colOff>0</xdr:colOff>
      <xdr:row>17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219472-FC1E-455F-BB6A-2ABC24B28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365760</xdr:colOff>
      <xdr:row>7</xdr:row>
      <xdr:rowOff>87630</xdr:rowOff>
    </xdr:from>
    <xdr:to>
      <xdr:col>13</xdr:col>
      <xdr:colOff>228600</xdr:colOff>
      <xdr:row>22</xdr:row>
      <xdr:rowOff>87630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08B4D1-9599-4DBE-830B-2009AAE7C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605117</xdr:colOff>
      <xdr:row>3</xdr:row>
      <xdr:rowOff>179294</xdr:rowOff>
    </xdr:from>
    <xdr:to>
      <xdr:col>11</xdr:col>
      <xdr:colOff>443753</xdr:colOff>
      <xdr:row>17</xdr:row>
      <xdr:rowOff>134471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71E73C-2327-F96D-B8C4-0009E390B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693420</xdr:colOff>
      <xdr:row>2</xdr:row>
      <xdr:rowOff>0</xdr:rowOff>
    </xdr:from>
    <xdr:to>
      <xdr:col>6</xdr:col>
      <xdr:colOff>510540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BD972A-33AC-4E79-98BC-74052B8DC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640080</xdr:colOff>
      <xdr:row>2</xdr:row>
      <xdr:rowOff>0</xdr:rowOff>
    </xdr:from>
    <xdr:to>
      <xdr:col>12</xdr:col>
      <xdr:colOff>457200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F4FA36-3048-4598-97DB-9D82B8007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670560</xdr:colOff>
      <xdr:row>17</xdr:row>
      <xdr:rowOff>167640</xdr:rowOff>
    </xdr:from>
    <xdr:to>
      <xdr:col>6</xdr:col>
      <xdr:colOff>487680</xdr:colOff>
      <xdr:row>32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633D463-5CBB-441A-9F48-C196ADB5F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IS DAVID LIZCANO SANDOVAL" id="{CC3794DB-9047-474C-9450-B0DE8509E3A7}" userId="S::lizcano.sandoval@comunidad.unam.mx::88f830f2-f149-4f1a-a5c1-cffacb885f9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" dT="2025-11-21T13:52:15.38" personId="{CC3794DB-9047-474C-9450-B0DE8509E3A7}" id="{F4960FCF-5E79-4F66-8947-3B6AEB551376}">
    <text>Valores interpolados con temperatura de aeropuerto (2014-2015)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" dT="2025-11-12T14:00:17.89" personId="{CC3794DB-9047-474C-9450-B0DE8509E3A7}" id="{602F8C33-2E5F-49B0-B202-CB5CC489FDB1}">
    <text>AVHRR, including a few pixels in the area of Cartagena Bay. Daytime. Quality flag &gt;= 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D104-096E-4115-8AFE-59725A72E5AA}">
  <dimension ref="A1:U741"/>
  <sheetViews>
    <sheetView workbookViewId="0">
      <selection activeCell="C741" sqref="C741"/>
    </sheetView>
  </sheetViews>
  <sheetFormatPr baseColWidth="10" defaultColWidth="11.44140625" defaultRowHeight="14.4" x14ac:dyDescent="0.3"/>
  <cols>
    <col min="6" max="6" width="10" customWidth="1"/>
    <col min="9" max="20" width="6.44140625" customWidth="1"/>
  </cols>
  <sheetData>
    <row r="1" spans="1:21" x14ac:dyDescent="0.3">
      <c r="A1" s="8" t="s">
        <v>28</v>
      </c>
      <c r="B1" s="7"/>
      <c r="C1" s="7"/>
      <c r="D1" s="7"/>
      <c r="E1" s="7"/>
    </row>
    <row r="2" spans="1:21" x14ac:dyDescent="0.3">
      <c r="A2" t="s">
        <v>27</v>
      </c>
    </row>
    <row r="3" spans="1:21" x14ac:dyDescent="0.3">
      <c r="A3" t="s">
        <v>26</v>
      </c>
    </row>
    <row r="4" spans="1:21" x14ac:dyDescent="0.3">
      <c r="A4" s="4" t="s">
        <v>25</v>
      </c>
    </row>
    <row r="5" spans="1:21" x14ac:dyDescent="0.3">
      <c r="A5" t="s">
        <v>24</v>
      </c>
      <c r="D5" t="s">
        <v>23</v>
      </c>
    </row>
    <row r="6" spans="1:21" x14ac:dyDescent="0.3">
      <c r="A6" t="s">
        <v>22</v>
      </c>
      <c r="D6" t="s">
        <v>21</v>
      </c>
    </row>
    <row r="7" spans="1:21" x14ac:dyDescent="0.3">
      <c r="A7" t="s">
        <v>20</v>
      </c>
      <c r="D7" t="s">
        <v>19</v>
      </c>
    </row>
    <row r="9" spans="1:21" x14ac:dyDescent="0.3">
      <c r="A9" s="4" t="s">
        <v>18</v>
      </c>
      <c r="B9" s="4" t="s">
        <v>13</v>
      </c>
      <c r="C9" s="4" t="s">
        <v>17</v>
      </c>
      <c r="D9" s="4" t="s">
        <v>12</v>
      </c>
      <c r="F9" s="4" t="s">
        <v>16</v>
      </c>
      <c r="G9" s="19" t="s">
        <v>15</v>
      </c>
      <c r="H9" s="19"/>
      <c r="I9" s="5" t="s">
        <v>14</v>
      </c>
      <c r="K9" s="4" t="s">
        <v>13</v>
      </c>
      <c r="L9" s="4" t="s">
        <v>12</v>
      </c>
    </row>
    <row r="10" spans="1:21" x14ac:dyDescent="0.3">
      <c r="A10" t="s">
        <v>11</v>
      </c>
      <c r="B10">
        <v>1953</v>
      </c>
      <c r="C10" s="3">
        <v>1952.9999999842701</v>
      </c>
      <c r="E10" s="1">
        <v>19360</v>
      </c>
      <c r="G10" t="s">
        <v>11</v>
      </c>
      <c r="H10" s="2">
        <f t="shared" ref="H10:H21" si="0">AVERAGEIF(A$22:A$741,G10,D$22:D$741)</f>
        <v>26.972881355932209</v>
      </c>
      <c r="I10" s="2">
        <v>0.57260159721150283</v>
      </c>
      <c r="K10" s="15">
        <v>2015</v>
      </c>
      <c r="L10" s="16">
        <v>28.392886867412198</v>
      </c>
      <c r="U10" s="1"/>
    </row>
    <row r="11" spans="1:21" x14ac:dyDescent="0.3">
      <c r="A11" t="s">
        <v>10</v>
      </c>
      <c r="B11">
        <v>1953</v>
      </c>
      <c r="C11" s="3">
        <v>1953.0833333176299</v>
      </c>
      <c r="E11" s="1">
        <v>19391</v>
      </c>
      <c r="G11" t="s">
        <v>10</v>
      </c>
      <c r="H11" s="2">
        <f t="shared" si="0"/>
        <v>26.901666666666678</v>
      </c>
      <c r="I11" s="2">
        <f t="array" ref="I11">_xlfn.STDEV.S(IF(A$22:A$741=G11,D$22:D$741))</f>
        <v>0.51337753863520474</v>
      </c>
      <c r="K11" s="15">
        <v>2014</v>
      </c>
      <c r="L11" s="16">
        <v>28.249761100998459</v>
      </c>
      <c r="U11" s="1"/>
    </row>
    <row r="12" spans="1:21" x14ac:dyDescent="0.3">
      <c r="A12" t="s">
        <v>9</v>
      </c>
      <c r="B12">
        <v>1953</v>
      </c>
      <c r="C12" s="3">
        <v>1953.16666665099</v>
      </c>
      <c r="E12" s="1">
        <v>19419</v>
      </c>
      <c r="G12" t="s">
        <v>9</v>
      </c>
      <c r="H12" s="2">
        <f t="shared" si="0"/>
        <v>27.236666666666679</v>
      </c>
      <c r="I12" s="2">
        <f t="array" ref="I12">_xlfn.STDEV.S(IF(A$22:A$741=G12,D$22:D$741))</f>
        <v>0.5656754374771561</v>
      </c>
      <c r="K12">
        <v>2013</v>
      </c>
      <c r="L12">
        <f t="shared" ref="L12:L43" si="1">AVERAGEIF(B$22:B$741,K12,D$22:D$741)</f>
        <v>28.191666666666674</v>
      </c>
      <c r="U12" s="1"/>
    </row>
    <row r="13" spans="1:21" x14ac:dyDescent="0.3">
      <c r="A13" t="s">
        <v>8</v>
      </c>
      <c r="B13">
        <v>1953</v>
      </c>
      <c r="C13" s="3">
        <v>1953.2499999843501</v>
      </c>
      <c r="E13" s="1">
        <v>19450</v>
      </c>
      <c r="G13" t="s">
        <v>8</v>
      </c>
      <c r="H13" s="2">
        <f t="shared" si="0"/>
        <v>27.685000000000002</v>
      </c>
      <c r="I13" s="2">
        <f t="array" ref="I13">_xlfn.STDEV.S(IF(A$22:A$741=G13,D$22:D$741))</f>
        <v>0.47401101324543715</v>
      </c>
      <c r="K13">
        <v>2012</v>
      </c>
      <c r="L13">
        <f t="shared" si="1"/>
        <v>28.122222222222224</v>
      </c>
      <c r="U13" s="1"/>
    </row>
    <row r="14" spans="1:21" x14ac:dyDescent="0.3">
      <c r="A14" t="s">
        <v>7</v>
      </c>
      <c r="B14">
        <v>1953</v>
      </c>
      <c r="C14" s="3">
        <v>1953.33333331771</v>
      </c>
      <c r="E14" s="1">
        <v>19480</v>
      </c>
      <c r="G14" t="s">
        <v>7</v>
      </c>
      <c r="H14" s="2">
        <f t="shared" si="0"/>
        <v>28.178333333333338</v>
      </c>
      <c r="I14" s="2">
        <f t="array" ref="I14">_xlfn.STDEV.S(IF(A$22:A$741=G14,D$22:D$741))</f>
        <v>0.37465992112471191</v>
      </c>
      <c r="K14">
        <v>2011</v>
      </c>
      <c r="L14">
        <f t="shared" si="1"/>
        <v>27.763636363636365</v>
      </c>
      <c r="U14" s="1"/>
    </row>
    <row r="15" spans="1:21" x14ac:dyDescent="0.3">
      <c r="A15" t="s">
        <v>6</v>
      </c>
      <c r="B15">
        <v>1953</v>
      </c>
      <c r="C15" s="3">
        <v>1953.41666665107</v>
      </c>
      <c r="E15" s="1">
        <v>19511</v>
      </c>
      <c r="G15" t="s">
        <v>6</v>
      </c>
      <c r="H15" s="2">
        <f t="shared" si="0"/>
        <v>28.353333333333332</v>
      </c>
      <c r="I15" s="2">
        <f t="array" ref="I15">_xlfn.STDEV.S(IF(A$22:A$741=G15,D$22:D$741))</f>
        <v>0.42405095099474538</v>
      </c>
      <c r="K15">
        <v>2010</v>
      </c>
      <c r="L15">
        <f t="shared" si="1"/>
        <v>28.133333333333329</v>
      </c>
      <c r="U15" s="1"/>
    </row>
    <row r="16" spans="1:21" x14ac:dyDescent="0.3">
      <c r="A16" t="s">
        <v>5</v>
      </c>
      <c r="B16">
        <v>1953</v>
      </c>
      <c r="C16" s="3">
        <v>1953.4999999844299</v>
      </c>
      <c r="E16" s="1">
        <v>19541</v>
      </c>
      <c r="G16" t="s">
        <v>5</v>
      </c>
      <c r="H16" s="2">
        <f t="shared" si="0"/>
        <v>28.211666666666662</v>
      </c>
      <c r="I16" s="2">
        <f t="array" ref="I16">_xlfn.STDEV.S(IF(A$22:A$741=G16,D$22:D$741))</f>
        <v>0.37239111327062829</v>
      </c>
      <c r="K16">
        <v>2009</v>
      </c>
      <c r="L16">
        <f t="shared" si="1"/>
        <v>28.166666666666661</v>
      </c>
      <c r="U16" s="1"/>
    </row>
    <row r="17" spans="1:21" x14ac:dyDescent="0.3">
      <c r="A17" t="s">
        <v>4</v>
      </c>
      <c r="B17">
        <v>1953</v>
      </c>
      <c r="C17" s="3">
        <v>1953.58333331779</v>
      </c>
      <c r="D17">
        <v>28.6</v>
      </c>
      <c r="E17" s="1">
        <v>19572</v>
      </c>
      <c r="G17" t="s">
        <v>4</v>
      </c>
      <c r="H17" s="2">
        <f t="shared" si="0"/>
        <v>28.17499999999999</v>
      </c>
      <c r="I17" s="2">
        <f t="array" ref="I17">_xlfn.STDEV.S(IF(A$22:A$741=G17,D$22:D$741))</f>
        <v>0.47856600770302715</v>
      </c>
      <c r="K17">
        <v>2008</v>
      </c>
      <c r="L17">
        <f t="shared" si="1"/>
        <v>27.633333333333336</v>
      </c>
      <c r="U17" s="1"/>
    </row>
    <row r="18" spans="1:21" x14ac:dyDescent="0.3">
      <c r="A18" t="s">
        <v>3</v>
      </c>
      <c r="B18">
        <v>1953</v>
      </c>
      <c r="C18" s="3">
        <v>1953.6666666511501</v>
      </c>
      <c r="D18">
        <v>28.8</v>
      </c>
      <c r="E18" s="1">
        <v>19603</v>
      </c>
      <c r="G18" t="s">
        <v>3</v>
      </c>
      <c r="H18" s="2">
        <f t="shared" si="0"/>
        <v>28.214999999999996</v>
      </c>
      <c r="I18" s="2">
        <f t="array" ref="I18">_xlfn.STDEV.S(IF(A$22:A$741=G18,D$22:D$741))</f>
        <v>0.44372269550753723</v>
      </c>
      <c r="K18">
        <v>2007</v>
      </c>
      <c r="L18">
        <f t="shared" si="1"/>
        <v>27.775000000000002</v>
      </c>
      <c r="U18" s="1"/>
    </row>
    <row r="19" spans="1:21" x14ac:dyDescent="0.3">
      <c r="A19" t="s">
        <v>2</v>
      </c>
      <c r="B19">
        <v>1953</v>
      </c>
      <c r="C19" s="3">
        <v>1953.7499999845099</v>
      </c>
      <c r="D19">
        <v>28.7</v>
      </c>
      <c r="E19" s="1">
        <v>19633</v>
      </c>
      <c r="G19" t="s">
        <v>2</v>
      </c>
      <c r="H19" s="2">
        <f t="shared" si="0"/>
        <v>27.911864406779664</v>
      </c>
      <c r="I19" s="2">
        <v>0.48068630314779937</v>
      </c>
      <c r="K19">
        <v>2006</v>
      </c>
      <c r="L19">
        <f t="shared" si="1"/>
        <v>27.974999999999998</v>
      </c>
      <c r="U19" s="1"/>
    </row>
    <row r="20" spans="1:21" x14ac:dyDescent="0.3">
      <c r="A20" t="s">
        <v>1</v>
      </c>
      <c r="B20">
        <v>1953</v>
      </c>
      <c r="C20" s="3">
        <v>1953.83333331787</v>
      </c>
      <c r="D20">
        <v>28.6</v>
      </c>
      <c r="E20" s="1">
        <v>19664</v>
      </c>
      <c r="G20" t="s">
        <v>1</v>
      </c>
      <c r="H20" s="2">
        <f t="shared" si="0"/>
        <v>27.832203389830507</v>
      </c>
      <c r="I20" s="2">
        <v>0.56190505259838464</v>
      </c>
      <c r="K20">
        <v>2005</v>
      </c>
      <c r="L20">
        <f t="shared" si="1"/>
        <v>28.133333333333329</v>
      </c>
      <c r="U20" s="1"/>
    </row>
    <row r="21" spans="1:21" x14ac:dyDescent="0.3">
      <c r="A21" t="s">
        <v>0</v>
      </c>
      <c r="B21">
        <v>1953</v>
      </c>
      <c r="C21" s="3">
        <v>1953.9166666512299</v>
      </c>
      <c r="E21" s="1">
        <v>19694</v>
      </c>
      <c r="G21" t="s">
        <v>0</v>
      </c>
      <c r="H21" s="2">
        <f t="shared" si="0"/>
        <v>27.400000000000002</v>
      </c>
      <c r="I21" s="2">
        <v>0.59648090806346055</v>
      </c>
      <c r="K21">
        <v>2004</v>
      </c>
      <c r="L21">
        <f t="shared" si="1"/>
        <v>27.858333333333338</v>
      </c>
      <c r="U21" s="1"/>
    </row>
    <row r="22" spans="1:21" x14ac:dyDescent="0.3">
      <c r="A22" t="s">
        <v>11</v>
      </c>
      <c r="B22">
        <v>1954</v>
      </c>
      <c r="C22" s="3">
        <v>1953.99999998459</v>
      </c>
      <c r="D22">
        <v>26.3</v>
      </c>
      <c r="E22" s="1">
        <v>19725</v>
      </c>
      <c r="F22" s="2">
        <f>STANDARDIZE(D22,H$10,I$10)</f>
        <v>-1.1751300716048563</v>
      </c>
      <c r="K22">
        <v>2003</v>
      </c>
      <c r="L22">
        <f t="shared" si="1"/>
        <v>28.025000000000002</v>
      </c>
      <c r="U22" s="1"/>
    </row>
    <row r="23" spans="1:21" x14ac:dyDescent="0.3">
      <c r="A23" t="s">
        <v>10</v>
      </c>
      <c r="B23">
        <v>1954</v>
      </c>
      <c r="C23" s="3">
        <v>1954.0833333179501</v>
      </c>
      <c r="D23">
        <v>26.6</v>
      </c>
      <c r="E23" s="1">
        <v>19756</v>
      </c>
      <c r="F23" s="2">
        <f>STANDARDIZE(D23,H$11,I$11)</f>
        <v>-0.58761173593345406</v>
      </c>
      <c r="K23">
        <v>2002</v>
      </c>
      <c r="L23">
        <f t="shared" si="1"/>
        <v>28.05</v>
      </c>
      <c r="U23" s="1"/>
    </row>
    <row r="24" spans="1:21" x14ac:dyDescent="0.3">
      <c r="A24" t="s">
        <v>9</v>
      </c>
      <c r="B24">
        <v>1954</v>
      </c>
      <c r="C24" s="3">
        <v>1954.1666666513099</v>
      </c>
      <c r="D24">
        <v>27.4</v>
      </c>
      <c r="E24" s="1">
        <v>19784</v>
      </c>
      <c r="F24" s="2">
        <f>STANDARDIZE(D24,H$12,I$12)</f>
        <v>0.28874036684669685</v>
      </c>
      <c r="K24">
        <v>2001</v>
      </c>
      <c r="L24">
        <f t="shared" si="1"/>
        <v>27.708333333333332</v>
      </c>
      <c r="U24" s="1"/>
    </row>
    <row r="25" spans="1:21" x14ac:dyDescent="0.3">
      <c r="A25" t="s">
        <v>8</v>
      </c>
      <c r="B25">
        <v>1954</v>
      </c>
      <c r="C25" s="3">
        <v>1954.24999998467</v>
      </c>
      <c r="D25">
        <v>27.8</v>
      </c>
      <c r="E25" s="1">
        <v>19815</v>
      </c>
      <c r="F25" s="2">
        <f>STANDARDIZE(D25,H$13,I$13)</f>
        <v>0.24261039677669438</v>
      </c>
      <c r="K25">
        <v>2000</v>
      </c>
      <c r="L25">
        <f t="shared" si="1"/>
        <v>27.390909090909087</v>
      </c>
      <c r="U25" s="1"/>
    </row>
    <row r="26" spans="1:21" x14ac:dyDescent="0.3">
      <c r="A26" t="s">
        <v>7</v>
      </c>
      <c r="B26">
        <v>1954</v>
      </c>
      <c r="C26" s="3">
        <v>1954.3333333180301</v>
      </c>
      <c r="D26">
        <v>28.3</v>
      </c>
      <c r="E26" s="1">
        <v>19845</v>
      </c>
      <c r="F26" s="2">
        <f>STANDARDIZE(D26,H$14,I$14)</f>
        <v>0.32473894272284271</v>
      </c>
      <c r="K26">
        <v>1999</v>
      </c>
      <c r="L26">
        <f t="shared" si="1"/>
        <v>27.408333333333331</v>
      </c>
      <c r="U26" s="1"/>
    </row>
    <row r="27" spans="1:21" x14ac:dyDescent="0.3">
      <c r="A27" t="s">
        <v>6</v>
      </c>
      <c r="B27">
        <v>1954</v>
      </c>
      <c r="C27" s="3">
        <v>1954.41666665139</v>
      </c>
      <c r="D27">
        <v>28.7</v>
      </c>
      <c r="E27" s="1">
        <v>19876</v>
      </c>
      <c r="F27" s="2">
        <f>STANDARDIZE(D27,H$15,I$15)</f>
        <v>0.81751182458959581</v>
      </c>
      <c r="K27">
        <v>1998</v>
      </c>
      <c r="L27">
        <f t="shared" si="1"/>
        <v>28.100000000000005</v>
      </c>
      <c r="U27" s="1"/>
    </row>
    <row r="28" spans="1:21" x14ac:dyDescent="0.3">
      <c r="A28" t="s">
        <v>5</v>
      </c>
      <c r="B28">
        <v>1954</v>
      </c>
      <c r="C28" s="3">
        <v>1954.49999998475</v>
      </c>
      <c r="D28">
        <v>28.8</v>
      </c>
      <c r="E28" s="1">
        <v>19906</v>
      </c>
      <c r="F28" s="2">
        <f>STANDARDIZE(D28,H$16,I$16)</f>
        <v>1.5798801646100991</v>
      </c>
      <c r="K28">
        <v>1997</v>
      </c>
      <c r="L28">
        <f t="shared" si="1"/>
        <v>27.766666666666666</v>
      </c>
      <c r="U28" s="1"/>
    </row>
    <row r="29" spans="1:21" x14ac:dyDescent="0.3">
      <c r="A29" t="s">
        <v>4</v>
      </c>
      <c r="B29">
        <v>1954</v>
      </c>
      <c r="C29" s="3">
        <v>1954.5833333181099</v>
      </c>
      <c r="D29">
        <v>28.7</v>
      </c>
      <c r="E29" s="1">
        <v>19937</v>
      </c>
      <c r="F29" s="2">
        <f>STANDARDIZE(D29,H$17,I$17)</f>
        <v>1.0970273516078821</v>
      </c>
      <c r="K29">
        <v>1996</v>
      </c>
      <c r="L29">
        <f t="shared" si="1"/>
        <v>27.691666666666666</v>
      </c>
      <c r="U29" s="1"/>
    </row>
    <row r="30" spans="1:21" x14ac:dyDescent="0.3">
      <c r="A30" t="s">
        <v>3</v>
      </c>
      <c r="B30">
        <v>1954</v>
      </c>
      <c r="C30" s="3">
        <v>1954.66666665147</v>
      </c>
      <c r="D30">
        <v>28.5</v>
      </c>
      <c r="E30" s="1">
        <v>19968</v>
      </c>
      <c r="F30" s="2">
        <f>STANDARDIZE(D30,H$18,I$18)</f>
        <v>0.64229304222092143</v>
      </c>
      <c r="K30">
        <v>1995</v>
      </c>
      <c r="L30">
        <f t="shared" si="1"/>
        <v>27.791666666666668</v>
      </c>
      <c r="U30" s="1"/>
    </row>
    <row r="31" spans="1:21" x14ac:dyDescent="0.3">
      <c r="A31" t="s">
        <v>2</v>
      </c>
      <c r="B31">
        <v>1954</v>
      </c>
      <c r="C31" s="3">
        <v>1954.7499999848301</v>
      </c>
      <c r="D31">
        <v>27.8</v>
      </c>
      <c r="E31" s="1">
        <v>19998</v>
      </c>
      <c r="F31" s="2">
        <f>STANDARDIZE(D31,H$19,I$19)</f>
        <v>-0.23271810752067018</v>
      </c>
      <c r="K31">
        <v>1994</v>
      </c>
      <c r="L31">
        <f t="shared" si="1"/>
        <v>27.5</v>
      </c>
      <c r="U31" s="1"/>
    </row>
    <row r="32" spans="1:21" x14ac:dyDescent="0.3">
      <c r="A32" t="s">
        <v>1</v>
      </c>
      <c r="B32">
        <v>1954</v>
      </c>
      <c r="C32" s="3">
        <v>1954.8333333181899</v>
      </c>
      <c r="D32">
        <v>27.8</v>
      </c>
      <c r="E32" s="1">
        <v>20029</v>
      </c>
      <c r="F32" s="2">
        <f>STANDARDIZE(D32,H$20,I$20)</f>
        <v>-5.731108784587409E-2</v>
      </c>
      <c r="K32">
        <v>1993</v>
      </c>
      <c r="L32">
        <f t="shared" si="1"/>
        <v>27.791666666666661</v>
      </c>
      <c r="U32" s="1"/>
    </row>
    <row r="33" spans="1:21" x14ac:dyDescent="0.3">
      <c r="A33" t="s">
        <v>0</v>
      </c>
      <c r="B33">
        <v>1954</v>
      </c>
      <c r="C33" s="3">
        <v>1954.91666665155</v>
      </c>
      <c r="D33">
        <v>27.3</v>
      </c>
      <c r="E33" s="1">
        <v>20059</v>
      </c>
      <c r="F33" s="2">
        <f>STANDARDIZE(D33,H$21,I$21)</f>
        <v>-0.16764995936695137</v>
      </c>
      <c r="K33">
        <v>1992</v>
      </c>
      <c r="L33">
        <f t="shared" si="1"/>
        <v>27.774999999999995</v>
      </c>
      <c r="U33" s="1"/>
    </row>
    <row r="34" spans="1:21" x14ac:dyDescent="0.3">
      <c r="A34" t="s">
        <v>11</v>
      </c>
      <c r="B34">
        <v>1955</v>
      </c>
      <c r="C34" s="3">
        <v>1954.9999999849099</v>
      </c>
      <c r="D34">
        <v>26.9</v>
      </c>
      <c r="E34" s="1">
        <v>20090</v>
      </c>
      <c r="F34" s="2">
        <f>STANDARDIZE(D34,H$10,I$10)</f>
        <v>-0.12728109087912701</v>
      </c>
      <c r="K34">
        <v>1991</v>
      </c>
      <c r="L34">
        <f t="shared" si="1"/>
        <v>27.624999999999996</v>
      </c>
      <c r="U34" s="1"/>
    </row>
    <row r="35" spans="1:21" x14ac:dyDescent="0.3">
      <c r="A35" t="s">
        <v>10</v>
      </c>
      <c r="B35">
        <v>1955</v>
      </c>
      <c r="C35" s="3">
        <v>1955.08333331827</v>
      </c>
      <c r="D35">
        <v>27.1</v>
      </c>
      <c r="E35" s="1">
        <v>20121</v>
      </c>
      <c r="F35" s="2">
        <f>STANDARDIZE(D35,H$11,I$11)</f>
        <v>0.38633036782362029</v>
      </c>
      <c r="K35">
        <v>1990</v>
      </c>
      <c r="L35">
        <f t="shared" si="1"/>
        <v>27.474999999999998</v>
      </c>
      <c r="U35" s="1"/>
    </row>
    <row r="36" spans="1:21" x14ac:dyDescent="0.3">
      <c r="A36" t="s">
        <v>9</v>
      </c>
      <c r="B36">
        <v>1955</v>
      </c>
      <c r="C36" s="3">
        <v>1955.1666666516301</v>
      </c>
      <c r="D36">
        <v>26.3</v>
      </c>
      <c r="E36" s="1">
        <v>20149</v>
      </c>
      <c r="F36" s="2">
        <f>STANDARDIZE(D36,H$12,I$12)</f>
        <v>-1.6558376139577458</v>
      </c>
      <c r="K36">
        <v>1989</v>
      </c>
      <c r="L36">
        <f t="shared" si="1"/>
        <v>27.575000000000003</v>
      </c>
      <c r="U36" s="1"/>
    </row>
    <row r="37" spans="1:21" x14ac:dyDescent="0.3">
      <c r="A37" t="s">
        <v>8</v>
      </c>
      <c r="B37">
        <v>1955</v>
      </c>
      <c r="C37" s="3">
        <v>1955.2499999849899</v>
      </c>
      <c r="D37">
        <v>27.2</v>
      </c>
      <c r="E37" s="1">
        <v>20180</v>
      </c>
      <c r="F37" s="2">
        <f>STANDARDIZE(D37,H$13,I$13)</f>
        <v>-1.0231829777104269</v>
      </c>
      <c r="K37">
        <v>1988</v>
      </c>
      <c r="L37">
        <f t="shared" si="1"/>
        <v>27.508333333333329</v>
      </c>
      <c r="U37" s="1"/>
    </row>
    <row r="38" spans="1:21" x14ac:dyDescent="0.3">
      <c r="A38" t="s">
        <v>7</v>
      </c>
      <c r="B38">
        <v>1955</v>
      </c>
      <c r="C38" s="3">
        <v>1955.33333331835</v>
      </c>
      <c r="D38">
        <v>28.1</v>
      </c>
      <c r="E38" s="1">
        <v>20210</v>
      </c>
      <c r="F38" s="2">
        <f>STANDARDIZE(D38,H$14,I$14)</f>
        <v>-0.20907849736951745</v>
      </c>
      <c r="K38">
        <v>1987</v>
      </c>
      <c r="L38">
        <f t="shared" si="1"/>
        <v>27.966666666666669</v>
      </c>
      <c r="U38" s="1"/>
    </row>
    <row r="39" spans="1:21" x14ac:dyDescent="0.3">
      <c r="A39" t="s">
        <v>6</v>
      </c>
      <c r="B39">
        <v>1955</v>
      </c>
      <c r="C39" s="3">
        <v>1955.4166666517101</v>
      </c>
      <c r="D39">
        <v>28</v>
      </c>
      <c r="E39" s="1">
        <v>20241</v>
      </c>
      <c r="F39" s="2">
        <f>STANDARDIZE(D39,H$15,I$15)</f>
        <v>-0.83323320583169747</v>
      </c>
      <c r="K39">
        <v>1986</v>
      </c>
      <c r="L39">
        <f t="shared" si="1"/>
        <v>27.666666666666671</v>
      </c>
      <c r="U39" s="1"/>
    </row>
    <row r="40" spans="1:21" x14ac:dyDescent="0.3">
      <c r="A40" t="s">
        <v>5</v>
      </c>
      <c r="B40">
        <v>1955</v>
      </c>
      <c r="C40" s="3">
        <v>1955.49999998507</v>
      </c>
      <c r="D40">
        <v>28.2</v>
      </c>
      <c r="E40" s="1">
        <v>20271</v>
      </c>
      <c r="F40" s="2">
        <f>STANDARDIZE(D40,H$16,I$16)</f>
        <v>-3.1329068420020617E-2</v>
      </c>
      <c r="K40">
        <v>1985</v>
      </c>
      <c r="L40">
        <f t="shared" si="1"/>
        <v>27.466666666666665</v>
      </c>
      <c r="U40" s="1"/>
    </row>
    <row r="41" spans="1:21" x14ac:dyDescent="0.3">
      <c r="A41" t="s">
        <v>4</v>
      </c>
      <c r="B41">
        <v>1955</v>
      </c>
      <c r="C41" s="3">
        <v>1955.58333331843</v>
      </c>
      <c r="D41">
        <v>28.6</v>
      </c>
      <c r="E41" s="1">
        <v>20302</v>
      </c>
      <c r="F41" s="2">
        <f>STANDARDIZE(D41,H$17,I$17)</f>
        <v>0.88806976082543654</v>
      </c>
      <c r="K41">
        <v>1984</v>
      </c>
      <c r="L41">
        <f t="shared" si="1"/>
        <v>27.391666666666666</v>
      </c>
      <c r="U41" s="1"/>
    </row>
    <row r="42" spans="1:21" x14ac:dyDescent="0.3">
      <c r="A42" t="s">
        <v>3</v>
      </c>
      <c r="B42">
        <v>1955</v>
      </c>
      <c r="C42" s="3">
        <v>1955.6666666517899</v>
      </c>
      <c r="D42">
        <v>28.3</v>
      </c>
      <c r="E42" s="1">
        <v>20333</v>
      </c>
      <c r="F42" s="2">
        <f>STANDARDIZE(D42,H$18,I$18)</f>
        <v>0.19156108276765069</v>
      </c>
      <c r="K42">
        <v>1983</v>
      </c>
      <c r="L42">
        <f t="shared" si="1"/>
        <v>28.116666666666664</v>
      </c>
      <c r="U42" s="1"/>
    </row>
    <row r="43" spans="1:21" x14ac:dyDescent="0.3">
      <c r="A43" t="s">
        <v>2</v>
      </c>
      <c r="B43">
        <v>1955</v>
      </c>
      <c r="C43" s="3">
        <v>1955.74999998515</v>
      </c>
      <c r="D43">
        <v>27.5</v>
      </c>
      <c r="E43" s="1">
        <v>20363</v>
      </c>
      <c r="F43" s="2">
        <f>STANDARDIZE(D43,H$19,I$19)</f>
        <v>-0.85682575950791229</v>
      </c>
      <c r="K43">
        <v>1982</v>
      </c>
      <c r="L43">
        <f t="shared" si="1"/>
        <v>27.591666666666669</v>
      </c>
      <c r="U43" s="1"/>
    </row>
    <row r="44" spans="1:21" x14ac:dyDescent="0.3">
      <c r="A44" t="s">
        <v>1</v>
      </c>
      <c r="B44">
        <v>1955</v>
      </c>
      <c r="C44" s="3">
        <v>1955.8333333185101</v>
      </c>
      <c r="D44">
        <v>27.9</v>
      </c>
      <c r="E44" s="1">
        <v>20394</v>
      </c>
      <c r="F44" s="2">
        <f>STANDARDIZE(D44,H$20,I$20)</f>
        <v>0.12065492178079455</v>
      </c>
      <c r="K44">
        <v>1981</v>
      </c>
      <c r="L44">
        <f t="shared" ref="L44:L75" si="2">AVERAGEIF(B$22:B$741,K44,D$22:D$741)</f>
        <v>27.858333333333334</v>
      </c>
      <c r="U44" s="1"/>
    </row>
    <row r="45" spans="1:21" x14ac:dyDescent="0.3">
      <c r="A45" t="s">
        <v>0</v>
      </c>
      <c r="B45">
        <v>1955</v>
      </c>
      <c r="C45" s="3">
        <v>1955.9166666518699</v>
      </c>
      <c r="D45">
        <v>27.6</v>
      </c>
      <c r="E45" s="1">
        <v>20424</v>
      </c>
      <c r="F45" s="2">
        <f>STANDARDIZE(D45,H$21,I$21)</f>
        <v>0.33529991873389681</v>
      </c>
      <c r="K45">
        <v>1980</v>
      </c>
      <c r="L45">
        <f t="shared" si="2"/>
        <v>28.108333333333334</v>
      </c>
      <c r="U45" s="1"/>
    </row>
    <row r="46" spans="1:21" x14ac:dyDescent="0.3">
      <c r="A46" t="s">
        <v>11</v>
      </c>
      <c r="B46">
        <v>1956</v>
      </c>
      <c r="C46" s="3">
        <v>1955.99999998523</v>
      </c>
      <c r="D46">
        <v>26.4</v>
      </c>
      <c r="E46" s="1">
        <v>20455</v>
      </c>
      <c r="F46" s="2">
        <f>STANDARDIZE(D46,H$10,I$10)</f>
        <v>-1.0004885748172379</v>
      </c>
      <c r="K46">
        <v>1979</v>
      </c>
      <c r="L46">
        <f t="shared" si="2"/>
        <v>28.099999999999998</v>
      </c>
      <c r="U46" s="1"/>
    </row>
    <row r="47" spans="1:21" x14ac:dyDescent="0.3">
      <c r="A47" t="s">
        <v>10</v>
      </c>
      <c r="B47">
        <v>1956</v>
      </c>
      <c r="C47" s="3">
        <v>1956.0833333185899</v>
      </c>
      <c r="D47">
        <v>26.6</v>
      </c>
      <c r="E47" s="1">
        <v>20486</v>
      </c>
      <c r="F47" s="2">
        <f>STANDARDIZE(D47,H$11,I$11)</f>
        <v>-0.58761173593345406</v>
      </c>
      <c r="K47">
        <v>1978</v>
      </c>
      <c r="L47">
        <f t="shared" si="2"/>
        <v>28.133333333333329</v>
      </c>
      <c r="U47" s="1"/>
    </row>
    <row r="48" spans="1:21" x14ac:dyDescent="0.3">
      <c r="A48" t="s">
        <v>9</v>
      </c>
      <c r="B48">
        <v>1956</v>
      </c>
      <c r="C48" s="3">
        <v>1956.16666665195</v>
      </c>
      <c r="D48">
        <v>26.7</v>
      </c>
      <c r="E48" s="1">
        <v>20515</v>
      </c>
      <c r="F48" s="2">
        <f>STANDARDIZE(D48,H$12,I$12)</f>
        <v>-0.9487183482106768</v>
      </c>
      <c r="K48">
        <v>1977</v>
      </c>
      <c r="L48">
        <f t="shared" si="2"/>
        <v>27.691666666666663</v>
      </c>
      <c r="U48" s="1"/>
    </row>
    <row r="49" spans="1:21" x14ac:dyDescent="0.3">
      <c r="A49" t="s">
        <v>8</v>
      </c>
      <c r="B49">
        <v>1956</v>
      </c>
      <c r="C49" s="3">
        <v>1956.2499999853101</v>
      </c>
      <c r="D49">
        <v>27.6</v>
      </c>
      <c r="E49" s="1">
        <v>20546</v>
      </c>
      <c r="F49" s="2">
        <f>STANDARDIZE(D49,H$13,I$13)</f>
        <v>-0.17932072805234356</v>
      </c>
      <c r="K49">
        <v>1976</v>
      </c>
      <c r="L49">
        <f t="shared" si="2"/>
        <v>27.224999999999998</v>
      </c>
      <c r="U49" s="1"/>
    </row>
    <row r="50" spans="1:21" x14ac:dyDescent="0.3">
      <c r="A50" t="s">
        <v>7</v>
      </c>
      <c r="B50">
        <v>1956</v>
      </c>
      <c r="C50" s="3">
        <v>1956.3333333186699</v>
      </c>
      <c r="D50">
        <v>27.7</v>
      </c>
      <c r="E50" s="1">
        <v>20576</v>
      </c>
      <c r="F50" s="2">
        <f>STANDARDIZE(D50,H$14,I$14)</f>
        <v>-1.2767133775542472</v>
      </c>
      <c r="K50">
        <v>1975</v>
      </c>
      <c r="L50">
        <f t="shared" si="2"/>
        <v>27.058333333333337</v>
      </c>
      <c r="U50" s="1"/>
    </row>
    <row r="51" spans="1:21" x14ac:dyDescent="0.3">
      <c r="A51" t="s">
        <v>6</v>
      </c>
      <c r="B51">
        <v>1956</v>
      </c>
      <c r="C51" s="3">
        <v>1956.41666665203</v>
      </c>
      <c r="D51">
        <v>27.8</v>
      </c>
      <c r="E51" s="1">
        <v>20607</v>
      </c>
      <c r="F51" s="2">
        <f>STANDARDIZE(D51,H$15,I$15)</f>
        <v>-1.304874643094923</v>
      </c>
      <c r="K51">
        <v>1974</v>
      </c>
      <c r="L51">
        <f t="shared" si="2"/>
        <v>27.783333333333331</v>
      </c>
      <c r="U51" s="1"/>
    </row>
    <row r="52" spans="1:21" x14ac:dyDescent="0.3">
      <c r="A52" t="s">
        <v>5</v>
      </c>
      <c r="B52">
        <v>1956</v>
      </c>
      <c r="C52" s="3">
        <v>1956.4999999853901</v>
      </c>
      <c r="D52">
        <v>28.1</v>
      </c>
      <c r="E52" s="1">
        <v>20637</v>
      </c>
      <c r="F52" s="2">
        <f>STANDARDIZE(D52,H$16,I$16)</f>
        <v>-0.29986394059170085</v>
      </c>
      <c r="K52">
        <v>1973</v>
      </c>
      <c r="L52">
        <f t="shared" si="2"/>
        <v>27.933333333333334</v>
      </c>
      <c r="U52" s="1"/>
    </row>
    <row r="53" spans="1:21" x14ac:dyDescent="0.3">
      <c r="A53" t="s">
        <v>4</v>
      </c>
      <c r="B53">
        <v>1956</v>
      </c>
      <c r="C53" s="3">
        <v>1956.58333331875</v>
      </c>
      <c r="D53">
        <v>27.5</v>
      </c>
      <c r="E53" s="1">
        <v>20668</v>
      </c>
      <c r="F53" s="2">
        <f>STANDARDIZE(D53,H$17,I$17)</f>
        <v>-1.4104637377815172</v>
      </c>
      <c r="K53">
        <v>1972</v>
      </c>
      <c r="L53">
        <f t="shared" si="2"/>
        <v>28.416666666666668</v>
      </c>
      <c r="U53" s="1"/>
    </row>
    <row r="54" spans="1:21" x14ac:dyDescent="0.3">
      <c r="A54" t="s">
        <v>3</v>
      </c>
      <c r="B54">
        <v>1956</v>
      </c>
      <c r="C54" s="3">
        <v>1956.6666666521101</v>
      </c>
      <c r="D54">
        <v>28</v>
      </c>
      <c r="E54" s="1">
        <v>20699</v>
      </c>
      <c r="F54" s="2">
        <f>STANDARDIZE(D54,H$18,I$18)</f>
        <v>-0.48453685641225946</v>
      </c>
      <c r="K54">
        <v>1971</v>
      </c>
      <c r="L54">
        <f t="shared" si="2"/>
        <v>27.866666666666664</v>
      </c>
      <c r="U54" s="1"/>
    </row>
    <row r="55" spans="1:21" x14ac:dyDescent="0.3">
      <c r="A55" t="s">
        <v>2</v>
      </c>
      <c r="B55">
        <v>1956</v>
      </c>
      <c r="C55" s="3">
        <v>1956.7499999854699</v>
      </c>
      <c r="D55">
        <v>26.9</v>
      </c>
      <c r="E55" s="1">
        <v>20729</v>
      </c>
      <c r="F55" s="2">
        <f>STANDARDIZE(D55,H$19,I$19)</f>
        <v>-2.1050410634823962</v>
      </c>
      <c r="K55">
        <v>1970</v>
      </c>
      <c r="L55">
        <f t="shared" si="2"/>
        <v>27.574999999999999</v>
      </c>
      <c r="U55" s="1"/>
    </row>
    <row r="56" spans="1:21" x14ac:dyDescent="0.3">
      <c r="A56" t="s">
        <v>1</v>
      </c>
      <c r="B56">
        <v>1956</v>
      </c>
      <c r="C56" s="3">
        <v>1956.83333331883</v>
      </c>
      <c r="D56">
        <v>27.4</v>
      </c>
      <c r="E56" s="1">
        <v>20760</v>
      </c>
      <c r="F56" s="2">
        <f>STANDARDIZE(D56,H$20,I$20)</f>
        <v>-0.76917512635256757</v>
      </c>
      <c r="K56">
        <v>1969</v>
      </c>
      <c r="L56">
        <f t="shared" si="2"/>
        <v>27.5</v>
      </c>
      <c r="U56" s="1"/>
    </row>
    <row r="57" spans="1:21" x14ac:dyDescent="0.3">
      <c r="A57" t="s">
        <v>0</v>
      </c>
      <c r="B57">
        <v>1956</v>
      </c>
      <c r="C57" s="3">
        <v>1956.9166666521901</v>
      </c>
      <c r="D57">
        <v>26.9</v>
      </c>
      <c r="E57" s="1">
        <v>20790</v>
      </c>
      <c r="F57" s="2">
        <f>STANDARDIZE(D57,H$21,I$21)</f>
        <v>-0.83824979683475098</v>
      </c>
      <c r="K57">
        <v>1968</v>
      </c>
      <c r="L57">
        <f t="shared" si="2"/>
        <v>27.258333333333336</v>
      </c>
      <c r="U57" s="1"/>
    </row>
    <row r="58" spans="1:21" x14ac:dyDescent="0.3">
      <c r="A58" t="s">
        <v>11</v>
      </c>
      <c r="B58">
        <v>1957</v>
      </c>
      <c r="C58" s="3">
        <v>1956.9999999855499</v>
      </c>
      <c r="D58">
        <v>28.2</v>
      </c>
      <c r="E58" s="1">
        <v>20821</v>
      </c>
      <c r="F58" s="2">
        <f>STANDARDIZE(D58,H$10,I$10)</f>
        <v>2.1430583673599624</v>
      </c>
      <c r="K58">
        <v>1967</v>
      </c>
      <c r="L58">
        <f t="shared" si="2"/>
        <v>27.691666666666666</v>
      </c>
      <c r="U58" s="1"/>
    </row>
    <row r="59" spans="1:21" x14ac:dyDescent="0.3">
      <c r="A59" t="s">
        <v>10</v>
      </c>
      <c r="B59">
        <v>1957</v>
      </c>
      <c r="C59" s="3">
        <v>1957.08333331891</v>
      </c>
      <c r="D59">
        <v>26.1</v>
      </c>
      <c r="E59" s="1">
        <v>20852</v>
      </c>
      <c r="F59" s="2">
        <f>STANDARDIZE(D59,H$11,I$11)</f>
        <v>-1.5615538396905284</v>
      </c>
      <c r="K59">
        <v>1966</v>
      </c>
      <c r="L59">
        <f t="shared" si="2"/>
        <v>27.474999999999998</v>
      </c>
      <c r="U59" s="1"/>
    </row>
    <row r="60" spans="1:21" x14ac:dyDescent="0.3">
      <c r="A60" t="s">
        <v>9</v>
      </c>
      <c r="B60">
        <v>1957</v>
      </c>
      <c r="C60" s="3">
        <v>1957.1666666522699</v>
      </c>
      <c r="D60">
        <v>27.6</v>
      </c>
      <c r="E60" s="1">
        <v>20880</v>
      </c>
      <c r="F60" s="2">
        <f>STANDARDIZE(D60,H$12,I$12)</f>
        <v>0.64229999972023755</v>
      </c>
      <c r="K60">
        <v>1965</v>
      </c>
      <c r="L60">
        <f t="shared" si="2"/>
        <v>27.641666666666666</v>
      </c>
      <c r="U60" s="1"/>
    </row>
    <row r="61" spans="1:21" x14ac:dyDescent="0.3">
      <c r="A61" t="s">
        <v>8</v>
      </c>
      <c r="B61">
        <v>1957</v>
      </c>
      <c r="C61" s="3">
        <v>1957.24999998563</v>
      </c>
      <c r="D61">
        <v>26.6</v>
      </c>
      <c r="E61" s="1">
        <v>20911</v>
      </c>
      <c r="F61" s="2">
        <f>STANDARDIZE(D61,H$13,I$13)</f>
        <v>-2.2889763521975408</v>
      </c>
      <c r="K61">
        <v>1964</v>
      </c>
      <c r="L61">
        <f t="shared" si="2"/>
        <v>27.45</v>
      </c>
      <c r="U61" s="1"/>
    </row>
    <row r="62" spans="1:21" x14ac:dyDescent="0.3">
      <c r="A62" t="s">
        <v>7</v>
      </c>
      <c r="B62">
        <v>1957</v>
      </c>
      <c r="C62" s="3">
        <v>1957.3333333189901</v>
      </c>
      <c r="D62">
        <v>28.4</v>
      </c>
      <c r="E62" s="1">
        <v>20941</v>
      </c>
      <c r="F62" s="2">
        <f>STANDARDIZE(D62,H$14,I$14)</f>
        <v>0.59164766276901803</v>
      </c>
      <c r="K62">
        <v>1963</v>
      </c>
      <c r="L62">
        <f t="shared" si="2"/>
        <v>27.841666666666669</v>
      </c>
      <c r="U62" s="1"/>
    </row>
    <row r="63" spans="1:21" x14ac:dyDescent="0.3">
      <c r="A63" t="s">
        <v>6</v>
      </c>
      <c r="B63">
        <v>1957</v>
      </c>
      <c r="C63" s="3">
        <v>1957.4166666523499</v>
      </c>
      <c r="D63">
        <v>28.6</v>
      </c>
      <c r="E63" s="1">
        <v>20972</v>
      </c>
      <c r="F63" s="2">
        <f>STANDARDIZE(D63,H$15,I$15)</f>
        <v>0.58169110595798723</v>
      </c>
      <c r="K63">
        <v>1962</v>
      </c>
      <c r="L63">
        <f t="shared" si="2"/>
        <v>27.858333333333334</v>
      </c>
      <c r="U63" s="1"/>
    </row>
    <row r="64" spans="1:21" x14ac:dyDescent="0.3">
      <c r="A64" t="s">
        <v>5</v>
      </c>
      <c r="B64">
        <v>1957</v>
      </c>
      <c r="C64" s="3">
        <v>1957.49999998571</v>
      </c>
      <c r="D64">
        <v>28.8</v>
      </c>
      <c r="E64" s="1">
        <v>21002</v>
      </c>
      <c r="F64" s="2">
        <f>STANDARDIZE(D64,H$16,I$16)</f>
        <v>1.5798801646100991</v>
      </c>
      <c r="K64">
        <v>1961</v>
      </c>
      <c r="L64">
        <f t="shared" si="2"/>
        <v>27.341666666666669</v>
      </c>
      <c r="U64" s="1"/>
    </row>
    <row r="65" spans="1:21" x14ac:dyDescent="0.3">
      <c r="A65" t="s">
        <v>4</v>
      </c>
      <c r="B65">
        <v>1957</v>
      </c>
      <c r="C65" s="3">
        <v>1957.5833333190701</v>
      </c>
      <c r="D65">
        <v>29.1</v>
      </c>
      <c r="E65" s="1">
        <v>21033</v>
      </c>
      <c r="F65" s="2">
        <f>STANDARDIZE(D65,H$17,I$17)</f>
        <v>1.9328577147376871</v>
      </c>
      <c r="K65">
        <v>1960</v>
      </c>
      <c r="L65">
        <f t="shared" si="2"/>
        <v>27.900000000000002</v>
      </c>
      <c r="U65" s="1"/>
    </row>
    <row r="66" spans="1:21" x14ac:dyDescent="0.3">
      <c r="A66" t="s">
        <v>3</v>
      </c>
      <c r="B66">
        <v>1957</v>
      </c>
      <c r="C66" s="3">
        <v>1957.66666665243</v>
      </c>
      <c r="D66">
        <v>28.9</v>
      </c>
      <c r="E66" s="1">
        <v>21064</v>
      </c>
      <c r="F66" s="2">
        <f>STANDARDIZE(D66,H$18,I$18)</f>
        <v>1.5437569611274631</v>
      </c>
      <c r="K66">
        <v>1959</v>
      </c>
      <c r="L66">
        <f t="shared" si="2"/>
        <v>27.474999999999998</v>
      </c>
      <c r="U66" s="1"/>
    </row>
    <row r="67" spans="1:21" x14ac:dyDescent="0.3">
      <c r="A67" t="s">
        <v>2</v>
      </c>
      <c r="B67">
        <v>1957</v>
      </c>
      <c r="C67" s="3">
        <v>1957.7499999857901</v>
      </c>
      <c r="D67">
        <v>28.4</v>
      </c>
      <c r="E67" s="1">
        <v>21094</v>
      </c>
      <c r="F67" s="2">
        <f>STANDARDIZE(D67,H$19,I$19)</f>
        <v>1.0154971964538066</v>
      </c>
      <c r="K67">
        <v>1958</v>
      </c>
      <c r="L67">
        <f t="shared" si="2"/>
        <v>28.333333333333329</v>
      </c>
      <c r="U67" s="1"/>
    </row>
    <row r="68" spans="1:21" x14ac:dyDescent="0.3">
      <c r="A68" t="s">
        <v>1</v>
      </c>
      <c r="B68">
        <v>1957</v>
      </c>
      <c r="C68" s="3">
        <v>1957.8333333191499</v>
      </c>
      <c r="D68">
        <v>28.6</v>
      </c>
      <c r="E68" s="1">
        <v>21125</v>
      </c>
      <c r="F68" s="2">
        <f>STANDARDIZE(D68,H$20,I$20)</f>
        <v>1.3664169891675066</v>
      </c>
      <c r="K68">
        <v>1957</v>
      </c>
      <c r="L68">
        <f t="shared" si="2"/>
        <v>28.108333333333334</v>
      </c>
      <c r="U68" s="1"/>
    </row>
    <row r="69" spans="1:21" x14ac:dyDescent="0.3">
      <c r="A69" t="s">
        <v>0</v>
      </c>
      <c r="B69">
        <v>1957</v>
      </c>
      <c r="C69" s="3">
        <v>1957.91666665251</v>
      </c>
      <c r="D69">
        <v>28</v>
      </c>
      <c r="E69" s="1">
        <v>21155</v>
      </c>
      <c r="F69" s="2">
        <f>STANDARDIZE(D69,H$21,I$21)</f>
        <v>1.0058997562016905</v>
      </c>
      <c r="K69">
        <v>1956</v>
      </c>
      <c r="L69">
        <f t="shared" si="2"/>
        <v>27.299999999999997</v>
      </c>
      <c r="U69" s="1"/>
    </row>
    <row r="70" spans="1:21" x14ac:dyDescent="0.3">
      <c r="A70" t="s">
        <v>11</v>
      </c>
      <c r="B70">
        <v>1958</v>
      </c>
      <c r="C70" s="3">
        <v>1957.9999999858701</v>
      </c>
      <c r="D70">
        <v>27.5</v>
      </c>
      <c r="E70" s="1">
        <v>21186</v>
      </c>
      <c r="F70" s="2">
        <f>STANDARDIZE(D70,H$10,I$10)</f>
        <v>0.92056788984660853</v>
      </c>
      <c r="K70">
        <v>1955</v>
      </c>
      <c r="L70">
        <f t="shared" si="2"/>
        <v>27.641666666666666</v>
      </c>
      <c r="U70" s="1"/>
    </row>
    <row r="71" spans="1:21" x14ac:dyDescent="0.3">
      <c r="A71" t="s">
        <v>10</v>
      </c>
      <c r="B71">
        <v>1958</v>
      </c>
      <c r="C71" s="3">
        <v>1958.08333331923</v>
      </c>
      <c r="D71">
        <v>27.2</v>
      </c>
      <c r="E71" s="1">
        <v>21217</v>
      </c>
      <c r="F71" s="2">
        <f>STANDARDIZE(D71,H$11,I$11)</f>
        <v>0.58111878857503096</v>
      </c>
      <c r="K71">
        <v>1954</v>
      </c>
      <c r="L71">
        <f t="shared" si="2"/>
        <v>27.833333333333332</v>
      </c>
      <c r="U71" s="1"/>
    </row>
    <row r="72" spans="1:21" x14ac:dyDescent="0.3">
      <c r="A72" t="s">
        <v>9</v>
      </c>
      <c r="B72">
        <v>1958</v>
      </c>
      <c r="C72" s="3">
        <v>1958.16666665259</v>
      </c>
      <c r="D72">
        <v>27.9</v>
      </c>
      <c r="E72" s="1">
        <v>21245</v>
      </c>
      <c r="F72" s="2">
        <f>STANDARDIZE(D72,H$12,I$12)</f>
        <v>1.1726394490305361</v>
      </c>
      <c r="U72" s="1"/>
    </row>
    <row r="73" spans="1:21" x14ac:dyDescent="0.3">
      <c r="A73" t="s">
        <v>8</v>
      </c>
      <c r="B73">
        <v>1958</v>
      </c>
      <c r="C73" s="3">
        <v>1958.2499999859499</v>
      </c>
      <c r="D73">
        <v>28.4</v>
      </c>
      <c r="E73" s="1">
        <v>21276</v>
      </c>
      <c r="F73" s="2">
        <f>STANDARDIZE(D73,H$13,I$13)</f>
        <v>1.5084037712638081</v>
      </c>
      <c r="U73" s="1"/>
    </row>
    <row r="74" spans="1:21" x14ac:dyDescent="0.3">
      <c r="A74" t="s">
        <v>7</v>
      </c>
      <c r="B74">
        <v>1958</v>
      </c>
      <c r="C74" s="3">
        <v>1958.33333331931</v>
      </c>
      <c r="D74">
        <v>28.5</v>
      </c>
      <c r="E74" s="1">
        <v>21306</v>
      </c>
      <c r="F74" s="2">
        <f>STANDARDIZE(D74,H$14,I$14)</f>
        <v>0.85855638281520286</v>
      </c>
      <c r="U74" s="1"/>
    </row>
    <row r="75" spans="1:21" x14ac:dyDescent="0.3">
      <c r="A75" t="s">
        <v>6</v>
      </c>
      <c r="B75">
        <v>1958</v>
      </c>
      <c r="C75" s="3">
        <v>1958.4166666526701</v>
      </c>
      <c r="D75">
        <v>29.1</v>
      </c>
      <c r="E75" s="1">
        <v>21337</v>
      </c>
      <c r="F75" s="2">
        <f>STANDARDIZE(D75,H$15,I$15)</f>
        <v>1.760794699116055</v>
      </c>
      <c r="U75" s="1"/>
    </row>
    <row r="76" spans="1:21" x14ac:dyDescent="0.3">
      <c r="A76" t="s">
        <v>5</v>
      </c>
      <c r="B76">
        <v>1958</v>
      </c>
      <c r="C76" s="3">
        <v>1958.4999999860299</v>
      </c>
      <c r="D76">
        <v>29</v>
      </c>
      <c r="E76" s="1">
        <v>21367</v>
      </c>
      <c r="F76" s="2">
        <f>STANDARDIZE(D76,H$16,I$16)</f>
        <v>2.1169499089534689</v>
      </c>
      <c r="U76" s="1"/>
    </row>
    <row r="77" spans="1:21" x14ac:dyDescent="0.3">
      <c r="A77" t="s">
        <v>4</v>
      </c>
      <c r="B77">
        <v>1958</v>
      </c>
      <c r="C77" s="3">
        <v>1958.58333331939</v>
      </c>
      <c r="D77">
        <v>28.7</v>
      </c>
      <c r="E77" s="1">
        <v>21398</v>
      </c>
      <c r="F77" s="2">
        <f>STANDARDIZE(D77,H$17,I$17)</f>
        <v>1.0970273516078821</v>
      </c>
      <c r="U77" s="1"/>
    </row>
    <row r="78" spans="1:21" x14ac:dyDescent="0.3">
      <c r="A78" t="s">
        <v>3</v>
      </c>
      <c r="B78">
        <v>1958</v>
      </c>
      <c r="C78" s="3">
        <v>1958.6666666527501</v>
      </c>
      <c r="D78">
        <v>29.2</v>
      </c>
      <c r="E78" s="1">
        <v>21429</v>
      </c>
      <c r="F78" s="2">
        <f>STANDARDIZE(D78,H$18,I$18)</f>
        <v>2.2198549003073733</v>
      </c>
      <c r="U78" s="1"/>
    </row>
    <row r="79" spans="1:21" x14ac:dyDescent="0.3">
      <c r="A79" t="s">
        <v>2</v>
      </c>
      <c r="B79">
        <v>1958</v>
      </c>
      <c r="C79" s="3">
        <v>1958.74999998611</v>
      </c>
      <c r="D79">
        <v>28.8</v>
      </c>
      <c r="E79" s="1">
        <v>21459</v>
      </c>
      <c r="F79" s="2">
        <f>STANDARDIZE(D79,H$19,I$19)</f>
        <v>1.8476407324367985</v>
      </c>
      <c r="U79" s="1"/>
    </row>
    <row r="80" spans="1:21" x14ac:dyDescent="0.3">
      <c r="A80" t="s">
        <v>1</v>
      </c>
      <c r="B80">
        <v>1958</v>
      </c>
      <c r="C80" s="3">
        <v>1958.8333333194701</v>
      </c>
      <c r="D80">
        <v>28.5</v>
      </c>
      <c r="E80" s="1">
        <v>21490</v>
      </c>
      <c r="F80" s="2">
        <f>STANDARDIZE(D80,H$20,I$20)</f>
        <v>1.1884509795408318</v>
      </c>
      <c r="U80" s="1"/>
    </row>
    <row r="81" spans="1:21" x14ac:dyDescent="0.3">
      <c r="A81" t="s">
        <v>0</v>
      </c>
      <c r="B81">
        <v>1958</v>
      </c>
      <c r="C81" s="3">
        <v>1958.9166666528299</v>
      </c>
      <c r="D81">
        <v>27.2</v>
      </c>
      <c r="E81" s="1">
        <v>21520</v>
      </c>
      <c r="F81" s="2">
        <f>STANDARDIZE(D81,H$21,I$21)</f>
        <v>-0.33529991873390275</v>
      </c>
      <c r="U81" s="1"/>
    </row>
    <row r="82" spans="1:21" x14ac:dyDescent="0.3">
      <c r="A82" t="s">
        <v>11</v>
      </c>
      <c r="B82">
        <v>1959</v>
      </c>
      <c r="C82" s="3">
        <v>1958.99999998619</v>
      </c>
      <c r="D82">
        <v>26.4</v>
      </c>
      <c r="E82" s="1">
        <v>21551</v>
      </c>
      <c r="F82" s="2">
        <f>STANDARDIZE(D82,H$10,I$10)</f>
        <v>-1.0004885748172379</v>
      </c>
      <c r="U82" s="1"/>
    </row>
    <row r="83" spans="1:21" x14ac:dyDescent="0.3">
      <c r="A83" t="s">
        <v>10</v>
      </c>
      <c r="B83">
        <v>1959</v>
      </c>
      <c r="C83" s="3">
        <v>1959.0833333195501</v>
      </c>
      <c r="D83">
        <v>25.5</v>
      </c>
      <c r="E83" s="1">
        <v>21582</v>
      </c>
      <c r="F83" s="2">
        <f>STANDARDIZE(D83,H$11,I$11)</f>
        <v>-2.7302843641990204</v>
      </c>
      <c r="U83" s="1"/>
    </row>
    <row r="84" spans="1:21" x14ac:dyDescent="0.3">
      <c r="A84" t="s">
        <v>9</v>
      </c>
      <c r="B84">
        <v>1959</v>
      </c>
      <c r="C84" s="3">
        <v>1959.16666665291</v>
      </c>
      <c r="D84">
        <v>26.5</v>
      </c>
      <c r="E84" s="1">
        <v>21610</v>
      </c>
      <c r="F84" s="2">
        <f>STANDARDIZE(D84,H$12,I$12)</f>
        <v>-1.3022779810842111</v>
      </c>
      <c r="U84" s="1"/>
    </row>
    <row r="85" spans="1:21" x14ac:dyDescent="0.3">
      <c r="A85" t="s">
        <v>8</v>
      </c>
      <c r="B85">
        <v>1959</v>
      </c>
      <c r="C85" s="3">
        <v>1959.24999998628</v>
      </c>
      <c r="D85">
        <v>27.2</v>
      </c>
      <c r="E85" s="1">
        <v>21641</v>
      </c>
      <c r="F85" s="2">
        <f>STANDARDIZE(D85,H$13,I$13)</f>
        <v>-1.0231829777104269</v>
      </c>
      <c r="U85" s="1"/>
    </row>
    <row r="86" spans="1:21" x14ac:dyDescent="0.3">
      <c r="A86" t="s">
        <v>7</v>
      </c>
      <c r="B86">
        <v>1959</v>
      </c>
      <c r="C86" s="3">
        <v>1959.3333333196399</v>
      </c>
      <c r="D86">
        <v>27.8</v>
      </c>
      <c r="E86" s="1">
        <v>21671</v>
      </c>
      <c r="F86" s="2">
        <f>STANDARDIZE(D86,H$14,I$14)</f>
        <v>-1.0098046575080624</v>
      </c>
      <c r="U86" s="1"/>
    </row>
    <row r="87" spans="1:21" x14ac:dyDescent="0.3">
      <c r="A87" t="s">
        <v>6</v>
      </c>
      <c r="B87">
        <v>1959</v>
      </c>
      <c r="C87" s="3">
        <v>1959.416666653</v>
      </c>
      <c r="D87">
        <v>28.2</v>
      </c>
      <c r="E87" s="1">
        <v>21702</v>
      </c>
      <c r="F87" s="2">
        <f>STANDARDIZE(D87,H$15,I$15)</f>
        <v>-0.36159176856847203</v>
      </c>
      <c r="U87" s="1"/>
    </row>
    <row r="88" spans="1:21" x14ac:dyDescent="0.3">
      <c r="A88" t="s">
        <v>5</v>
      </c>
      <c r="B88">
        <v>1959</v>
      </c>
      <c r="C88" s="3">
        <v>1959.4999999863601</v>
      </c>
      <c r="D88">
        <v>28</v>
      </c>
      <c r="E88" s="1">
        <v>21732</v>
      </c>
      <c r="F88" s="2">
        <f>STANDARDIZE(D88,H$16,I$16)</f>
        <v>-0.56839881276339066</v>
      </c>
      <c r="U88" s="1"/>
    </row>
    <row r="89" spans="1:21" x14ac:dyDescent="0.3">
      <c r="A89" t="s">
        <v>4</v>
      </c>
      <c r="B89">
        <v>1959</v>
      </c>
      <c r="C89" s="3">
        <v>1959.5833333197199</v>
      </c>
      <c r="D89">
        <v>28.2</v>
      </c>
      <c r="E89" s="1">
        <v>21763</v>
      </c>
      <c r="F89" s="2">
        <f>STANDARDIZE(D89,H$17,I$17)</f>
        <v>5.2239397695631823E-2</v>
      </c>
      <c r="U89" s="1"/>
    </row>
    <row r="90" spans="1:21" x14ac:dyDescent="0.3">
      <c r="A90" t="s">
        <v>3</v>
      </c>
      <c r="B90">
        <v>1959</v>
      </c>
      <c r="C90" s="3">
        <v>1959.66666665308</v>
      </c>
      <c r="D90">
        <v>28.4</v>
      </c>
      <c r="E90" s="1">
        <v>21794</v>
      </c>
      <c r="F90" s="2">
        <f>STANDARDIZE(D90,H$18,I$18)</f>
        <v>0.41692706249428207</v>
      </c>
      <c r="U90" s="1"/>
    </row>
    <row r="91" spans="1:21" x14ac:dyDescent="0.3">
      <c r="A91" t="s">
        <v>2</v>
      </c>
      <c r="B91">
        <v>1959</v>
      </c>
      <c r="C91" s="3">
        <v>1959.7499999864399</v>
      </c>
      <c r="D91">
        <v>28</v>
      </c>
      <c r="E91" s="1">
        <v>21824</v>
      </c>
      <c r="F91" s="2">
        <f>STANDARDIZE(D91,H$19,I$19)</f>
        <v>0.18335366047082208</v>
      </c>
      <c r="U91" s="1"/>
    </row>
    <row r="92" spans="1:21" x14ac:dyDescent="0.3">
      <c r="A92" t="s">
        <v>1</v>
      </c>
      <c r="B92">
        <v>1959</v>
      </c>
      <c r="C92" s="3">
        <v>1959.8333333198</v>
      </c>
      <c r="D92">
        <v>27.9</v>
      </c>
      <c r="E92" s="1">
        <v>21855</v>
      </c>
      <c r="F92" s="2">
        <f>STANDARDIZE(D92,H$20,I$20)</f>
        <v>0.12065492178079455</v>
      </c>
      <c r="U92" s="1"/>
    </row>
    <row r="93" spans="1:21" x14ac:dyDescent="0.3">
      <c r="A93" t="s">
        <v>0</v>
      </c>
      <c r="B93">
        <v>1959</v>
      </c>
      <c r="C93" s="3">
        <v>1959.9166666531601</v>
      </c>
      <c r="D93">
        <v>27.6</v>
      </c>
      <c r="E93" s="1">
        <v>21885</v>
      </c>
      <c r="F93" s="2">
        <f>STANDARDIZE(D93,H$21,I$21)</f>
        <v>0.33529991873389681</v>
      </c>
      <c r="U93" s="1"/>
    </row>
    <row r="94" spans="1:21" x14ac:dyDescent="0.3">
      <c r="A94" t="s">
        <v>11</v>
      </c>
      <c r="B94">
        <v>1960</v>
      </c>
      <c r="C94" s="3">
        <v>1959.9999999865199</v>
      </c>
      <c r="D94">
        <v>26.6</v>
      </c>
      <c r="E94" s="1">
        <v>21916</v>
      </c>
      <c r="F94" s="2">
        <f>STANDARDIZE(D94,H$10,I$10)</f>
        <v>-0.65120558124198857</v>
      </c>
      <c r="U94" s="1"/>
    </row>
    <row r="95" spans="1:21" x14ac:dyDescent="0.3">
      <c r="A95" t="s">
        <v>10</v>
      </c>
      <c r="B95">
        <v>1960</v>
      </c>
      <c r="C95" s="3">
        <v>1960.08333331988</v>
      </c>
      <c r="D95">
        <v>27.6</v>
      </c>
      <c r="E95" s="1">
        <v>21947</v>
      </c>
      <c r="F95" s="2">
        <f>STANDARDIZE(D95,H$11,I$11)</f>
        <v>1.3602724715806946</v>
      </c>
      <c r="U95" s="1"/>
    </row>
    <row r="96" spans="1:21" x14ac:dyDescent="0.3">
      <c r="A96" t="s">
        <v>9</v>
      </c>
      <c r="B96">
        <v>1960</v>
      </c>
      <c r="C96" s="3">
        <v>1960.1666666532401</v>
      </c>
      <c r="D96">
        <v>26.8</v>
      </c>
      <c r="E96" s="1">
        <v>21976</v>
      </c>
      <c r="F96" s="2">
        <f>STANDARDIZE(D96,H$12,I$12)</f>
        <v>-0.77193853177390648</v>
      </c>
      <c r="U96" s="1"/>
    </row>
    <row r="97" spans="1:21" x14ac:dyDescent="0.3">
      <c r="A97" t="s">
        <v>8</v>
      </c>
      <c r="B97">
        <v>1960</v>
      </c>
      <c r="C97" s="3">
        <v>1960.2499999866</v>
      </c>
      <c r="D97">
        <v>28.5</v>
      </c>
      <c r="E97" s="1">
        <v>22007</v>
      </c>
      <c r="F97" s="2">
        <f>STANDARDIZE(D97,H$13,I$13)</f>
        <v>1.7193693336783309</v>
      </c>
      <c r="U97" s="1"/>
    </row>
    <row r="98" spans="1:21" x14ac:dyDescent="0.3">
      <c r="A98" t="s">
        <v>7</v>
      </c>
      <c r="B98">
        <v>1960</v>
      </c>
      <c r="C98" s="3">
        <v>1960.33333331996</v>
      </c>
      <c r="D98">
        <v>28.6</v>
      </c>
      <c r="E98" s="1">
        <v>22037</v>
      </c>
      <c r="F98" s="2">
        <f>STANDARDIZE(D98,H$14,I$14)</f>
        <v>1.1254651028613878</v>
      </c>
      <c r="U98" s="1"/>
    </row>
    <row r="99" spans="1:21" x14ac:dyDescent="0.3">
      <c r="A99" t="s">
        <v>6</v>
      </c>
      <c r="B99">
        <v>1960</v>
      </c>
      <c r="C99" s="3">
        <v>1960.4166666533199</v>
      </c>
      <c r="D99">
        <v>28.4</v>
      </c>
      <c r="E99" s="1">
        <v>22068</v>
      </c>
      <c r="F99" s="2">
        <f>STANDARDIZE(D99,H$15,I$15)</f>
        <v>0.11004966869475344</v>
      </c>
      <c r="U99" s="1"/>
    </row>
    <row r="100" spans="1:21" x14ac:dyDescent="0.3">
      <c r="A100" t="s">
        <v>5</v>
      </c>
      <c r="B100">
        <v>1960</v>
      </c>
      <c r="C100" s="3">
        <v>1960.49999998668</v>
      </c>
      <c r="D100">
        <v>28.5</v>
      </c>
      <c r="E100" s="1">
        <v>22098</v>
      </c>
      <c r="F100" s="2">
        <f>STANDARDIZE(D100,H$16,I$16)</f>
        <v>0.77427554809503918</v>
      </c>
      <c r="U100" s="1"/>
    </row>
    <row r="101" spans="1:21" x14ac:dyDescent="0.3">
      <c r="A101" t="s">
        <v>4</v>
      </c>
      <c r="B101">
        <v>1960</v>
      </c>
      <c r="C101" s="3">
        <v>1960.5833333200401</v>
      </c>
      <c r="D101">
        <v>28.4</v>
      </c>
      <c r="E101" s="1">
        <v>22129</v>
      </c>
      <c r="F101" s="2">
        <f>STANDARDIZE(D101,H$17,I$17)</f>
        <v>0.4701545792605305</v>
      </c>
      <c r="U101" s="1"/>
    </row>
    <row r="102" spans="1:21" x14ac:dyDescent="0.3">
      <c r="A102" t="s">
        <v>3</v>
      </c>
      <c r="B102">
        <v>1960</v>
      </c>
      <c r="C102" s="3">
        <v>1960.6666666533999</v>
      </c>
      <c r="D102">
        <v>28.4</v>
      </c>
      <c r="E102" s="1">
        <v>22160</v>
      </c>
      <c r="F102" s="2">
        <f>STANDARDIZE(D102,H$18,I$18)</f>
        <v>0.41692706249428207</v>
      </c>
      <c r="U102" s="1"/>
    </row>
    <row r="103" spans="1:21" x14ac:dyDescent="0.3">
      <c r="A103" t="s">
        <v>2</v>
      </c>
      <c r="B103">
        <v>1960</v>
      </c>
      <c r="C103" s="3">
        <v>1960.74999998676</v>
      </c>
      <c r="D103">
        <v>28.1</v>
      </c>
      <c r="E103" s="1">
        <v>22190</v>
      </c>
      <c r="F103" s="2">
        <f>STANDARDIZE(D103,H$19,I$19)</f>
        <v>0.39138954446657193</v>
      </c>
      <c r="U103" s="1"/>
    </row>
    <row r="104" spans="1:21" x14ac:dyDescent="0.3">
      <c r="A104" t="s">
        <v>1</v>
      </c>
      <c r="B104">
        <v>1960</v>
      </c>
      <c r="C104" s="3">
        <v>1960.8333333201199</v>
      </c>
      <c r="D104">
        <v>27.7</v>
      </c>
      <c r="E104" s="1">
        <v>22221</v>
      </c>
      <c r="F104" s="2">
        <f>STANDARDIZE(D104,H$20,I$20)</f>
        <v>-0.23527709747254905</v>
      </c>
      <c r="U104" s="1"/>
    </row>
    <row r="105" spans="1:21" x14ac:dyDescent="0.3">
      <c r="A105" t="s">
        <v>0</v>
      </c>
      <c r="B105">
        <v>1960</v>
      </c>
      <c r="C105" s="3">
        <v>1960.91666665348</v>
      </c>
      <c r="D105">
        <v>27.2</v>
      </c>
      <c r="E105" s="1">
        <v>22251</v>
      </c>
      <c r="F105" s="2">
        <f>STANDARDIZE(D105,H$21,I$21)</f>
        <v>-0.33529991873390275</v>
      </c>
      <c r="U105" s="1"/>
    </row>
    <row r="106" spans="1:21" x14ac:dyDescent="0.3">
      <c r="A106" t="s">
        <v>11</v>
      </c>
      <c r="B106">
        <v>1961</v>
      </c>
      <c r="C106" s="3">
        <v>1960.9999999868401</v>
      </c>
      <c r="D106">
        <v>26.9</v>
      </c>
      <c r="E106" s="1">
        <v>22282</v>
      </c>
      <c r="F106" s="2">
        <f>STANDARDIZE(D106,H$10,I$10)</f>
        <v>-0.12728109087912701</v>
      </c>
      <c r="U106" s="1"/>
    </row>
    <row r="107" spans="1:21" x14ac:dyDescent="0.3">
      <c r="A107" t="s">
        <v>10</v>
      </c>
      <c r="B107">
        <v>1961</v>
      </c>
      <c r="C107" s="3">
        <v>1961.0833333201999</v>
      </c>
      <c r="D107">
        <v>26.2</v>
      </c>
      <c r="E107" s="1">
        <v>22313</v>
      </c>
      <c r="F107" s="2">
        <f>STANDARDIZE(D107,H$11,I$11)</f>
        <v>-1.3667654189391176</v>
      </c>
      <c r="U107" s="1"/>
    </row>
    <row r="108" spans="1:21" x14ac:dyDescent="0.3">
      <c r="A108" t="s">
        <v>9</v>
      </c>
      <c r="B108">
        <v>1961</v>
      </c>
      <c r="C108" s="3">
        <v>1961.16666665356</v>
      </c>
      <c r="D108">
        <v>25.9</v>
      </c>
      <c r="E108" s="1">
        <v>22341</v>
      </c>
      <c r="F108" s="2">
        <f>STANDARDIZE(D108,H$12,I$12)</f>
        <v>-2.3629568797048206</v>
      </c>
      <c r="U108" s="1"/>
    </row>
    <row r="109" spans="1:21" x14ac:dyDescent="0.3">
      <c r="A109" t="s">
        <v>8</v>
      </c>
      <c r="B109">
        <v>1961</v>
      </c>
      <c r="C109" s="3">
        <v>1961.2499999869201</v>
      </c>
      <c r="D109">
        <v>27.2</v>
      </c>
      <c r="E109" s="1">
        <v>22372</v>
      </c>
      <c r="F109" s="2">
        <f>STANDARDIZE(D109,H$13,I$13)</f>
        <v>-1.0231829777104269</v>
      </c>
      <c r="U109" s="1"/>
    </row>
    <row r="110" spans="1:21" x14ac:dyDescent="0.3">
      <c r="A110" t="s">
        <v>7</v>
      </c>
      <c r="B110">
        <v>1961</v>
      </c>
      <c r="C110" s="3">
        <v>1961.33333332028</v>
      </c>
      <c r="D110">
        <v>28</v>
      </c>
      <c r="E110" s="1">
        <v>22402</v>
      </c>
      <c r="F110" s="2">
        <f>STANDARDIZE(D110,H$14,I$14)</f>
        <v>-0.47598721741570227</v>
      </c>
      <c r="U110" s="1"/>
    </row>
    <row r="111" spans="1:21" x14ac:dyDescent="0.3">
      <c r="A111" t="s">
        <v>6</v>
      </c>
      <c r="B111">
        <v>1961</v>
      </c>
      <c r="C111" s="3">
        <v>1961.41666665364</v>
      </c>
      <c r="D111">
        <v>28.8</v>
      </c>
      <c r="E111" s="1">
        <v>22433</v>
      </c>
      <c r="F111" s="2">
        <f>STANDARDIZE(D111,H$15,I$15)</f>
        <v>1.0533325432212126</v>
      </c>
      <c r="U111" s="1"/>
    </row>
    <row r="112" spans="1:21" x14ac:dyDescent="0.3">
      <c r="A112" t="s">
        <v>5</v>
      </c>
      <c r="B112">
        <v>1961</v>
      </c>
      <c r="C112" s="3">
        <v>1961.4999999869999</v>
      </c>
      <c r="D112">
        <v>28.2</v>
      </c>
      <c r="E112" s="1">
        <v>22463</v>
      </c>
      <c r="F112" s="2">
        <f>STANDARDIZE(D112,H$16,I$16)</f>
        <v>-3.1329068420020617E-2</v>
      </c>
      <c r="U112" s="1"/>
    </row>
    <row r="113" spans="1:21" x14ac:dyDescent="0.3">
      <c r="A113" t="s">
        <v>4</v>
      </c>
      <c r="B113">
        <v>1961</v>
      </c>
      <c r="C113" s="3">
        <v>1961.58333332036</v>
      </c>
      <c r="D113">
        <v>28.3</v>
      </c>
      <c r="E113" s="1">
        <v>22494</v>
      </c>
      <c r="F113" s="2">
        <f>STANDARDIZE(D113,H$17,I$17)</f>
        <v>0.26119698847808487</v>
      </c>
      <c r="U113" s="1"/>
    </row>
    <row r="114" spans="1:21" x14ac:dyDescent="0.3">
      <c r="A114" t="s">
        <v>3</v>
      </c>
      <c r="B114">
        <v>1961</v>
      </c>
      <c r="C114" s="3">
        <v>1961.6666666537201</v>
      </c>
      <c r="D114">
        <v>28.1</v>
      </c>
      <c r="E114" s="1">
        <v>22525</v>
      </c>
      <c r="F114" s="2">
        <f>STANDARDIZE(D114,H$18,I$18)</f>
        <v>-0.25917087668562011</v>
      </c>
      <c r="U114" s="1"/>
    </row>
    <row r="115" spans="1:21" x14ac:dyDescent="0.3">
      <c r="A115" t="s">
        <v>2</v>
      </c>
      <c r="B115">
        <v>1961</v>
      </c>
      <c r="C115" s="3">
        <v>1961.7499999870799</v>
      </c>
      <c r="D115">
        <v>28</v>
      </c>
      <c r="E115" s="1">
        <v>22555</v>
      </c>
      <c r="F115" s="2">
        <f>STANDARDIZE(D115,H$19,I$19)</f>
        <v>0.18335366047082208</v>
      </c>
      <c r="U115" s="1"/>
    </row>
    <row r="116" spans="1:21" x14ac:dyDescent="0.3">
      <c r="A116" t="s">
        <v>1</v>
      </c>
      <c r="B116">
        <v>1961</v>
      </c>
      <c r="C116" s="3">
        <v>1961.83333332044</v>
      </c>
      <c r="D116">
        <v>25.9</v>
      </c>
      <c r="E116" s="1">
        <v>22586</v>
      </c>
      <c r="F116" s="2">
        <f>STANDARDIZE(D116,H$20,I$20)</f>
        <v>-3.4386652707526539</v>
      </c>
      <c r="U116" s="1"/>
    </row>
    <row r="117" spans="1:21" x14ac:dyDescent="0.3">
      <c r="A117" t="s">
        <v>0</v>
      </c>
      <c r="B117">
        <v>1961</v>
      </c>
      <c r="C117" s="3">
        <v>1961.9166666537999</v>
      </c>
      <c r="D117">
        <v>26.6</v>
      </c>
      <c r="E117" s="1">
        <v>22616</v>
      </c>
      <c r="F117" s="2">
        <f>STANDARDIZE(D117,H$21,I$21)</f>
        <v>-1.3411996749355932</v>
      </c>
      <c r="U117" s="1"/>
    </row>
    <row r="118" spans="1:21" x14ac:dyDescent="0.3">
      <c r="A118" t="s">
        <v>11</v>
      </c>
      <c r="B118">
        <v>1962</v>
      </c>
      <c r="C118" s="3">
        <v>1961.99999998716</v>
      </c>
      <c r="D118">
        <v>26.5</v>
      </c>
      <c r="E118" s="1">
        <v>22647</v>
      </c>
      <c r="F118" s="2">
        <f>STANDARDIZE(D118,H$10,I$10)</f>
        <v>-0.82584707802961321</v>
      </c>
      <c r="U118" s="1"/>
    </row>
    <row r="119" spans="1:21" x14ac:dyDescent="0.3">
      <c r="A119" t="s">
        <v>10</v>
      </c>
      <c r="B119">
        <v>1962</v>
      </c>
      <c r="C119" s="3">
        <v>1962.0833333205201</v>
      </c>
      <c r="D119">
        <v>27</v>
      </c>
      <c r="E119" s="1">
        <v>22678</v>
      </c>
      <c r="F119" s="2">
        <f>STANDARDIZE(D119,H$11,I$11)</f>
        <v>0.19154194707220265</v>
      </c>
      <c r="U119" s="1"/>
    </row>
    <row r="120" spans="1:21" x14ac:dyDescent="0.3">
      <c r="A120" t="s">
        <v>9</v>
      </c>
      <c r="B120">
        <v>1962</v>
      </c>
      <c r="C120" s="3">
        <v>1962.1666666538799</v>
      </c>
      <c r="D120">
        <v>27.8</v>
      </c>
      <c r="E120" s="1">
        <v>22706</v>
      </c>
      <c r="F120" s="2">
        <f>STANDARDIZE(D120,H$12,I$12)</f>
        <v>0.99585963259377197</v>
      </c>
      <c r="U120" s="1"/>
    </row>
    <row r="121" spans="1:21" x14ac:dyDescent="0.3">
      <c r="A121" t="s">
        <v>8</v>
      </c>
      <c r="B121">
        <v>1962</v>
      </c>
      <c r="C121" s="3">
        <v>1962.24999998724</v>
      </c>
      <c r="D121">
        <v>27.6</v>
      </c>
      <c r="E121" s="1">
        <v>22737</v>
      </c>
      <c r="F121" s="2">
        <f>STANDARDIZE(D121,H$13,I$13)</f>
        <v>-0.17932072805234356</v>
      </c>
      <c r="U121" s="1"/>
    </row>
    <row r="122" spans="1:21" x14ac:dyDescent="0.3">
      <c r="A122" t="s">
        <v>7</v>
      </c>
      <c r="B122">
        <v>1962</v>
      </c>
      <c r="C122" s="3">
        <v>1962.3333333205999</v>
      </c>
      <c r="D122">
        <v>29</v>
      </c>
      <c r="E122" s="1">
        <v>22767</v>
      </c>
      <c r="F122" s="2">
        <f>STANDARDIZE(D122,H$14,I$14)</f>
        <v>2.1930999830461082</v>
      </c>
      <c r="U122" s="1"/>
    </row>
    <row r="123" spans="1:21" x14ac:dyDescent="0.3">
      <c r="A123" t="s">
        <v>6</v>
      </c>
      <c r="B123">
        <v>1962</v>
      </c>
      <c r="C123" s="3">
        <v>1962.41666665396</v>
      </c>
      <c r="D123">
        <v>27.2</v>
      </c>
      <c r="E123" s="1">
        <v>22798</v>
      </c>
      <c r="F123" s="2">
        <f>STANDARDIZE(D123,H$15,I$15)</f>
        <v>-2.7197989548846078</v>
      </c>
      <c r="U123" s="1"/>
    </row>
    <row r="124" spans="1:21" x14ac:dyDescent="0.3">
      <c r="A124" t="s">
        <v>5</v>
      </c>
      <c r="B124">
        <v>1962</v>
      </c>
      <c r="C124" s="3">
        <v>1962.4999999873201</v>
      </c>
      <c r="D124">
        <v>28.2</v>
      </c>
      <c r="E124" s="1">
        <v>22828</v>
      </c>
      <c r="F124" s="2">
        <f>STANDARDIZE(D124,H$16,I$16)</f>
        <v>-3.1329068420020617E-2</v>
      </c>
      <c r="U124" s="1"/>
    </row>
    <row r="125" spans="1:21" x14ac:dyDescent="0.3">
      <c r="A125" t="s">
        <v>4</v>
      </c>
      <c r="B125">
        <v>1962</v>
      </c>
      <c r="C125" s="3">
        <v>1962.5833333206799</v>
      </c>
      <c r="D125">
        <v>28.1</v>
      </c>
      <c r="E125" s="1">
        <v>22859</v>
      </c>
      <c r="F125" s="2">
        <f>STANDARDIZE(D125,H$17,I$17)</f>
        <v>-0.15671819308681381</v>
      </c>
      <c r="U125" s="1"/>
    </row>
    <row r="126" spans="1:21" x14ac:dyDescent="0.3">
      <c r="A126" t="s">
        <v>3</v>
      </c>
      <c r="B126">
        <v>1962</v>
      </c>
      <c r="C126" s="3">
        <v>1962.66666665404</v>
      </c>
      <c r="D126">
        <v>28.3</v>
      </c>
      <c r="E126" s="1">
        <v>22890</v>
      </c>
      <c r="F126" s="2">
        <f>STANDARDIZE(D126,H$18,I$18)</f>
        <v>0.19156108276765069</v>
      </c>
      <c r="U126" s="1"/>
    </row>
    <row r="127" spans="1:21" x14ac:dyDescent="0.3">
      <c r="A127" t="s">
        <v>2</v>
      </c>
      <c r="B127">
        <v>1962</v>
      </c>
      <c r="C127" s="3">
        <v>1962.7499999874001</v>
      </c>
      <c r="D127">
        <v>28.6</v>
      </c>
      <c r="E127" s="1">
        <v>22920</v>
      </c>
      <c r="F127" s="2">
        <f>STANDARDIZE(D127,H$19,I$19)</f>
        <v>1.4315689644453062</v>
      </c>
      <c r="U127" s="1"/>
    </row>
    <row r="128" spans="1:21" x14ac:dyDescent="0.3">
      <c r="A128" t="s">
        <v>1</v>
      </c>
      <c r="B128">
        <v>1962</v>
      </c>
      <c r="C128" s="3">
        <v>1962.8333333207599</v>
      </c>
      <c r="D128">
        <v>28.4</v>
      </c>
      <c r="E128" s="1">
        <v>22951</v>
      </c>
      <c r="F128" s="2">
        <f>STANDARDIZE(D128,H$20,I$20)</f>
        <v>1.0104849699141567</v>
      </c>
      <c r="U128" s="1"/>
    </row>
    <row r="129" spans="1:21" x14ac:dyDescent="0.3">
      <c r="A129" t="s">
        <v>0</v>
      </c>
      <c r="B129">
        <v>1962</v>
      </c>
      <c r="C129" s="3">
        <v>1962.91666665412</v>
      </c>
      <c r="D129">
        <v>27.6</v>
      </c>
      <c r="E129" s="1">
        <v>22981</v>
      </c>
      <c r="F129" s="2">
        <f>STANDARDIZE(D129,H$21,I$21)</f>
        <v>0.33529991873389681</v>
      </c>
      <c r="U129" s="1"/>
    </row>
    <row r="130" spans="1:21" x14ac:dyDescent="0.3">
      <c r="A130" t="s">
        <v>11</v>
      </c>
      <c r="B130">
        <v>1963</v>
      </c>
      <c r="C130" s="3">
        <v>1962.9999999874799</v>
      </c>
      <c r="D130">
        <v>28.3</v>
      </c>
      <c r="E130" s="1">
        <v>23012</v>
      </c>
      <c r="F130" s="2">
        <f>STANDARDIZE(D130,H$10,I$10)</f>
        <v>2.317699864147587</v>
      </c>
      <c r="U130" s="1"/>
    </row>
    <row r="131" spans="1:21" x14ac:dyDescent="0.3">
      <c r="A131" t="s">
        <v>10</v>
      </c>
      <c r="B131">
        <v>1963</v>
      </c>
      <c r="C131" s="3">
        <v>1963.08333332084</v>
      </c>
      <c r="D131">
        <v>28</v>
      </c>
      <c r="E131" s="1">
        <v>23043</v>
      </c>
      <c r="F131" s="2">
        <f>STANDARDIZE(D131,H$11,I$11)</f>
        <v>2.1394261545863511</v>
      </c>
      <c r="U131" s="1"/>
    </row>
    <row r="132" spans="1:21" x14ac:dyDescent="0.3">
      <c r="A132" t="s">
        <v>9</v>
      </c>
      <c r="B132">
        <v>1963</v>
      </c>
      <c r="C132" s="3">
        <v>1963.1666666542001</v>
      </c>
      <c r="D132">
        <v>28.2</v>
      </c>
      <c r="E132" s="1">
        <v>23071</v>
      </c>
      <c r="F132" s="2">
        <f>STANDARDIZE(D132,H$12,I$12)</f>
        <v>1.7029788983408409</v>
      </c>
      <c r="U132" s="1"/>
    </row>
    <row r="133" spans="1:21" x14ac:dyDescent="0.3">
      <c r="A133" t="s">
        <v>8</v>
      </c>
      <c r="B133">
        <v>1963</v>
      </c>
      <c r="C133" s="3">
        <v>1963.2499999875599</v>
      </c>
      <c r="D133">
        <v>27.9</v>
      </c>
      <c r="E133" s="1">
        <v>23102</v>
      </c>
      <c r="F133" s="2">
        <f>STANDARDIZE(D133,H$13,I$13)</f>
        <v>0.45357595919120958</v>
      </c>
      <c r="U133" s="1"/>
    </row>
    <row r="134" spans="1:21" x14ac:dyDescent="0.3">
      <c r="A134" t="s">
        <v>7</v>
      </c>
      <c r="B134">
        <v>1963</v>
      </c>
      <c r="C134" s="3">
        <v>1963.33333332092</v>
      </c>
      <c r="D134">
        <v>27.8</v>
      </c>
      <c r="E134" s="1">
        <v>23132</v>
      </c>
      <c r="F134" s="2">
        <f>STANDARDIZE(D134,H$14,I$14)</f>
        <v>-1.0098046575080624</v>
      </c>
      <c r="U134" s="1"/>
    </row>
    <row r="135" spans="1:21" x14ac:dyDescent="0.3">
      <c r="A135" t="s">
        <v>6</v>
      </c>
      <c r="B135">
        <v>1963</v>
      </c>
      <c r="C135" s="3">
        <v>1963.4166666542801</v>
      </c>
      <c r="D135">
        <v>27.7</v>
      </c>
      <c r="E135" s="1">
        <v>23163</v>
      </c>
      <c r="F135" s="2">
        <f>STANDARDIZE(D135,H$15,I$15)</f>
        <v>-1.5406953617265398</v>
      </c>
      <c r="U135" s="1"/>
    </row>
    <row r="136" spans="1:21" x14ac:dyDescent="0.3">
      <c r="A136" t="s">
        <v>5</v>
      </c>
      <c r="B136">
        <v>1963</v>
      </c>
      <c r="C136" s="3">
        <v>1963.49999998764</v>
      </c>
      <c r="D136">
        <v>27.8</v>
      </c>
      <c r="E136" s="1">
        <v>23193</v>
      </c>
      <c r="F136" s="2">
        <f>STANDARDIZE(D136,H$16,I$16)</f>
        <v>-1.1054685571067606</v>
      </c>
      <c r="U136" s="1"/>
    </row>
    <row r="137" spans="1:21" x14ac:dyDescent="0.3">
      <c r="A137" t="s">
        <v>4</v>
      </c>
      <c r="B137">
        <v>1963</v>
      </c>
      <c r="C137" s="3">
        <v>1963.5833333210001</v>
      </c>
      <c r="D137">
        <v>27.8</v>
      </c>
      <c r="E137" s="1">
        <v>23224</v>
      </c>
      <c r="F137" s="2">
        <f>STANDARDIZE(D137,H$17,I$17)</f>
        <v>-0.78359096543416551</v>
      </c>
      <c r="U137" s="1"/>
    </row>
    <row r="138" spans="1:21" x14ac:dyDescent="0.3">
      <c r="A138" t="s">
        <v>3</v>
      </c>
      <c r="B138">
        <v>1963</v>
      </c>
      <c r="C138" s="3">
        <v>1963.6666666543599</v>
      </c>
      <c r="D138">
        <v>27.8</v>
      </c>
      <c r="E138" s="1">
        <v>23255</v>
      </c>
      <c r="F138" s="2">
        <f>STANDARDIZE(D138,H$18,I$18)</f>
        <v>-0.93526881586553023</v>
      </c>
      <c r="U138" s="1"/>
    </row>
    <row r="139" spans="1:21" x14ac:dyDescent="0.3">
      <c r="A139" t="s">
        <v>2</v>
      </c>
      <c r="B139">
        <v>1963</v>
      </c>
      <c r="C139" s="3">
        <v>1963.74999998772</v>
      </c>
      <c r="D139">
        <v>27.8</v>
      </c>
      <c r="E139" s="1">
        <v>23285</v>
      </c>
      <c r="F139" s="2">
        <f>STANDARDIZE(D139,H$19,I$19)</f>
        <v>-0.23271810752067018</v>
      </c>
      <c r="U139" s="1"/>
    </row>
    <row r="140" spans="1:21" x14ac:dyDescent="0.3">
      <c r="A140" t="s">
        <v>1</v>
      </c>
      <c r="B140">
        <v>1963</v>
      </c>
      <c r="C140" s="3">
        <v>1963.8333333210801</v>
      </c>
      <c r="D140">
        <v>27.5</v>
      </c>
      <c r="E140" s="1">
        <v>23316</v>
      </c>
      <c r="F140" s="2">
        <f>STANDARDIZE(D140,H$20,I$20)</f>
        <v>-0.5912091167258926</v>
      </c>
      <c r="U140" s="1"/>
    </row>
    <row r="141" spans="1:21" x14ac:dyDescent="0.3">
      <c r="A141" t="s">
        <v>0</v>
      </c>
      <c r="B141">
        <v>1963</v>
      </c>
      <c r="C141" s="3">
        <v>1963.91666665444</v>
      </c>
      <c r="D141">
        <v>27.5</v>
      </c>
      <c r="E141" s="1">
        <v>23346</v>
      </c>
      <c r="F141" s="2">
        <f>STANDARDIZE(D141,H$21,I$21)</f>
        <v>0.16764995936694543</v>
      </c>
      <c r="U141" s="1"/>
    </row>
    <row r="142" spans="1:21" x14ac:dyDescent="0.3">
      <c r="A142" t="s">
        <v>11</v>
      </c>
      <c r="B142">
        <v>1964</v>
      </c>
      <c r="C142" s="3">
        <v>1963.9999999878</v>
      </c>
      <c r="D142">
        <v>26.8</v>
      </c>
      <c r="E142" s="1">
        <v>23377</v>
      </c>
      <c r="F142" s="2">
        <f>STANDARDIZE(D142,H$10,I$10)</f>
        <v>-0.30192258766674546</v>
      </c>
      <c r="U142" s="1"/>
    </row>
    <row r="143" spans="1:21" x14ac:dyDescent="0.3">
      <c r="A143" t="s">
        <v>10</v>
      </c>
      <c r="B143">
        <v>1964</v>
      </c>
      <c r="C143" s="3">
        <v>1964.0833333211599</v>
      </c>
      <c r="D143">
        <v>27.1</v>
      </c>
      <c r="E143" s="1">
        <v>23408</v>
      </c>
      <c r="F143" s="2">
        <f>STANDARDIZE(D143,H$11,I$11)</f>
        <v>0.38633036782362029</v>
      </c>
      <c r="U143" s="1"/>
    </row>
    <row r="144" spans="1:21" x14ac:dyDescent="0.3">
      <c r="A144" t="s">
        <v>9</v>
      </c>
      <c r="B144">
        <v>1964</v>
      </c>
      <c r="C144" s="3">
        <v>1964.16666665452</v>
      </c>
      <c r="D144">
        <v>27</v>
      </c>
      <c r="E144" s="1">
        <v>23437</v>
      </c>
      <c r="F144" s="2">
        <f>STANDARDIZE(D144,H$12,I$12)</f>
        <v>-0.418378898900372</v>
      </c>
      <c r="U144" s="1"/>
    </row>
    <row r="145" spans="1:21" x14ac:dyDescent="0.3">
      <c r="A145" t="s">
        <v>8</v>
      </c>
      <c r="B145">
        <v>1964</v>
      </c>
      <c r="C145" s="3">
        <v>1964.2499999878801</v>
      </c>
      <c r="D145">
        <v>28</v>
      </c>
      <c r="E145" s="1">
        <v>23468</v>
      </c>
      <c r="F145" s="2">
        <f>STANDARDIZE(D145,H$13,I$13)</f>
        <v>0.66454152160573232</v>
      </c>
      <c r="U145" s="1"/>
    </row>
    <row r="146" spans="1:21" x14ac:dyDescent="0.3">
      <c r="A146" t="s">
        <v>7</v>
      </c>
      <c r="B146">
        <v>1964</v>
      </c>
      <c r="C146" s="3">
        <v>1964.3333333212399</v>
      </c>
      <c r="D146">
        <v>28.2</v>
      </c>
      <c r="E146" s="1">
        <v>23498</v>
      </c>
      <c r="F146" s="2">
        <f>STANDARDIZE(D146,H$14,I$14)</f>
        <v>5.783022267665789E-2</v>
      </c>
      <c r="U146" s="1"/>
    </row>
    <row r="147" spans="1:21" x14ac:dyDescent="0.3">
      <c r="A147" t="s">
        <v>6</v>
      </c>
      <c r="B147">
        <v>1964</v>
      </c>
      <c r="C147" s="3">
        <v>1964.4166666546</v>
      </c>
      <c r="D147">
        <v>28.1</v>
      </c>
      <c r="E147" s="1">
        <v>23529</v>
      </c>
      <c r="F147" s="2">
        <f>STANDARDIZE(D147,H$15,I$15)</f>
        <v>-0.59741248720008056</v>
      </c>
      <c r="U147" s="1"/>
    </row>
    <row r="148" spans="1:21" x14ac:dyDescent="0.3">
      <c r="A148" t="s">
        <v>5</v>
      </c>
      <c r="B148">
        <v>1964</v>
      </c>
      <c r="C148" s="3">
        <v>1964.4999999879601</v>
      </c>
      <c r="D148">
        <v>27.9</v>
      </c>
      <c r="E148" s="1">
        <v>23559</v>
      </c>
      <c r="F148" s="2">
        <f>STANDARDIZE(D148,H$16,I$16)</f>
        <v>-0.83693368493508047</v>
      </c>
      <c r="U148" s="1"/>
    </row>
    <row r="149" spans="1:21" x14ac:dyDescent="0.3">
      <c r="A149" t="s">
        <v>4</v>
      </c>
      <c r="B149">
        <v>1964</v>
      </c>
      <c r="C149" s="3">
        <v>1964.58333332132</v>
      </c>
      <c r="D149">
        <v>27.5</v>
      </c>
      <c r="E149" s="1">
        <v>23590</v>
      </c>
      <c r="F149" s="2">
        <f>STANDARDIZE(D149,H$17,I$17)</f>
        <v>-1.4104637377815172</v>
      </c>
      <c r="U149" s="1"/>
    </row>
    <row r="150" spans="1:21" x14ac:dyDescent="0.3">
      <c r="A150" t="s">
        <v>3</v>
      </c>
      <c r="B150">
        <v>1964</v>
      </c>
      <c r="C150" s="3">
        <v>1964.6666666546801</v>
      </c>
      <c r="D150">
        <v>27.7</v>
      </c>
      <c r="E150" s="1">
        <v>23621</v>
      </c>
      <c r="F150" s="2">
        <f>STANDARDIZE(D150,H$18,I$18)</f>
        <v>-1.1606347955921696</v>
      </c>
      <c r="U150" s="1"/>
    </row>
    <row r="151" spans="1:21" x14ac:dyDescent="0.3">
      <c r="A151" t="s">
        <v>2</v>
      </c>
      <c r="B151">
        <v>1964</v>
      </c>
      <c r="C151" s="3">
        <v>1964.7499999880399</v>
      </c>
      <c r="D151">
        <v>27.4</v>
      </c>
      <c r="E151" s="1">
        <v>23651</v>
      </c>
      <c r="F151" s="2">
        <f>STANDARDIZE(D151,H$19,I$19)</f>
        <v>-1.064861643503662</v>
      </c>
      <c r="U151" s="1"/>
    </row>
    <row r="152" spans="1:21" x14ac:dyDescent="0.3">
      <c r="A152" t="s">
        <v>1</v>
      </c>
      <c r="B152">
        <v>1964</v>
      </c>
      <c r="C152" s="3">
        <v>1964.8333333214</v>
      </c>
      <c r="D152">
        <v>27.2</v>
      </c>
      <c r="E152" s="1">
        <v>23682</v>
      </c>
      <c r="F152" s="2">
        <f>STANDARDIZE(D152,H$20,I$20)</f>
        <v>-1.1251071456059112</v>
      </c>
      <c r="U152" s="1"/>
    </row>
    <row r="153" spans="1:21" x14ac:dyDescent="0.3">
      <c r="A153" t="s">
        <v>0</v>
      </c>
      <c r="B153">
        <v>1964</v>
      </c>
      <c r="C153" s="3">
        <v>1964.9166666547601</v>
      </c>
      <c r="D153">
        <v>26.5</v>
      </c>
      <c r="E153" s="1">
        <v>23712</v>
      </c>
      <c r="F153" s="2">
        <f>STANDARDIZE(D153,H$21,I$21)</f>
        <v>-1.5088496343025446</v>
      </c>
      <c r="U153" s="1"/>
    </row>
    <row r="154" spans="1:21" x14ac:dyDescent="0.3">
      <c r="A154" t="s">
        <v>11</v>
      </c>
      <c r="B154">
        <v>1965</v>
      </c>
      <c r="C154" s="3">
        <v>1964.99999998812</v>
      </c>
      <c r="D154">
        <v>26.3</v>
      </c>
      <c r="E154" s="1">
        <v>23743</v>
      </c>
      <c r="F154" s="2">
        <f>STANDARDIZE(D154,H$10,I$10)</f>
        <v>-1.1751300716048563</v>
      </c>
      <c r="U154" s="1"/>
    </row>
    <row r="155" spans="1:21" x14ac:dyDescent="0.3">
      <c r="A155" t="s">
        <v>10</v>
      </c>
      <c r="B155">
        <v>1965</v>
      </c>
      <c r="C155" s="3">
        <v>1965.08333332148</v>
      </c>
      <c r="D155">
        <v>26.7</v>
      </c>
      <c r="E155" s="1">
        <v>23774</v>
      </c>
      <c r="F155" s="2">
        <f>STANDARDIZE(D155,H$11,I$11)</f>
        <v>-0.39282331518204333</v>
      </c>
      <c r="U155" s="1"/>
    </row>
    <row r="156" spans="1:21" x14ac:dyDescent="0.3">
      <c r="A156" t="s">
        <v>9</v>
      </c>
      <c r="B156">
        <v>1965</v>
      </c>
      <c r="C156" s="3">
        <v>1965.1666666548399</v>
      </c>
      <c r="D156">
        <v>27.1</v>
      </c>
      <c r="E156" s="1">
        <v>23802</v>
      </c>
      <c r="F156" s="2">
        <f>STANDARDIZE(D156,H$12,I$12)</f>
        <v>-0.24159908246360165</v>
      </c>
      <c r="U156" s="1"/>
    </row>
    <row r="157" spans="1:21" x14ac:dyDescent="0.3">
      <c r="A157" t="s">
        <v>8</v>
      </c>
      <c r="B157">
        <v>1965</v>
      </c>
      <c r="C157" s="3">
        <v>1965.2499999882</v>
      </c>
      <c r="D157">
        <v>27.6</v>
      </c>
      <c r="E157" s="1">
        <v>23833</v>
      </c>
      <c r="F157" s="2">
        <f>STANDARDIZE(D157,H$13,I$13)</f>
        <v>-0.17932072805234356</v>
      </c>
      <c r="U157" s="1"/>
    </row>
    <row r="158" spans="1:21" x14ac:dyDescent="0.3">
      <c r="A158" t="s">
        <v>7</v>
      </c>
      <c r="B158">
        <v>1965</v>
      </c>
      <c r="C158" s="3">
        <v>1965.3333333215601</v>
      </c>
      <c r="D158">
        <v>28</v>
      </c>
      <c r="E158" s="1">
        <v>23863</v>
      </c>
      <c r="F158" s="2">
        <f>STANDARDIZE(D158,H$14,I$14)</f>
        <v>-0.47598721741570227</v>
      </c>
      <c r="U158" s="1"/>
    </row>
    <row r="159" spans="1:21" x14ac:dyDescent="0.3">
      <c r="A159" t="s">
        <v>6</v>
      </c>
      <c r="B159">
        <v>1965</v>
      </c>
      <c r="C159" s="3">
        <v>1965.4166666549199</v>
      </c>
      <c r="D159">
        <v>28.2</v>
      </c>
      <c r="E159" s="1">
        <v>23894</v>
      </c>
      <c r="F159" s="2">
        <f>STANDARDIZE(D159,H$15,I$15)</f>
        <v>-0.36159176856847203</v>
      </c>
      <c r="U159" s="1"/>
    </row>
    <row r="160" spans="1:21" x14ac:dyDescent="0.3">
      <c r="A160" t="s">
        <v>5</v>
      </c>
      <c r="B160">
        <v>1965</v>
      </c>
      <c r="C160" s="3">
        <v>1965.49999998828</v>
      </c>
      <c r="D160">
        <v>28.5</v>
      </c>
      <c r="E160" s="1">
        <v>23924</v>
      </c>
      <c r="F160" s="2">
        <f>STANDARDIZE(D160,H$16,I$16)</f>
        <v>0.77427554809503918</v>
      </c>
      <c r="U160" s="1"/>
    </row>
    <row r="161" spans="1:21" x14ac:dyDescent="0.3">
      <c r="A161" t="s">
        <v>4</v>
      </c>
      <c r="B161">
        <v>1965</v>
      </c>
      <c r="C161" s="3">
        <v>1965.5833333216401</v>
      </c>
      <c r="D161">
        <v>28.1</v>
      </c>
      <c r="E161" s="1">
        <v>23955</v>
      </c>
      <c r="F161" s="2">
        <f>STANDARDIZE(D161,H$17,I$17)</f>
        <v>-0.15671819308681381</v>
      </c>
      <c r="U161" s="1"/>
    </row>
    <row r="162" spans="1:21" x14ac:dyDescent="0.3">
      <c r="A162" t="s">
        <v>3</v>
      </c>
      <c r="B162">
        <v>1965</v>
      </c>
      <c r="C162" s="3">
        <v>1965.666666655</v>
      </c>
      <c r="D162">
        <v>28.4</v>
      </c>
      <c r="E162" s="1">
        <v>23986</v>
      </c>
      <c r="F162" s="2">
        <f>STANDARDIZE(D162,H$18,I$18)</f>
        <v>0.41692706249428207</v>
      </c>
      <c r="U162" s="1"/>
    </row>
    <row r="163" spans="1:21" x14ac:dyDescent="0.3">
      <c r="A163" t="s">
        <v>2</v>
      </c>
      <c r="B163">
        <v>1965</v>
      </c>
      <c r="C163" s="3">
        <v>1965.7499999883601</v>
      </c>
      <c r="D163">
        <v>28</v>
      </c>
      <c r="E163" s="1">
        <v>24016</v>
      </c>
      <c r="F163" s="2">
        <f>STANDARDIZE(D163,H$19,I$19)</f>
        <v>0.18335366047082208</v>
      </c>
      <c r="U163" s="1"/>
    </row>
    <row r="164" spans="1:21" x14ac:dyDescent="0.3">
      <c r="A164" t="s">
        <v>1</v>
      </c>
      <c r="B164">
        <v>1965</v>
      </c>
      <c r="C164" s="3">
        <v>1965.8333333217199</v>
      </c>
      <c r="D164">
        <v>27.2</v>
      </c>
      <c r="E164" s="1">
        <v>24047</v>
      </c>
      <c r="F164" s="2">
        <f>STANDARDIZE(D164,H$20,I$20)</f>
        <v>-1.1251071456059112</v>
      </c>
      <c r="U164" s="1"/>
    </row>
    <row r="165" spans="1:21" x14ac:dyDescent="0.3">
      <c r="A165" t="s">
        <v>0</v>
      </c>
      <c r="B165">
        <v>1965</v>
      </c>
      <c r="C165" s="3">
        <v>1965.91666665508</v>
      </c>
      <c r="D165">
        <v>27.6</v>
      </c>
      <c r="E165" s="1">
        <v>24077</v>
      </c>
      <c r="F165" s="2">
        <f>STANDARDIZE(D165,H$21,I$21)</f>
        <v>0.33529991873389681</v>
      </c>
      <c r="U165" s="1"/>
    </row>
    <row r="166" spans="1:21" x14ac:dyDescent="0.3">
      <c r="A166" t="s">
        <v>11</v>
      </c>
      <c r="B166">
        <v>1966</v>
      </c>
      <c r="C166" s="3">
        <v>1965.9999999884401</v>
      </c>
      <c r="D166">
        <v>27.8</v>
      </c>
      <c r="E166" s="1">
        <v>24108</v>
      </c>
      <c r="F166" s="2">
        <f>STANDARDIZE(D166,H$10,I$10)</f>
        <v>1.4444923802094762</v>
      </c>
      <c r="U166" s="1"/>
    </row>
    <row r="167" spans="1:21" x14ac:dyDescent="0.3">
      <c r="A167" t="s">
        <v>10</v>
      </c>
      <c r="B167">
        <v>1966</v>
      </c>
      <c r="C167" s="3">
        <v>1966.0833333218</v>
      </c>
      <c r="D167">
        <v>27.6</v>
      </c>
      <c r="E167" s="1">
        <v>24139</v>
      </c>
      <c r="F167" s="2">
        <f>STANDARDIZE(D167,H$11,I$11)</f>
        <v>1.3602724715806946</v>
      </c>
      <c r="U167" s="1"/>
    </row>
    <row r="168" spans="1:21" x14ac:dyDescent="0.3">
      <c r="A168" t="s">
        <v>9</v>
      </c>
      <c r="B168">
        <v>1966</v>
      </c>
      <c r="C168" s="3">
        <v>1966.16666665516</v>
      </c>
      <c r="D168">
        <v>26.7</v>
      </c>
      <c r="E168" s="1">
        <v>24167</v>
      </c>
      <c r="F168" s="2">
        <f>STANDARDIZE(D168,H$12,I$12)</f>
        <v>-0.9487183482106768</v>
      </c>
      <c r="U168" s="1"/>
    </row>
    <row r="169" spans="1:21" x14ac:dyDescent="0.3">
      <c r="A169" t="s">
        <v>8</v>
      </c>
      <c r="B169">
        <v>1966</v>
      </c>
      <c r="C169" s="3">
        <v>1966.2499999885199</v>
      </c>
      <c r="D169">
        <v>28.1</v>
      </c>
      <c r="E169" s="1">
        <v>24198</v>
      </c>
      <c r="F169" s="2">
        <f>STANDARDIZE(D169,H$13,I$13)</f>
        <v>0.87550708402025501</v>
      </c>
      <c r="U169" s="1"/>
    </row>
    <row r="170" spans="1:21" x14ac:dyDescent="0.3">
      <c r="A170" t="s">
        <v>7</v>
      </c>
      <c r="B170">
        <v>1966</v>
      </c>
      <c r="C170" s="3">
        <v>1966.33333332188</v>
      </c>
      <c r="D170">
        <v>28</v>
      </c>
      <c r="E170" s="1">
        <v>24228</v>
      </c>
      <c r="F170" s="2">
        <f>STANDARDIZE(D170,H$14,I$14)</f>
        <v>-0.47598721741570227</v>
      </c>
      <c r="U170" s="1"/>
    </row>
    <row r="171" spans="1:21" x14ac:dyDescent="0.3">
      <c r="A171" t="s">
        <v>6</v>
      </c>
      <c r="B171">
        <v>1966</v>
      </c>
      <c r="C171" s="3">
        <v>1966.4166666552401</v>
      </c>
      <c r="D171">
        <v>27.7</v>
      </c>
      <c r="E171" s="1">
        <v>24259</v>
      </c>
      <c r="F171" s="2">
        <f>STANDARDIZE(D171,H$15,I$15)</f>
        <v>-1.5406953617265398</v>
      </c>
      <c r="U171" s="1"/>
    </row>
    <row r="172" spans="1:21" x14ac:dyDescent="0.3">
      <c r="A172" t="s">
        <v>5</v>
      </c>
      <c r="B172">
        <v>1966</v>
      </c>
      <c r="C172" s="3">
        <v>1966.4999999885999</v>
      </c>
      <c r="D172">
        <v>28.1</v>
      </c>
      <c r="E172" s="1">
        <v>24289</v>
      </c>
      <c r="F172" s="2">
        <f>STANDARDIZE(D172,H$16,I$16)</f>
        <v>-0.29986394059170085</v>
      </c>
      <c r="U172" s="1"/>
    </row>
    <row r="173" spans="1:21" x14ac:dyDescent="0.3">
      <c r="A173" t="s">
        <v>4</v>
      </c>
      <c r="B173">
        <v>1966</v>
      </c>
      <c r="C173" s="3">
        <v>1966.58333332196</v>
      </c>
      <c r="D173">
        <v>28</v>
      </c>
      <c r="E173" s="1">
        <v>24320</v>
      </c>
      <c r="F173" s="2">
        <f>STANDARDIZE(D173,H$17,I$17)</f>
        <v>-0.36567578386926686</v>
      </c>
      <c r="U173" s="1"/>
    </row>
    <row r="174" spans="1:21" x14ac:dyDescent="0.3">
      <c r="A174" t="s">
        <v>3</v>
      </c>
      <c r="B174">
        <v>1966</v>
      </c>
      <c r="C174" s="3">
        <v>1966.6666666553199</v>
      </c>
      <c r="D174">
        <v>27.8</v>
      </c>
      <c r="E174" s="1">
        <v>24351</v>
      </c>
      <c r="F174" s="2">
        <f>STANDARDIZE(D174,H$18,I$18)</f>
        <v>-0.93526881586553023</v>
      </c>
      <c r="U174" s="1"/>
    </row>
    <row r="175" spans="1:21" x14ac:dyDescent="0.3">
      <c r="A175" t="s">
        <v>2</v>
      </c>
      <c r="B175">
        <v>1966</v>
      </c>
      <c r="C175" s="3">
        <v>1966.74999998868</v>
      </c>
      <c r="D175">
        <v>27.4</v>
      </c>
      <c r="E175" s="1">
        <v>24381</v>
      </c>
      <c r="F175" s="2">
        <f>STANDARDIZE(D175,H$19,I$19)</f>
        <v>-1.064861643503662</v>
      </c>
      <c r="U175" s="1"/>
    </row>
    <row r="176" spans="1:21" x14ac:dyDescent="0.3">
      <c r="A176" t="s">
        <v>1</v>
      </c>
      <c r="B176">
        <v>1966</v>
      </c>
      <c r="C176" s="3">
        <v>1966.8333333220401</v>
      </c>
      <c r="D176">
        <v>26.7</v>
      </c>
      <c r="E176" s="1">
        <v>24412</v>
      </c>
      <c r="F176" s="2">
        <f>STANDARDIZE(D176,H$20,I$20)</f>
        <v>-2.0149371937392733</v>
      </c>
      <c r="U176" s="1"/>
    </row>
    <row r="177" spans="1:21" x14ac:dyDescent="0.3">
      <c r="A177" t="s">
        <v>0</v>
      </c>
      <c r="B177">
        <v>1966</v>
      </c>
      <c r="C177" s="3">
        <v>1966.9166666553999</v>
      </c>
      <c r="D177">
        <v>25.8</v>
      </c>
      <c r="E177" s="1">
        <v>24442</v>
      </c>
      <c r="F177" s="2">
        <f>STANDARDIZE(D177,H$21,I$21)</f>
        <v>-2.6823993498711864</v>
      </c>
      <c r="U177" s="1"/>
    </row>
    <row r="178" spans="1:21" x14ac:dyDescent="0.3">
      <c r="A178" t="s">
        <v>11</v>
      </c>
      <c r="B178">
        <v>1967</v>
      </c>
      <c r="C178" s="3">
        <v>1966.99999998876</v>
      </c>
      <c r="D178">
        <v>26.4</v>
      </c>
      <c r="E178" s="1">
        <v>24473</v>
      </c>
      <c r="F178" s="2">
        <f>STANDARDIZE(D178,H$10,I$10)</f>
        <v>-1.0004885748172379</v>
      </c>
      <c r="U178" s="1"/>
    </row>
    <row r="179" spans="1:21" x14ac:dyDescent="0.3">
      <c r="A179" t="s">
        <v>10</v>
      </c>
      <c r="B179">
        <v>1967</v>
      </c>
      <c r="C179" s="3">
        <v>1967.0833333221201</v>
      </c>
      <c r="D179">
        <v>26.7</v>
      </c>
      <c r="E179" s="1">
        <v>24504</v>
      </c>
      <c r="F179" s="2">
        <f>STANDARDIZE(D179,H$11,I$11)</f>
        <v>-0.39282331518204333</v>
      </c>
      <c r="U179" s="1"/>
    </row>
    <row r="180" spans="1:21" x14ac:dyDescent="0.3">
      <c r="A180" t="s">
        <v>9</v>
      </c>
      <c r="B180">
        <v>1967</v>
      </c>
      <c r="C180" s="3">
        <v>1967.16666665548</v>
      </c>
      <c r="D180">
        <v>27.4</v>
      </c>
      <c r="E180" s="1">
        <v>24532</v>
      </c>
      <c r="F180" s="2">
        <f>STANDARDIZE(D180,H$12,I$12)</f>
        <v>0.28874036684669685</v>
      </c>
      <c r="U180" s="1"/>
    </row>
    <row r="181" spans="1:21" x14ac:dyDescent="0.3">
      <c r="A181" t="s">
        <v>8</v>
      </c>
      <c r="B181">
        <v>1967</v>
      </c>
      <c r="C181" s="3">
        <v>1967.24999998884</v>
      </c>
      <c r="D181">
        <v>27.9</v>
      </c>
      <c r="E181" s="1">
        <v>24563</v>
      </c>
      <c r="F181" s="2">
        <f>STANDARDIZE(D181,H$13,I$13)</f>
        <v>0.45357595919120958</v>
      </c>
      <c r="U181" s="1"/>
    </row>
    <row r="182" spans="1:21" x14ac:dyDescent="0.3">
      <c r="A182" t="s">
        <v>7</v>
      </c>
      <c r="B182">
        <v>1967</v>
      </c>
      <c r="C182" s="3">
        <v>1967.3333333221999</v>
      </c>
      <c r="D182">
        <v>28.3</v>
      </c>
      <c r="E182" s="1">
        <v>24593</v>
      </c>
      <c r="F182" s="2">
        <f>STANDARDIZE(D182,H$14,I$14)</f>
        <v>0.32473894272284271</v>
      </c>
      <c r="U182" s="1"/>
    </row>
    <row r="183" spans="1:21" x14ac:dyDescent="0.3">
      <c r="A183" t="s">
        <v>6</v>
      </c>
      <c r="B183">
        <v>1967</v>
      </c>
      <c r="C183" s="3">
        <v>1967.41666665556</v>
      </c>
      <c r="D183">
        <v>28.4</v>
      </c>
      <c r="E183" s="1">
        <v>24624</v>
      </c>
      <c r="F183" s="2">
        <f>STANDARDIZE(D183,H$15,I$15)</f>
        <v>0.11004966869475344</v>
      </c>
      <c r="U183" s="1"/>
    </row>
    <row r="184" spans="1:21" x14ac:dyDescent="0.3">
      <c r="A184" t="s">
        <v>5</v>
      </c>
      <c r="B184">
        <v>1967</v>
      </c>
      <c r="C184" s="3">
        <v>1967.4999999889201</v>
      </c>
      <c r="D184">
        <v>28.4</v>
      </c>
      <c r="E184" s="1">
        <v>24654</v>
      </c>
      <c r="F184" s="2">
        <f>STANDARDIZE(D184,H$16,I$16)</f>
        <v>0.50574067592334937</v>
      </c>
      <c r="U184" s="1"/>
    </row>
    <row r="185" spans="1:21" x14ac:dyDescent="0.3">
      <c r="A185" t="s">
        <v>4</v>
      </c>
      <c r="B185">
        <v>1967</v>
      </c>
      <c r="C185" s="3">
        <v>1967.5833333222799</v>
      </c>
      <c r="D185">
        <v>28.2</v>
      </c>
      <c r="E185" s="1">
        <v>24685</v>
      </c>
      <c r="F185" s="2">
        <f>STANDARDIZE(D185,H$17,I$17)</f>
        <v>5.2239397695631823E-2</v>
      </c>
      <c r="U185" s="1"/>
    </row>
    <row r="186" spans="1:21" x14ac:dyDescent="0.3">
      <c r="A186" t="s">
        <v>3</v>
      </c>
      <c r="B186">
        <v>1967</v>
      </c>
      <c r="C186" s="3">
        <v>1967.66666665564</v>
      </c>
      <c r="D186">
        <v>28</v>
      </c>
      <c r="E186" s="1">
        <v>24716</v>
      </c>
      <c r="F186" s="2">
        <f>STANDARDIZE(D186,H$18,I$18)</f>
        <v>-0.48453685641225946</v>
      </c>
      <c r="U186" s="1"/>
    </row>
    <row r="187" spans="1:21" x14ac:dyDescent="0.3">
      <c r="A187" t="s">
        <v>2</v>
      </c>
      <c r="B187">
        <v>1967</v>
      </c>
      <c r="C187" s="3">
        <v>1967.7499999889999</v>
      </c>
      <c r="D187">
        <v>27.7</v>
      </c>
      <c r="E187" s="1">
        <v>24746</v>
      </c>
      <c r="F187" s="2">
        <f>STANDARDIZE(D187,H$19,I$19)</f>
        <v>-0.44075399151641997</v>
      </c>
      <c r="U187" s="1"/>
    </row>
    <row r="188" spans="1:21" x14ac:dyDescent="0.3">
      <c r="A188" t="s">
        <v>1</v>
      </c>
      <c r="B188">
        <v>1967</v>
      </c>
      <c r="C188" s="3">
        <v>1967.83333332236</v>
      </c>
      <c r="D188">
        <v>27.5</v>
      </c>
      <c r="E188" s="1">
        <v>24777</v>
      </c>
      <c r="F188" s="2">
        <f>STANDARDIZE(D188,H$20,I$20)</f>
        <v>-0.5912091167258926</v>
      </c>
      <c r="U188" s="1"/>
    </row>
    <row r="189" spans="1:21" x14ac:dyDescent="0.3">
      <c r="A189" t="s">
        <v>0</v>
      </c>
      <c r="B189">
        <v>1967</v>
      </c>
      <c r="C189" s="3">
        <v>1967.9166666557201</v>
      </c>
      <c r="D189">
        <v>27.4</v>
      </c>
      <c r="E189" s="1">
        <v>24807</v>
      </c>
      <c r="F189" s="2">
        <f>STANDARDIZE(D189,H$21,I$21)</f>
        <v>-5.9561230389330787E-15</v>
      </c>
      <c r="U189" s="1"/>
    </row>
    <row r="190" spans="1:21" x14ac:dyDescent="0.3">
      <c r="A190" t="s">
        <v>11</v>
      </c>
      <c r="B190">
        <v>1968</v>
      </c>
      <c r="C190" s="3">
        <v>1967.9999999890799</v>
      </c>
      <c r="D190">
        <v>26.3</v>
      </c>
      <c r="E190" s="1">
        <v>24838</v>
      </c>
      <c r="F190" s="2">
        <f>STANDARDIZE(D190,H$10,I$10)</f>
        <v>-1.1751300716048563</v>
      </c>
      <c r="U190" s="1"/>
    </row>
    <row r="191" spans="1:21" x14ac:dyDescent="0.3">
      <c r="A191" t="s">
        <v>10</v>
      </c>
      <c r="B191">
        <v>1968</v>
      </c>
      <c r="C191" s="3">
        <v>1968.08333332244</v>
      </c>
      <c r="D191">
        <v>26.5</v>
      </c>
      <c r="E191" s="1">
        <v>24869</v>
      </c>
      <c r="F191" s="2">
        <f>STANDARDIZE(D191,H$11,I$11)</f>
        <v>-0.78240015668487162</v>
      </c>
      <c r="U191" s="1"/>
    </row>
    <row r="192" spans="1:21" x14ac:dyDescent="0.3">
      <c r="A192" t="s">
        <v>9</v>
      </c>
      <c r="B192">
        <v>1968</v>
      </c>
      <c r="C192" s="3">
        <v>1968.1666666558001</v>
      </c>
      <c r="D192">
        <v>27</v>
      </c>
      <c r="E192" s="1">
        <v>24898</v>
      </c>
      <c r="F192" s="2">
        <f>STANDARDIZE(D192,H$12,I$12)</f>
        <v>-0.418378898900372</v>
      </c>
      <c r="U192" s="1"/>
    </row>
    <row r="193" spans="1:21" x14ac:dyDescent="0.3">
      <c r="A193" t="s">
        <v>8</v>
      </c>
      <c r="B193">
        <v>1968</v>
      </c>
      <c r="C193" s="3">
        <v>1968.24999998916</v>
      </c>
      <c r="D193">
        <v>26.3</v>
      </c>
      <c r="E193" s="1">
        <v>24929</v>
      </c>
      <c r="F193" s="2">
        <f>STANDARDIZE(D193,H$13,I$13)</f>
        <v>-2.9218730394411012</v>
      </c>
      <c r="U193" s="1"/>
    </row>
    <row r="194" spans="1:21" x14ac:dyDescent="0.3">
      <c r="A194" t="s">
        <v>7</v>
      </c>
      <c r="B194">
        <v>1968</v>
      </c>
      <c r="C194" s="3">
        <v>1968.33333332252</v>
      </c>
      <c r="D194">
        <v>26.7</v>
      </c>
      <c r="E194" s="1">
        <v>24959</v>
      </c>
      <c r="F194" s="2">
        <f>STANDARDIZE(D194,H$14,I$14)</f>
        <v>-3.9458005780160574</v>
      </c>
      <c r="U194" s="1"/>
    </row>
    <row r="195" spans="1:21" x14ac:dyDescent="0.3">
      <c r="A195" t="s">
        <v>6</v>
      </c>
      <c r="B195">
        <v>1968</v>
      </c>
      <c r="C195" s="3">
        <v>1968.4166666558799</v>
      </c>
      <c r="D195">
        <v>27.8</v>
      </c>
      <c r="E195" s="1">
        <v>24990</v>
      </c>
      <c r="F195" s="2">
        <f>STANDARDIZE(D195,H$15,I$15)</f>
        <v>-1.304874643094923</v>
      </c>
      <c r="U195" s="1"/>
    </row>
    <row r="196" spans="1:21" x14ac:dyDescent="0.3">
      <c r="A196" t="s">
        <v>5</v>
      </c>
      <c r="B196">
        <v>1968</v>
      </c>
      <c r="C196" s="3">
        <v>1968.49999998924</v>
      </c>
      <c r="D196">
        <v>27.8</v>
      </c>
      <c r="E196" s="1">
        <v>25020</v>
      </c>
      <c r="F196" s="2">
        <f>STANDARDIZE(D196,H$16,I$16)</f>
        <v>-1.1054685571067606</v>
      </c>
      <c r="U196" s="1"/>
    </row>
    <row r="197" spans="1:21" x14ac:dyDescent="0.3">
      <c r="A197" t="s">
        <v>4</v>
      </c>
      <c r="B197">
        <v>1968</v>
      </c>
      <c r="C197" s="3">
        <v>1968.5833333226001</v>
      </c>
      <c r="D197">
        <v>27.8</v>
      </c>
      <c r="E197" s="1">
        <v>25051</v>
      </c>
      <c r="F197" s="2">
        <f>STANDARDIZE(D197,H$17,I$17)</f>
        <v>-0.78359096543416551</v>
      </c>
      <c r="U197" s="1"/>
    </row>
    <row r="198" spans="1:21" x14ac:dyDescent="0.3">
      <c r="A198" t="s">
        <v>3</v>
      </c>
      <c r="B198">
        <v>1968</v>
      </c>
      <c r="C198" s="3">
        <v>1968.6666666559599</v>
      </c>
      <c r="D198">
        <v>27.8</v>
      </c>
      <c r="E198" s="1">
        <v>25082</v>
      </c>
      <c r="F198" s="2">
        <f>STANDARDIZE(D198,H$18,I$18)</f>
        <v>-0.93526881586553023</v>
      </c>
      <c r="U198" s="1"/>
    </row>
    <row r="199" spans="1:21" x14ac:dyDescent="0.3">
      <c r="A199" t="s">
        <v>2</v>
      </c>
      <c r="B199">
        <v>1968</v>
      </c>
      <c r="C199" s="3">
        <v>1968.74999998933</v>
      </c>
      <c r="D199">
        <v>27.7</v>
      </c>
      <c r="E199" s="1">
        <v>25112</v>
      </c>
      <c r="F199" s="2">
        <f>STANDARDIZE(D199,H$19,I$19)</f>
        <v>-0.44075399151641997</v>
      </c>
      <c r="U199" s="1"/>
    </row>
    <row r="200" spans="1:21" x14ac:dyDescent="0.3">
      <c r="A200" t="s">
        <v>1</v>
      </c>
      <c r="B200">
        <v>1968</v>
      </c>
      <c r="C200" s="3">
        <v>1968.8333333226899</v>
      </c>
      <c r="D200">
        <v>27.7</v>
      </c>
      <c r="E200" s="1">
        <v>25143</v>
      </c>
      <c r="F200" s="2">
        <f>STANDARDIZE(D200,H$20,I$20)</f>
        <v>-0.23527709747254905</v>
      </c>
      <c r="U200" s="1"/>
    </row>
    <row r="201" spans="1:21" x14ac:dyDescent="0.3">
      <c r="A201" t="s">
        <v>0</v>
      </c>
      <c r="B201">
        <v>1968</v>
      </c>
      <c r="C201" s="3">
        <v>1968.91666665605</v>
      </c>
      <c r="D201">
        <v>27.7</v>
      </c>
      <c r="E201" s="1">
        <v>25173</v>
      </c>
      <c r="F201" s="2">
        <f>STANDARDIZE(D201,H$21,I$21)</f>
        <v>0.50294987810084224</v>
      </c>
      <c r="U201" s="1"/>
    </row>
    <row r="202" spans="1:21" x14ac:dyDescent="0.3">
      <c r="A202" t="s">
        <v>11</v>
      </c>
      <c r="B202">
        <v>1969</v>
      </c>
      <c r="C202" s="3">
        <v>1968.9999999894101</v>
      </c>
      <c r="D202">
        <v>27.1</v>
      </c>
      <c r="E202" s="1">
        <v>25204</v>
      </c>
      <c r="F202" s="2">
        <f>STANDARDIZE(D202,H$10,I$10)</f>
        <v>0.22200190269612233</v>
      </c>
      <c r="U202" s="1"/>
    </row>
    <row r="203" spans="1:21" x14ac:dyDescent="0.3">
      <c r="A203" t="s">
        <v>10</v>
      </c>
      <c r="B203">
        <v>1969</v>
      </c>
      <c r="C203" s="3">
        <v>1969.0833333227699</v>
      </c>
      <c r="D203">
        <v>27.3</v>
      </c>
      <c r="E203" s="1">
        <v>25235</v>
      </c>
      <c r="F203" s="2">
        <f>STANDARDIZE(D203,H$11,I$11)</f>
        <v>0.77590720932644863</v>
      </c>
      <c r="U203" s="1"/>
    </row>
    <row r="204" spans="1:21" x14ac:dyDescent="0.3">
      <c r="A204" t="s">
        <v>9</v>
      </c>
      <c r="B204">
        <v>1969</v>
      </c>
      <c r="C204" s="3">
        <v>1969.16666665613</v>
      </c>
      <c r="D204">
        <v>27.9</v>
      </c>
      <c r="E204" s="1">
        <v>25263</v>
      </c>
      <c r="F204" s="2">
        <f>STANDARDIZE(D204,H$12,I$12)</f>
        <v>1.1726394490305361</v>
      </c>
      <c r="U204" s="1"/>
    </row>
    <row r="205" spans="1:21" x14ac:dyDescent="0.3">
      <c r="A205" t="s">
        <v>8</v>
      </c>
      <c r="B205">
        <v>1969</v>
      </c>
      <c r="C205" s="3">
        <v>1969.2499999894901</v>
      </c>
      <c r="D205">
        <v>28.1</v>
      </c>
      <c r="E205" s="1">
        <v>25294</v>
      </c>
      <c r="F205" s="2">
        <f>STANDARDIZE(D205,H$13,I$13)</f>
        <v>0.87550708402025501</v>
      </c>
      <c r="U205" s="1"/>
    </row>
    <row r="206" spans="1:21" x14ac:dyDescent="0.3">
      <c r="A206" t="s">
        <v>7</v>
      </c>
      <c r="B206">
        <v>1969</v>
      </c>
      <c r="C206" s="3">
        <v>1969.33333332285</v>
      </c>
      <c r="D206">
        <v>28.3</v>
      </c>
      <c r="E206" s="1">
        <v>25324</v>
      </c>
      <c r="F206" s="2">
        <f>STANDARDIZE(D206,H$14,I$14)</f>
        <v>0.32473894272284271</v>
      </c>
      <c r="U206" s="1"/>
    </row>
    <row r="207" spans="1:21" x14ac:dyDescent="0.3">
      <c r="A207" t="s">
        <v>6</v>
      </c>
      <c r="B207">
        <v>1969</v>
      </c>
      <c r="C207" s="3">
        <v>1969.4166666562101</v>
      </c>
      <c r="D207">
        <v>27.7</v>
      </c>
      <c r="E207" s="1">
        <v>25355</v>
      </c>
      <c r="F207" s="2">
        <f>STANDARDIZE(D207,H$15,I$15)</f>
        <v>-1.5406953617265398</v>
      </c>
      <c r="U207" s="1"/>
    </row>
    <row r="208" spans="1:21" x14ac:dyDescent="0.3">
      <c r="A208" t="s">
        <v>5</v>
      </c>
      <c r="B208">
        <v>1969</v>
      </c>
      <c r="C208" s="3">
        <v>1969.4999999895699</v>
      </c>
      <c r="D208">
        <v>27.4</v>
      </c>
      <c r="E208" s="1">
        <v>25385</v>
      </c>
      <c r="F208" s="2">
        <f>STANDARDIZE(D208,H$16,I$16)</f>
        <v>-2.1796080457935103</v>
      </c>
      <c r="U208" s="1"/>
    </row>
    <row r="209" spans="1:21" x14ac:dyDescent="0.3">
      <c r="A209" t="s">
        <v>4</v>
      </c>
      <c r="B209">
        <v>1969</v>
      </c>
      <c r="C209" s="3">
        <v>1969.58333332293</v>
      </c>
      <c r="D209">
        <v>27.3</v>
      </c>
      <c r="E209" s="1">
        <v>25416</v>
      </c>
      <c r="F209" s="2">
        <f>STANDARDIZE(D209,H$17,I$17)</f>
        <v>-1.8283789193464159</v>
      </c>
      <c r="U209" s="1"/>
    </row>
    <row r="210" spans="1:21" x14ac:dyDescent="0.3">
      <c r="A210" t="s">
        <v>3</v>
      </c>
      <c r="B210">
        <v>1969</v>
      </c>
      <c r="C210" s="3">
        <v>1969.6666666562901</v>
      </c>
      <c r="D210">
        <v>27.7</v>
      </c>
      <c r="E210" s="1">
        <v>25447</v>
      </c>
      <c r="F210" s="2">
        <f>STANDARDIZE(D210,H$18,I$18)</f>
        <v>-1.1606347955921696</v>
      </c>
      <c r="U210" s="1"/>
    </row>
    <row r="211" spans="1:21" x14ac:dyDescent="0.3">
      <c r="A211" t="s">
        <v>2</v>
      </c>
      <c r="B211">
        <v>1969</v>
      </c>
      <c r="C211" s="3">
        <v>1969.74999998965</v>
      </c>
      <c r="D211">
        <v>27.2</v>
      </c>
      <c r="E211" s="1">
        <v>25477</v>
      </c>
      <c r="F211" s="2">
        <f>STANDARDIZE(D211,H$19,I$19)</f>
        <v>-1.4809334114951542</v>
      </c>
      <c r="U211" s="1"/>
    </row>
    <row r="212" spans="1:21" x14ac:dyDescent="0.3">
      <c r="A212" t="s">
        <v>1</v>
      </c>
      <c r="B212">
        <v>1969</v>
      </c>
      <c r="C212" s="3">
        <v>1969.83333332301</v>
      </c>
      <c r="D212">
        <v>27</v>
      </c>
      <c r="E212" s="1">
        <v>25508</v>
      </c>
      <c r="F212" s="2">
        <f>STANDARDIZE(D212,H$20,I$20)</f>
        <v>-1.4810391648592549</v>
      </c>
      <c r="U212" s="1"/>
    </row>
    <row r="213" spans="1:21" x14ac:dyDescent="0.3">
      <c r="A213" t="s">
        <v>0</v>
      </c>
      <c r="B213">
        <v>1969</v>
      </c>
      <c r="C213" s="3">
        <v>1969.9166666563699</v>
      </c>
      <c r="D213">
        <v>27</v>
      </c>
      <c r="E213" s="1">
        <v>25538</v>
      </c>
      <c r="F213" s="2">
        <f>STANDARDIZE(D213,H$21,I$21)</f>
        <v>-0.67059983746779961</v>
      </c>
      <c r="U213" s="1"/>
    </row>
    <row r="214" spans="1:21" x14ac:dyDescent="0.3">
      <c r="A214" t="s">
        <v>11</v>
      </c>
      <c r="B214">
        <v>1970</v>
      </c>
      <c r="C214" s="3">
        <v>1969.99999998973</v>
      </c>
      <c r="D214">
        <v>26.6</v>
      </c>
      <c r="E214" s="1">
        <v>25569</v>
      </c>
      <c r="F214" s="2">
        <f>STANDARDIZE(D214,H$10,I$10)</f>
        <v>-0.65120558124198857</v>
      </c>
      <c r="U214" s="1"/>
    </row>
    <row r="215" spans="1:21" x14ac:dyDescent="0.3">
      <c r="A215" t="s">
        <v>10</v>
      </c>
      <c r="B215">
        <v>1970</v>
      </c>
      <c r="C215" s="3">
        <v>1970.0833333230901</v>
      </c>
      <c r="D215">
        <v>27</v>
      </c>
      <c r="E215" s="1">
        <v>25600</v>
      </c>
      <c r="F215" s="2">
        <f>STANDARDIZE(D215,H$11,I$11)</f>
        <v>0.19154194707220265</v>
      </c>
      <c r="U215" s="1"/>
    </row>
    <row r="216" spans="1:21" x14ac:dyDescent="0.3">
      <c r="A216" t="s">
        <v>9</v>
      </c>
      <c r="B216">
        <v>1970</v>
      </c>
      <c r="C216" s="3">
        <v>1970.1666666564499</v>
      </c>
      <c r="D216">
        <v>27.3</v>
      </c>
      <c r="E216" s="1">
        <v>25628</v>
      </c>
      <c r="F216" s="2">
        <f>STANDARDIZE(D216,H$12,I$12)</f>
        <v>0.11196055040993279</v>
      </c>
      <c r="U216" s="1"/>
    </row>
    <row r="217" spans="1:21" x14ac:dyDescent="0.3">
      <c r="A217" t="s">
        <v>8</v>
      </c>
      <c r="B217">
        <v>1970</v>
      </c>
      <c r="C217" s="3">
        <v>1970.24999998981</v>
      </c>
      <c r="D217">
        <v>27.8</v>
      </c>
      <c r="E217" s="1">
        <v>25659</v>
      </c>
      <c r="F217" s="2">
        <f>STANDARDIZE(D217,H$13,I$13)</f>
        <v>0.24261039677669438</v>
      </c>
      <c r="U217" s="1"/>
    </row>
    <row r="218" spans="1:21" x14ac:dyDescent="0.3">
      <c r="A218" t="s">
        <v>7</v>
      </c>
      <c r="B218">
        <v>1970</v>
      </c>
      <c r="C218" s="3">
        <v>1970.3333333231701</v>
      </c>
      <c r="D218">
        <v>27.8</v>
      </c>
      <c r="E218" s="1">
        <v>25689</v>
      </c>
      <c r="F218" s="2">
        <f>STANDARDIZE(D218,H$14,I$14)</f>
        <v>-1.0098046575080624</v>
      </c>
      <c r="U218" s="1"/>
    </row>
    <row r="219" spans="1:21" x14ac:dyDescent="0.3">
      <c r="A219" t="s">
        <v>6</v>
      </c>
      <c r="B219">
        <v>1970</v>
      </c>
      <c r="C219" s="3">
        <v>1970.41666665653</v>
      </c>
      <c r="D219">
        <v>28.3</v>
      </c>
      <c r="E219" s="1">
        <v>25720</v>
      </c>
      <c r="F219" s="2">
        <f>STANDARDIZE(D219,H$15,I$15)</f>
        <v>-0.12577104993685509</v>
      </c>
      <c r="U219" s="1"/>
    </row>
    <row r="220" spans="1:21" x14ac:dyDescent="0.3">
      <c r="A220" t="s">
        <v>5</v>
      </c>
      <c r="B220">
        <v>1970</v>
      </c>
      <c r="C220" s="3">
        <v>1970.4999999898901</v>
      </c>
      <c r="D220">
        <v>27.9</v>
      </c>
      <c r="E220" s="1">
        <v>25750</v>
      </c>
      <c r="F220" s="2">
        <f>STANDARDIZE(D220,H$16,I$16)</f>
        <v>-0.83693368493508047</v>
      </c>
      <c r="U220" s="1"/>
    </row>
    <row r="221" spans="1:21" x14ac:dyDescent="0.3">
      <c r="A221" t="s">
        <v>4</v>
      </c>
      <c r="B221">
        <v>1970</v>
      </c>
      <c r="C221" s="3">
        <v>1970.5833333232499</v>
      </c>
      <c r="D221">
        <v>26.7</v>
      </c>
      <c r="E221" s="1">
        <v>25781</v>
      </c>
      <c r="F221" s="2">
        <f>STANDARDIZE(D221,H$17,I$17)</f>
        <v>-3.0821244640411192</v>
      </c>
      <c r="U221" s="1"/>
    </row>
    <row r="222" spans="1:21" x14ac:dyDescent="0.3">
      <c r="A222" t="s">
        <v>3</v>
      </c>
      <c r="B222">
        <v>1970</v>
      </c>
      <c r="C222" s="3">
        <v>1970.66666665661</v>
      </c>
      <c r="D222">
        <v>27.5</v>
      </c>
      <c r="E222" s="1">
        <v>25812</v>
      </c>
      <c r="F222" s="2">
        <f>STANDARDIZE(D222,H$18,I$18)</f>
        <v>-1.6113667550454405</v>
      </c>
      <c r="U222" s="1"/>
    </row>
    <row r="223" spans="1:21" x14ac:dyDescent="0.3">
      <c r="A223" t="s">
        <v>2</v>
      </c>
      <c r="B223">
        <v>1970</v>
      </c>
      <c r="C223" s="3">
        <v>1970.7499999899701</v>
      </c>
      <c r="D223">
        <v>28.1</v>
      </c>
      <c r="E223" s="1">
        <v>25842</v>
      </c>
      <c r="F223" s="2">
        <f>STANDARDIZE(D223,H$19,I$19)</f>
        <v>0.39138954446657193</v>
      </c>
      <c r="U223" s="1"/>
    </row>
    <row r="224" spans="1:21" x14ac:dyDescent="0.3">
      <c r="A224" t="s">
        <v>1</v>
      </c>
      <c r="B224">
        <v>1970</v>
      </c>
      <c r="C224" s="3">
        <v>1970.83333332333</v>
      </c>
      <c r="D224">
        <v>27.9</v>
      </c>
      <c r="E224" s="1">
        <v>25873</v>
      </c>
      <c r="F224" s="2">
        <f>STANDARDIZE(D224,H$20,I$20)</f>
        <v>0.12065492178079455</v>
      </c>
      <c r="U224" s="1"/>
    </row>
    <row r="225" spans="1:21" x14ac:dyDescent="0.3">
      <c r="A225" t="s">
        <v>0</v>
      </c>
      <c r="B225">
        <v>1970</v>
      </c>
      <c r="C225" s="3">
        <v>1970.91666665669</v>
      </c>
      <c r="D225">
        <v>28</v>
      </c>
      <c r="E225" s="1">
        <v>25903</v>
      </c>
      <c r="F225" s="2">
        <f>STANDARDIZE(D225,H$21,I$21)</f>
        <v>1.0058997562016905</v>
      </c>
      <c r="U225" s="1"/>
    </row>
    <row r="226" spans="1:21" x14ac:dyDescent="0.3">
      <c r="A226" t="s">
        <v>11</v>
      </c>
      <c r="B226">
        <v>1971</v>
      </c>
      <c r="C226" s="3">
        <v>1970.9999999900499</v>
      </c>
      <c r="D226">
        <v>27.8</v>
      </c>
      <c r="E226" s="1">
        <v>25934</v>
      </c>
      <c r="F226" s="2">
        <f>STANDARDIZE(D226,H$10,I$10)</f>
        <v>1.4444923802094762</v>
      </c>
      <c r="U226" s="1"/>
    </row>
    <row r="227" spans="1:21" x14ac:dyDescent="0.3">
      <c r="A227" t="s">
        <v>10</v>
      </c>
      <c r="B227">
        <v>1971</v>
      </c>
      <c r="C227" s="3">
        <v>1971.08333332341</v>
      </c>
      <c r="D227">
        <v>27.6</v>
      </c>
      <c r="E227" s="1">
        <v>25965</v>
      </c>
      <c r="F227" s="2">
        <f>STANDARDIZE(D227,H$11,I$11)</f>
        <v>1.3602724715806946</v>
      </c>
      <c r="U227" s="1"/>
    </row>
    <row r="228" spans="1:21" x14ac:dyDescent="0.3">
      <c r="A228" t="s">
        <v>9</v>
      </c>
      <c r="B228">
        <v>1971</v>
      </c>
      <c r="C228" s="3">
        <v>1971.1666666567701</v>
      </c>
      <c r="D228">
        <v>28.1</v>
      </c>
      <c r="E228" s="1">
        <v>25993</v>
      </c>
      <c r="F228" s="2">
        <f>STANDARDIZE(D228,H$12,I$12)</f>
        <v>1.5261990819040767</v>
      </c>
      <c r="U228" s="1"/>
    </row>
    <row r="229" spans="1:21" x14ac:dyDescent="0.3">
      <c r="A229" t="s">
        <v>8</v>
      </c>
      <c r="B229">
        <v>1971</v>
      </c>
      <c r="C229" s="3">
        <v>1971.2499999901299</v>
      </c>
      <c r="D229">
        <v>28.1</v>
      </c>
      <c r="E229" s="1">
        <v>26024</v>
      </c>
      <c r="F229" s="2">
        <f>STANDARDIZE(D229,H$13,I$13)</f>
        <v>0.87550708402025501</v>
      </c>
      <c r="U229" s="1"/>
    </row>
    <row r="230" spans="1:21" x14ac:dyDescent="0.3">
      <c r="A230" t="s">
        <v>7</v>
      </c>
      <c r="B230">
        <v>1971</v>
      </c>
      <c r="C230" s="3">
        <v>1971.33333332349</v>
      </c>
      <c r="D230">
        <v>28.2</v>
      </c>
      <c r="E230" s="1">
        <v>26054</v>
      </c>
      <c r="F230" s="2">
        <f>STANDARDIZE(D230,H$14,I$14)</f>
        <v>5.783022267665789E-2</v>
      </c>
      <c r="U230" s="1"/>
    </row>
    <row r="231" spans="1:21" x14ac:dyDescent="0.3">
      <c r="A231" t="s">
        <v>6</v>
      </c>
      <c r="B231">
        <v>1971</v>
      </c>
      <c r="C231" s="3">
        <v>1971.4166666568501</v>
      </c>
      <c r="D231">
        <v>28.3</v>
      </c>
      <c r="E231" s="1">
        <v>26085</v>
      </c>
      <c r="F231" s="2">
        <f>STANDARDIZE(D231,H$15,I$15)</f>
        <v>-0.12577104993685509</v>
      </c>
      <c r="U231" s="1"/>
    </row>
    <row r="232" spans="1:21" x14ac:dyDescent="0.3">
      <c r="A232" t="s">
        <v>5</v>
      </c>
      <c r="B232">
        <v>1971</v>
      </c>
      <c r="C232" s="3">
        <v>1971.49999999021</v>
      </c>
      <c r="D232">
        <v>28</v>
      </c>
      <c r="E232" s="1">
        <v>26115</v>
      </c>
      <c r="F232" s="2">
        <f>STANDARDIZE(D232,H$16,I$16)</f>
        <v>-0.56839881276339066</v>
      </c>
      <c r="U232" s="1"/>
    </row>
    <row r="233" spans="1:21" x14ac:dyDescent="0.3">
      <c r="A233" t="s">
        <v>4</v>
      </c>
      <c r="B233">
        <v>1971</v>
      </c>
      <c r="C233" s="3">
        <v>1971.5833333235701</v>
      </c>
      <c r="D233">
        <v>27.9</v>
      </c>
      <c r="E233" s="1">
        <v>26146</v>
      </c>
      <c r="F233" s="2">
        <f>STANDARDIZE(D233,H$17,I$17)</f>
        <v>-0.57463337465171993</v>
      </c>
      <c r="U233" s="1"/>
    </row>
    <row r="234" spans="1:21" x14ac:dyDescent="0.3">
      <c r="A234" t="s">
        <v>3</v>
      </c>
      <c r="B234">
        <v>1971</v>
      </c>
      <c r="C234" s="3">
        <v>1971.6666666569299</v>
      </c>
      <c r="D234">
        <v>28</v>
      </c>
      <c r="E234" s="1">
        <v>26177</v>
      </c>
      <c r="F234" s="2">
        <f>STANDARDIZE(D234,H$18,I$18)</f>
        <v>-0.48453685641225946</v>
      </c>
      <c r="U234" s="1"/>
    </row>
    <row r="235" spans="1:21" x14ac:dyDescent="0.3">
      <c r="A235" t="s">
        <v>2</v>
      </c>
      <c r="B235">
        <v>1971</v>
      </c>
      <c r="C235" s="3">
        <v>1971.74999999029</v>
      </c>
      <c r="D235">
        <v>27.8</v>
      </c>
      <c r="E235" s="1">
        <v>26207</v>
      </c>
      <c r="F235" s="2">
        <f>STANDARDIZE(D235,H$19,I$19)</f>
        <v>-0.23271810752067018</v>
      </c>
      <c r="U235" s="1"/>
    </row>
    <row r="236" spans="1:21" x14ac:dyDescent="0.3">
      <c r="A236" t="s">
        <v>1</v>
      </c>
      <c r="B236">
        <v>1971</v>
      </c>
      <c r="C236" s="3">
        <v>1971.8333333236501</v>
      </c>
      <c r="D236">
        <v>27.4</v>
      </c>
      <c r="E236" s="1">
        <v>26238</v>
      </c>
      <c r="F236" s="2">
        <f>STANDARDIZE(D236,H$20,I$20)</f>
        <v>-0.76917512635256757</v>
      </c>
      <c r="U236" s="1"/>
    </row>
    <row r="237" spans="1:21" x14ac:dyDescent="0.3">
      <c r="A237" t="s">
        <v>0</v>
      </c>
      <c r="B237">
        <v>1971</v>
      </c>
      <c r="C237" s="3">
        <v>1971.91666665701</v>
      </c>
      <c r="D237">
        <v>27.2</v>
      </c>
      <c r="E237" s="1">
        <v>26268</v>
      </c>
      <c r="F237" s="2">
        <f>STANDARDIZE(D237,H$21,I$21)</f>
        <v>-0.33529991873390275</v>
      </c>
      <c r="U237" s="1"/>
    </row>
    <row r="238" spans="1:21" x14ac:dyDescent="0.3">
      <c r="A238" t="s">
        <v>11</v>
      </c>
      <c r="B238">
        <v>1972</v>
      </c>
      <c r="C238" s="3">
        <v>1971.99999999037</v>
      </c>
      <c r="D238">
        <v>26.5</v>
      </c>
      <c r="E238" s="1">
        <v>26299</v>
      </c>
      <c r="F238" s="2">
        <f>STANDARDIZE(D238,H$10,I$10)</f>
        <v>-0.82584707802961321</v>
      </c>
      <c r="U238" s="1"/>
    </row>
    <row r="239" spans="1:21" x14ac:dyDescent="0.3">
      <c r="A239" t="s">
        <v>10</v>
      </c>
      <c r="B239">
        <v>1972</v>
      </c>
      <c r="C239" s="3">
        <v>1972.0833333237299</v>
      </c>
      <c r="D239">
        <v>26</v>
      </c>
      <c r="E239" s="1">
        <v>26330</v>
      </c>
      <c r="F239" s="2">
        <f>STANDARDIZE(D239,H$11,I$11)</f>
        <v>-1.7563422604419459</v>
      </c>
      <c r="U239" s="1"/>
    </row>
    <row r="240" spans="1:21" x14ac:dyDescent="0.3">
      <c r="A240" t="s">
        <v>9</v>
      </c>
      <c r="B240">
        <v>1972</v>
      </c>
      <c r="C240" s="3">
        <v>1972.16666665709</v>
      </c>
      <c r="D240">
        <v>27</v>
      </c>
      <c r="E240" s="1">
        <v>26359</v>
      </c>
      <c r="F240" s="2">
        <f>STANDARDIZE(D240,H$12,I$12)</f>
        <v>-0.418378898900372</v>
      </c>
      <c r="U240" s="1"/>
    </row>
    <row r="241" spans="1:21" x14ac:dyDescent="0.3">
      <c r="A241" t="s">
        <v>8</v>
      </c>
      <c r="B241">
        <v>1972</v>
      </c>
      <c r="C241" s="3">
        <v>1972.2499999904501</v>
      </c>
      <c r="D241">
        <v>27.4</v>
      </c>
      <c r="E241" s="1">
        <v>26390</v>
      </c>
      <c r="F241" s="2">
        <f>STANDARDIZE(D241,H$13,I$13)</f>
        <v>-0.60125185288138894</v>
      </c>
      <c r="U241" s="1"/>
    </row>
    <row r="242" spans="1:21" x14ac:dyDescent="0.3">
      <c r="A242" t="s">
        <v>7</v>
      </c>
      <c r="B242">
        <v>1972</v>
      </c>
      <c r="C242" s="3">
        <v>1972.3333333238099</v>
      </c>
      <c r="D242">
        <v>27.7</v>
      </c>
      <c r="E242" s="1">
        <v>26420</v>
      </c>
      <c r="F242" s="2">
        <f>STANDARDIZE(D242,H$14,I$14)</f>
        <v>-1.2767133775542472</v>
      </c>
      <c r="U242" s="1"/>
    </row>
    <row r="243" spans="1:21" x14ac:dyDescent="0.3">
      <c r="A243" t="s">
        <v>6</v>
      </c>
      <c r="B243">
        <v>1972</v>
      </c>
      <c r="C243" s="3">
        <v>1972.41666665717</v>
      </c>
      <c r="D243">
        <v>29.2</v>
      </c>
      <c r="E243" s="1">
        <v>26451</v>
      </c>
      <c r="F243" s="2">
        <f>STANDARDIZE(D243,H$15,I$15)</f>
        <v>1.9966154177476636</v>
      </c>
      <c r="U243" s="1"/>
    </row>
    <row r="244" spans="1:21" x14ac:dyDescent="0.3">
      <c r="A244" t="s">
        <v>5</v>
      </c>
      <c r="B244">
        <v>1972</v>
      </c>
      <c r="C244" s="3">
        <v>1972.4999999905299</v>
      </c>
      <c r="D244">
        <v>29.2</v>
      </c>
      <c r="E244" s="1">
        <v>26481</v>
      </c>
      <c r="F244" s="2">
        <f>STANDARDIZE(D244,H$16,I$16)</f>
        <v>2.6540196532968392</v>
      </c>
      <c r="U244" s="1"/>
    </row>
    <row r="245" spans="1:21" x14ac:dyDescent="0.3">
      <c r="A245" t="s">
        <v>4</v>
      </c>
      <c r="B245">
        <v>1972</v>
      </c>
      <c r="C245" s="3">
        <v>1972.58333332389</v>
      </c>
      <c r="D245">
        <v>29.5</v>
      </c>
      <c r="E245" s="1">
        <v>26512</v>
      </c>
      <c r="F245" s="2">
        <f>STANDARDIZE(D245,H$17,I$17)</f>
        <v>2.7686880778674845</v>
      </c>
      <c r="U245" s="1"/>
    </row>
    <row r="246" spans="1:21" x14ac:dyDescent="0.3">
      <c r="A246" t="s">
        <v>3</v>
      </c>
      <c r="B246">
        <v>1972</v>
      </c>
      <c r="C246" s="3">
        <v>1972.6666666572501</v>
      </c>
      <c r="D246">
        <v>29.8</v>
      </c>
      <c r="E246" s="1">
        <v>26543</v>
      </c>
      <c r="F246" s="2">
        <f>STANDARDIZE(D246,H$18,I$18)</f>
        <v>3.5720507786671933</v>
      </c>
      <c r="U246" s="1"/>
    </row>
    <row r="247" spans="1:21" x14ac:dyDescent="0.3">
      <c r="A247" t="s">
        <v>2</v>
      </c>
      <c r="B247">
        <v>1972</v>
      </c>
      <c r="C247" s="3">
        <v>1972.7499999906099</v>
      </c>
      <c r="D247">
        <v>29.7</v>
      </c>
      <c r="E247" s="1">
        <v>26573</v>
      </c>
      <c r="F247" s="2">
        <f>STANDARDIZE(D247,H$19,I$19)</f>
        <v>3.7199636883985172</v>
      </c>
      <c r="U247" s="1"/>
    </row>
    <row r="248" spans="1:21" x14ac:dyDescent="0.3">
      <c r="A248" t="s">
        <v>1</v>
      </c>
      <c r="B248">
        <v>1972</v>
      </c>
      <c r="C248" s="3">
        <v>1972.83333332397</v>
      </c>
      <c r="D248">
        <v>29.5</v>
      </c>
      <c r="E248" s="1">
        <v>26604</v>
      </c>
      <c r="F248" s="2">
        <f>STANDARDIZE(D248,H$20,I$20)</f>
        <v>2.9681110758075562</v>
      </c>
      <c r="U248" s="1"/>
    </row>
    <row r="249" spans="1:21" x14ac:dyDescent="0.3">
      <c r="A249" t="s">
        <v>0</v>
      </c>
      <c r="B249">
        <v>1972</v>
      </c>
      <c r="C249" s="3">
        <v>1972.9166666573301</v>
      </c>
      <c r="D249">
        <v>29.5</v>
      </c>
      <c r="E249" s="1">
        <v>26634</v>
      </c>
      <c r="F249" s="2">
        <f>STANDARDIZE(D249,H$21,I$21)</f>
        <v>3.5206491467059253</v>
      </c>
      <c r="U249" s="1"/>
    </row>
    <row r="250" spans="1:21" x14ac:dyDescent="0.3">
      <c r="A250" t="s">
        <v>11</v>
      </c>
      <c r="B250">
        <v>1973</v>
      </c>
      <c r="C250" s="3">
        <v>1972.99999999069</v>
      </c>
      <c r="D250">
        <v>28.9</v>
      </c>
      <c r="E250" s="1">
        <v>26665</v>
      </c>
      <c r="F250" s="2">
        <f>STANDARDIZE(D250,H$10,I$10)</f>
        <v>3.3655488448733166</v>
      </c>
      <c r="U250" s="1"/>
    </row>
    <row r="251" spans="1:21" x14ac:dyDescent="0.3">
      <c r="A251" t="s">
        <v>10</v>
      </c>
      <c r="B251">
        <v>1973</v>
      </c>
      <c r="C251" s="3">
        <v>1973.08333332405</v>
      </c>
      <c r="D251">
        <v>27.4</v>
      </c>
      <c r="E251" s="1">
        <v>26696</v>
      </c>
      <c r="F251" s="2">
        <f>STANDARDIZE(D251,H$11,I$11)</f>
        <v>0.97069563007785931</v>
      </c>
      <c r="U251" s="1"/>
    </row>
    <row r="252" spans="1:21" x14ac:dyDescent="0.3">
      <c r="A252" t="s">
        <v>9</v>
      </c>
      <c r="B252">
        <v>1973</v>
      </c>
      <c r="C252" s="3">
        <v>1973.1666666574099</v>
      </c>
      <c r="D252">
        <v>28.4</v>
      </c>
      <c r="E252" s="1">
        <v>26724</v>
      </c>
      <c r="F252" s="2">
        <f>STANDARDIZE(D252,H$12,I$12)</f>
        <v>2.0565385312143754</v>
      </c>
      <c r="U252" s="1"/>
    </row>
    <row r="253" spans="1:21" x14ac:dyDescent="0.3">
      <c r="A253" t="s">
        <v>8</v>
      </c>
      <c r="B253">
        <v>1973</v>
      </c>
      <c r="C253" s="3">
        <v>1973.24999999077</v>
      </c>
      <c r="D253">
        <v>27.6</v>
      </c>
      <c r="E253" s="1">
        <v>26755</v>
      </c>
      <c r="F253" s="2">
        <f>STANDARDIZE(D253,H$13,I$13)</f>
        <v>-0.17932072805234356</v>
      </c>
      <c r="U253" s="1"/>
    </row>
    <row r="254" spans="1:21" x14ac:dyDescent="0.3">
      <c r="A254" t="s">
        <v>7</v>
      </c>
      <c r="B254">
        <v>1973</v>
      </c>
      <c r="C254" s="3">
        <v>1973.3333333241301</v>
      </c>
      <c r="D254">
        <v>27.8</v>
      </c>
      <c r="E254" s="1">
        <v>26785</v>
      </c>
      <c r="F254" s="2">
        <f>STANDARDIZE(D254,H$14,I$14)</f>
        <v>-1.0098046575080624</v>
      </c>
      <c r="U254" s="1"/>
    </row>
    <row r="255" spans="1:21" x14ac:dyDescent="0.3">
      <c r="A255" t="s">
        <v>6</v>
      </c>
      <c r="B255">
        <v>1973</v>
      </c>
      <c r="C255" s="3">
        <v>1973.4166666574899</v>
      </c>
      <c r="D255">
        <v>28</v>
      </c>
      <c r="E255" s="1">
        <v>26816</v>
      </c>
      <c r="F255" s="2">
        <f>STANDARDIZE(D255,H$15,I$15)</f>
        <v>-0.83323320583169747</v>
      </c>
      <c r="U255" s="1"/>
    </row>
    <row r="256" spans="1:21" x14ac:dyDescent="0.3">
      <c r="A256" t="s">
        <v>5</v>
      </c>
      <c r="B256">
        <v>1973</v>
      </c>
      <c r="C256" s="3">
        <v>1973.49999999085</v>
      </c>
      <c r="D256">
        <v>27.8</v>
      </c>
      <c r="E256" s="1">
        <v>26846</v>
      </c>
      <c r="F256" s="2">
        <f>STANDARDIZE(D256,H$16,I$16)</f>
        <v>-1.1054685571067606</v>
      </c>
      <c r="U256" s="1"/>
    </row>
    <row r="257" spans="1:21" x14ac:dyDescent="0.3">
      <c r="A257" t="s">
        <v>4</v>
      </c>
      <c r="B257">
        <v>1973</v>
      </c>
      <c r="C257" s="3">
        <v>1973.5833333242099</v>
      </c>
      <c r="D257">
        <v>27.9</v>
      </c>
      <c r="E257" s="1">
        <v>26877</v>
      </c>
      <c r="F257" s="2">
        <f>STANDARDIZE(D257,H$17,I$17)</f>
        <v>-0.57463337465171993</v>
      </c>
      <c r="U257" s="1"/>
    </row>
    <row r="258" spans="1:21" x14ac:dyDescent="0.3">
      <c r="A258" t="s">
        <v>3</v>
      </c>
      <c r="B258">
        <v>1973</v>
      </c>
      <c r="C258" s="3">
        <v>1973.66666665757</v>
      </c>
      <c r="D258">
        <v>28.1</v>
      </c>
      <c r="E258" s="1">
        <v>26908</v>
      </c>
      <c r="F258" s="2">
        <f>STANDARDIZE(D258,H$18,I$18)</f>
        <v>-0.25917087668562011</v>
      </c>
      <c r="U258" s="1"/>
    </row>
    <row r="259" spans="1:21" x14ac:dyDescent="0.3">
      <c r="A259" t="s">
        <v>2</v>
      </c>
      <c r="B259">
        <v>1973</v>
      </c>
      <c r="C259" s="3">
        <v>1973.7499999909301</v>
      </c>
      <c r="D259">
        <v>28</v>
      </c>
      <c r="E259" s="1">
        <v>26938</v>
      </c>
      <c r="F259" s="2">
        <f>STANDARDIZE(D259,H$19,I$19)</f>
        <v>0.18335366047082208</v>
      </c>
      <c r="U259" s="1"/>
    </row>
    <row r="260" spans="1:21" x14ac:dyDescent="0.3">
      <c r="A260" t="s">
        <v>1</v>
      </c>
      <c r="B260">
        <v>1973</v>
      </c>
      <c r="C260" s="3">
        <v>1973.8333333242899</v>
      </c>
      <c r="D260">
        <v>27.7</v>
      </c>
      <c r="E260" s="1">
        <v>26969</v>
      </c>
      <c r="F260" s="2">
        <f>STANDARDIZE(D260,H$20,I$20)</f>
        <v>-0.23527709747254905</v>
      </c>
      <c r="U260" s="1"/>
    </row>
    <row r="261" spans="1:21" x14ac:dyDescent="0.3">
      <c r="A261" t="s">
        <v>0</v>
      </c>
      <c r="B261">
        <v>1973</v>
      </c>
      <c r="C261" s="3">
        <v>1973.91666665765</v>
      </c>
      <c r="D261">
        <v>27.6</v>
      </c>
      <c r="E261" s="1">
        <v>26999</v>
      </c>
      <c r="F261" s="2">
        <f>STANDARDIZE(D261,H$21,I$21)</f>
        <v>0.33529991873389681</v>
      </c>
      <c r="U261" s="1"/>
    </row>
    <row r="262" spans="1:21" x14ac:dyDescent="0.3">
      <c r="A262" t="s">
        <v>11</v>
      </c>
      <c r="B262">
        <v>1974</v>
      </c>
      <c r="C262" s="3">
        <v>1973.9999999910101</v>
      </c>
      <c r="D262">
        <v>27</v>
      </c>
      <c r="E262" s="1">
        <v>27030</v>
      </c>
      <c r="F262" s="2">
        <f>STANDARDIZE(D262,H$10,I$10)</f>
        <v>4.7360405908497653E-2</v>
      </c>
      <c r="U262" s="1"/>
    </row>
    <row r="263" spans="1:21" x14ac:dyDescent="0.3">
      <c r="A263" t="s">
        <v>10</v>
      </c>
      <c r="B263">
        <v>1974</v>
      </c>
      <c r="C263" s="3">
        <v>1974.08333332437</v>
      </c>
      <c r="D263">
        <v>27</v>
      </c>
      <c r="E263" s="1">
        <v>27061</v>
      </c>
      <c r="F263" s="2">
        <f>STANDARDIZE(D263,H$11,I$11)</f>
        <v>0.19154194707220265</v>
      </c>
      <c r="U263" s="1"/>
    </row>
    <row r="264" spans="1:21" x14ac:dyDescent="0.3">
      <c r="A264" t="s">
        <v>9</v>
      </c>
      <c r="B264">
        <v>1974</v>
      </c>
      <c r="C264" s="3">
        <v>1974.16666665773</v>
      </c>
      <c r="D264">
        <v>27.7</v>
      </c>
      <c r="E264" s="1">
        <v>27089</v>
      </c>
      <c r="F264" s="2">
        <f>STANDARDIZE(D264,H$12,I$12)</f>
        <v>0.81907981615700165</v>
      </c>
      <c r="U264" s="1"/>
    </row>
    <row r="265" spans="1:21" x14ac:dyDescent="0.3">
      <c r="A265" t="s">
        <v>8</v>
      </c>
      <c r="B265">
        <v>1974</v>
      </c>
      <c r="C265" s="3">
        <v>1974.2499999910899</v>
      </c>
      <c r="D265">
        <v>27.7</v>
      </c>
      <c r="E265" s="1">
        <v>27120</v>
      </c>
      <c r="F265" s="2">
        <f>STANDARDIZE(D265,H$13,I$13)</f>
        <v>3.1644834362171657E-2</v>
      </c>
      <c r="U265" s="1"/>
    </row>
    <row r="266" spans="1:21" x14ac:dyDescent="0.3">
      <c r="A266" t="s">
        <v>7</v>
      </c>
      <c r="B266">
        <v>1974</v>
      </c>
      <c r="C266" s="3">
        <v>1974.33333332445</v>
      </c>
      <c r="D266">
        <v>28.6</v>
      </c>
      <c r="E266" s="1">
        <v>27150</v>
      </c>
      <c r="F266" s="2">
        <f>STANDARDIZE(D266,H$14,I$14)</f>
        <v>1.1254651028613878</v>
      </c>
      <c r="U266" s="1"/>
    </row>
    <row r="267" spans="1:21" x14ac:dyDescent="0.3">
      <c r="A267" t="s">
        <v>6</v>
      </c>
      <c r="B267">
        <v>1974</v>
      </c>
      <c r="C267" s="3">
        <v>1974.4166666578101</v>
      </c>
      <c r="D267">
        <v>28.1</v>
      </c>
      <c r="E267" s="1">
        <v>27181</v>
      </c>
      <c r="F267" s="2">
        <f>STANDARDIZE(D267,H$15,I$15)</f>
        <v>-0.59741248720008056</v>
      </c>
      <c r="U267" s="1"/>
    </row>
    <row r="268" spans="1:21" x14ac:dyDescent="0.3">
      <c r="A268" t="s">
        <v>5</v>
      </c>
      <c r="B268">
        <v>1974</v>
      </c>
      <c r="C268" s="3">
        <v>1974.4999999911699</v>
      </c>
      <c r="D268">
        <v>27.9</v>
      </c>
      <c r="E268" s="1">
        <v>27211</v>
      </c>
      <c r="F268" s="2">
        <f>STANDARDIZE(D268,H$16,I$16)</f>
        <v>-0.83693368493508047</v>
      </c>
      <c r="U268" s="1"/>
    </row>
    <row r="269" spans="1:21" x14ac:dyDescent="0.3">
      <c r="A269" t="s">
        <v>4</v>
      </c>
      <c r="B269">
        <v>1974</v>
      </c>
      <c r="C269" s="3">
        <v>1974.58333332453</v>
      </c>
      <c r="D269">
        <v>27.9</v>
      </c>
      <c r="E269" s="1">
        <v>27242</v>
      </c>
      <c r="F269" s="2">
        <f>STANDARDIZE(D269,H$17,I$17)</f>
        <v>-0.57463337465171993</v>
      </c>
      <c r="U269" s="1"/>
    </row>
    <row r="270" spans="1:21" x14ac:dyDescent="0.3">
      <c r="A270" t="s">
        <v>3</v>
      </c>
      <c r="B270">
        <v>1974</v>
      </c>
      <c r="C270" s="3">
        <v>1974.6666666578899</v>
      </c>
      <c r="D270">
        <v>28.1</v>
      </c>
      <c r="E270" s="1">
        <v>27273</v>
      </c>
      <c r="F270" s="2">
        <f>STANDARDIZE(D270,H$18,I$18)</f>
        <v>-0.25917087668562011</v>
      </c>
      <c r="U270" s="1"/>
    </row>
    <row r="271" spans="1:21" x14ac:dyDescent="0.3">
      <c r="A271" t="s">
        <v>2</v>
      </c>
      <c r="B271">
        <v>1974</v>
      </c>
      <c r="C271" s="3">
        <v>1974.74999999125</v>
      </c>
      <c r="D271">
        <v>28</v>
      </c>
      <c r="E271" s="1">
        <v>27303</v>
      </c>
      <c r="F271" s="2">
        <f>STANDARDIZE(D271,H$19,I$19)</f>
        <v>0.18335366047082208</v>
      </c>
      <c r="U271" s="1"/>
    </row>
    <row r="272" spans="1:21" x14ac:dyDescent="0.3">
      <c r="A272" t="s">
        <v>1</v>
      </c>
      <c r="B272">
        <v>1974</v>
      </c>
      <c r="C272" s="3">
        <v>1974.8333333246101</v>
      </c>
      <c r="D272">
        <v>27.7</v>
      </c>
      <c r="E272" s="1">
        <v>27334</v>
      </c>
      <c r="F272" s="2">
        <f>STANDARDIZE(D272,H$20,I$20)</f>
        <v>-0.23527709747254905</v>
      </c>
      <c r="U272" s="1"/>
    </row>
    <row r="273" spans="1:21" x14ac:dyDescent="0.3">
      <c r="A273" t="s">
        <v>0</v>
      </c>
      <c r="B273">
        <v>1974</v>
      </c>
      <c r="C273" s="3">
        <v>1974.9166666579699</v>
      </c>
      <c r="D273">
        <v>27.7</v>
      </c>
      <c r="E273" s="1">
        <v>27364</v>
      </c>
      <c r="F273" s="2">
        <f>STANDARDIZE(D273,H$21,I$21)</f>
        <v>0.50294987810084224</v>
      </c>
      <c r="U273" s="1"/>
    </row>
    <row r="274" spans="1:21" x14ac:dyDescent="0.3">
      <c r="A274" t="s">
        <v>11</v>
      </c>
      <c r="B274">
        <v>1975</v>
      </c>
      <c r="C274" s="3">
        <v>1974.99999999133</v>
      </c>
      <c r="D274">
        <v>26.9</v>
      </c>
      <c r="E274" s="1">
        <v>27395</v>
      </c>
      <c r="F274" s="2">
        <f>STANDARDIZE(D274,H$10,I$10)</f>
        <v>-0.12728109087912701</v>
      </c>
      <c r="U274" s="1"/>
    </row>
    <row r="275" spans="1:21" x14ac:dyDescent="0.3">
      <c r="A275" t="s">
        <v>10</v>
      </c>
      <c r="B275">
        <v>1975</v>
      </c>
      <c r="C275" s="3">
        <v>1975.0833333246901</v>
      </c>
      <c r="D275">
        <v>26.5</v>
      </c>
      <c r="E275" s="1">
        <v>27426</v>
      </c>
      <c r="F275" s="2">
        <f>STANDARDIZE(D275,H$11,I$11)</f>
        <v>-0.78240015668487162</v>
      </c>
      <c r="U275" s="1"/>
    </row>
    <row r="276" spans="1:21" x14ac:dyDescent="0.3">
      <c r="A276" t="s">
        <v>9</v>
      </c>
      <c r="B276">
        <v>1975</v>
      </c>
      <c r="C276" s="3">
        <v>1975.16666665805</v>
      </c>
      <c r="D276">
        <v>26.6</v>
      </c>
      <c r="E276" s="1">
        <v>27454</v>
      </c>
      <c r="F276" s="2">
        <f>STANDARDIZE(D276,H$12,I$12)</f>
        <v>-1.1254981646474409</v>
      </c>
      <c r="U276" s="1"/>
    </row>
    <row r="277" spans="1:21" x14ac:dyDescent="0.3">
      <c r="A277" t="s">
        <v>8</v>
      </c>
      <c r="B277">
        <v>1975</v>
      </c>
      <c r="C277" s="3">
        <v>1975.24999999141</v>
      </c>
      <c r="D277">
        <v>27.1</v>
      </c>
      <c r="E277" s="1">
        <v>27485</v>
      </c>
      <c r="F277" s="2">
        <f>STANDARDIZE(D277,H$13,I$13)</f>
        <v>-1.2341485401249421</v>
      </c>
      <c r="U277" s="1"/>
    </row>
    <row r="278" spans="1:21" x14ac:dyDescent="0.3">
      <c r="A278" t="s">
        <v>7</v>
      </c>
      <c r="B278">
        <v>1975</v>
      </c>
      <c r="C278" s="3">
        <v>1975.3333333247699</v>
      </c>
      <c r="D278">
        <v>27.8</v>
      </c>
      <c r="E278" s="1">
        <v>27515</v>
      </c>
      <c r="F278" s="2">
        <f>STANDARDIZE(D278,H$14,I$14)</f>
        <v>-1.0098046575080624</v>
      </c>
      <c r="U278" s="1"/>
    </row>
    <row r="279" spans="1:21" x14ac:dyDescent="0.3">
      <c r="A279" t="s">
        <v>6</v>
      </c>
      <c r="B279">
        <v>1975</v>
      </c>
      <c r="C279" s="3">
        <v>1975.41666665813</v>
      </c>
      <c r="D279">
        <v>27.6</v>
      </c>
      <c r="E279" s="1">
        <v>27546</v>
      </c>
      <c r="F279" s="2">
        <f>STANDARDIZE(D279,H$15,I$15)</f>
        <v>-1.7765160803581483</v>
      </c>
      <c r="U279" s="1"/>
    </row>
    <row r="280" spans="1:21" x14ac:dyDescent="0.3">
      <c r="A280" t="s">
        <v>5</v>
      </c>
      <c r="B280">
        <v>1975</v>
      </c>
      <c r="C280" s="3">
        <v>1975.4999999914901</v>
      </c>
      <c r="D280">
        <v>27.4</v>
      </c>
      <c r="E280" s="1">
        <v>27576</v>
      </c>
      <c r="F280" s="2">
        <f>STANDARDIZE(D280,H$16,I$16)</f>
        <v>-2.1796080457935103</v>
      </c>
      <c r="U280" s="1"/>
    </row>
    <row r="281" spans="1:21" x14ac:dyDescent="0.3">
      <c r="A281" t="s">
        <v>4</v>
      </c>
      <c r="B281">
        <v>1975</v>
      </c>
      <c r="C281" s="3">
        <v>1975.5833333248499</v>
      </c>
      <c r="D281">
        <v>27.2</v>
      </c>
      <c r="E281" s="1">
        <v>27607</v>
      </c>
      <c r="F281" s="2">
        <f>STANDARDIZE(D281,H$17,I$17)</f>
        <v>-2.0373365101288692</v>
      </c>
      <c r="U281" s="1"/>
    </row>
    <row r="282" spans="1:21" x14ac:dyDescent="0.3">
      <c r="A282" t="s">
        <v>3</v>
      </c>
      <c r="B282">
        <v>1975</v>
      </c>
      <c r="C282" s="3">
        <v>1975.66666665821</v>
      </c>
      <c r="D282">
        <v>27.5</v>
      </c>
      <c r="E282" s="1">
        <v>27638</v>
      </c>
      <c r="F282" s="2">
        <f>STANDARDIZE(D282,H$18,I$18)</f>
        <v>-1.6113667550454405</v>
      </c>
      <c r="U282" s="1"/>
    </row>
    <row r="283" spans="1:21" x14ac:dyDescent="0.3">
      <c r="A283" t="s">
        <v>2</v>
      </c>
      <c r="B283">
        <v>1975</v>
      </c>
      <c r="C283" s="3">
        <v>1975.7499999915699</v>
      </c>
      <c r="D283">
        <v>26.7</v>
      </c>
      <c r="E283" s="1">
        <v>27668</v>
      </c>
      <c r="F283" s="2">
        <f>STANDARDIZE(D283,H$19,I$19)</f>
        <v>-2.5211128314738884</v>
      </c>
      <c r="U283" s="1"/>
    </row>
    <row r="284" spans="1:21" x14ac:dyDescent="0.3">
      <c r="A284" t="s">
        <v>1</v>
      </c>
      <c r="B284">
        <v>1975</v>
      </c>
      <c r="C284" s="3">
        <v>1975.83333332493</v>
      </c>
      <c r="D284">
        <v>27.1</v>
      </c>
      <c r="E284" s="1">
        <v>27699</v>
      </c>
      <c r="F284" s="2">
        <f>STANDARDIZE(D284,H$20,I$20)</f>
        <v>-1.3030731552325798</v>
      </c>
      <c r="U284" s="1"/>
    </row>
    <row r="285" spans="1:21" x14ac:dyDescent="0.3">
      <c r="A285" t="s">
        <v>0</v>
      </c>
      <c r="B285">
        <v>1975</v>
      </c>
      <c r="C285" s="3">
        <v>1975.9166666582901</v>
      </c>
      <c r="D285">
        <v>26.3</v>
      </c>
      <c r="E285" s="1">
        <v>27729</v>
      </c>
      <c r="F285" s="2">
        <f>STANDARDIZE(D285,H$21,I$21)</f>
        <v>-1.8441495530364413</v>
      </c>
      <c r="U285" s="1"/>
    </row>
    <row r="286" spans="1:21" x14ac:dyDescent="0.3">
      <c r="A286" t="s">
        <v>11</v>
      </c>
      <c r="B286">
        <v>1976</v>
      </c>
      <c r="C286" s="3">
        <v>1975.9999999916499</v>
      </c>
      <c r="D286">
        <v>26.1</v>
      </c>
      <c r="E286" s="1">
        <v>27760</v>
      </c>
      <c r="F286" s="2">
        <f>STANDARDIZE(D286,H$10,I$10)</f>
        <v>-1.5244130651800996</v>
      </c>
      <c r="U286" s="1"/>
    </row>
    <row r="287" spans="1:21" x14ac:dyDescent="0.3">
      <c r="A287" t="s">
        <v>10</v>
      </c>
      <c r="B287">
        <v>1976</v>
      </c>
      <c r="C287" s="3">
        <v>1976.08333332501</v>
      </c>
      <c r="D287">
        <v>25.6</v>
      </c>
      <c r="E287" s="1">
        <v>27791</v>
      </c>
      <c r="F287" s="2">
        <f>STANDARDIZE(D287,H$11,I$11)</f>
        <v>-2.5354959434476028</v>
      </c>
      <c r="U287" s="1"/>
    </row>
    <row r="288" spans="1:21" x14ac:dyDescent="0.3">
      <c r="A288" t="s">
        <v>9</v>
      </c>
      <c r="B288">
        <v>1976</v>
      </c>
      <c r="C288" s="3">
        <v>1976.1666666583701</v>
      </c>
      <c r="D288">
        <v>26.2</v>
      </c>
      <c r="E288" s="1">
        <v>27820</v>
      </c>
      <c r="F288" s="2">
        <f>STANDARDIZE(D288,H$12,I$12)</f>
        <v>-1.832617430394516</v>
      </c>
      <c r="U288" s="1"/>
    </row>
    <row r="289" spans="1:21" x14ac:dyDescent="0.3">
      <c r="A289" t="s">
        <v>8</v>
      </c>
      <c r="B289">
        <v>1976</v>
      </c>
      <c r="C289" s="3">
        <v>1976.24999999173</v>
      </c>
      <c r="D289">
        <v>26.6</v>
      </c>
      <c r="E289" s="1">
        <v>27851</v>
      </c>
      <c r="F289" s="2">
        <f>STANDARDIZE(D289,H$13,I$13)</f>
        <v>-2.2889763521975408</v>
      </c>
      <c r="U289" s="1"/>
    </row>
    <row r="290" spans="1:21" x14ac:dyDescent="0.3">
      <c r="A290" t="s">
        <v>7</v>
      </c>
      <c r="B290">
        <v>1976</v>
      </c>
      <c r="C290" s="3">
        <v>1976.3333333250901</v>
      </c>
      <c r="D290">
        <v>27.8</v>
      </c>
      <c r="E290" s="1">
        <v>27881</v>
      </c>
      <c r="F290" s="2">
        <f>STANDARDIZE(D290,H$14,I$14)</f>
        <v>-1.0098046575080624</v>
      </c>
      <c r="U290" s="1"/>
    </row>
    <row r="291" spans="1:21" x14ac:dyDescent="0.3">
      <c r="A291" t="s">
        <v>6</v>
      </c>
      <c r="B291">
        <v>1976</v>
      </c>
      <c r="C291" s="3">
        <v>1976.4166666584499</v>
      </c>
      <c r="D291">
        <v>27.4</v>
      </c>
      <c r="E291" s="1">
        <v>27912</v>
      </c>
      <c r="F291" s="2">
        <f>STANDARDIZE(D291,H$15,I$15)</f>
        <v>-2.2481575176213822</v>
      </c>
      <c r="U291" s="1"/>
    </row>
    <row r="292" spans="1:21" x14ac:dyDescent="0.3">
      <c r="A292" t="s">
        <v>5</v>
      </c>
      <c r="B292">
        <v>1976</v>
      </c>
      <c r="C292" s="3">
        <v>1976.49999999181</v>
      </c>
      <c r="D292">
        <v>27.6</v>
      </c>
      <c r="E292" s="1">
        <v>27942</v>
      </c>
      <c r="F292" s="2">
        <f>STANDARDIZE(D292,H$16,I$16)</f>
        <v>-1.6425383014501307</v>
      </c>
      <c r="U292" s="1"/>
    </row>
    <row r="293" spans="1:21" x14ac:dyDescent="0.3">
      <c r="A293" t="s">
        <v>4</v>
      </c>
      <c r="B293">
        <v>1976</v>
      </c>
      <c r="C293" s="3">
        <v>1976.5833333251701</v>
      </c>
      <c r="D293">
        <v>27.9</v>
      </c>
      <c r="E293" s="1">
        <v>27973</v>
      </c>
      <c r="F293" s="2">
        <f>STANDARDIZE(D293,H$17,I$17)</f>
        <v>-0.57463337465171993</v>
      </c>
      <c r="U293" s="1"/>
    </row>
    <row r="294" spans="1:21" x14ac:dyDescent="0.3">
      <c r="A294" t="s">
        <v>3</v>
      </c>
      <c r="B294">
        <v>1976</v>
      </c>
      <c r="C294" s="3">
        <v>1976.6666666585299</v>
      </c>
      <c r="D294">
        <v>28</v>
      </c>
      <c r="E294" s="1">
        <v>28004</v>
      </c>
      <c r="F294" s="2">
        <f>STANDARDIZE(D294,H$18,I$18)</f>
        <v>-0.48453685641225946</v>
      </c>
      <c r="U294" s="1"/>
    </row>
    <row r="295" spans="1:21" x14ac:dyDescent="0.3">
      <c r="A295" t="s">
        <v>2</v>
      </c>
      <c r="B295">
        <v>1976</v>
      </c>
      <c r="C295" s="3">
        <v>1976.74999999189</v>
      </c>
      <c r="D295">
        <v>27.8</v>
      </c>
      <c r="E295" s="1">
        <v>28034</v>
      </c>
      <c r="F295" s="2">
        <f>STANDARDIZE(D295,H$19,I$19)</f>
        <v>-0.23271810752067018</v>
      </c>
      <c r="U295" s="1"/>
    </row>
    <row r="296" spans="1:21" x14ac:dyDescent="0.3">
      <c r="A296" t="s">
        <v>1</v>
      </c>
      <c r="B296">
        <v>1976</v>
      </c>
      <c r="C296" s="3">
        <v>1976.8333333252499</v>
      </c>
      <c r="D296">
        <v>28.5</v>
      </c>
      <c r="E296" s="1">
        <v>28065</v>
      </c>
      <c r="F296" s="2">
        <f>STANDARDIZE(D296,H$20,I$20)</f>
        <v>1.1884509795408318</v>
      </c>
      <c r="U296" s="1"/>
    </row>
    <row r="297" spans="1:21" x14ac:dyDescent="0.3">
      <c r="A297" t="s">
        <v>0</v>
      </c>
      <c r="B297">
        <v>1976</v>
      </c>
      <c r="C297" s="3">
        <v>1976.91666665861</v>
      </c>
      <c r="D297">
        <v>27.2</v>
      </c>
      <c r="E297" s="1">
        <v>28095</v>
      </c>
      <c r="F297" s="2">
        <f>STANDARDIZE(D297,H$21,I$21)</f>
        <v>-0.33529991873390275</v>
      </c>
      <c r="U297" s="1"/>
    </row>
    <row r="298" spans="1:21" x14ac:dyDescent="0.3">
      <c r="A298" t="s">
        <v>11</v>
      </c>
      <c r="B298">
        <v>1977</v>
      </c>
      <c r="C298" s="3">
        <v>1976.9999999919701</v>
      </c>
      <c r="D298">
        <v>26.8</v>
      </c>
      <c r="E298" s="1">
        <v>28126</v>
      </c>
      <c r="F298" s="2">
        <f>STANDARDIZE(D298,H$10,I$10)</f>
        <v>-0.30192258766674546</v>
      </c>
      <c r="U298" s="1"/>
    </row>
    <row r="299" spans="1:21" x14ac:dyDescent="0.3">
      <c r="A299" t="s">
        <v>10</v>
      </c>
      <c r="B299">
        <v>1977</v>
      </c>
      <c r="C299" s="3">
        <v>1977.0833333253299</v>
      </c>
      <c r="D299">
        <v>26.6</v>
      </c>
      <c r="E299" s="1">
        <v>28157</v>
      </c>
      <c r="F299" s="2">
        <f>STANDARDIZE(D299,H$11,I$11)</f>
        <v>-0.58761173593345406</v>
      </c>
      <c r="U299" s="1"/>
    </row>
    <row r="300" spans="1:21" x14ac:dyDescent="0.3">
      <c r="A300" t="s">
        <v>9</v>
      </c>
      <c r="B300">
        <v>1977</v>
      </c>
      <c r="C300" s="3">
        <v>1977.16666665869</v>
      </c>
      <c r="D300">
        <v>26.6</v>
      </c>
      <c r="E300" s="1">
        <v>28185</v>
      </c>
      <c r="F300" s="2">
        <f>STANDARDIZE(D300,H$12,I$12)</f>
        <v>-1.1254981646474409</v>
      </c>
      <c r="U300" s="1"/>
    </row>
    <row r="301" spans="1:21" x14ac:dyDescent="0.3">
      <c r="A301" t="s">
        <v>8</v>
      </c>
      <c r="B301">
        <v>1977</v>
      </c>
      <c r="C301" s="3">
        <v>1977.2499999920501</v>
      </c>
      <c r="D301">
        <v>27.1</v>
      </c>
      <c r="E301" s="1">
        <v>28216</v>
      </c>
      <c r="F301" s="2">
        <f>STANDARDIZE(D301,H$13,I$13)</f>
        <v>-1.2341485401249421</v>
      </c>
      <c r="U301" s="1"/>
    </row>
    <row r="302" spans="1:21" x14ac:dyDescent="0.3">
      <c r="A302" t="s">
        <v>7</v>
      </c>
      <c r="B302">
        <v>1977</v>
      </c>
      <c r="C302" s="3">
        <v>1977.33333332541</v>
      </c>
      <c r="D302">
        <v>27.7</v>
      </c>
      <c r="E302" s="1">
        <v>28246</v>
      </c>
      <c r="F302" s="2">
        <f>STANDARDIZE(D302,H$14,I$14)</f>
        <v>-1.2767133775542472</v>
      </c>
      <c r="U302" s="1"/>
    </row>
    <row r="303" spans="1:21" x14ac:dyDescent="0.3">
      <c r="A303" t="s">
        <v>6</v>
      </c>
      <c r="B303">
        <v>1977</v>
      </c>
      <c r="C303" s="3">
        <v>1977.4166666587701</v>
      </c>
      <c r="D303">
        <v>28.2</v>
      </c>
      <c r="E303" s="1">
        <v>28277</v>
      </c>
      <c r="F303" s="2">
        <f>STANDARDIZE(D303,H$15,I$15)</f>
        <v>-0.36159176856847203</v>
      </c>
      <c r="U303" s="1"/>
    </row>
    <row r="304" spans="1:21" x14ac:dyDescent="0.3">
      <c r="A304" t="s">
        <v>5</v>
      </c>
      <c r="B304">
        <v>1977</v>
      </c>
      <c r="C304" s="3">
        <v>1977.4999999921299</v>
      </c>
      <c r="D304">
        <v>27.8</v>
      </c>
      <c r="E304" s="1">
        <v>28307</v>
      </c>
      <c r="F304" s="2">
        <f>STANDARDIZE(D304,H$16,I$16)</f>
        <v>-1.1054685571067606</v>
      </c>
      <c r="U304" s="1"/>
    </row>
    <row r="305" spans="1:21" x14ac:dyDescent="0.3">
      <c r="A305" t="s">
        <v>4</v>
      </c>
      <c r="B305">
        <v>1977</v>
      </c>
      <c r="C305" s="3">
        <v>1977.58333332549</v>
      </c>
      <c r="D305">
        <v>27.9</v>
      </c>
      <c r="E305" s="1">
        <v>28338</v>
      </c>
      <c r="F305" s="2">
        <f>STANDARDIZE(D305,H$17,I$17)</f>
        <v>-0.57463337465171993</v>
      </c>
      <c r="U305" s="1"/>
    </row>
    <row r="306" spans="1:21" x14ac:dyDescent="0.3">
      <c r="A306" t="s">
        <v>3</v>
      </c>
      <c r="B306">
        <v>1977</v>
      </c>
      <c r="C306" s="3">
        <v>1977.6666666588501</v>
      </c>
      <c r="D306">
        <v>28.8</v>
      </c>
      <c r="E306" s="1">
        <v>28369</v>
      </c>
      <c r="F306" s="2">
        <f>STANDARDIZE(D306,H$18,I$18)</f>
        <v>1.3183909814008317</v>
      </c>
      <c r="U306" s="1"/>
    </row>
    <row r="307" spans="1:21" x14ac:dyDescent="0.3">
      <c r="A307" t="s">
        <v>2</v>
      </c>
      <c r="B307">
        <v>1977</v>
      </c>
      <c r="C307" s="3">
        <v>1977.74999999221</v>
      </c>
      <c r="D307">
        <v>28.4</v>
      </c>
      <c r="E307" s="1">
        <v>28399</v>
      </c>
      <c r="F307" s="2">
        <f>STANDARDIZE(D307,H$19,I$19)</f>
        <v>1.0154971964538066</v>
      </c>
      <c r="U307" s="1"/>
    </row>
    <row r="308" spans="1:21" x14ac:dyDescent="0.3">
      <c r="A308" t="s">
        <v>1</v>
      </c>
      <c r="B308">
        <v>1977</v>
      </c>
      <c r="C308" s="3">
        <v>1977.83333332557</v>
      </c>
      <c r="D308">
        <v>28.4</v>
      </c>
      <c r="E308" s="1">
        <v>28430</v>
      </c>
      <c r="F308" s="2">
        <f>STANDARDIZE(D308,H$20,I$20)</f>
        <v>1.0104849699141567</v>
      </c>
      <c r="U308" s="1"/>
    </row>
    <row r="309" spans="1:21" x14ac:dyDescent="0.3">
      <c r="A309" t="s">
        <v>0</v>
      </c>
      <c r="B309">
        <v>1977</v>
      </c>
      <c r="C309" s="3">
        <v>1977.9166666589297</v>
      </c>
      <c r="D309">
        <v>28</v>
      </c>
      <c r="E309" s="1">
        <v>28460</v>
      </c>
      <c r="F309" s="2">
        <f>STANDARDIZE(D309,H$21,I$21)</f>
        <v>1.0058997562016905</v>
      </c>
      <c r="U309" s="1"/>
    </row>
    <row r="310" spans="1:21" x14ac:dyDescent="0.3">
      <c r="A310" t="s">
        <v>11</v>
      </c>
      <c r="B310">
        <v>1978</v>
      </c>
      <c r="C310" s="3">
        <v>1977.99999999229</v>
      </c>
      <c r="D310">
        <v>27.5</v>
      </c>
      <c r="E310" s="1">
        <v>28491</v>
      </c>
      <c r="F310" s="2">
        <f>STANDARDIZE(D310,H$10,I$10)</f>
        <v>0.92056788984660853</v>
      </c>
      <c r="U310" s="1"/>
    </row>
    <row r="311" spans="1:21" x14ac:dyDescent="0.3">
      <c r="A311" t="s">
        <v>10</v>
      </c>
      <c r="B311">
        <v>1978</v>
      </c>
      <c r="C311" s="3">
        <v>1978.0833333256503</v>
      </c>
      <c r="D311">
        <v>27.3</v>
      </c>
      <c r="E311" s="1">
        <v>28522</v>
      </c>
      <c r="F311" s="2">
        <f>STANDARDIZE(D311,H$11,I$11)</f>
        <v>0.77590720932644863</v>
      </c>
      <c r="U311" s="1"/>
    </row>
    <row r="312" spans="1:21" x14ac:dyDescent="0.3">
      <c r="A312" t="s">
        <v>9</v>
      </c>
      <c r="B312">
        <v>1978</v>
      </c>
      <c r="C312" s="3">
        <v>1978.1666666590106</v>
      </c>
      <c r="D312">
        <v>27.7</v>
      </c>
      <c r="E312" s="1">
        <v>28550</v>
      </c>
      <c r="F312" s="2">
        <f>STANDARDIZE(D312,H$12,I$12)</f>
        <v>0.81907981615700165</v>
      </c>
      <c r="U312" s="1"/>
    </row>
    <row r="313" spans="1:21" x14ac:dyDescent="0.3">
      <c r="A313" t="s">
        <v>8</v>
      </c>
      <c r="B313">
        <v>1978</v>
      </c>
      <c r="C313" s="3">
        <v>1978.2499999923707</v>
      </c>
      <c r="D313">
        <v>28</v>
      </c>
      <c r="E313" s="1">
        <v>28581</v>
      </c>
      <c r="F313" s="2">
        <f>STANDARDIZE(D313,H$13,I$13)</f>
        <v>0.66454152160573232</v>
      </c>
      <c r="U313" s="1"/>
    </row>
    <row r="314" spans="1:21" x14ac:dyDescent="0.3">
      <c r="A314" t="s">
        <v>7</v>
      </c>
      <c r="B314">
        <v>1978</v>
      </c>
      <c r="C314" s="3">
        <v>1978.333333325731</v>
      </c>
      <c r="D314">
        <v>28.5</v>
      </c>
      <c r="E314" s="1">
        <v>28611</v>
      </c>
      <c r="F314" s="2">
        <f>STANDARDIZE(D314,H$14,I$14)</f>
        <v>0.85855638281520286</v>
      </c>
      <c r="U314" s="1"/>
    </row>
    <row r="315" spans="1:21" x14ac:dyDescent="0.3">
      <c r="A315" t="s">
        <v>6</v>
      </c>
      <c r="B315">
        <v>1978</v>
      </c>
      <c r="C315" s="3">
        <v>1978.4166666590913</v>
      </c>
      <c r="D315">
        <v>28.5</v>
      </c>
      <c r="E315" s="1">
        <v>28642</v>
      </c>
      <c r="F315" s="2">
        <f>STANDARDIZE(D315,H$15,I$15)</f>
        <v>0.34587038732637038</v>
      </c>
      <c r="U315" s="1"/>
    </row>
    <row r="316" spans="1:21" x14ac:dyDescent="0.3">
      <c r="A316" t="s">
        <v>5</v>
      </c>
      <c r="B316">
        <v>1978</v>
      </c>
      <c r="C316" s="3">
        <v>1978.4999999924516</v>
      </c>
      <c r="D316">
        <v>28.4</v>
      </c>
      <c r="E316" s="1">
        <v>28672</v>
      </c>
      <c r="F316" s="2">
        <f>STANDARDIZE(D316,H$16,I$16)</f>
        <v>0.50574067592334937</v>
      </c>
      <c r="U316" s="1"/>
    </row>
    <row r="317" spans="1:21" x14ac:dyDescent="0.3">
      <c r="A317" t="s">
        <v>4</v>
      </c>
      <c r="B317">
        <v>1978</v>
      </c>
      <c r="C317" s="3">
        <v>1978.583333325812</v>
      </c>
      <c r="D317">
        <v>28.3</v>
      </c>
      <c r="E317" s="1">
        <v>28703</v>
      </c>
      <c r="F317" s="2">
        <f>STANDARDIZE(D317,H$17,I$17)</f>
        <v>0.26119698847808487</v>
      </c>
      <c r="U317" s="1"/>
    </row>
    <row r="318" spans="1:21" x14ac:dyDescent="0.3">
      <c r="A318" t="s">
        <v>3</v>
      </c>
      <c r="B318">
        <v>1978</v>
      </c>
      <c r="C318" s="3">
        <v>1978.6666666591721</v>
      </c>
      <c r="D318">
        <v>28.6</v>
      </c>
      <c r="E318" s="1">
        <v>28734</v>
      </c>
      <c r="F318" s="2">
        <f>STANDARDIZE(D318,H$18,I$18)</f>
        <v>0.86765902194756084</v>
      </c>
      <c r="U318" s="1"/>
    </row>
    <row r="319" spans="1:21" x14ac:dyDescent="0.3">
      <c r="A319" t="s">
        <v>2</v>
      </c>
      <c r="B319">
        <v>1978</v>
      </c>
      <c r="C319" s="3">
        <v>1978.7499999925324</v>
      </c>
      <c r="D319">
        <v>28.4</v>
      </c>
      <c r="E319" s="1">
        <v>28764</v>
      </c>
      <c r="F319" s="2">
        <f>STANDARDIZE(D319,H$19,I$19)</f>
        <v>1.0154971964538066</v>
      </c>
      <c r="U319" s="1"/>
    </row>
    <row r="320" spans="1:21" x14ac:dyDescent="0.3">
      <c r="A320" t="s">
        <v>1</v>
      </c>
      <c r="B320">
        <v>1978</v>
      </c>
      <c r="C320" s="3">
        <v>1978.8333333258927</v>
      </c>
      <c r="D320">
        <v>28.4</v>
      </c>
      <c r="E320" s="1">
        <v>28795</v>
      </c>
      <c r="F320" s="2">
        <f>STANDARDIZE(D320,H$20,I$20)</f>
        <v>1.0104849699141567</v>
      </c>
      <c r="U320" s="1"/>
    </row>
    <row r="321" spans="1:21" x14ac:dyDescent="0.3">
      <c r="A321" t="s">
        <v>0</v>
      </c>
      <c r="B321">
        <v>1978</v>
      </c>
      <c r="C321" s="3">
        <v>1978.916666659253</v>
      </c>
      <c r="D321">
        <v>28</v>
      </c>
      <c r="E321" s="1">
        <v>28825</v>
      </c>
      <c r="F321" s="2">
        <f>STANDARDIZE(D321,H$21,I$21)</f>
        <v>1.0058997562016905</v>
      </c>
      <c r="U321" s="1"/>
    </row>
    <row r="322" spans="1:21" x14ac:dyDescent="0.3">
      <c r="A322" t="s">
        <v>11</v>
      </c>
      <c r="B322">
        <v>1979</v>
      </c>
      <c r="C322" s="3">
        <v>1978.9999999926133</v>
      </c>
      <c r="D322">
        <v>27.5</v>
      </c>
      <c r="E322" s="1">
        <v>28856</v>
      </c>
      <c r="F322" s="2">
        <f>STANDARDIZE(D322,H$10,I$10)</f>
        <v>0.92056788984660853</v>
      </c>
      <c r="U322" s="1"/>
    </row>
    <row r="323" spans="1:21" x14ac:dyDescent="0.3">
      <c r="A323" t="s">
        <v>10</v>
      </c>
      <c r="B323">
        <v>1979</v>
      </c>
      <c r="C323" s="3">
        <v>1979.0833333259736</v>
      </c>
      <c r="D323">
        <v>27.2</v>
      </c>
      <c r="E323" s="1">
        <v>28887</v>
      </c>
      <c r="F323" s="2">
        <f>STANDARDIZE(D323,H$11,I$11)</f>
        <v>0.58111878857503096</v>
      </c>
      <c r="U323" s="1"/>
    </row>
    <row r="324" spans="1:21" x14ac:dyDescent="0.3">
      <c r="A324" t="s">
        <v>9</v>
      </c>
      <c r="B324">
        <v>1979</v>
      </c>
      <c r="C324" s="3">
        <v>1979.1666666593337</v>
      </c>
      <c r="D324">
        <v>27.7</v>
      </c>
      <c r="E324" s="1">
        <v>28915</v>
      </c>
      <c r="F324" s="2">
        <f>STANDARDIZE(D324,H$12,I$12)</f>
        <v>0.81907981615700165</v>
      </c>
      <c r="U324" s="1"/>
    </row>
    <row r="325" spans="1:21" x14ac:dyDescent="0.3">
      <c r="A325" t="s">
        <v>8</v>
      </c>
      <c r="B325">
        <v>1979</v>
      </c>
      <c r="C325" s="3">
        <v>1979.249999992694</v>
      </c>
      <c r="D325">
        <v>27.9</v>
      </c>
      <c r="E325" s="1">
        <v>28946</v>
      </c>
      <c r="F325" s="2">
        <f>STANDARDIZE(D325,H$13,I$13)</f>
        <v>0.45357595919120958</v>
      </c>
      <c r="U325" s="1"/>
    </row>
    <row r="326" spans="1:21" x14ac:dyDescent="0.3">
      <c r="A326" t="s">
        <v>7</v>
      </c>
      <c r="B326">
        <v>1979</v>
      </c>
      <c r="C326" s="3">
        <v>1979.3333333260543</v>
      </c>
      <c r="D326">
        <v>28.5</v>
      </c>
      <c r="E326" s="1">
        <v>28976</v>
      </c>
      <c r="F326" s="2">
        <f>STANDARDIZE(D326,H$14,I$14)</f>
        <v>0.85855638281520286</v>
      </c>
      <c r="U326" s="1"/>
    </row>
    <row r="327" spans="1:21" x14ac:dyDescent="0.3">
      <c r="A327" t="s">
        <v>6</v>
      </c>
      <c r="B327">
        <v>1979</v>
      </c>
      <c r="C327" s="3">
        <v>1979.4166666594147</v>
      </c>
      <c r="D327">
        <v>28.5</v>
      </c>
      <c r="E327" s="1">
        <v>29007</v>
      </c>
      <c r="F327" s="2">
        <f>STANDARDIZE(D327,H$15,I$15)</f>
        <v>0.34587038732637038</v>
      </c>
      <c r="U327" s="1"/>
    </row>
    <row r="328" spans="1:21" x14ac:dyDescent="0.3">
      <c r="A328" t="s">
        <v>5</v>
      </c>
      <c r="B328">
        <v>1979</v>
      </c>
      <c r="C328" s="3">
        <v>1979.499999992775</v>
      </c>
      <c r="D328">
        <v>28.4</v>
      </c>
      <c r="E328" s="1">
        <v>29037</v>
      </c>
      <c r="F328" s="2">
        <f>STANDARDIZE(D328,H$16,I$16)</f>
        <v>0.50574067592334937</v>
      </c>
      <c r="U328" s="1"/>
    </row>
    <row r="329" spans="1:21" x14ac:dyDescent="0.3">
      <c r="A329" t="s">
        <v>4</v>
      </c>
      <c r="B329">
        <v>1979</v>
      </c>
      <c r="C329" s="3">
        <v>1979.5833333261351</v>
      </c>
      <c r="D329">
        <v>28.3</v>
      </c>
      <c r="E329" s="1">
        <v>29068</v>
      </c>
      <c r="F329" s="2">
        <f>STANDARDIZE(D329,H$17,I$17)</f>
        <v>0.26119698847808487</v>
      </c>
      <c r="U329" s="1"/>
    </row>
    <row r="330" spans="1:21" x14ac:dyDescent="0.3">
      <c r="A330" t="s">
        <v>3</v>
      </c>
      <c r="B330">
        <v>1979</v>
      </c>
      <c r="C330" s="3">
        <v>1979.6666666594954</v>
      </c>
      <c r="D330">
        <v>28.6</v>
      </c>
      <c r="E330" s="1">
        <v>29099</v>
      </c>
      <c r="F330" s="2">
        <f>STANDARDIZE(D330,H$18,I$18)</f>
        <v>0.86765902194756084</v>
      </c>
      <c r="U330" s="1"/>
    </row>
    <row r="331" spans="1:21" x14ac:dyDescent="0.3">
      <c r="A331" t="s">
        <v>2</v>
      </c>
      <c r="B331">
        <v>1979</v>
      </c>
      <c r="C331" s="3">
        <v>1979.7499999928557</v>
      </c>
      <c r="D331">
        <v>28.4</v>
      </c>
      <c r="E331" s="1">
        <v>29129</v>
      </c>
      <c r="F331" s="2">
        <f>STANDARDIZE(D331,H$19,I$19)</f>
        <v>1.0154971964538066</v>
      </c>
      <c r="U331" s="1"/>
    </row>
    <row r="332" spans="1:21" x14ac:dyDescent="0.3">
      <c r="A332" t="s">
        <v>1</v>
      </c>
      <c r="B332">
        <v>1979</v>
      </c>
      <c r="C332" s="3">
        <v>1979.833333326216</v>
      </c>
      <c r="D332">
        <v>28.4</v>
      </c>
      <c r="E332" s="1">
        <v>29160</v>
      </c>
      <c r="F332" s="2">
        <f>STANDARDIZE(D332,H$20,I$20)</f>
        <v>1.0104849699141567</v>
      </c>
      <c r="U332" s="1"/>
    </row>
    <row r="333" spans="1:21" x14ac:dyDescent="0.3">
      <c r="A333" t="s">
        <v>0</v>
      </c>
      <c r="B333">
        <v>1979</v>
      </c>
      <c r="C333" s="3">
        <v>1979.9166666595763</v>
      </c>
      <c r="D333">
        <v>27.8</v>
      </c>
      <c r="E333" s="1">
        <v>29190</v>
      </c>
      <c r="F333" s="2">
        <f>STANDARDIZE(D333,H$21,I$21)</f>
        <v>0.67059983746779361</v>
      </c>
      <c r="U333" s="1"/>
    </row>
    <row r="334" spans="1:21" x14ac:dyDescent="0.3">
      <c r="A334" t="s">
        <v>11</v>
      </c>
      <c r="B334">
        <v>1980</v>
      </c>
      <c r="C334" s="3">
        <v>1979.9999999929364</v>
      </c>
      <c r="D334">
        <v>27.4</v>
      </c>
      <c r="E334" s="1">
        <v>29221</v>
      </c>
      <c r="F334" s="2">
        <f>STANDARDIZE(D334,H$10,I$10)</f>
        <v>0.74592639305898389</v>
      </c>
      <c r="U334" s="1"/>
    </row>
    <row r="335" spans="1:21" x14ac:dyDescent="0.3">
      <c r="A335" t="s">
        <v>10</v>
      </c>
      <c r="B335">
        <v>1980</v>
      </c>
      <c r="C335" s="3">
        <v>1980.0833333262967</v>
      </c>
      <c r="D335">
        <v>27.3</v>
      </c>
      <c r="E335" s="1">
        <v>29252</v>
      </c>
      <c r="F335" s="2">
        <f>STANDARDIZE(D335,H$11,I$11)</f>
        <v>0.77590720932644863</v>
      </c>
      <c r="U335" s="1"/>
    </row>
    <row r="336" spans="1:21" x14ac:dyDescent="0.3">
      <c r="A336" t="s">
        <v>9</v>
      </c>
      <c r="B336">
        <v>1980</v>
      </c>
      <c r="C336" s="3">
        <v>1980.166666659657</v>
      </c>
      <c r="D336">
        <v>27.6</v>
      </c>
      <c r="E336" s="1">
        <v>29281</v>
      </c>
      <c r="F336" s="2">
        <f>STANDARDIZE(D336,H$12,I$12)</f>
        <v>0.64229999972023755</v>
      </c>
      <c r="U336" s="1"/>
    </row>
    <row r="337" spans="1:21" x14ac:dyDescent="0.3">
      <c r="A337" t="s">
        <v>8</v>
      </c>
      <c r="B337">
        <v>1980</v>
      </c>
      <c r="C337" s="3">
        <v>1980.2499999930174</v>
      </c>
      <c r="D337">
        <v>27.9</v>
      </c>
      <c r="E337" s="1">
        <v>29312</v>
      </c>
      <c r="F337" s="2">
        <f>STANDARDIZE(D337,H$13,I$13)</f>
        <v>0.45357595919120958</v>
      </c>
      <c r="U337" s="1"/>
    </row>
    <row r="338" spans="1:21" x14ac:dyDescent="0.3">
      <c r="A338" t="s">
        <v>7</v>
      </c>
      <c r="B338">
        <v>1980</v>
      </c>
      <c r="C338" s="3">
        <v>1980.3333333263777</v>
      </c>
      <c r="D338">
        <v>28.5</v>
      </c>
      <c r="E338" s="1">
        <v>29342</v>
      </c>
      <c r="F338" s="2">
        <f>STANDARDIZE(D338,H$14,I$14)</f>
        <v>0.85855638281520286</v>
      </c>
      <c r="U338" s="1"/>
    </row>
    <row r="339" spans="1:21" x14ac:dyDescent="0.3">
      <c r="A339" t="s">
        <v>6</v>
      </c>
      <c r="B339">
        <v>1980</v>
      </c>
      <c r="C339" s="3">
        <v>1980.416666659738</v>
      </c>
      <c r="D339">
        <v>28.6</v>
      </c>
      <c r="E339" s="1">
        <v>29373</v>
      </c>
      <c r="F339" s="2">
        <f>STANDARDIZE(D339,H$15,I$15)</f>
        <v>0.58169110595798723</v>
      </c>
      <c r="U339" s="1"/>
    </row>
    <row r="340" spans="1:21" x14ac:dyDescent="0.3">
      <c r="A340" t="s">
        <v>5</v>
      </c>
      <c r="B340">
        <v>1980</v>
      </c>
      <c r="C340" s="3">
        <v>1980.4999999930981</v>
      </c>
      <c r="D340">
        <v>28.5</v>
      </c>
      <c r="E340" s="1">
        <v>29403</v>
      </c>
      <c r="F340" s="2">
        <f>STANDARDIZE(D340,H$16,I$16)</f>
        <v>0.77427554809503918</v>
      </c>
      <c r="U340" s="1"/>
    </row>
    <row r="341" spans="1:21" x14ac:dyDescent="0.3">
      <c r="A341" t="s">
        <v>4</v>
      </c>
      <c r="B341">
        <v>1980</v>
      </c>
      <c r="C341" s="3">
        <v>1980.5833333264584</v>
      </c>
      <c r="D341">
        <v>28.4</v>
      </c>
      <c r="E341" s="1">
        <v>29434</v>
      </c>
      <c r="F341" s="2">
        <f>STANDARDIZE(D341,H$17,I$17)</f>
        <v>0.4701545792605305</v>
      </c>
      <c r="U341" s="1"/>
    </row>
    <row r="342" spans="1:21" x14ac:dyDescent="0.3">
      <c r="A342" t="s">
        <v>3</v>
      </c>
      <c r="B342">
        <v>1980</v>
      </c>
      <c r="C342" s="3">
        <v>1980.6666666598187</v>
      </c>
      <c r="D342">
        <v>28.6</v>
      </c>
      <c r="E342" s="1">
        <v>29465</v>
      </c>
      <c r="F342" s="2">
        <f>STANDARDIZE(D342,H$18,I$18)</f>
        <v>0.86765902194756084</v>
      </c>
      <c r="U342" s="1"/>
    </row>
    <row r="343" spans="1:21" x14ac:dyDescent="0.3">
      <c r="A343" t="s">
        <v>2</v>
      </c>
      <c r="B343">
        <v>1980</v>
      </c>
      <c r="C343" s="3">
        <v>1980.749999993179</v>
      </c>
      <c r="D343">
        <v>28.3</v>
      </c>
      <c r="E343" s="1">
        <v>29495</v>
      </c>
      <c r="F343" s="2">
        <f>STANDARDIZE(D343,H$19,I$19)</f>
        <v>0.80746131245806418</v>
      </c>
      <c r="U343" s="1"/>
    </row>
    <row r="344" spans="1:21" x14ac:dyDescent="0.3">
      <c r="A344" t="s">
        <v>1</v>
      </c>
      <c r="B344">
        <v>1980</v>
      </c>
      <c r="C344" s="3">
        <v>1980.8333333265393</v>
      </c>
      <c r="D344">
        <v>28.4</v>
      </c>
      <c r="E344" s="1">
        <v>29526</v>
      </c>
      <c r="F344" s="2">
        <f>STANDARDIZE(D344,H$20,I$20)</f>
        <v>1.0104849699141567</v>
      </c>
      <c r="U344" s="1"/>
    </row>
    <row r="345" spans="1:21" x14ac:dyDescent="0.3">
      <c r="A345" t="s">
        <v>0</v>
      </c>
      <c r="B345">
        <v>1980</v>
      </c>
      <c r="C345" s="3">
        <v>1980.9166666598994</v>
      </c>
      <c r="D345">
        <v>27.8</v>
      </c>
      <c r="E345" s="1">
        <v>29556</v>
      </c>
      <c r="F345" s="2">
        <f>STANDARDIZE(D345,H$21,I$21)</f>
        <v>0.67059983746779361</v>
      </c>
      <c r="U345" s="1"/>
    </row>
    <row r="346" spans="1:21" x14ac:dyDescent="0.3">
      <c r="A346" t="s">
        <v>11</v>
      </c>
      <c r="B346">
        <v>1981</v>
      </c>
      <c r="C346" s="3">
        <v>1980.9999999932597</v>
      </c>
      <c r="D346">
        <v>27.4</v>
      </c>
      <c r="E346" s="1">
        <v>29587</v>
      </c>
      <c r="F346" s="2">
        <f>STANDARDIZE(D346,H$10,I$10)</f>
        <v>0.74592639305898389</v>
      </c>
      <c r="U346" s="1"/>
    </row>
    <row r="347" spans="1:21" x14ac:dyDescent="0.3">
      <c r="A347" t="s">
        <v>10</v>
      </c>
      <c r="B347">
        <v>1981</v>
      </c>
      <c r="C347" s="3">
        <v>1981.08333332662</v>
      </c>
      <c r="D347">
        <v>27.1</v>
      </c>
      <c r="E347" s="1">
        <v>29618</v>
      </c>
      <c r="F347" s="2">
        <f>STANDARDIZE(D347,H$11,I$11)</f>
        <v>0.38633036782362029</v>
      </c>
      <c r="U347" s="1"/>
    </row>
    <row r="348" spans="1:21" x14ac:dyDescent="0.3">
      <c r="A348" t="s">
        <v>9</v>
      </c>
      <c r="B348">
        <v>1981</v>
      </c>
      <c r="C348" s="3">
        <v>1981.1666666599799</v>
      </c>
      <c r="D348">
        <v>27.6</v>
      </c>
      <c r="E348" s="1">
        <v>29646</v>
      </c>
      <c r="F348" s="2">
        <f>STANDARDIZE(D348,H$12,I$12)</f>
        <v>0.64229999972023755</v>
      </c>
      <c r="U348" s="1"/>
    </row>
    <row r="349" spans="1:21" x14ac:dyDescent="0.3">
      <c r="A349" t="s">
        <v>8</v>
      </c>
      <c r="B349">
        <v>1981</v>
      </c>
      <c r="C349" s="3">
        <v>1981.24999999334</v>
      </c>
      <c r="D349">
        <v>27.6</v>
      </c>
      <c r="E349" s="1">
        <v>29677</v>
      </c>
      <c r="F349" s="2">
        <f>STANDARDIZE(D349,H$13,I$13)</f>
        <v>-0.17932072805234356</v>
      </c>
      <c r="U349" s="1"/>
    </row>
    <row r="350" spans="1:21" x14ac:dyDescent="0.3">
      <c r="A350" t="s">
        <v>7</v>
      </c>
      <c r="B350">
        <v>1981</v>
      </c>
      <c r="C350" s="3">
        <v>1981.3333333267001</v>
      </c>
      <c r="D350">
        <v>28</v>
      </c>
      <c r="E350" s="1">
        <v>29707</v>
      </c>
      <c r="F350" s="2">
        <f>STANDARDIZE(D350,H$14,I$14)</f>
        <v>-0.47598721741570227</v>
      </c>
      <c r="U350" s="1"/>
    </row>
    <row r="351" spans="1:21" x14ac:dyDescent="0.3">
      <c r="A351" t="s">
        <v>6</v>
      </c>
      <c r="B351">
        <v>1981</v>
      </c>
      <c r="C351" s="3">
        <v>1981.4166666600599</v>
      </c>
      <c r="D351">
        <v>28.1</v>
      </c>
      <c r="E351" s="1">
        <v>29738</v>
      </c>
      <c r="F351" s="2">
        <f>STANDARDIZE(D351,H$15,I$15)</f>
        <v>-0.59741248720008056</v>
      </c>
      <c r="U351" s="1"/>
    </row>
    <row r="352" spans="1:21" x14ac:dyDescent="0.3">
      <c r="A352" t="s">
        <v>5</v>
      </c>
      <c r="B352">
        <v>1981</v>
      </c>
      <c r="C352" s="3">
        <v>1981.49999999342</v>
      </c>
      <c r="D352">
        <v>28.4</v>
      </c>
      <c r="E352" s="1">
        <v>29768</v>
      </c>
      <c r="F352" s="2">
        <f>STANDARDIZE(D352,H$16,I$16)</f>
        <v>0.50574067592334937</v>
      </c>
      <c r="U352" s="1"/>
    </row>
    <row r="353" spans="1:21" x14ac:dyDescent="0.3">
      <c r="A353" t="s">
        <v>4</v>
      </c>
      <c r="B353">
        <v>1981</v>
      </c>
      <c r="C353" s="3">
        <v>1981.5833333267799</v>
      </c>
      <c r="D353">
        <v>27.9</v>
      </c>
      <c r="E353" s="1">
        <v>29799</v>
      </c>
      <c r="F353" s="2">
        <f>STANDARDIZE(D353,H$17,I$17)</f>
        <v>-0.57463337465171993</v>
      </c>
      <c r="U353" s="1"/>
    </row>
    <row r="354" spans="1:21" x14ac:dyDescent="0.3">
      <c r="A354" t="s">
        <v>3</v>
      </c>
      <c r="B354">
        <v>1981</v>
      </c>
      <c r="C354" s="3">
        <v>1981.66666666014</v>
      </c>
      <c r="D354">
        <v>28.3</v>
      </c>
      <c r="E354" s="1">
        <v>29830</v>
      </c>
      <c r="F354" s="2">
        <f>STANDARDIZE(D354,H$18,I$18)</f>
        <v>0.19156108276765069</v>
      </c>
      <c r="U354" s="1"/>
    </row>
    <row r="355" spans="1:21" x14ac:dyDescent="0.3">
      <c r="A355" t="s">
        <v>2</v>
      </c>
      <c r="B355">
        <v>1981</v>
      </c>
      <c r="C355" s="3">
        <v>1981.7499999935001</v>
      </c>
      <c r="D355">
        <v>27.9</v>
      </c>
      <c r="E355" s="1">
        <v>29860</v>
      </c>
      <c r="F355" s="2">
        <f>STANDARDIZE(D355,H$19,I$19)</f>
        <v>-2.468222352492774E-2</v>
      </c>
      <c r="U355" s="1"/>
    </row>
    <row r="356" spans="1:21" x14ac:dyDescent="0.3">
      <c r="A356" t="s">
        <v>1</v>
      </c>
      <c r="B356">
        <v>1981</v>
      </c>
      <c r="C356" s="3">
        <v>1981.8333333268599</v>
      </c>
      <c r="D356">
        <v>28.3</v>
      </c>
      <c r="E356" s="1">
        <v>29891</v>
      </c>
      <c r="F356" s="2">
        <f>STANDARDIZE(D356,H$20,I$20)</f>
        <v>0.83251896028748806</v>
      </c>
      <c r="U356" s="1"/>
    </row>
    <row r="357" spans="1:21" x14ac:dyDescent="0.3">
      <c r="A357" t="s">
        <v>0</v>
      </c>
      <c r="B357">
        <v>1981</v>
      </c>
      <c r="C357" s="3">
        <v>1981.91666666022</v>
      </c>
      <c r="D357">
        <v>27.7</v>
      </c>
      <c r="E357" s="1">
        <v>29921</v>
      </c>
      <c r="F357" s="2">
        <f>STANDARDIZE(D357,H$21,I$21)</f>
        <v>0.50294987810084224</v>
      </c>
      <c r="U357" s="1"/>
    </row>
    <row r="358" spans="1:21" x14ac:dyDescent="0.3">
      <c r="A358" t="s">
        <v>11</v>
      </c>
      <c r="B358">
        <v>1982</v>
      </c>
      <c r="C358" s="3">
        <v>1981.9999999935801</v>
      </c>
      <c r="D358">
        <v>26.7</v>
      </c>
      <c r="E358" s="1">
        <v>29952</v>
      </c>
      <c r="F358" s="2">
        <f>STANDARDIZE(D358,H$10,I$10)</f>
        <v>-0.4765640844543701</v>
      </c>
      <c r="U358" s="1"/>
    </row>
    <row r="359" spans="1:21" x14ac:dyDescent="0.3">
      <c r="A359" t="s">
        <v>10</v>
      </c>
      <c r="B359">
        <v>1982</v>
      </c>
      <c r="C359" s="3">
        <v>1982.08333332694</v>
      </c>
      <c r="D359">
        <v>26.8</v>
      </c>
      <c r="E359" s="1">
        <v>29983</v>
      </c>
      <c r="F359" s="2">
        <f>STANDARDIZE(D359,H$11,I$11)</f>
        <v>-0.19803489443062569</v>
      </c>
      <c r="U359" s="1"/>
    </row>
    <row r="360" spans="1:21" x14ac:dyDescent="0.3">
      <c r="A360" t="s">
        <v>9</v>
      </c>
      <c r="B360">
        <v>1982</v>
      </c>
      <c r="C360" s="3">
        <v>1982.1666666603001</v>
      </c>
      <c r="D360">
        <v>26.6</v>
      </c>
      <c r="E360" s="1">
        <v>30011</v>
      </c>
      <c r="F360" s="2">
        <f>STANDARDIZE(D360,H$12,I$12)</f>
        <v>-1.1254981646474409</v>
      </c>
      <c r="U360" s="1"/>
    </row>
    <row r="361" spans="1:21" x14ac:dyDescent="0.3">
      <c r="A361" t="s">
        <v>8</v>
      </c>
      <c r="B361">
        <v>1982</v>
      </c>
      <c r="C361" s="3">
        <v>1982.2499999936599</v>
      </c>
      <c r="D361">
        <v>27.3</v>
      </c>
      <c r="E361" s="1">
        <v>30042</v>
      </c>
      <c r="F361" s="2">
        <f>STANDARDIZE(D361,H$13,I$13)</f>
        <v>-0.81221741529590419</v>
      </c>
      <c r="U361" s="1"/>
    </row>
    <row r="362" spans="1:21" x14ac:dyDescent="0.3">
      <c r="A362" t="s">
        <v>7</v>
      </c>
      <c r="B362">
        <v>1982</v>
      </c>
      <c r="C362" s="3">
        <v>1982.33333332702</v>
      </c>
      <c r="D362">
        <v>28</v>
      </c>
      <c r="E362" s="1">
        <v>30072</v>
      </c>
      <c r="F362" s="2">
        <f>STANDARDIZE(D362,H$14,I$14)</f>
        <v>-0.47598721741570227</v>
      </c>
      <c r="U362" s="1"/>
    </row>
    <row r="363" spans="1:21" x14ac:dyDescent="0.3">
      <c r="A363" t="s">
        <v>6</v>
      </c>
      <c r="B363">
        <v>1982</v>
      </c>
      <c r="C363" s="3">
        <v>1982.4166666603801</v>
      </c>
      <c r="D363">
        <v>28.4</v>
      </c>
      <c r="E363" s="1">
        <v>30103</v>
      </c>
      <c r="F363" s="2">
        <f>STANDARDIZE(D363,H$15,I$15)</f>
        <v>0.11004966869475344</v>
      </c>
      <c r="U363" s="1"/>
    </row>
    <row r="364" spans="1:21" x14ac:dyDescent="0.3">
      <c r="A364" t="s">
        <v>5</v>
      </c>
      <c r="B364">
        <v>1982</v>
      </c>
      <c r="C364" s="3">
        <v>1982.4999999937399</v>
      </c>
      <c r="D364">
        <v>28.1</v>
      </c>
      <c r="E364" s="1">
        <v>30133</v>
      </c>
      <c r="F364" s="2">
        <f>STANDARDIZE(D364,H$16,I$16)</f>
        <v>-0.29986394059170085</v>
      </c>
      <c r="U364" s="1"/>
    </row>
    <row r="365" spans="1:21" x14ac:dyDescent="0.3">
      <c r="A365" t="s">
        <v>4</v>
      </c>
      <c r="B365">
        <v>1982</v>
      </c>
      <c r="C365" s="3">
        <v>1982.5833333271</v>
      </c>
      <c r="D365">
        <v>28.3</v>
      </c>
      <c r="E365" s="1">
        <v>30164</v>
      </c>
      <c r="F365" s="2">
        <f>STANDARDIZE(D365,H$17,I$17)</f>
        <v>0.26119698847808487</v>
      </c>
      <c r="U365" s="1"/>
    </row>
    <row r="366" spans="1:21" x14ac:dyDescent="0.3">
      <c r="A366" t="s">
        <v>3</v>
      </c>
      <c r="B366">
        <v>1982</v>
      </c>
      <c r="C366" s="3">
        <v>1982.6666666604599</v>
      </c>
      <c r="D366">
        <v>28.3</v>
      </c>
      <c r="E366" s="1">
        <v>30195</v>
      </c>
      <c r="F366" s="2">
        <f>STANDARDIZE(D366,H$18,I$18)</f>
        <v>0.19156108276765069</v>
      </c>
      <c r="U366" s="1"/>
    </row>
    <row r="367" spans="1:21" x14ac:dyDescent="0.3">
      <c r="A367" t="s">
        <v>2</v>
      </c>
      <c r="B367">
        <v>1982</v>
      </c>
      <c r="C367" s="3">
        <v>1982.74999999382</v>
      </c>
      <c r="D367">
        <v>27.6</v>
      </c>
      <c r="E367" s="1">
        <v>30225</v>
      </c>
      <c r="F367" s="2">
        <f>STANDARDIZE(D367,H$19,I$19)</f>
        <v>-0.64878987551216238</v>
      </c>
      <c r="U367" s="1"/>
    </row>
    <row r="368" spans="1:21" x14ac:dyDescent="0.3">
      <c r="A368" t="s">
        <v>1</v>
      </c>
      <c r="B368">
        <v>1982</v>
      </c>
      <c r="C368" s="3">
        <v>1982.8333333271801</v>
      </c>
      <c r="D368">
        <v>28</v>
      </c>
      <c r="E368" s="1">
        <v>30256</v>
      </c>
      <c r="F368" s="2">
        <f>STANDARDIZE(D368,H$20,I$20)</f>
        <v>0.29862093140746954</v>
      </c>
      <c r="U368" s="1"/>
    </row>
    <row r="369" spans="1:21" x14ac:dyDescent="0.3">
      <c r="A369" t="s">
        <v>0</v>
      </c>
      <c r="B369">
        <v>1982</v>
      </c>
      <c r="C369" s="3">
        <v>1982.9166666605399</v>
      </c>
      <c r="D369">
        <v>27</v>
      </c>
      <c r="E369" s="1">
        <v>30286</v>
      </c>
      <c r="F369" s="2">
        <f>STANDARDIZE(D369,H$21,I$21)</f>
        <v>-0.67059983746779961</v>
      </c>
      <c r="U369" s="1"/>
    </row>
    <row r="370" spans="1:21" x14ac:dyDescent="0.3">
      <c r="A370" t="s">
        <v>11</v>
      </c>
      <c r="B370">
        <v>1983</v>
      </c>
      <c r="C370" s="3">
        <v>1982.9999999939</v>
      </c>
      <c r="D370">
        <v>27.4</v>
      </c>
      <c r="E370" s="1">
        <v>30317</v>
      </c>
      <c r="F370" s="2">
        <f>STANDARDIZE(D370,H$10,I$10)</f>
        <v>0.74592639305898389</v>
      </c>
      <c r="U370" s="1"/>
    </row>
    <row r="371" spans="1:21" x14ac:dyDescent="0.3">
      <c r="A371" t="s">
        <v>10</v>
      </c>
      <c r="B371">
        <v>1983</v>
      </c>
      <c r="C371" s="3">
        <v>1983.0833333272601</v>
      </c>
      <c r="D371">
        <v>27.1</v>
      </c>
      <c r="E371" s="1">
        <v>30348</v>
      </c>
      <c r="F371" s="2">
        <f>STANDARDIZE(D371,H$11,I$11)</f>
        <v>0.38633036782362029</v>
      </c>
      <c r="U371" s="1"/>
    </row>
    <row r="372" spans="1:21" x14ac:dyDescent="0.3">
      <c r="A372" t="s">
        <v>9</v>
      </c>
      <c r="B372">
        <v>1983</v>
      </c>
      <c r="C372" s="3">
        <v>1983.16666666062</v>
      </c>
      <c r="D372">
        <v>28</v>
      </c>
      <c r="E372" s="1">
        <v>30376</v>
      </c>
      <c r="F372" s="2">
        <f>STANDARDIZE(D372,H$12,I$12)</f>
        <v>1.3494192654673065</v>
      </c>
      <c r="U372" s="1"/>
    </row>
    <row r="373" spans="1:21" x14ac:dyDescent="0.3">
      <c r="A373" t="s">
        <v>8</v>
      </c>
      <c r="B373">
        <v>1983</v>
      </c>
      <c r="C373" s="3">
        <v>1983.2499999939801</v>
      </c>
      <c r="D373">
        <v>28.1</v>
      </c>
      <c r="E373" s="1">
        <v>30407</v>
      </c>
      <c r="F373" s="2">
        <f>STANDARDIZE(D373,H$13,I$13)</f>
        <v>0.87550708402025501</v>
      </c>
      <c r="U373" s="1"/>
    </row>
    <row r="374" spans="1:21" x14ac:dyDescent="0.3">
      <c r="A374" t="s">
        <v>7</v>
      </c>
      <c r="B374">
        <v>1983</v>
      </c>
      <c r="C374" s="3">
        <v>1983.3333333273399</v>
      </c>
      <c r="D374">
        <v>28.6</v>
      </c>
      <c r="E374" s="1">
        <v>30437</v>
      </c>
      <c r="F374" s="2">
        <f>STANDARDIZE(D374,H$14,I$14)</f>
        <v>1.1254651028613878</v>
      </c>
      <c r="U374" s="1"/>
    </row>
    <row r="375" spans="1:21" x14ac:dyDescent="0.3">
      <c r="A375" t="s">
        <v>6</v>
      </c>
      <c r="B375">
        <v>1983</v>
      </c>
      <c r="C375" s="3">
        <v>1983.4166666607</v>
      </c>
      <c r="D375">
        <v>29.2</v>
      </c>
      <c r="E375" s="1">
        <v>30468</v>
      </c>
      <c r="F375" s="2">
        <f>STANDARDIZE(D375,H$15,I$15)</f>
        <v>1.9966154177476636</v>
      </c>
      <c r="U375" s="1"/>
    </row>
    <row r="376" spans="1:21" x14ac:dyDescent="0.3">
      <c r="A376" t="s">
        <v>5</v>
      </c>
      <c r="B376">
        <v>1983</v>
      </c>
      <c r="C376" s="3">
        <v>1983.4999999940601</v>
      </c>
      <c r="D376">
        <v>28.7</v>
      </c>
      <c r="E376" s="1">
        <v>30498</v>
      </c>
      <c r="F376" s="2">
        <f>STANDARDIZE(D376,H$16,I$16)</f>
        <v>1.3113452924384092</v>
      </c>
      <c r="U376" s="1"/>
    </row>
    <row r="377" spans="1:21" x14ac:dyDescent="0.3">
      <c r="A377" t="s">
        <v>4</v>
      </c>
      <c r="B377">
        <v>1983</v>
      </c>
      <c r="C377" s="3">
        <v>1983.58333332742</v>
      </c>
      <c r="D377">
        <v>28.6</v>
      </c>
      <c r="E377" s="1">
        <v>30529</v>
      </c>
      <c r="F377" s="2">
        <f>STANDARDIZE(D377,H$17,I$17)</f>
        <v>0.88806976082543654</v>
      </c>
      <c r="U377" s="1"/>
    </row>
    <row r="378" spans="1:21" x14ac:dyDescent="0.3">
      <c r="A378" t="s">
        <v>3</v>
      </c>
      <c r="B378">
        <v>1983</v>
      </c>
      <c r="C378" s="3">
        <v>1983.66666666078</v>
      </c>
      <c r="D378">
        <v>28.3</v>
      </c>
      <c r="E378" s="1">
        <v>30560</v>
      </c>
      <c r="F378" s="2">
        <f>STANDARDIZE(D378,H$18,I$18)</f>
        <v>0.19156108276765069</v>
      </c>
      <c r="U378" s="1"/>
    </row>
    <row r="379" spans="1:21" x14ac:dyDescent="0.3">
      <c r="A379" t="s">
        <v>2</v>
      </c>
      <c r="B379">
        <v>1983</v>
      </c>
      <c r="C379" s="3">
        <v>1983.7499999941399</v>
      </c>
      <c r="D379">
        <v>27.7</v>
      </c>
      <c r="E379" s="1">
        <v>30590</v>
      </c>
      <c r="F379" s="2">
        <f>STANDARDIZE(D379,H$19,I$19)</f>
        <v>-0.44075399151641997</v>
      </c>
      <c r="U379" s="1"/>
    </row>
    <row r="380" spans="1:21" x14ac:dyDescent="0.3">
      <c r="A380" t="s">
        <v>1</v>
      </c>
      <c r="B380">
        <v>1983</v>
      </c>
      <c r="C380" s="3">
        <v>1983.8333333275</v>
      </c>
      <c r="D380">
        <v>28.3</v>
      </c>
      <c r="E380" s="1">
        <v>30621</v>
      </c>
      <c r="F380" s="2">
        <f>STANDARDIZE(D380,H$20,I$20)</f>
        <v>0.83251896028748806</v>
      </c>
      <c r="U380" s="1"/>
    </row>
    <row r="381" spans="1:21" x14ac:dyDescent="0.3">
      <c r="A381" t="s">
        <v>0</v>
      </c>
      <c r="B381">
        <v>1983</v>
      </c>
      <c r="C381" s="3">
        <v>1983.9166666608601</v>
      </c>
      <c r="D381">
        <v>27.4</v>
      </c>
      <c r="E381" s="1">
        <v>30651</v>
      </c>
      <c r="F381" s="2">
        <f>STANDARDIZE(D381,H$21,I$21)</f>
        <v>-5.9561230389330787E-15</v>
      </c>
      <c r="U381" s="1"/>
    </row>
    <row r="382" spans="1:21" x14ac:dyDescent="0.3">
      <c r="A382" t="s">
        <v>11</v>
      </c>
      <c r="B382">
        <v>1984</v>
      </c>
      <c r="C382" s="3">
        <v>1983.9999999942199</v>
      </c>
      <c r="D382">
        <v>26.8</v>
      </c>
      <c r="E382" s="1">
        <v>30682</v>
      </c>
      <c r="F382" s="2">
        <f>STANDARDIZE(D382,H$10,I$10)</f>
        <v>-0.30192258766674546</v>
      </c>
      <c r="U382" s="1"/>
    </row>
    <row r="383" spans="1:21" x14ac:dyDescent="0.3">
      <c r="A383" t="s">
        <v>10</v>
      </c>
      <c r="B383">
        <v>1984</v>
      </c>
      <c r="C383" s="3">
        <v>1984.08333332758</v>
      </c>
      <c r="D383">
        <v>27.2</v>
      </c>
      <c r="E383" s="1">
        <v>30713</v>
      </c>
      <c r="F383" s="2">
        <f>STANDARDIZE(D383,H$11,I$11)</f>
        <v>0.58111878857503096</v>
      </c>
      <c r="U383" s="1"/>
    </row>
    <row r="384" spans="1:21" x14ac:dyDescent="0.3">
      <c r="A384" t="s">
        <v>9</v>
      </c>
      <c r="B384">
        <v>1984</v>
      </c>
      <c r="C384" s="3">
        <v>1984.1666666609401</v>
      </c>
      <c r="D384">
        <v>26.9</v>
      </c>
      <c r="E384" s="1">
        <v>30742</v>
      </c>
      <c r="F384" s="2">
        <f>STANDARDIZE(D384,H$12,I$12)</f>
        <v>-0.59515871533714237</v>
      </c>
      <c r="U384" s="1"/>
    </row>
    <row r="385" spans="1:21" x14ac:dyDescent="0.3">
      <c r="A385" t="s">
        <v>8</v>
      </c>
      <c r="B385">
        <v>1984</v>
      </c>
      <c r="C385" s="3">
        <v>1984.2499999943</v>
      </c>
      <c r="D385">
        <v>27.5</v>
      </c>
      <c r="E385" s="1">
        <v>30773</v>
      </c>
      <c r="F385" s="2">
        <f>STANDARDIZE(D385,H$13,I$13)</f>
        <v>-0.39028629046686625</v>
      </c>
      <c r="U385" s="1"/>
    </row>
    <row r="386" spans="1:21" x14ac:dyDescent="0.3">
      <c r="A386" t="s">
        <v>7</v>
      </c>
      <c r="B386">
        <v>1984</v>
      </c>
      <c r="C386" s="3">
        <v>1984.3333333276601</v>
      </c>
      <c r="D386">
        <v>28.1</v>
      </c>
      <c r="E386" s="1">
        <v>30803</v>
      </c>
      <c r="F386" s="2">
        <f>STANDARDIZE(D386,H$14,I$14)</f>
        <v>-0.20907849736951745</v>
      </c>
      <c r="U386" s="1"/>
    </row>
    <row r="387" spans="1:21" x14ac:dyDescent="0.3">
      <c r="A387" t="s">
        <v>6</v>
      </c>
      <c r="B387">
        <v>1984</v>
      </c>
      <c r="C387" s="3">
        <v>1984.4166666610199</v>
      </c>
      <c r="D387">
        <v>28.2</v>
      </c>
      <c r="E387" s="1">
        <v>30834</v>
      </c>
      <c r="F387" s="2">
        <f>STANDARDIZE(D387,H$15,I$15)</f>
        <v>-0.36159176856847203</v>
      </c>
      <c r="U387" s="1"/>
    </row>
    <row r="388" spans="1:21" x14ac:dyDescent="0.3">
      <c r="A388" t="s">
        <v>5</v>
      </c>
      <c r="B388">
        <v>1984</v>
      </c>
      <c r="C388" s="3">
        <v>1984.49999999438</v>
      </c>
      <c r="D388">
        <v>27.7</v>
      </c>
      <c r="E388" s="1">
        <v>30864</v>
      </c>
      <c r="F388" s="2">
        <f>STANDARDIZE(D388,H$16,I$16)</f>
        <v>-1.3740034292784504</v>
      </c>
      <c r="U388" s="1"/>
    </row>
    <row r="389" spans="1:21" x14ac:dyDescent="0.3">
      <c r="A389" t="s">
        <v>4</v>
      </c>
      <c r="B389">
        <v>1984</v>
      </c>
      <c r="C389" s="3">
        <v>1984.5833333277401</v>
      </c>
      <c r="D389">
        <v>27.6</v>
      </c>
      <c r="E389" s="1">
        <v>30895</v>
      </c>
      <c r="F389" s="2">
        <f>STANDARDIZE(D389,H$17,I$17)</f>
        <v>-1.2015061469990642</v>
      </c>
      <c r="U389" s="1"/>
    </row>
    <row r="390" spans="1:21" x14ac:dyDescent="0.3">
      <c r="A390" t="s">
        <v>3</v>
      </c>
      <c r="B390">
        <v>1984</v>
      </c>
      <c r="C390" s="3">
        <v>1984.6666666611</v>
      </c>
      <c r="D390">
        <v>27.5</v>
      </c>
      <c r="E390" s="1">
        <v>30926</v>
      </c>
      <c r="F390" s="2">
        <f>STANDARDIZE(D390,H$18,I$18)</f>
        <v>-1.6113667550454405</v>
      </c>
      <c r="U390" s="1"/>
    </row>
    <row r="391" spans="1:21" x14ac:dyDescent="0.3">
      <c r="A391" t="s">
        <v>2</v>
      </c>
      <c r="B391">
        <v>1984</v>
      </c>
      <c r="C391" s="3">
        <v>1984.74999999446</v>
      </c>
      <c r="D391">
        <v>27.5</v>
      </c>
      <c r="E391" s="1">
        <v>30956</v>
      </c>
      <c r="F391" s="2">
        <f>STANDARDIZE(D391,H$19,I$19)</f>
        <v>-0.85682575950791229</v>
      </c>
      <c r="U391" s="1"/>
    </row>
    <row r="392" spans="1:21" x14ac:dyDescent="0.3">
      <c r="A392" t="s">
        <v>1</v>
      </c>
      <c r="B392">
        <v>1984</v>
      </c>
      <c r="C392" s="3">
        <v>1984.8333333278199</v>
      </c>
      <c r="D392">
        <v>27.4</v>
      </c>
      <c r="E392" s="1">
        <v>30987</v>
      </c>
      <c r="F392" s="2">
        <f>STANDARDIZE(D392,H$20,I$20)</f>
        <v>-0.76917512635256757</v>
      </c>
      <c r="U392" s="1"/>
    </row>
    <row r="393" spans="1:21" x14ac:dyDescent="0.3">
      <c r="A393" t="s">
        <v>0</v>
      </c>
      <c r="B393">
        <v>1984</v>
      </c>
      <c r="C393" s="3">
        <v>1984.91666666118</v>
      </c>
      <c r="D393">
        <v>26.3</v>
      </c>
      <c r="E393" s="1">
        <v>31017</v>
      </c>
      <c r="F393" s="2">
        <f>STANDARDIZE(D393,H$21,I$21)</f>
        <v>-1.8441495530364413</v>
      </c>
      <c r="U393" s="1"/>
    </row>
    <row r="394" spans="1:21" x14ac:dyDescent="0.3">
      <c r="A394" t="s">
        <v>11</v>
      </c>
      <c r="B394">
        <v>1985</v>
      </c>
      <c r="C394" s="3">
        <v>1984.9999999945401</v>
      </c>
      <c r="D394">
        <v>25.9</v>
      </c>
      <c r="E394" s="1">
        <v>31048</v>
      </c>
      <c r="F394" s="2">
        <f>STANDARDIZE(D394,H$10,I$10)</f>
        <v>-1.8736960587553488</v>
      </c>
      <c r="U394" s="1"/>
    </row>
    <row r="395" spans="1:21" x14ac:dyDescent="0.3">
      <c r="A395" t="s">
        <v>10</v>
      </c>
      <c r="B395">
        <v>1985</v>
      </c>
      <c r="C395" s="3">
        <v>1985.0833333278999</v>
      </c>
      <c r="D395">
        <v>26.5</v>
      </c>
      <c r="E395" s="1">
        <v>31079</v>
      </c>
      <c r="F395" s="2">
        <f>STANDARDIZE(D395,H$11,I$11)</f>
        <v>-0.78240015668487162</v>
      </c>
      <c r="U395" s="1"/>
    </row>
    <row r="396" spans="1:21" x14ac:dyDescent="0.3">
      <c r="A396" t="s">
        <v>9</v>
      </c>
      <c r="B396">
        <v>1985</v>
      </c>
      <c r="C396" s="3">
        <v>1985.16666666126</v>
      </c>
      <c r="D396">
        <v>26.7</v>
      </c>
      <c r="E396" s="1">
        <v>31107</v>
      </c>
      <c r="F396" s="2">
        <f>STANDARDIZE(D396,H$12,I$12)</f>
        <v>-0.9487183482106768</v>
      </c>
      <c r="U396" s="1"/>
    </row>
    <row r="397" spans="1:21" x14ac:dyDescent="0.3">
      <c r="A397" t="s">
        <v>8</v>
      </c>
      <c r="B397">
        <v>1985</v>
      </c>
      <c r="C397" s="3">
        <v>1985.2499999946201</v>
      </c>
      <c r="D397">
        <v>27</v>
      </c>
      <c r="E397" s="1">
        <v>31138</v>
      </c>
      <c r="F397" s="2">
        <f>STANDARDIZE(D397,H$13,I$13)</f>
        <v>-1.4451141025394647</v>
      </c>
      <c r="U397" s="1"/>
    </row>
    <row r="398" spans="1:21" x14ac:dyDescent="0.3">
      <c r="A398" t="s">
        <v>7</v>
      </c>
      <c r="B398">
        <v>1985</v>
      </c>
      <c r="C398" s="3">
        <v>1985.33333332798</v>
      </c>
      <c r="D398">
        <v>28.2</v>
      </c>
      <c r="E398" s="1">
        <v>31168</v>
      </c>
      <c r="F398" s="2">
        <f>STANDARDIZE(D398,H$14,I$14)</f>
        <v>5.783022267665789E-2</v>
      </c>
      <c r="U398" s="1"/>
    </row>
    <row r="399" spans="1:21" x14ac:dyDescent="0.3">
      <c r="A399" t="s">
        <v>6</v>
      </c>
      <c r="B399">
        <v>1985</v>
      </c>
      <c r="C399" s="3">
        <v>1985.4166666613401</v>
      </c>
      <c r="D399">
        <v>28.5</v>
      </c>
      <c r="E399" s="1">
        <v>31199</v>
      </c>
      <c r="F399" s="2">
        <f>STANDARDIZE(D399,H$15,I$15)</f>
        <v>0.34587038732637038</v>
      </c>
      <c r="U399" s="1"/>
    </row>
    <row r="400" spans="1:21" x14ac:dyDescent="0.3">
      <c r="A400" t="s">
        <v>5</v>
      </c>
      <c r="B400">
        <v>1985</v>
      </c>
      <c r="C400" s="3">
        <v>1985.4999999946999</v>
      </c>
      <c r="D400">
        <v>28.3</v>
      </c>
      <c r="E400" s="1">
        <v>31229</v>
      </c>
      <c r="F400" s="2">
        <f>STANDARDIZE(D400,H$16,I$16)</f>
        <v>0.23720580375166916</v>
      </c>
      <c r="U400" s="1"/>
    </row>
    <row r="401" spans="1:21" x14ac:dyDescent="0.3">
      <c r="A401" t="s">
        <v>4</v>
      </c>
      <c r="B401">
        <v>1985</v>
      </c>
      <c r="C401" s="3">
        <v>1985.58333332806</v>
      </c>
      <c r="D401">
        <v>27.9</v>
      </c>
      <c r="E401" s="1">
        <v>31260</v>
      </c>
      <c r="F401" s="2">
        <f>STANDARDIZE(D401,H$17,I$17)</f>
        <v>-0.57463337465171993</v>
      </c>
      <c r="U401" s="1"/>
    </row>
    <row r="402" spans="1:21" x14ac:dyDescent="0.3">
      <c r="A402" t="s">
        <v>3</v>
      </c>
      <c r="B402">
        <v>1985</v>
      </c>
      <c r="C402" s="3">
        <v>1985.6666666614201</v>
      </c>
      <c r="D402">
        <v>27.8</v>
      </c>
      <c r="E402" s="1">
        <v>31291</v>
      </c>
      <c r="F402" s="2">
        <f>STANDARDIZE(D402,H$18,I$18)</f>
        <v>-0.93526881586553023</v>
      </c>
      <c r="U402" s="1"/>
    </row>
    <row r="403" spans="1:21" x14ac:dyDescent="0.3">
      <c r="A403" t="s">
        <v>2</v>
      </c>
      <c r="B403">
        <v>1985</v>
      </c>
      <c r="C403" s="3">
        <v>1985.74999999478</v>
      </c>
      <c r="D403">
        <v>28.2</v>
      </c>
      <c r="E403" s="1">
        <v>31321</v>
      </c>
      <c r="F403" s="2">
        <f>STANDARDIZE(D403,H$19,I$19)</f>
        <v>0.59942542846231428</v>
      </c>
      <c r="U403" s="1"/>
    </row>
    <row r="404" spans="1:21" x14ac:dyDescent="0.3">
      <c r="A404" t="s">
        <v>1</v>
      </c>
      <c r="B404">
        <v>1985</v>
      </c>
      <c r="C404" s="3">
        <v>1985.83333332814</v>
      </c>
      <c r="D404">
        <v>27.7</v>
      </c>
      <c r="E404" s="1">
        <v>31352</v>
      </c>
      <c r="F404" s="2">
        <f>STANDARDIZE(D404,H$20,I$20)</f>
        <v>-0.23527709747254905</v>
      </c>
      <c r="U404" s="1"/>
    </row>
    <row r="405" spans="1:21" x14ac:dyDescent="0.3">
      <c r="A405" t="s">
        <v>0</v>
      </c>
      <c r="B405">
        <v>1985</v>
      </c>
      <c r="C405" s="3">
        <v>1985.9166666614999</v>
      </c>
      <c r="D405">
        <v>26.9</v>
      </c>
      <c r="E405" s="1">
        <v>31382</v>
      </c>
      <c r="F405" s="2">
        <f>STANDARDIZE(D405,H$21,I$21)</f>
        <v>-0.83824979683475098</v>
      </c>
      <c r="U405" s="1"/>
    </row>
    <row r="406" spans="1:21" x14ac:dyDescent="0.3">
      <c r="A406" t="s">
        <v>11</v>
      </c>
      <c r="B406">
        <v>1986</v>
      </c>
      <c r="C406" s="3">
        <v>1985.99999999486</v>
      </c>
      <c r="D406">
        <v>26.5</v>
      </c>
      <c r="E406" s="1">
        <v>31413</v>
      </c>
      <c r="F406" s="2">
        <f>STANDARDIZE(D406,H$10,I$10)</f>
        <v>-0.82584707802961321</v>
      </c>
      <c r="U406" s="1"/>
    </row>
    <row r="407" spans="1:21" x14ac:dyDescent="0.3">
      <c r="A407" t="s">
        <v>10</v>
      </c>
      <c r="B407">
        <v>1986</v>
      </c>
      <c r="C407" s="3">
        <v>1986.0833333282201</v>
      </c>
      <c r="D407">
        <v>26.6</v>
      </c>
      <c r="E407" s="1">
        <v>31444</v>
      </c>
      <c r="F407" s="2">
        <f>STANDARDIZE(D407,H$11,I$11)</f>
        <v>-0.58761173593345406</v>
      </c>
      <c r="U407" s="1"/>
    </row>
    <row r="408" spans="1:21" x14ac:dyDescent="0.3">
      <c r="A408" t="s">
        <v>9</v>
      </c>
      <c r="B408">
        <v>1986</v>
      </c>
      <c r="C408" s="3">
        <v>1986.1666666615799</v>
      </c>
      <c r="D408">
        <v>27</v>
      </c>
      <c r="E408" s="1">
        <v>31472</v>
      </c>
      <c r="F408" s="2">
        <f>STANDARDIZE(D408,H$12,I$12)</f>
        <v>-0.418378898900372</v>
      </c>
      <c r="U408" s="1"/>
    </row>
    <row r="409" spans="1:21" x14ac:dyDescent="0.3">
      <c r="A409" t="s">
        <v>8</v>
      </c>
      <c r="B409">
        <v>1986</v>
      </c>
      <c r="C409" s="3">
        <v>1986.24999999494</v>
      </c>
      <c r="D409">
        <v>27.6</v>
      </c>
      <c r="E409" s="1">
        <v>31503</v>
      </c>
      <c r="F409" s="2">
        <f>STANDARDIZE(D409,H$13,I$13)</f>
        <v>-0.17932072805234356</v>
      </c>
      <c r="U409" s="1"/>
    </row>
    <row r="410" spans="1:21" x14ac:dyDescent="0.3">
      <c r="A410" t="s">
        <v>7</v>
      </c>
      <c r="B410">
        <v>1986</v>
      </c>
      <c r="C410" s="3">
        <v>1986.3333333282999</v>
      </c>
      <c r="D410">
        <v>28.3</v>
      </c>
      <c r="E410" s="1">
        <v>31533</v>
      </c>
      <c r="F410" s="2">
        <f>STANDARDIZE(D410,H$14,I$14)</f>
        <v>0.32473894272284271</v>
      </c>
      <c r="U410" s="1"/>
    </row>
    <row r="411" spans="1:21" x14ac:dyDescent="0.3">
      <c r="A411" t="s">
        <v>6</v>
      </c>
      <c r="B411">
        <v>1986</v>
      </c>
      <c r="C411" s="3">
        <v>1986.41666666166</v>
      </c>
      <c r="D411">
        <v>28.4</v>
      </c>
      <c r="E411" s="1">
        <v>31564</v>
      </c>
      <c r="F411" s="2">
        <f>STANDARDIZE(D411,H$15,I$15)</f>
        <v>0.11004966869475344</v>
      </c>
      <c r="U411" s="1"/>
    </row>
    <row r="412" spans="1:21" x14ac:dyDescent="0.3">
      <c r="A412" t="s">
        <v>5</v>
      </c>
      <c r="B412">
        <v>1986</v>
      </c>
      <c r="C412" s="3">
        <v>1986.4999999950201</v>
      </c>
      <c r="D412">
        <v>28.3</v>
      </c>
      <c r="E412" s="1">
        <v>31594</v>
      </c>
      <c r="F412" s="2">
        <f>STANDARDIZE(D412,H$16,I$16)</f>
        <v>0.23720580375166916</v>
      </c>
      <c r="U412" s="1"/>
    </row>
    <row r="413" spans="1:21" x14ac:dyDescent="0.3">
      <c r="A413" t="s">
        <v>4</v>
      </c>
      <c r="B413">
        <v>1986</v>
      </c>
      <c r="C413" s="3">
        <v>1986.5833333283799</v>
      </c>
      <c r="D413">
        <v>28.4</v>
      </c>
      <c r="E413" s="1">
        <v>31625</v>
      </c>
      <c r="F413" s="2">
        <f>STANDARDIZE(D413,H$17,I$17)</f>
        <v>0.4701545792605305</v>
      </c>
      <c r="U413" s="1"/>
    </row>
    <row r="414" spans="1:21" x14ac:dyDescent="0.3">
      <c r="A414" t="s">
        <v>3</v>
      </c>
      <c r="B414">
        <v>1986</v>
      </c>
      <c r="C414" s="3">
        <v>1986.66666666174</v>
      </c>
      <c r="D414">
        <v>28.3</v>
      </c>
      <c r="E414" s="1">
        <v>31656</v>
      </c>
      <c r="F414" s="2">
        <f>STANDARDIZE(D414,H$18,I$18)</f>
        <v>0.19156108276765069</v>
      </c>
      <c r="U414" s="1"/>
    </row>
    <row r="415" spans="1:21" x14ac:dyDescent="0.3">
      <c r="A415" t="s">
        <v>2</v>
      </c>
      <c r="B415">
        <v>1986</v>
      </c>
      <c r="C415" s="3">
        <v>1986.7499999951001</v>
      </c>
      <c r="D415">
        <v>27.6</v>
      </c>
      <c r="E415" s="1">
        <v>31686</v>
      </c>
      <c r="F415" s="2">
        <f>STANDARDIZE(D415,H$19,I$19)</f>
        <v>-0.64878987551216238</v>
      </c>
      <c r="U415" s="1"/>
    </row>
    <row r="416" spans="1:21" x14ac:dyDescent="0.3">
      <c r="A416" t="s">
        <v>1</v>
      </c>
      <c r="B416">
        <v>1986</v>
      </c>
      <c r="C416" s="3">
        <v>1986.83333332846</v>
      </c>
      <c r="D416">
        <v>27.9</v>
      </c>
      <c r="E416" s="1">
        <v>31717</v>
      </c>
      <c r="F416" s="2">
        <f>STANDARDIZE(D416,H$20,I$20)</f>
        <v>0.12065492178079455</v>
      </c>
      <c r="U416" s="1"/>
    </row>
    <row r="417" spans="1:21" x14ac:dyDescent="0.3">
      <c r="A417" t="s">
        <v>0</v>
      </c>
      <c r="B417">
        <v>1986</v>
      </c>
      <c r="C417" s="3">
        <v>1986.91666666182</v>
      </c>
      <c r="D417">
        <v>27.1</v>
      </c>
      <c r="E417" s="1">
        <v>31747</v>
      </c>
      <c r="F417" s="2">
        <f>STANDARDIZE(D417,H$21,I$21)</f>
        <v>-0.50294987810084812</v>
      </c>
      <c r="U417" s="1"/>
    </row>
    <row r="418" spans="1:21" x14ac:dyDescent="0.3">
      <c r="A418" t="s">
        <v>11</v>
      </c>
      <c r="B418">
        <v>1987</v>
      </c>
      <c r="C418" s="3">
        <v>1986.9999999951799</v>
      </c>
      <c r="D418">
        <v>27.1</v>
      </c>
      <c r="E418" s="1">
        <v>31778</v>
      </c>
      <c r="F418" s="2">
        <f>STANDARDIZE(D418,H$10,I$10)</f>
        <v>0.22200190269612233</v>
      </c>
      <c r="U418" s="1"/>
    </row>
    <row r="419" spans="1:21" x14ac:dyDescent="0.3">
      <c r="A419" t="s">
        <v>10</v>
      </c>
      <c r="B419">
        <v>1987</v>
      </c>
      <c r="C419" s="3">
        <v>1987.08333332854</v>
      </c>
      <c r="D419">
        <v>27.4</v>
      </c>
      <c r="E419" s="1">
        <v>31809</v>
      </c>
      <c r="F419" s="2">
        <f>STANDARDIZE(D419,H$11,I$11)</f>
        <v>0.97069563007785931</v>
      </c>
      <c r="U419" s="1"/>
    </row>
    <row r="420" spans="1:21" x14ac:dyDescent="0.3">
      <c r="A420" t="s">
        <v>9</v>
      </c>
      <c r="B420">
        <v>1987</v>
      </c>
      <c r="C420" s="3">
        <v>1987.1666666619001</v>
      </c>
      <c r="D420">
        <v>27.6</v>
      </c>
      <c r="E420" s="1">
        <v>31837</v>
      </c>
      <c r="F420" s="2">
        <f>STANDARDIZE(D420,H$12,I$12)</f>
        <v>0.64229999972023755</v>
      </c>
      <c r="U420" s="1"/>
    </row>
    <row r="421" spans="1:21" x14ac:dyDescent="0.3">
      <c r="A421" t="s">
        <v>8</v>
      </c>
      <c r="B421">
        <v>1987</v>
      </c>
      <c r="C421" s="3">
        <v>1987.2499999952599</v>
      </c>
      <c r="D421">
        <v>28.1</v>
      </c>
      <c r="E421" s="1">
        <v>31868</v>
      </c>
      <c r="F421" s="2">
        <f>STANDARDIZE(D421,H$13,I$13)</f>
        <v>0.87550708402025501</v>
      </c>
      <c r="U421" s="1"/>
    </row>
    <row r="422" spans="1:21" x14ac:dyDescent="0.3">
      <c r="A422" t="s">
        <v>7</v>
      </c>
      <c r="B422">
        <v>1987</v>
      </c>
      <c r="C422" s="3">
        <v>1987.33333332862</v>
      </c>
      <c r="D422">
        <v>28.1</v>
      </c>
      <c r="E422" s="1">
        <v>31898</v>
      </c>
      <c r="F422" s="2">
        <f>STANDARDIZE(D422,H$14,I$14)</f>
        <v>-0.20907849736951745</v>
      </c>
      <c r="U422" s="1"/>
    </row>
    <row r="423" spans="1:21" x14ac:dyDescent="0.3">
      <c r="A423" t="s">
        <v>6</v>
      </c>
      <c r="B423">
        <v>1987</v>
      </c>
      <c r="C423" s="3">
        <v>1987.4166666619799</v>
      </c>
      <c r="D423">
        <v>29.3</v>
      </c>
      <c r="E423" s="1">
        <v>31929</v>
      </c>
      <c r="F423" s="2">
        <f>STANDARDIZE(D423,H$15,I$15)</f>
        <v>2.2324361363792806</v>
      </c>
      <c r="U423" s="1"/>
    </row>
    <row r="424" spans="1:21" x14ac:dyDescent="0.3">
      <c r="A424" t="s">
        <v>5</v>
      </c>
      <c r="B424">
        <v>1987</v>
      </c>
      <c r="C424" s="3">
        <v>1987.49999999534</v>
      </c>
      <c r="D424">
        <v>28.7</v>
      </c>
      <c r="E424" s="1">
        <v>31959</v>
      </c>
      <c r="F424" s="2">
        <f>STANDARDIZE(D424,H$16,I$16)</f>
        <v>1.3113452924384092</v>
      </c>
      <c r="U424" s="1"/>
    </row>
    <row r="425" spans="1:21" x14ac:dyDescent="0.3">
      <c r="A425" t="s">
        <v>4</v>
      </c>
      <c r="B425">
        <v>1987</v>
      </c>
      <c r="C425" s="3">
        <v>1987.5833333287001</v>
      </c>
      <c r="D425">
        <v>28.7</v>
      </c>
      <c r="E425" s="1">
        <v>31990</v>
      </c>
      <c r="F425" s="2">
        <f>STANDARDIZE(D425,H$17,I$17)</f>
        <v>1.0970273516078821</v>
      </c>
      <c r="U425" s="1"/>
    </row>
    <row r="426" spans="1:21" x14ac:dyDescent="0.3">
      <c r="A426" t="s">
        <v>3</v>
      </c>
      <c r="B426">
        <v>1987</v>
      </c>
      <c r="C426" s="3">
        <v>1987.6666666620599</v>
      </c>
      <c r="D426">
        <v>28</v>
      </c>
      <c r="E426" s="1">
        <v>32021</v>
      </c>
      <c r="F426" s="2">
        <f>STANDARDIZE(D426,H$18,I$18)</f>
        <v>-0.48453685641225946</v>
      </c>
      <c r="U426" s="1"/>
    </row>
    <row r="427" spans="1:21" x14ac:dyDescent="0.3">
      <c r="A427" t="s">
        <v>2</v>
      </c>
      <c r="B427">
        <v>1987</v>
      </c>
      <c r="C427" s="3">
        <v>1987.74999999543</v>
      </c>
      <c r="D427">
        <v>27.7</v>
      </c>
      <c r="E427" s="1">
        <v>32051</v>
      </c>
      <c r="F427" s="2">
        <f>STANDARDIZE(D427,H$19,I$19)</f>
        <v>-0.44075399151641997</v>
      </c>
      <c r="U427" s="1"/>
    </row>
    <row r="428" spans="1:21" x14ac:dyDescent="0.3">
      <c r="A428" t="s">
        <v>1</v>
      </c>
      <c r="B428">
        <v>1987</v>
      </c>
      <c r="C428" s="3">
        <v>1987.8333333287901</v>
      </c>
      <c r="D428">
        <v>27.8</v>
      </c>
      <c r="E428" s="1">
        <v>32082</v>
      </c>
      <c r="F428" s="2">
        <f>STANDARDIZE(D428,H$20,I$20)</f>
        <v>-5.731108784587409E-2</v>
      </c>
      <c r="U428" s="1"/>
    </row>
    <row r="429" spans="1:21" x14ac:dyDescent="0.3">
      <c r="A429" t="s">
        <v>0</v>
      </c>
      <c r="B429">
        <v>1987</v>
      </c>
      <c r="C429" s="3">
        <v>1987.9166666621497</v>
      </c>
      <c r="D429">
        <v>27.1</v>
      </c>
      <c r="E429" s="1">
        <v>32112</v>
      </c>
      <c r="F429" s="2">
        <f>STANDARDIZE(D429,H$21,I$21)</f>
        <v>-0.50294987810084812</v>
      </c>
      <c r="U429" s="1"/>
    </row>
    <row r="430" spans="1:21" x14ac:dyDescent="0.3">
      <c r="A430" t="s">
        <v>11</v>
      </c>
      <c r="B430">
        <v>1988</v>
      </c>
      <c r="C430" s="3">
        <v>1987.9999999955098</v>
      </c>
      <c r="D430">
        <v>26.7</v>
      </c>
      <c r="E430" s="1">
        <v>32143</v>
      </c>
      <c r="F430" s="2">
        <f>STANDARDIZE(D430,H$10,I$10)</f>
        <v>-0.4765640844543701</v>
      </c>
      <c r="U430" s="1"/>
    </row>
    <row r="431" spans="1:21" x14ac:dyDescent="0.3">
      <c r="A431" t="s">
        <v>10</v>
      </c>
      <c r="B431">
        <v>1988</v>
      </c>
      <c r="C431" s="3">
        <v>1988.0833333288699</v>
      </c>
      <c r="D431">
        <v>26.7</v>
      </c>
      <c r="E431" s="1">
        <v>32174</v>
      </c>
      <c r="F431" s="2">
        <f>STANDARDIZE(D431,H$11,I$11)</f>
        <v>-0.39282331518204333</v>
      </c>
      <c r="U431" s="1"/>
    </row>
    <row r="432" spans="1:21" x14ac:dyDescent="0.3">
      <c r="A432" t="s">
        <v>9</v>
      </c>
      <c r="B432">
        <v>1988</v>
      </c>
      <c r="C432" s="3">
        <v>1988.1666666622298</v>
      </c>
      <c r="D432">
        <v>27</v>
      </c>
      <c r="E432" s="1">
        <v>32203</v>
      </c>
      <c r="F432" s="2">
        <f>STANDARDIZE(D432,H$12,I$12)</f>
        <v>-0.418378898900372</v>
      </c>
      <c r="U432" s="1"/>
    </row>
    <row r="433" spans="1:21" x14ac:dyDescent="0.3">
      <c r="A433" t="s">
        <v>8</v>
      </c>
      <c r="B433">
        <v>1988</v>
      </c>
      <c r="C433" s="3">
        <v>1988.2499999955899</v>
      </c>
      <c r="D433">
        <v>27.3</v>
      </c>
      <c r="E433" s="1">
        <v>32234</v>
      </c>
      <c r="F433" s="2">
        <f>STANDARDIZE(D433,H$13,I$13)</f>
        <v>-0.81221741529590419</v>
      </c>
      <c r="U433" s="1"/>
    </row>
    <row r="434" spans="1:21" x14ac:dyDescent="0.3">
      <c r="A434" t="s">
        <v>7</v>
      </c>
      <c r="B434">
        <v>1988</v>
      </c>
      <c r="C434" s="3">
        <v>1988.3333333289497</v>
      </c>
      <c r="D434">
        <v>28</v>
      </c>
      <c r="E434" s="1">
        <v>32264</v>
      </c>
      <c r="F434" s="2">
        <f>STANDARDIZE(D434,H$14,I$14)</f>
        <v>-0.47598721741570227</v>
      </c>
      <c r="U434" s="1"/>
    </row>
    <row r="435" spans="1:21" x14ac:dyDescent="0.3">
      <c r="A435" t="s">
        <v>6</v>
      </c>
      <c r="B435">
        <v>1988</v>
      </c>
      <c r="C435" s="3">
        <v>1988.4166666623098</v>
      </c>
      <c r="D435">
        <v>28.2</v>
      </c>
      <c r="E435" s="1">
        <v>32295</v>
      </c>
      <c r="F435" s="2">
        <f>STANDARDIZE(D435,H$15,I$15)</f>
        <v>-0.36159176856847203</v>
      </c>
      <c r="U435" s="1"/>
    </row>
    <row r="436" spans="1:21" x14ac:dyDescent="0.3">
      <c r="A436" t="s">
        <v>5</v>
      </c>
      <c r="B436">
        <v>1988</v>
      </c>
      <c r="C436" s="3">
        <v>1988.4999999956699</v>
      </c>
      <c r="D436">
        <v>28</v>
      </c>
      <c r="E436" s="1">
        <v>32325</v>
      </c>
      <c r="F436" s="2">
        <f>STANDARDIZE(D436,H$16,I$16)</f>
        <v>-0.56839881276339066</v>
      </c>
      <c r="U436" s="1"/>
    </row>
    <row r="437" spans="1:21" x14ac:dyDescent="0.3">
      <c r="A437" t="s">
        <v>4</v>
      </c>
      <c r="B437">
        <v>1988</v>
      </c>
      <c r="C437" s="3">
        <v>1988.5833333290298</v>
      </c>
      <c r="D437">
        <v>27.9</v>
      </c>
      <c r="E437" s="1">
        <v>32356</v>
      </c>
      <c r="F437" s="2">
        <f>STANDARDIZE(D437,H$17,I$17)</f>
        <v>-0.57463337465171993</v>
      </c>
      <c r="U437" s="1"/>
    </row>
    <row r="438" spans="1:21" x14ac:dyDescent="0.3">
      <c r="A438" t="s">
        <v>3</v>
      </c>
      <c r="B438">
        <v>1988</v>
      </c>
      <c r="C438" s="3">
        <v>1988.6666666623898</v>
      </c>
      <c r="D438">
        <v>27.9</v>
      </c>
      <c r="E438" s="1">
        <v>32387</v>
      </c>
      <c r="F438" s="2">
        <f>STANDARDIZE(D438,H$18,I$18)</f>
        <v>-0.70990283613889893</v>
      </c>
      <c r="U438" s="1"/>
    </row>
    <row r="439" spans="1:21" x14ac:dyDescent="0.3">
      <c r="A439" t="s">
        <v>2</v>
      </c>
      <c r="B439">
        <v>1988</v>
      </c>
      <c r="C439" s="3">
        <v>1988.7499999957499</v>
      </c>
      <c r="D439">
        <v>27.7</v>
      </c>
      <c r="E439" s="1">
        <v>32417</v>
      </c>
      <c r="F439" s="2">
        <f>STANDARDIZE(D439,H$19,I$19)</f>
        <v>-0.44075399151641997</v>
      </c>
      <c r="U439" s="1"/>
    </row>
    <row r="440" spans="1:21" x14ac:dyDescent="0.3">
      <c r="A440" t="s">
        <v>1</v>
      </c>
      <c r="B440">
        <v>1988</v>
      </c>
      <c r="C440" s="3">
        <v>1988.8333333291098</v>
      </c>
      <c r="D440">
        <v>27.7</v>
      </c>
      <c r="E440" s="1">
        <v>32448</v>
      </c>
      <c r="F440" s="2">
        <f>STANDARDIZE(D440,H$20,I$20)</f>
        <v>-0.23527709747254905</v>
      </c>
      <c r="U440" s="1"/>
    </row>
    <row r="441" spans="1:21" x14ac:dyDescent="0.3">
      <c r="A441" t="s">
        <v>0</v>
      </c>
      <c r="B441">
        <v>1988</v>
      </c>
      <c r="C441" s="3">
        <v>1988.9166666624699</v>
      </c>
      <c r="D441">
        <v>27</v>
      </c>
      <c r="E441" s="1">
        <v>32478</v>
      </c>
      <c r="F441" s="2">
        <f>STANDARDIZE(D441,H$21,I$21)</f>
        <v>-0.67059983746779961</v>
      </c>
      <c r="U441" s="1"/>
    </row>
    <row r="442" spans="1:21" x14ac:dyDescent="0.3">
      <c r="A442" t="s">
        <v>11</v>
      </c>
      <c r="B442">
        <v>1989</v>
      </c>
      <c r="C442" s="3">
        <v>1988.9999999958297</v>
      </c>
      <c r="D442">
        <v>26.7</v>
      </c>
      <c r="E442" s="1">
        <v>32509</v>
      </c>
      <c r="F442" s="2">
        <f>STANDARDIZE(D442,H$10,I$10)</f>
        <v>-0.4765640844543701</v>
      </c>
      <c r="U442" s="1"/>
    </row>
    <row r="443" spans="1:21" x14ac:dyDescent="0.3">
      <c r="A443" t="s">
        <v>10</v>
      </c>
      <c r="B443">
        <v>1989</v>
      </c>
      <c r="C443" s="3">
        <v>1989.0833333291898</v>
      </c>
      <c r="D443">
        <v>26.7</v>
      </c>
      <c r="E443" s="1">
        <v>32540</v>
      </c>
      <c r="F443" s="2">
        <f>STANDARDIZE(D443,H$11,I$11)</f>
        <v>-0.39282331518204333</v>
      </c>
      <c r="U443" s="1"/>
    </row>
    <row r="444" spans="1:21" x14ac:dyDescent="0.3">
      <c r="A444" t="s">
        <v>9</v>
      </c>
      <c r="B444">
        <v>1989</v>
      </c>
      <c r="C444" s="3">
        <v>1989.1666666625499</v>
      </c>
      <c r="D444">
        <v>27</v>
      </c>
      <c r="E444" s="1">
        <v>32568</v>
      </c>
      <c r="F444" s="2">
        <f>STANDARDIZE(D444,H$12,I$12)</f>
        <v>-0.418378898900372</v>
      </c>
      <c r="U444" s="1"/>
    </row>
    <row r="445" spans="1:21" x14ac:dyDescent="0.3">
      <c r="A445" t="s">
        <v>8</v>
      </c>
      <c r="B445">
        <v>1989</v>
      </c>
      <c r="C445" s="3">
        <v>1989.2499999959098</v>
      </c>
      <c r="D445">
        <v>27.4</v>
      </c>
      <c r="E445" s="1">
        <v>32599</v>
      </c>
      <c r="F445" s="2">
        <f>STANDARDIZE(D445,H$13,I$13)</f>
        <v>-0.60125185288138894</v>
      </c>
      <c r="U445" s="1"/>
    </row>
    <row r="446" spans="1:21" x14ac:dyDescent="0.3">
      <c r="A446" t="s">
        <v>7</v>
      </c>
      <c r="B446">
        <v>1989</v>
      </c>
      <c r="C446" s="3">
        <v>1989.3333333292699</v>
      </c>
      <c r="D446">
        <v>28</v>
      </c>
      <c r="E446" s="1">
        <v>32629</v>
      </c>
      <c r="F446" s="2">
        <f>STANDARDIZE(D446,H$14,I$14)</f>
        <v>-0.47598721741570227</v>
      </c>
      <c r="U446" s="1"/>
    </row>
    <row r="447" spans="1:21" x14ac:dyDescent="0.3">
      <c r="A447" t="s">
        <v>6</v>
      </c>
      <c r="B447">
        <v>1989</v>
      </c>
      <c r="C447" s="3">
        <v>1989.41666666263</v>
      </c>
      <c r="D447">
        <v>28.3</v>
      </c>
      <c r="E447" s="1">
        <v>32660</v>
      </c>
      <c r="F447" s="2">
        <f>STANDARDIZE(D447,H$15,I$15)</f>
        <v>-0.12577104993685509</v>
      </c>
      <c r="U447" s="1"/>
    </row>
    <row r="448" spans="1:21" x14ac:dyDescent="0.3">
      <c r="A448" t="s">
        <v>5</v>
      </c>
      <c r="B448">
        <v>1989</v>
      </c>
      <c r="C448" s="3">
        <v>1989.4999999959898</v>
      </c>
      <c r="D448">
        <v>28</v>
      </c>
      <c r="E448" s="1">
        <v>32690</v>
      </c>
      <c r="F448" s="2">
        <f>STANDARDIZE(D448,H$16,I$16)</f>
        <v>-0.56839881276339066</v>
      </c>
      <c r="U448" s="1"/>
    </row>
    <row r="449" spans="1:21" x14ac:dyDescent="0.3">
      <c r="A449" t="s">
        <v>4</v>
      </c>
      <c r="B449">
        <v>1989</v>
      </c>
      <c r="C449" s="3">
        <v>1989.5833333293499</v>
      </c>
      <c r="D449">
        <v>27.9</v>
      </c>
      <c r="E449" s="1">
        <v>32721</v>
      </c>
      <c r="F449" s="2">
        <f>STANDARDIZE(D449,H$17,I$17)</f>
        <v>-0.57463337465171993</v>
      </c>
      <c r="U449" s="1"/>
    </row>
    <row r="450" spans="1:21" x14ac:dyDescent="0.3">
      <c r="A450" t="s">
        <v>3</v>
      </c>
      <c r="B450">
        <v>1989</v>
      </c>
      <c r="C450" s="3">
        <v>1989.6666666627098</v>
      </c>
      <c r="D450">
        <v>27.9</v>
      </c>
      <c r="E450" s="1">
        <v>32752</v>
      </c>
      <c r="F450" s="2">
        <f>STANDARDIZE(D450,H$18,I$18)</f>
        <v>-0.70990283613889893</v>
      </c>
      <c r="U450" s="1"/>
    </row>
    <row r="451" spans="1:21" x14ac:dyDescent="0.3">
      <c r="A451" t="s">
        <v>2</v>
      </c>
      <c r="B451">
        <v>1989</v>
      </c>
      <c r="C451" s="3">
        <v>1989.7499999960698</v>
      </c>
      <c r="D451">
        <v>27.6</v>
      </c>
      <c r="E451" s="1">
        <v>32782</v>
      </c>
      <c r="F451" s="2">
        <f>STANDARDIZE(D451,H$19,I$19)</f>
        <v>-0.64878987551216238</v>
      </c>
      <c r="U451" s="1"/>
    </row>
    <row r="452" spans="1:21" x14ac:dyDescent="0.3">
      <c r="A452" t="s">
        <v>1</v>
      </c>
      <c r="B452">
        <v>1989</v>
      </c>
      <c r="C452" s="3">
        <v>1989.8333333294299</v>
      </c>
      <c r="D452">
        <v>27.7</v>
      </c>
      <c r="E452" s="1">
        <v>32813</v>
      </c>
      <c r="F452" s="2">
        <f>STANDARDIZE(D452,H$20,I$20)</f>
        <v>-0.23527709747254905</v>
      </c>
      <c r="U452" s="1"/>
    </row>
    <row r="453" spans="1:21" x14ac:dyDescent="0.3">
      <c r="A453" t="s">
        <v>0</v>
      </c>
      <c r="B453">
        <v>1989</v>
      </c>
      <c r="C453" s="3">
        <v>1989.9166666627898</v>
      </c>
      <c r="D453">
        <v>27.7</v>
      </c>
      <c r="E453" s="1">
        <v>32843</v>
      </c>
      <c r="F453" s="2">
        <f>STANDARDIZE(D453,H$21,I$21)</f>
        <v>0.50294987810084224</v>
      </c>
      <c r="U453" s="1"/>
    </row>
    <row r="454" spans="1:21" x14ac:dyDescent="0.3">
      <c r="A454" t="s">
        <v>11</v>
      </c>
      <c r="B454">
        <v>1990</v>
      </c>
      <c r="C454" s="3">
        <v>1989.9999999961499</v>
      </c>
      <c r="D454">
        <v>26.6</v>
      </c>
      <c r="E454" s="1">
        <v>32874</v>
      </c>
      <c r="F454" s="2">
        <f>STANDARDIZE(D454,H$10,I$10)</f>
        <v>-0.65120558124198857</v>
      </c>
      <c r="U454" s="1"/>
    </row>
    <row r="455" spans="1:21" x14ac:dyDescent="0.3">
      <c r="A455" t="s">
        <v>10</v>
      </c>
      <c r="B455">
        <v>1990</v>
      </c>
      <c r="C455" s="3">
        <v>1990.08333332951</v>
      </c>
      <c r="D455">
        <v>26.7</v>
      </c>
      <c r="E455" s="1">
        <v>32905</v>
      </c>
      <c r="F455" s="2">
        <f>STANDARDIZE(D455,H$11,I$11)</f>
        <v>-0.39282331518204333</v>
      </c>
      <c r="U455" s="1"/>
    </row>
    <row r="456" spans="1:21" x14ac:dyDescent="0.3">
      <c r="A456" t="s">
        <v>9</v>
      </c>
      <c r="B456">
        <v>1990</v>
      </c>
      <c r="C456" s="3">
        <v>1990.1666666628698</v>
      </c>
      <c r="D456">
        <v>27</v>
      </c>
      <c r="E456" s="1">
        <v>32933</v>
      </c>
      <c r="F456" s="2">
        <f>STANDARDIZE(D456,H$12,I$12)</f>
        <v>-0.418378898900372</v>
      </c>
      <c r="U456" s="1"/>
    </row>
    <row r="457" spans="1:21" x14ac:dyDescent="0.3">
      <c r="A457" t="s">
        <v>8</v>
      </c>
      <c r="B457">
        <v>1990</v>
      </c>
      <c r="C457" s="3">
        <v>1990.2499999962299</v>
      </c>
      <c r="D457">
        <v>27.3</v>
      </c>
      <c r="E457" s="1">
        <v>32964</v>
      </c>
      <c r="F457" s="2">
        <f>STANDARDIZE(D457,H$13,I$13)</f>
        <v>-0.81221741529590419</v>
      </c>
      <c r="U457" s="1"/>
    </row>
    <row r="458" spans="1:21" x14ac:dyDescent="0.3">
      <c r="A458" t="s">
        <v>7</v>
      </c>
      <c r="B458">
        <v>1990</v>
      </c>
      <c r="C458" s="3">
        <v>1990.3333333295898</v>
      </c>
      <c r="D458">
        <v>27.9</v>
      </c>
      <c r="E458" s="1">
        <v>32994</v>
      </c>
      <c r="F458" s="2">
        <f>STANDARDIZE(D458,H$14,I$14)</f>
        <v>-0.74289593746188709</v>
      </c>
      <c r="U458" s="1"/>
    </row>
    <row r="459" spans="1:21" x14ac:dyDescent="0.3">
      <c r="A459" t="s">
        <v>6</v>
      </c>
      <c r="B459">
        <v>1990</v>
      </c>
      <c r="C459" s="3">
        <v>1990.4166666629499</v>
      </c>
      <c r="D459">
        <v>28.2</v>
      </c>
      <c r="E459" s="1">
        <v>33025</v>
      </c>
      <c r="F459" s="2">
        <f>STANDARDIZE(D459,H$15,I$15)</f>
        <v>-0.36159176856847203</v>
      </c>
      <c r="U459" s="1"/>
    </row>
    <row r="460" spans="1:21" x14ac:dyDescent="0.3">
      <c r="A460" t="s">
        <v>5</v>
      </c>
      <c r="B460">
        <v>1990</v>
      </c>
      <c r="C460" s="3">
        <v>1990.49999999631</v>
      </c>
      <c r="D460">
        <v>28</v>
      </c>
      <c r="E460" s="1">
        <v>33055</v>
      </c>
      <c r="F460" s="2">
        <f>STANDARDIZE(D460,H$16,I$16)</f>
        <v>-0.56839881276339066</v>
      </c>
      <c r="U460" s="1"/>
    </row>
    <row r="461" spans="1:21" x14ac:dyDescent="0.3">
      <c r="A461" t="s">
        <v>4</v>
      </c>
      <c r="B461">
        <v>1990</v>
      </c>
      <c r="C461" s="3">
        <v>1990.5833333296698</v>
      </c>
      <c r="D461">
        <v>27.9</v>
      </c>
      <c r="E461" s="1">
        <v>33086</v>
      </c>
      <c r="F461" s="2">
        <f>STANDARDIZE(D461,H$17,I$17)</f>
        <v>-0.57463337465171993</v>
      </c>
      <c r="U461" s="1"/>
    </row>
    <row r="462" spans="1:21" x14ac:dyDescent="0.3">
      <c r="A462" t="s">
        <v>3</v>
      </c>
      <c r="B462">
        <v>1990</v>
      </c>
      <c r="C462" s="3">
        <v>1990.6666666630299</v>
      </c>
      <c r="D462">
        <v>27.9</v>
      </c>
      <c r="E462" s="1">
        <v>33117</v>
      </c>
      <c r="F462" s="2">
        <f>STANDARDIZE(D462,H$18,I$18)</f>
        <v>-0.70990283613889893</v>
      </c>
      <c r="U462" s="1"/>
    </row>
    <row r="463" spans="1:21" x14ac:dyDescent="0.3">
      <c r="A463" t="s">
        <v>2</v>
      </c>
      <c r="B463">
        <v>1990</v>
      </c>
      <c r="C463" s="3">
        <v>1990.74999999639</v>
      </c>
      <c r="D463">
        <v>27.6</v>
      </c>
      <c r="E463" s="1">
        <v>33147</v>
      </c>
      <c r="F463" s="2">
        <f>STANDARDIZE(D463,H$19,I$19)</f>
        <v>-0.64878987551216238</v>
      </c>
      <c r="U463" s="1"/>
    </row>
    <row r="464" spans="1:21" x14ac:dyDescent="0.3">
      <c r="A464" t="s">
        <v>1</v>
      </c>
      <c r="B464">
        <v>1990</v>
      </c>
      <c r="C464" s="3">
        <v>1990.8333333297498</v>
      </c>
      <c r="D464">
        <v>27.7</v>
      </c>
      <c r="E464" s="1">
        <v>33178</v>
      </c>
      <c r="F464" s="2">
        <f>STANDARDIZE(D464,H$20,I$20)</f>
        <v>-0.23527709747254905</v>
      </c>
      <c r="U464" s="1"/>
    </row>
    <row r="465" spans="1:21" x14ac:dyDescent="0.3">
      <c r="A465" t="s">
        <v>0</v>
      </c>
      <c r="B465">
        <v>1990</v>
      </c>
      <c r="C465" s="3">
        <v>1990.9166666631099</v>
      </c>
      <c r="D465">
        <v>26.9</v>
      </c>
      <c r="E465" s="1">
        <v>33208</v>
      </c>
      <c r="F465" s="2">
        <f>STANDARDIZE(D465,H$21,I$21)</f>
        <v>-0.83824979683475098</v>
      </c>
      <c r="U465" s="1"/>
    </row>
    <row r="466" spans="1:21" x14ac:dyDescent="0.3">
      <c r="A466" t="s">
        <v>11</v>
      </c>
      <c r="B466">
        <v>1991</v>
      </c>
      <c r="C466" s="3">
        <v>1990.9999999964698</v>
      </c>
      <c r="D466">
        <v>26.7</v>
      </c>
      <c r="E466" s="1">
        <v>33239</v>
      </c>
      <c r="F466" s="2">
        <f>STANDARDIZE(D466,H$10,I$10)</f>
        <v>-0.4765640844543701</v>
      </c>
      <c r="U466" s="1"/>
    </row>
    <row r="467" spans="1:21" x14ac:dyDescent="0.3">
      <c r="A467" t="s">
        <v>10</v>
      </c>
      <c r="B467">
        <v>1991</v>
      </c>
      <c r="C467" s="3">
        <v>1991.0833333298301</v>
      </c>
      <c r="D467">
        <v>26.7</v>
      </c>
      <c r="E467" s="1">
        <v>33270</v>
      </c>
      <c r="F467" s="2">
        <f>STANDARDIZE(D467,H$11,I$11)</f>
        <v>-0.39282331518204333</v>
      </c>
      <c r="U467" s="1"/>
    </row>
    <row r="468" spans="1:21" x14ac:dyDescent="0.3">
      <c r="A468" t="s">
        <v>9</v>
      </c>
      <c r="B468">
        <v>1991</v>
      </c>
      <c r="C468" s="3">
        <v>1991.16666666319</v>
      </c>
      <c r="D468">
        <v>27</v>
      </c>
      <c r="E468" s="1">
        <v>33298</v>
      </c>
      <c r="F468" s="2">
        <f>STANDARDIZE(D468,H$12,I$12)</f>
        <v>-0.418378898900372</v>
      </c>
      <c r="U468" s="1"/>
    </row>
    <row r="469" spans="1:21" x14ac:dyDescent="0.3">
      <c r="A469" t="s">
        <v>8</v>
      </c>
      <c r="B469">
        <v>1991</v>
      </c>
      <c r="C469" s="3">
        <v>1991.2499999965501</v>
      </c>
      <c r="D469">
        <v>27.6</v>
      </c>
      <c r="E469" s="1">
        <v>33329</v>
      </c>
      <c r="F469" s="2">
        <f>STANDARDIZE(D469,H$13,I$13)</f>
        <v>-0.17932072805234356</v>
      </c>
      <c r="U469" s="1"/>
    </row>
    <row r="470" spans="1:21" x14ac:dyDescent="0.3">
      <c r="A470" t="s">
        <v>7</v>
      </c>
      <c r="B470">
        <v>1991</v>
      </c>
      <c r="C470" s="3">
        <v>1991.3333333299099</v>
      </c>
      <c r="D470">
        <v>28.1</v>
      </c>
      <c r="E470" s="1">
        <v>33359</v>
      </c>
      <c r="F470" s="2">
        <f>STANDARDIZE(D470,H$14,I$14)</f>
        <v>-0.20907849736951745</v>
      </c>
      <c r="U470" s="1"/>
    </row>
    <row r="471" spans="1:21" x14ac:dyDescent="0.3">
      <c r="A471" t="s">
        <v>6</v>
      </c>
      <c r="B471">
        <v>1991</v>
      </c>
      <c r="C471" s="3">
        <v>1991.41666666327</v>
      </c>
      <c r="D471">
        <v>28.4</v>
      </c>
      <c r="E471" s="1">
        <v>33390</v>
      </c>
      <c r="F471" s="2">
        <f>STANDARDIZE(D471,H$15,I$15)</f>
        <v>0.11004966869475344</v>
      </c>
      <c r="U471" s="1"/>
    </row>
    <row r="472" spans="1:21" x14ac:dyDescent="0.3">
      <c r="A472" t="s">
        <v>5</v>
      </c>
      <c r="B472">
        <v>1991</v>
      </c>
      <c r="C472" s="3">
        <v>1991.4999999966301</v>
      </c>
      <c r="D472">
        <v>28.2</v>
      </c>
      <c r="E472" s="1">
        <v>33420</v>
      </c>
      <c r="F472" s="2">
        <f>STANDARDIZE(D472,H$16,I$16)</f>
        <v>-3.1329068420020617E-2</v>
      </c>
      <c r="U472" s="1"/>
    </row>
    <row r="473" spans="1:21" x14ac:dyDescent="0.3">
      <c r="A473" t="s">
        <v>4</v>
      </c>
      <c r="B473">
        <v>1991</v>
      </c>
      <c r="C473" s="3">
        <v>1991.58333332999</v>
      </c>
      <c r="D473">
        <v>28.4</v>
      </c>
      <c r="E473" s="1">
        <v>33451</v>
      </c>
      <c r="F473" s="2">
        <f>STANDARDIZE(D473,H$17,I$17)</f>
        <v>0.4701545792605305</v>
      </c>
      <c r="U473" s="1"/>
    </row>
    <row r="474" spans="1:21" x14ac:dyDescent="0.3">
      <c r="A474" t="s">
        <v>3</v>
      </c>
      <c r="B474">
        <v>1991</v>
      </c>
      <c r="C474" s="3">
        <v>1991.66666666335</v>
      </c>
      <c r="D474">
        <v>28.2</v>
      </c>
      <c r="E474" s="1">
        <v>33482</v>
      </c>
      <c r="F474" s="2">
        <f>STANDARDIZE(D474,H$18,I$18)</f>
        <v>-3.3804896958988702E-2</v>
      </c>
      <c r="U474" s="1"/>
    </row>
    <row r="475" spans="1:21" x14ac:dyDescent="0.3">
      <c r="A475" t="s">
        <v>2</v>
      </c>
      <c r="B475">
        <v>1991</v>
      </c>
      <c r="C475" s="3">
        <v>1991.7499999967099</v>
      </c>
      <c r="D475">
        <v>27.8</v>
      </c>
      <c r="E475" s="1">
        <v>33512</v>
      </c>
      <c r="F475" s="2">
        <f>STANDARDIZE(D475,H$19,I$19)</f>
        <v>-0.23271810752067018</v>
      </c>
      <c r="U475" s="1"/>
    </row>
    <row r="476" spans="1:21" x14ac:dyDescent="0.3">
      <c r="A476" t="s">
        <v>1</v>
      </c>
      <c r="B476">
        <v>1991</v>
      </c>
      <c r="C476" s="3">
        <v>1991.83333333007</v>
      </c>
      <c r="D476">
        <v>27.7</v>
      </c>
      <c r="E476" s="1">
        <v>33543</v>
      </c>
      <c r="F476" s="2">
        <f>STANDARDIZE(D476,H$20,I$20)</f>
        <v>-0.23527709747254905</v>
      </c>
      <c r="U476" s="1"/>
    </row>
    <row r="477" spans="1:21" x14ac:dyDescent="0.3">
      <c r="A477" t="s">
        <v>0</v>
      </c>
      <c r="B477">
        <v>1991</v>
      </c>
      <c r="C477" s="3">
        <v>1991.9166666634301</v>
      </c>
      <c r="D477">
        <v>26.7</v>
      </c>
      <c r="E477" s="1">
        <v>33573</v>
      </c>
      <c r="F477" s="2">
        <f>STANDARDIZE(D477,H$21,I$21)</f>
        <v>-1.1735497155686476</v>
      </c>
      <c r="U477" s="1"/>
    </row>
    <row r="478" spans="1:21" x14ac:dyDescent="0.3">
      <c r="A478" t="s">
        <v>11</v>
      </c>
      <c r="B478">
        <v>1992</v>
      </c>
      <c r="C478" s="3">
        <v>1991.9999999967899</v>
      </c>
      <c r="D478">
        <v>26.6</v>
      </c>
      <c r="E478" s="1">
        <v>33604</v>
      </c>
      <c r="F478" s="2">
        <f>STANDARDIZE(D478,H$10,I$10)</f>
        <v>-0.65120558124198857</v>
      </c>
      <c r="U478" s="1"/>
    </row>
    <row r="479" spans="1:21" x14ac:dyDescent="0.3">
      <c r="A479" t="s">
        <v>10</v>
      </c>
      <c r="B479">
        <v>1992</v>
      </c>
      <c r="C479" s="3">
        <v>1992.08333333015</v>
      </c>
      <c r="D479">
        <v>27.1</v>
      </c>
      <c r="E479" s="1">
        <v>33635</v>
      </c>
      <c r="F479" s="2">
        <f>STANDARDIZE(D479,H$11,I$11)</f>
        <v>0.38633036782362029</v>
      </c>
      <c r="U479" s="1"/>
    </row>
    <row r="480" spans="1:21" x14ac:dyDescent="0.3">
      <c r="A480" t="s">
        <v>9</v>
      </c>
      <c r="B480">
        <v>1992</v>
      </c>
      <c r="C480" s="3">
        <v>1992.1666666635101</v>
      </c>
      <c r="D480">
        <v>27.4</v>
      </c>
      <c r="E480" s="1">
        <v>33664</v>
      </c>
      <c r="F480" s="2">
        <f>STANDARDIZE(D480,H$12,I$12)</f>
        <v>0.28874036684669685</v>
      </c>
      <c r="U480" s="1"/>
    </row>
    <row r="481" spans="1:21" x14ac:dyDescent="0.3">
      <c r="A481" t="s">
        <v>8</v>
      </c>
      <c r="B481">
        <v>1992</v>
      </c>
      <c r="C481" s="3">
        <v>1992.24999999687</v>
      </c>
      <c r="D481">
        <v>28.2</v>
      </c>
      <c r="E481" s="1">
        <v>33695</v>
      </c>
      <c r="F481" s="2">
        <f>STANDARDIZE(D481,H$13,I$13)</f>
        <v>1.0864726464347703</v>
      </c>
      <c r="U481" s="1"/>
    </row>
    <row r="482" spans="1:21" x14ac:dyDescent="0.3">
      <c r="A482" t="s">
        <v>7</v>
      </c>
      <c r="B482">
        <v>1992</v>
      </c>
      <c r="C482" s="3">
        <v>1992.3333333302301</v>
      </c>
      <c r="D482">
        <v>28.4</v>
      </c>
      <c r="E482" s="1">
        <v>33725</v>
      </c>
      <c r="F482" s="2">
        <f>STANDARDIZE(D482,H$14,I$14)</f>
        <v>0.59164766276901803</v>
      </c>
      <c r="U482" s="1"/>
    </row>
    <row r="483" spans="1:21" x14ac:dyDescent="0.3">
      <c r="A483" t="s">
        <v>6</v>
      </c>
      <c r="B483">
        <v>1992</v>
      </c>
      <c r="C483" s="3">
        <v>1992.4166666635899</v>
      </c>
      <c r="D483">
        <v>28.7</v>
      </c>
      <c r="E483" s="1">
        <v>33756</v>
      </c>
      <c r="F483" s="2">
        <f>STANDARDIZE(D483,H$15,I$15)</f>
        <v>0.81751182458959581</v>
      </c>
      <c r="U483" s="1"/>
    </row>
    <row r="484" spans="1:21" x14ac:dyDescent="0.3">
      <c r="A484" t="s">
        <v>5</v>
      </c>
      <c r="B484">
        <v>1992</v>
      </c>
      <c r="C484" s="3">
        <v>1992.49999999695</v>
      </c>
      <c r="D484">
        <v>27.9</v>
      </c>
      <c r="E484" s="1">
        <v>33786</v>
      </c>
      <c r="F484" s="2">
        <f>STANDARDIZE(D484,H$16,I$16)</f>
        <v>-0.83693368493508047</v>
      </c>
      <c r="U484" s="1"/>
    </row>
    <row r="485" spans="1:21" x14ac:dyDescent="0.3">
      <c r="A485" t="s">
        <v>4</v>
      </c>
      <c r="B485">
        <v>1992</v>
      </c>
      <c r="C485" s="3">
        <v>1992.5833333303101</v>
      </c>
      <c r="D485">
        <v>28</v>
      </c>
      <c r="E485" s="1">
        <v>33817</v>
      </c>
      <c r="F485" s="2">
        <f>STANDARDIZE(D485,H$17,I$17)</f>
        <v>-0.36567578386926686</v>
      </c>
      <c r="U485" s="1"/>
    </row>
    <row r="486" spans="1:21" x14ac:dyDescent="0.3">
      <c r="A486" t="s">
        <v>3</v>
      </c>
      <c r="B486">
        <v>1992</v>
      </c>
      <c r="C486" s="3">
        <v>1992.66666666367</v>
      </c>
      <c r="D486">
        <v>27.8</v>
      </c>
      <c r="E486" s="1">
        <v>33848</v>
      </c>
      <c r="F486" s="2">
        <f>STANDARDIZE(D486,H$18,I$18)</f>
        <v>-0.93526881586553023</v>
      </c>
      <c r="U486" s="1"/>
    </row>
    <row r="487" spans="1:21" x14ac:dyDescent="0.3">
      <c r="A487" t="s">
        <v>2</v>
      </c>
      <c r="B487">
        <v>1992</v>
      </c>
      <c r="C487" s="3">
        <v>1992.74999999703</v>
      </c>
      <c r="D487">
        <v>27.9</v>
      </c>
      <c r="E487" s="1">
        <v>33878</v>
      </c>
      <c r="F487" s="2">
        <f>STANDARDIZE(D487,H$19,I$19)</f>
        <v>-2.468222352492774E-2</v>
      </c>
      <c r="U487" s="1"/>
    </row>
    <row r="488" spans="1:21" x14ac:dyDescent="0.3">
      <c r="A488" t="s">
        <v>1</v>
      </c>
      <c r="B488">
        <v>1992</v>
      </c>
      <c r="C488" s="3">
        <v>1992.8333333303899</v>
      </c>
      <c r="D488">
        <v>27.9</v>
      </c>
      <c r="E488" s="1">
        <v>33909</v>
      </c>
      <c r="F488" s="2">
        <f>STANDARDIZE(D488,H$20,I$20)</f>
        <v>0.12065492178079455</v>
      </c>
      <c r="U488" s="1"/>
    </row>
    <row r="489" spans="1:21" x14ac:dyDescent="0.3">
      <c r="A489" t="s">
        <v>0</v>
      </c>
      <c r="B489">
        <v>1992</v>
      </c>
      <c r="C489" s="3">
        <v>1992.91666666375</v>
      </c>
      <c r="D489">
        <v>27.4</v>
      </c>
      <c r="E489" s="1">
        <v>33939</v>
      </c>
      <c r="F489" s="2">
        <f>STANDARDIZE(D489,H$21,I$21)</f>
        <v>-5.9561230389330787E-15</v>
      </c>
      <c r="U489" s="1"/>
    </row>
    <row r="490" spans="1:21" x14ac:dyDescent="0.3">
      <c r="A490" t="s">
        <v>11</v>
      </c>
      <c r="B490">
        <v>1993</v>
      </c>
      <c r="C490" s="3">
        <v>1992.9999999971101</v>
      </c>
      <c r="D490">
        <v>27.1</v>
      </c>
      <c r="E490" s="1">
        <v>33970</v>
      </c>
      <c r="F490" s="2">
        <f>STANDARDIZE(D490,H$10,I$10)</f>
        <v>0.22200190269612233</v>
      </c>
      <c r="U490" s="1"/>
    </row>
    <row r="491" spans="1:21" x14ac:dyDescent="0.3">
      <c r="A491" t="s">
        <v>10</v>
      </c>
      <c r="B491">
        <v>1993</v>
      </c>
      <c r="C491" s="3">
        <v>1993.0833333304699</v>
      </c>
      <c r="D491">
        <v>27</v>
      </c>
      <c r="E491" s="1">
        <v>34001</v>
      </c>
      <c r="F491" s="2">
        <f>STANDARDIZE(D491,H$11,I$11)</f>
        <v>0.19154194707220265</v>
      </c>
      <c r="U491" s="1"/>
    </row>
    <row r="492" spans="1:21" x14ac:dyDescent="0.3">
      <c r="A492" t="s">
        <v>9</v>
      </c>
      <c r="B492">
        <v>1993</v>
      </c>
      <c r="C492" s="3">
        <v>1993.16666666383</v>
      </c>
      <c r="D492">
        <v>27.3</v>
      </c>
      <c r="E492" s="1">
        <v>34029</v>
      </c>
      <c r="F492" s="2">
        <f>STANDARDIZE(D492,H$12,I$12)</f>
        <v>0.11196055040993279</v>
      </c>
      <c r="U492" s="1"/>
    </row>
    <row r="493" spans="1:21" x14ac:dyDescent="0.3">
      <c r="A493" t="s">
        <v>8</v>
      </c>
      <c r="B493">
        <v>1993</v>
      </c>
      <c r="C493" s="3">
        <v>1993.2499999971899</v>
      </c>
      <c r="D493">
        <v>27.9</v>
      </c>
      <c r="E493" s="1">
        <v>34060</v>
      </c>
      <c r="F493" s="2">
        <f>STANDARDIZE(D493,H$13,I$13)</f>
        <v>0.45357595919120958</v>
      </c>
      <c r="U493" s="1"/>
    </row>
    <row r="494" spans="1:21" x14ac:dyDescent="0.3">
      <c r="A494" t="s">
        <v>7</v>
      </c>
      <c r="B494">
        <v>1993</v>
      </c>
      <c r="C494" s="3">
        <v>1993.33333333055</v>
      </c>
      <c r="D494">
        <v>28.1</v>
      </c>
      <c r="E494" s="1">
        <v>34090</v>
      </c>
      <c r="F494" s="2">
        <f>STANDARDIZE(D494,H$14,I$14)</f>
        <v>-0.20907849736951745</v>
      </c>
      <c r="U494" s="1"/>
    </row>
    <row r="495" spans="1:21" x14ac:dyDescent="0.3">
      <c r="A495" t="s">
        <v>6</v>
      </c>
      <c r="B495">
        <v>1993</v>
      </c>
      <c r="C495" s="3">
        <v>1993.4166666639101</v>
      </c>
      <c r="D495">
        <v>28.6</v>
      </c>
      <c r="E495" s="1">
        <v>34121</v>
      </c>
      <c r="F495" s="2">
        <f>STANDARDIZE(D495,H$15,I$15)</f>
        <v>0.58169110595798723</v>
      </c>
      <c r="U495" s="1"/>
    </row>
    <row r="496" spans="1:21" x14ac:dyDescent="0.3">
      <c r="A496" t="s">
        <v>5</v>
      </c>
      <c r="B496">
        <v>1993</v>
      </c>
      <c r="C496" s="3">
        <v>1993.4999999972699</v>
      </c>
      <c r="D496">
        <v>28.2</v>
      </c>
      <c r="E496" s="1">
        <v>34151</v>
      </c>
      <c r="F496" s="2">
        <f>STANDARDIZE(D496,H$16,I$16)</f>
        <v>-3.1329068420020617E-2</v>
      </c>
      <c r="U496" s="1"/>
    </row>
    <row r="497" spans="1:21" x14ac:dyDescent="0.3">
      <c r="A497" t="s">
        <v>4</v>
      </c>
      <c r="B497">
        <v>1993</v>
      </c>
      <c r="C497" s="3">
        <v>1993.58333333063</v>
      </c>
      <c r="D497">
        <v>28.5</v>
      </c>
      <c r="E497" s="1">
        <v>34182</v>
      </c>
      <c r="F497" s="2">
        <f>STANDARDIZE(D497,H$17,I$17)</f>
        <v>0.67911217004298352</v>
      </c>
      <c r="U497" s="1"/>
    </row>
    <row r="498" spans="1:21" x14ac:dyDescent="0.3">
      <c r="A498" t="s">
        <v>3</v>
      </c>
      <c r="B498">
        <v>1993</v>
      </c>
      <c r="C498" s="3">
        <v>1993.6666666639901</v>
      </c>
      <c r="D498">
        <v>27.6</v>
      </c>
      <c r="E498" s="1">
        <v>34213</v>
      </c>
      <c r="F498" s="2">
        <f>STANDARDIZE(D498,H$18,I$18)</f>
        <v>-1.3860007753188011</v>
      </c>
      <c r="U498" s="1"/>
    </row>
    <row r="499" spans="1:21" x14ac:dyDescent="0.3">
      <c r="A499" t="s">
        <v>2</v>
      </c>
      <c r="B499">
        <v>1993</v>
      </c>
      <c r="C499" s="3">
        <v>1993.74999999735</v>
      </c>
      <c r="D499">
        <v>28.3</v>
      </c>
      <c r="E499" s="1">
        <v>34243</v>
      </c>
      <c r="F499" s="2">
        <f>STANDARDIZE(D499,H$19,I$19)</f>
        <v>0.80746131245806418</v>
      </c>
      <c r="U499" s="1"/>
    </row>
    <row r="500" spans="1:21" x14ac:dyDescent="0.3">
      <c r="A500" t="s">
        <v>1</v>
      </c>
      <c r="B500">
        <v>1993</v>
      </c>
      <c r="C500" s="3">
        <v>1993.83333333071</v>
      </c>
      <c r="D500">
        <v>27.5</v>
      </c>
      <c r="E500" s="1">
        <v>34274</v>
      </c>
      <c r="F500" s="2">
        <f>STANDARDIZE(D500,H$20,I$20)</f>
        <v>-0.5912091167258926</v>
      </c>
      <c r="U500" s="1"/>
    </row>
    <row r="501" spans="1:21" x14ac:dyDescent="0.3">
      <c r="A501" t="s">
        <v>0</v>
      </c>
      <c r="B501">
        <v>1993</v>
      </c>
      <c r="C501" s="3">
        <v>1993.9166666640699</v>
      </c>
      <c r="D501">
        <v>27.4</v>
      </c>
      <c r="E501" s="1">
        <v>34304</v>
      </c>
      <c r="F501" s="2">
        <f>STANDARDIZE(D501,H$21,I$21)</f>
        <v>-5.9561230389330787E-15</v>
      </c>
      <c r="U501" s="1"/>
    </row>
    <row r="502" spans="1:21" x14ac:dyDescent="0.3">
      <c r="A502" t="s">
        <v>11</v>
      </c>
      <c r="B502">
        <v>1994</v>
      </c>
      <c r="C502" s="3">
        <v>1993.99999999743</v>
      </c>
      <c r="D502">
        <v>26.5</v>
      </c>
      <c r="E502" s="1">
        <v>34335</v>
      </c>
      <c r="F502" s="2">
        <f>STANDARDIZE(D502,H$10,I$10)</f>
        <v>-0.82584707802961321</v>
      </c>
      <c r="U502" s="1"/>
    </row>
    <row r="503" spans="1:21" x14ac:dyDescent="0.3">
      <c r="A503" t="s">
        <v>10</v>
      </c>
      <c r="B503">
        <v>1994</v>
      </c>
      <c r="C503" s="3">
        <v>1994.0833333307901</v>
      </c>
      <c r="D503">
        <v>26.4</v>
      </c>
      <c r="E503" s="1">
        <v>34366</v>
      </c>
      <c r="F503" s="2">
        <f>STANDARDIZE(D503,H$11,I$11)</f>
        <v>-0.97718857743628929</v>
      </c>
      <c r="U503" s="1"/>
    </row>
    <row r="504" spans="1:21" x14ac:dyDescent="0.3">
      <c r="A504" t="s">
        <v>9</v>
      </c>
      <c r="B504">
        <v>1994</v>
      </c>
      <c r="C504" s="3">
        <v>1994.1666666641499</v>
      </c>
      <c r="D504">
        <v>27</v>
      </c>
      <c r="E504" s="1">
        <v>34394</v>
      </c>
      <c r="F504" s="2">
        <f>STANDARDIZE(D504,H$12,I$12)</f>
        <v>-0.418378898900372</v>
      </c>
      <c r="U504" s="1"/>
    </row>
    <row r="505" spans="1:21" x14ac:dyDescent="0.3">
      <c r="A505" t="s">
        <v>8</v>
      </c>
      <c r="B505">
        <v>1994</v>
      </c>
      <c r="C505" s="3">
        <v>1994.24999999751</v>
      </c>
      <c r="D505">
        <v>27.3</v>
      </c>
      <c r="E505" s="1">
        <v>34425</v>
      </c>
      <c r="F505" s="2">
        <f>STANDARDIZE(D505,H$13,I$13)</f>
        <v>-0.81221741529590419</v>
      </c>
      <c r="U505" s="1"/>
    </row>
    <row r="506" spans="1:21" x14ac:dyDescent="0.3">
      <c r="A506" t="s">
        <v>7</v>
      </c>
      <c r="B506">
        <v>1994</v>
      </c>
      <c r="C506" s="3">
        <v>1994.3333333308699</v>
      </c>
      <c r="D506">
        <v>28.1</v>
      </c>
      <c r="E506" s="1">
        <v>34455</v>
      </c>
      <c r="F506" s="2">
        <f>STANDARDIZE(D506,H$14,I$14)</f>
        <v>-0.20907849736951745</v>
      </c>
      <c r="U506" s="1"/>
    </row>
    <row r="507" spans="1:21" x14ac:dyDescent="0.3">
      <c r="A507" t="s">
        <v>6</v>
      </c>
      <c r="B507">
        <v>1994</v>
      </c>
      <c r="C507" s="3">
        <v>1994.41666666423</v>
      </c>
      <c r="D507">
        <v>28.3</v>
      </c>
      <c r="E507" s="1">
        <v>34486</v>
      </c>
      <c r="F507" s="2">
        <f>STANDARDIZE(D507,H$15,I$15)</f>
        <v>-0.12577104993685509</v>
      </c>
      <c r="U507" s="1"/>
    </row>
    <row r="508" spans="1:21" x14ac:dyDescent="0.3">
      <c r="A508" t="s">
        <v>5</v>
      </c>
      <c r="B508">
        <v>1994</v>
      </c>
      <c r="C508" s="3">
        <v>1994.4999999975901</v>
      </c>
      <c r="D508">
        <v>28</v>
      </c>
      <c r="E508" s="1">
        <v>34516</v>
      </c>
      <c r="F508" s="2">
        <f>STANDARDIZE(D508,H$16,I$16)</f>
        <v>-0.56839881276339066</v>
      </c>
      <c r="U508" s="1"/>
    </row>
    <row r="509" spans="1:21" x14ac:dyDescent="0.3">
      <c r="A509" t="s">
        <v>4</v>
      </c>
      <c r="B509">
        <v>1994</v>
      </c>
      <c r="C509" s="3">
        <v>1994.5833333309499</v>
      </c>
      <c r="D509">
        <v>28.1</v>
      </c>
      <c r="E509" s="1">
        <v>34547</v>
      </c>
      <c r="F509" s="2">
        <f>STANDARDIZE(D509,H$17,I$17)</f>
        <v>-0.15671819308681381</v>
      </c>
      <c r="U509" s="1"/>
    </row>
    <row r="510" spans="1:21" x14ac:dyDescent="0.3">
      <c r="A510" t="s">
        <v>3</v>
      </c>
      <c r="B510">
        <v>1994</v>
      </c>
      <c r="C510" s="3">
        <v>1994.66666666431</v>
      </c>
      <c r="D510">
        <v>28.2</v>
      </c>
      <c r="E510" s="1">
        <v>34578</v>
      </c>
      <c r="F510" s="2">
        <f>STANDARDIZE(D510,H$18,I$18)</f>
        <v>-3.3804896958988702E-2</v>
      </c>
      <c r="U510" s="1"/>
    </row>
    <row r="511" spans="1:21" x14ac:dyDescent="0.3">
      <c r="A511" t="s">
        <v>2</v>
      </c>
      <c r="B511">
        <v>1994</v>
      </c>
      <c r="C511" s="3">
        <v>1994.7499999976701</v>
      </c>
      <c r="D511">
        <v>27.6</v>
      </c>
      <c r="E511" s="1">
        <v>34608</v>
      </c>
      <c r="F511" s="2">
        <f>STANDARDIZE(D511,H$19,I$19)</f>
        <v>-0.64878987551216238</v>
      </c>
      <c r="U511" s="1"/>
    </row>
    <row r="512" spans="1:21" x14ac:dyDescent="0.3">
      <c r="A512" t="s">
        <v>1</v>
      </c>
      <c r="B512">
        <v>1994</v>
      </c>
      <c r="C512" s="3">
        <v>1994.83333333103</v>
      </c>
      <c r="D512">
        <v>27.5</v>
      </c>
      <c r="E512" s="1">
        <v>34639</v>
      </c>
      <c r="F512" s="2">
        <f>STANDARDIZE(D512,H$20,I$20)</f>
        <v>-0.5912091167258926</v>
      </c>
      <c r="U512" s="1"/>
    </row>
    <row r="513" spans="1:21" x14ac:dyDescent="0.3">
      <c r="A513" t="s">
        <v>0</v>
      </c>
      <c r="B513">
        <v>1994</v>
      </c>
      <c r="C513" s="3">
        <v>1994.91666666439</v>
      </c>
      <c r="D513">
        <v>27</v>
      </c>
      <c r="E513" s="1">
        <v>34669</v>
      </c>
      <c r="F513" s="2">
        <f>STANDARDIZE(D513,H$21,I$21)</f>
        <v>-0.67059983746779961</v>
      </c>
      <c r="U513" s="1"/>
    </row>
    <row r="514" spans="1:21" x14ac:dyDescent="0.3">
      <c r="A514" t="s">
        <v>11</v>
      </c>
      <c r="B514">
        <v>1995</v>
      </c>
      <c r="C514" s="3">
        <v>1994.9999999977499</v>
      </c>
      <c r="D514">
        <v>27</v>
      </c>
      <c r="E514" s="1">
        <v>34700</v>
      </c>
      <c r="F514" s="2">
        <f>STANDARDIZE(D514,H$10,I$10)</f>
        <v>4.7360405908497653E-2</v>
      </c>
      <c r="U514" s="1"/>
    </row>
    <row r="515" spans="1:21" x14ac:dyDescent="0.3">
      <c r="A515" t="s">
        <v>10</v>
      </c>
      <c r="B515">
        <v>1995</v>
      </c>
      <c r="C515" s="3">
        <v>1995.08333333111</v>
      </c>
      <c r="D515">
        <v>26.7</v>
      </c>
      <c r="E515" s="1">
        <v>34731</v>
      </c>
      <c r="F515" s="2">
        <f>STANDARDIZE(D515,H$11,I$11)</f>
        <v>-0.39282331518204333</v>
      </c>
      <c r="U515" s="1"/>
    </row>
    <row r="516" spans="1:21" x14ac:dyDescent="0.3">
      <c r="A516" t="s">
        <v>9</v>
      </c>
      <c r="B516">
        <v>1995</v>
      </c>
      <c r="C516" s="3">
        <v>1995.1666666644701</v>
      </c>
      <c r="D516">
        <v>27.2</v>
      </c>
      <c r="E516" s="1">
        <v>34759</v>
      </c>
      <c r="F516" s="2">
        <f>STANDARDIZE(D516,H$12,I$12)</f>
        <v>-6.4819266026837574E-2</v>
      </c>
      <c r="U516" s="1"/>
    </row>
    <row r="517" spans="1:21" x14ac:dyDescent="0.3">
      <c r="A517" t="s">
        <v>8</v>
      </c>
      <c r="B517">
        <v>1995</v>
      </c>
      <c r="C517" s="3">
        <v>1995.2499999978299</v>
      </c>
      <c r="D517">
        <v>27.9</v>
      </c>
      <c r="E517" s="1">
        <v>34790</v>
      </c>
      <c r="F517" s="2">
        <f>STANDARDIZE(D517,H$13,I$13)</f>
        <v>0.45357595919120958</v>
      </c>
      <c r="U517" s="1"/>
    </row>
    <row r="518" spans="1:21" x14ac:dyDescent="0.3">
      <c r="A518" t="s">
        <v>7</v>
      </c>
      <c r="B518">
        <v>1995</v>
      </c>
      <c r="C518" s="3">
        <v>1995.33333333119</v>
      </c>
      <c r="D518">
        <v>28.4</v>
      </c>
      <c r="E518" s="1">
        <v>34820</v>
      </c>
      <c r="F518" s="2">
        <f>STANDARDIZE(D518,H$14,I$14)</f>
        <v>0.59164766276901803</v>
      </c>
      <c r="U518" s="1"/>
    </row>
    <row r="519" spans="1:21" x14ac:dyDescent="0.3">
      <c r="A519" t="s">
        <v>6</v>
      </c>
      <c r="B519">
        <v>1995</v>
      </c>
      <c r="C519" s="3">
        <v>1995.4166666645499</v>
      </c>
      <c r="D519">
        <v>28.5</v>
      </c>
      <c r="E519" s="1">
        <v>34851</v>
      </c>
      <c r="F519" s="2">
        <f>STANDARDIZE(D519,H$15,I$15)</f>
        <v>0.34587038732637038</v>
      </c>
      <c r="U519" s="1"/>
    </row>
    <row r="520" spans="1:21" x14ac:dyDescent="0.3">
      <c r="A520" t="s">
        <v>5</v>
      </c>
      <c r="B520">
        <v>1995</v>
      </c>
      <c r="C520" s="3">
        <v>1995.49999999791</v>
      </c>
      <c r="D520">
        <v>28</v>
      </c>
      <c r="E520" s="1">
        <v>34881</v>
      </c>
      <c r="F520" s="2">
        <f>STANDARDIZE(D520,H$16,I$16)</f>
        <v>-0.56839881276339066</v>
      </c>
      <c r="U520" s="1"/>
    </row>
    <row r="521" spans="1:21" x14ac:dyDescent="0.3">
      <c r="A521" t="s">
        <v>4</v>
      </c>
      <c r="B521">
        <v>1995</v>
      </c>
      <c r="C521" s="3">
        <v>1995.5833333312701</v>
      </c>
      <c r="D521">
        <v>28</v>
      </c>
      <c r="E521" s="1">
        <v>34912</v>
      </c>
      <c r="F521" s="2">
        <f>STANDARDIZE(D521,H$17,I$17)</f>
        <v>-0.36567578386926686</v>
      </c>
      <c r="U521" s="1"/>
    </row>
    <row r="522" spans="1:21" x14ac:dyDescent="0.3">
      <c r="A522" t="s">
        <v>3</v>
      </c>
      <c r="B522">
        <v>1995</v>
      </c>
      <c r="C522" s="3">
        <v>1995.6666666646299</v>
      </c>
      <c r="D522">
        <v>28.6</v>
      </c>
      <c r="E522" s="1">
        <v>34943</v>
      </c>
      <c r="F522" s="2">
        <f>STANDARDIZE(D522,H$18,I$18)</f>
        <v>0.86765902194756084</v>
      </c>
      <c r="U522" s="1"/>
    </row>
    <row r="523" spans="1:21" x14ac:dyDescent="0.3">
      <c r="A523" t="s">
        <v>2</v>
      </c>
      <c r="B523">
        <v>1995</v>
      </c>
      <c r="C523" s="3">
        <v>1995.74999999799</v>
      </c>
      <c r="D523">
        <v>27.7</v>
      </c>
      <c r="E523" s="1">
        <v>34973</v>
      </c>
      <c r="F523" s="2">
        <f>STANDARDIZE(D523,H$19,I$19)</f>
        <v>-0.44075399151641997</v>
      </c>
      <c r="U523" s="1"/>
    </row>
    <row r="524" spans="1:21" x14ac:dyDescent="0.3">
      <c r="A524" t="s">
        <v>1</v>
      </c>
      <c r="B524">
        <v>1995</v>
      </c>
      <c r="C524" s="3">
        <v>1995.8333333313501</v>
      </c>
      <c r="D524">
        <v>28</v>
      </c>
      <c r="E524" s="1">
        <v>35004</v>
      </c>
      <c r="F524" s="2">
        <f>STANDARDIZE(D524,H$20,I$20)</f>
        <v>0.29862093140746954</v>
      </c>
      <c r="U524" s="1"/>
    </row>
    <row r="525" spans="1:21" x14ac:dyDescent="0.3">
      <c r="A525" t="s">
        <v>0</v>
      </c>
      <c r="B525">
        <v>1995</v>
      </c>
      <c r="C525" s="3">
        <v>1995.91666666471</v>
      </c>
      <c r="D525">
        <v>27.5</v>
      </c>
      <c r="E525" s="1">
        <v>35034</v>
      </c>
      <c r="F525" s="2">
        <f>STANDARDIZE(D525,H$21,I$21)</f>
        <v>0.16764995936694543</v>
      </c>
      <c r="U525" s="1"/>
    </row>
    <row r="526" spans="1:21" x14ac:dyDescent="0.3">
      <c r="A526" t="s">
        <v>11</v>
      </c>
      <c r="B526">
        <v>1996</v>
      </c>
      <c r="C526" s="3">
        <v>1995.9999999980701</v>
      </c>
      <c r="D526">
        <v>27.3</v>
      </c>
      <c r="E526" s="1">
        <v>35065</v>
      </c>
      <c r="F526" s="2">
        <f>STANDARDIZE(D526,H$10,I$10)</f>
        <v>0.57128489627136547</v>
      </c>
      <c r="U526" s="1"/>
    </row>
    <row r="527" spans="1:21" x14ac:dyDescent="0.3">
      <c r="A527" t="s">
        <v>10</v>
      </c>
      <c r="B527">
        <v>1996</v>
      </c>
      <c r="C527" s="3">
        <v>1996.0833333314299</v>
      </c>
      <c r="D527">
        <v>27.2</v>
      </c>
      <c r="E527" s="1">
        <v>35096</v>
      </c>
      <c r="F527" s="2">
        <f>STANDARDIZE(D527,H$11,I$11)</f>
        <v>0.58111878857503096</v>
      </c>
      <c r="U527" s="1"/>
    </row>
    <row r="528" spans="1:21" x14ac:dyDescent="0.3">
      <c r="A528" t="s">
        <v>9</v>
      </c>
      <c r="B528">
        <v>1996</v>
      </c>
      <c r="C528" s="3">
        <v>1996.16666666479</v>
      </c>
      <c r="D528">
        <v>27.4</v>
      </c>
      <c r="E528" s="1">
        <v>35125</v>
      </c>
      <c r="F528" s="2">
        <f>STANDARDIZE(D528,H$12,I$12)</f>
        <v>0.28874036684669685</v>
      </c>
      <c r="U528" s="1"/>
    </row>
    <row r="529" spans="1:21" x14ac:dyDescent="0.3">
      <c r="A529" t="s">
        <v>8</v>
      </c>
      <c r="B529">
        <v>1996</v>
      </c>
      <c r="C529" s="3">
        <v>1996.2499999981501</v>
      </c>
      <c r="D529">
        <v>27.9</v>
      </c>
      <c r="E529" s="1">
        <v>35156</v>
      </c>
      <c r="F529" s="2">
        <f>STANDARDIZE(D529,H$13,I$13)</f>
        <v>0.45357595919120958</v>
      </c>
      <c r="U529" s="1"/>
    </row>
    <row r="530" spans="1:21" x14ac:dyDescent="0.3">
      <c r="A530" t="s">
        <v>7</v>
      </c>
      <c r="B530">
        <v>1996</v>
      </c>
      <c r="C530" s="3">
        <v>1996.3333333315099</v>
      </c>
      <c r="D530">
        <v>27.9</v>
      </c>
      <c r="E530" s="1">
        <v>35186</v>
      </c>
      <c r="F530" s="2">
        <f>STANDARDIZE(D530,H$14,I$14)</f>
        <v>-0.74289593746188709</v>
      </c>
      <c r="U530" s="1"/>
    </row>
    <row r="531" spans="1:21" x14ac:dyDescent="0.3">
      <c r="A531" t="s">
        <v>6</v>
      </c>
      <c r="B531">
        <v>1996</v>
      </c>
      <c r="C531" s="3">
        <v>1996.41666666487</v>
      </c>
      <c r="D531">
        <v>28.4</v>
      </c>
      <c r="E531" s="1">
        <v>35217</v>
      </c>
      <c r="F531" s="2">
        <f>STANDARDIZE(D531,H$15,I$15)</f>
        <v>0.11004966869475344</v>
      </c>
      <c r="U531" s="1"/>
    </row>
    <row r="532" spans="1:21" x14ac:dyDescent="0.3">
      <c r="A532" t="s">
        <v>5</v>
      </c>
      <c r="B532">
        <v>1996</v>
      </c>
      <c r="C532" s="3">
        <v>1996.4999999982299</v>
      </c>
      <c r="D532">
        <v>28</v>
      </c>
      <c r="E532" s="1">
        <v>35247</v>
      </c>
      <c r="F532" s="2">
        <f>STANDARDIZE(D532,H$16,I$16)</f>
        <v>-0.56839881276339066</v>
      </c>
      <c r="U532" s="1"/>
    </row>
    <row r="533" spans="1:21" x14ac:dyDescent="0.3">
      <c r="A533" t="s">
        <v>4</v>
      </c>
      <c r="B533">
        <v>1996</v>
      </c>
      <c r="C533" s="3">
        <v>1996.58333333159</v>
      </c>
      <c r="D533">
        <v>28</v>
      </c>
      <c r="E533" s="1">
        <v>35278</v>
      </c>
      <c r="F533" s="2">
        <f>STANDARDIZE(D533,H$17,I$17)</f>
        <v>-0.36567578386926686</v>
      </c>
      <c r="U533" s="1"/>
    </row>
    <row r="534" spans="1:21" x14ac:dyDescent="0.3">
      <c r="A534" t="s">
        <v>3</v>
      </c>
      <c r="B534">
        <v>1996</v>
      </c>
      <c r="C534" s="3">
        <v>1996.6666666649501</v>
      </c>
      <c r="D534">
        <v>28</v>
      </c>
      <c r="E534" s="1">
        <v>35309</v>
      </c>
      <c r="F534" s="2">
        <f>STANDARDIZE(D534,H$18,I$18)</f>
        <v>-0.48453685641225946</v>
      </c>
      <c r="U534" s="1"/>
    </row>
    <row r="535" spans="1:21" x14ac:dyDescent="0.3">
      <c r="A535" t="s">
        <v>2</v>
      </c>
      <c r="B535">
        <v>1996</v>
      </c>
      <c r="C535" s="3">
        <v>1996.7499999983099</v>
      </c>
      <c r="D535">
        <v>27.8</v>
      </c>
      <c r="E535" s="1">
        <v>35339</v>
      </c>
      <c r="F535" s="2">
        <f>STANDARDIZE(D535,H$19,I$19)</f>
        <v>-0.23271810752067018</v>
      </c>
      <c r="U535" s="1"/>
    </row>
    <row r="536" spans="1:21" x14ac:dyDescent="0.3">
      <c r="A536" t="s">
        <v>1</v>
      </c>
      <c r="B536">
        <v>1996</v>
      </c>
      <c r="C536" s="3">
        <v>1996.83333333167</v>
      </c>
      <c r="D536">
        <v>27.5</v>
      </c>
      <c r="E536" s="1">
        <v>35370</v>
      </c>
      <c r="F536" s="2">
        <f>STANDARDIZE(D536,H$20,I$20)</f>
        <v>-0.5912091167258926</v>
      </c>
      <c r="U536" s="1"/>
    </row>
    <row r="537" spans="1:21" x14ac:dyDescent="0.3">
      <c r="A537" t="s">
        <v>0</v>
      </c>
      <c r="B537">
        <v>1996</v>
      </c>
      <c r="C537" s="3">
        <v>1996.9166666650301</v>
      </c>
      <c r="D537">
        <v>26.9</v>
      </c>
      <c r="E537" s="1">
        <v>35400</v>
      </c>
      <c r="F537" s="2">
        <f>STANDARDIZE(D537,H$21,I$21)</f>
        <v>-0.83824979683475098</v>
      </c>
      <c r="U537" s="1"/>
    </row>
    <row r="538" spans="1:21" x14ac:dyDescent="0.3">
      <c r="A538" t="s">
        <v>11</v>
      </c>
      <c r="B538">
        <v>1997</v>
      </c>
      <c r="C538" s="3">
        <v>1996.99999999839</v>
      </c>
      <c r="D538">
        <v>26.5</v>
      </c>
      <c r="E538" s="1">
        <v>35431</v>
      </c>
      <c r="F538" s="2">
        <f>STANDARDIZE(D538,H$10,I$10)</f>
        <v>-0.82584707802961321</v>
      </c>
      <c r="U538" s="1"/>
    </row>
    <row r="539" spans="1:21" x14ac:dyDescent="0.3">
      <c r="A539" t="s">
        <v>10</v>
      </c>
      <c r="B539">
        <v>1997</v>
      </c>
      <c r="C539" s="3">
        <v>1997.0833333317501</v>
      </c>
      <c r="D539">
        <v>27</v>
      </c>
      <c r="E539" s="1">
        <v>35462</v>
      </c>
      <c r="F539" s="2">
        <f>STANDARDIZE(D539,H$11,I$11)</f>
        <v>0.19154194707220265</v>
      </c>
      <c r="U539" s="1"/>
    </row>
    <row r="540" spans="1:21" x14ac:dyDescent="0.3">
      <c r="A540" t="s">
        <v>9</v>
      </c>
      <c r="B540">
        <v>1997</v>
      </c>
      <c r="C540" s="3">
        <v>1997.1666666651099</v>
      </c>
      <c r="D540">
        <v>26.4</v>
      </c>
      <c r="E540" s="1">
        <v>35490</v>
      </c>
      <c r="F540" s="2">
        <f>STANDARDIZE(D540,H$12,I$12)</f>
        <v>-1.4790577975209815</v>
      </c>
      <c r="U540" s="1"/>
    </row>
    <row r="541" spans="1:21" x14ac:dyDescent="0.3">
      <c r="A541" t="s">
        <v>8</v>
      </c>
      <c r="B541">
        <v>1997</v>
      </c>
      <c r="C541" s="3">
        <v>1997.24999999848</v>
      </c>
      <c r="D541">
        <v>27.2</v>
      </c>
      <c r="E541" s="1">
        <v>35521</v>
      </c>
      <c r="F541" s="2">
        <f>STANDARDIZE(D541,H$13,I$13)</f>
        <v>-1.0231829777104269</v>
      </c>
      <c r="U541" s="1"/>
    </row>
    <row r="542" spans="1:21" x14ac:dyDescent="0.3">
      <c r="A542" t="s">
        <v>7</v>
      </c>
      <c r="B542">
        <v>1997</v>
      </c>
      <c r="C542" s="3">
        <v>1997.3333333318401</v>
      </c>
      <c r="D542">
        <v>28.2</v>
      </c>
      <c r="E542" s="1">
        <v>35551</v>
      </c>
      <c r="F542" s="2">
        <f>STANDARDIZE(D542,H$14,I$14)</f>
        <v>5.783022267665789E-2</v>
      </c>
      <c r="U542" s="1"/>
    </row>
    <row r="543" spans="1:21" x14ac:dyDescent="0.3">
      <c r="A543" t="s">
        <v>6</v>
      </c>
      <c r="B543">
        <v>1997</v>
      </c>
      <c r="C543" s="3">
        <v>1997.4166666652</v>
      </c>
      <c r="D543">
        <v>28.1</v>
      </c>
      <c r="E543" s="1">
        <v>35582</v>
      </c>
      <c r="F543" s="2">
        <f>STANDARDIZE(D543,H$15,I$15)</f>
        <v>-0.59741248720008056</v>
      </c>
      <c r="U543" s="1"/>
    </row>
    <row r="544" spans="1:21" x14ac:dyDescent="0.3">
      <c r="A544" t="s">
        <v>5</v>
      </c>
      <c r="B544">
        <v>1997</v>
      </c>
      <c r="C544" s="3">
        <v>1997.49999999856</v>
      </c>
      <c r="D544">
        <v>28.4</v>
      </c>
      <c r="E544" s="1">
        <v>35612</v>
      </c>
      <c r="F544" s="2">
        <f>STANDARDIZE(D544,H$16,I$16)</f>
        <v>0.50574067592334937</v>
      </c>
      <c r="U544" s="1"/>
    </row>
    <row r="545" spans="1:21" x14ac:dyDescent="0.3">
      <c r="A545" t="s">
        <v>4</v>
      </c>
      <c r="B545">
        <v>1997</v>
      </c>
      <c r="C545" s="3">
        <v>1997.5833333319199</v>
      </c>
      <c r="D545">
        <v>28.6</v>
      </c>
      <c r="E545" s="1">
        <v>35643</v>
      </c>
      <c r="F545" s="2">
        <f>STANDARDIZE(D545,H$17,I$17)</f>
        <v>0.88806976082543654</v>
      </c>
      <c r="U545" s="1"/>
    </row>
    <row r="546" spans="1:21" x14ac:dyDescent="0.3">
      <c r="A546" t="s">
        <v>3</v>
      </c>
      <c r="B546">
        <v>1997</v>
      </c>
      <c r="C546" s="3">
        <v>1997.66666666528</v>
      </c>
      <c r="D546">
        <v>28.5</v>
      </c>
      <c r="E546" s="1">
        <v>35674</v>
      </c>
      <c r="F546" s="2">
        <f>STANDARDIZE(D546,H$18,I$18)</f>
        <v>0.64229304222092143</v>
      </c>
      <c r="U546" s="1"/>
    </row>
    <row r="547" spans="1:21" x14ac:dyDescent="0.3">
      <c r="A547" t="s">
        <v>2</v>
      </c>
      <c r="B547">
        <v>1997</v>
      </c>
      <c r="C547" s="3">
        <v>1997.7499999986401</v>
      </c>
      <c r="D547">
        <v>28.5</v>
      </c>
      <c r="E547" s="1">
        <v>35704</v>
      </c>
      <c r="F547" s="2">
        <f>STANDARDIZE(D547,H$19,I$19)</f>
        <v>1.2235330804495563</v>
      </c>
      <c r="U547" s="1"/>
    </row>
    <row r="548" spans="1:21" x14ac:dyDescent="0.3">
      <c r="A548" t="s">
        <v>1</v>
      </c>
      <c r="B548">
        <v>1997</v>
      </c>
      <c r="C548" s="3">
        <v>1997.8333333319999</v>
      </c>
      <c r="D548">
        <v>28</v>
      </c>
      <c r="E548" s="1">
        <v>35735</v>
      </c>
      <c r="F548" s="2">
        <f>STANDARDIZE(D548,H$20,I$20)</f>
        <v>0.29862093140746954</v>
      </c>
      <c r="U548" s="1"/>
    </row>
    <row r="549" spans="1:21" x14ac:dyDescent="0.3">
      <c r="A549" t="s">
        <v>0</v>
      </c>
      <c r="B549">
        <v>1997</v>
      </c>
      <c r="C549" s="3">
        <v>1997.91666666536</v>
      </c>
      <c r="D549">
        <v>27.8</v>
      </c>
      <c r="E549" s="1">
        <v>35765</v>
      </c>
      <c r="F549" s="2">
        <f>STANDARDIZE(D549,H$21,I$21)</f>
        <v>0.67059983746779361</v>
      </c>
      <c r="U549" s="1"/>
    </row>
    <row r="550" spans="1:21" x14ac:dyDescent="0.3">
      <c r="A550" t="s">
        <v>11</v>
      </c>
      <c r="B550">
        <v>1998</v>
      </c>
      <c r="C550" s="3">
        <v>1997.9999999987201</v>
      </c>
      <c r="D550">
        <v>27.4</v>
      </c>
      <c r="E550" s="1">
        <v>35796</v>
      </c>
      <c r="F550" s="2">
        <f>STANDARDIZE(D550,H$10,I$10)</f>
        <v>0.74592639305898389</v>
      </c>
      <c r="U550" s="1"/>
    </row>
    <row r="551" spans="1:21" x14ac:dyDescent="0.3">
      <c r="A551" t="s">
        <v>10</v>
      </c>
      <c r="B551">
        <v>1998</v>
      </c>
      <c r="C551" s="3">
        <v>1998.08333333208</v>
      </c>
      <c r="D551">
        <v>27.7</v>
      </c>
      <c r="E551" s="1">
        <v>35827</v>
      </c>
      <c r="F551" s="2">
        <f>STANDARDIZE(D551,H$11,I$11)</f>
        <v>1.5550608923321052</v>
      </c>
      <c r="U551" s="1"/>
    </row>
    <row r="552" spans="1:21" x14ac:dyDescent="0.3">
      <c r="A552" t="s">
        <v>9</v>
      </c>
      <c r="B552">
        <v>1998</v>
      </c>
      <c r="C552" s="3">
        <v>1998.1666666654401</v>
      </c>
      <c r="D552">
        <v>27.5</v>
      </c>
      <c r="E552" s="1">
        <v>35855</v>
      </c>
      <c r="F552" s="2">
        <f>STANDARDIZE(D552,H$12,I$12)</f>
        <v>0.46552018328346723</v>
      </c>
      <c r="U552" s="1"/>
    </row>
    <row r="553" spans="1:21" x14ac:dyDescent="0.3">
      <c r="A553" t="s">
        <v>8</v>
      </c>
      <c r="B553">
        <v>1998</v>
      </c>
      <c r="C553" s="3">
        <v>1998.2499999987999</v>
      </c>
      <c r="D553">
        <v>28.4</v>
      </c>
      <c r="E553" s="1">
        <v>35886</v>
      </c>
      <c r="F553" s="2">
        <f>STANDARDIZE(D553,H$13,I$13)</f>
        <v>1.5084037712638081</v>
      </c>
      <c r="U553" s="1"/>
    </row>
    <row r="554" spans="1:21" x14ac:dyDescent="0.3">
      <c r="A554" t="s">
        <v>7</v>
      </c>
      <c r="B554">
        <v>1998</v>
      </c>
      <c r="C554" s="3">
        <v>1998.33333333216</v>
      </c>
      <c r="D554">
        <v>28.5</v>
      </c>
      <c r="E554" s="1">
        <v>35916</v>
      </c>
      <c r="F554" s="2">
        <f>STANDARDIZE(D554,H$14,I$14)</f>
        <v>0.85855638281520286</v>
      </c>
      <c r="U554" s="1"/>
    </row>
    <row r="555" spans="1:21" x14ac:dyDescent="0.3">
      <c r="A555" t="s">
        <v>6</v>
      </c>
      <c r="B555">
        <v>1998</v>
      </c>
      <c r="C555" s="3">
        <v>1998.4166666655201</v>
      </c>
      <c r="D555">
        <v>28.6</v>
      </c>
      <c r="E555" s="1">
        <v>35947</v>
      </c>
      <c r="F555" s="2">
        <f>STANDARDIZE(D555,H$15,I$15)</f>
        <v>0.58169110595798723</v>
      </c>
      <c r="U555" s="1"/>
    </row>
    <row r="556" spans="1:21" x14ac:dyDescent="0.3">
      <c r="A556" t="s">
        <v>5</v>
      </c>
      <c r="B556">
        <v>1998</v>
      </c>
      <c r="C556" s="3">
        <v>1998.49999999888</v>
      </c>
      <c r="D556">
        <v>28.3</v>
      </c>
      <c r="E556" s="1">
        <v>35977</v>
      </c>
      <c r="F556" s="2">
        <f>STANDARDIZE(D556,H$16,I$16)</f>
        <v>0.23720580375166916</v>
      </c>
      <c r="U556" s="1"/>
    </row>
    <row r="557" spans="1:21" x14ac:dyDescent="0.3">
      <c r="A557" t="s">
        <v>4</v>
      </c>
      <c r="B557">
        <v>1998</v>
      </c>
      <c r="C557" s="3">
        <v>1998.58333333224</v>
      </c>
      <c r="D557">
        <v>28.9</v>
      </c>
      <c r="E557" s="1">
        <v>36008</v>
      </c>
      <c r="F557" s="2">
        <f>STANDARDIZE(D557,H$17,I$17)</f>
        <v>1.5149425331727808</v>
      </c>
      <c r="U557" s="1"/>
    </row>
    <row r="558" spans="1:21" x14ac:dyDescent="0.3">
      <c r="A558" t="s">
        <v>3</v>
      </c>
      <c r="B558">
        <v>1998</v>
      </c>
      <c r="C558" s="3">
        <v>1998.6666666655999</v>
      </c>
      <c r="D558">
        <v>28.4</v>
      </c>
      <c r="E558" s="1">
        <v>36039</v>
      </c>
      <c r="F558" s="2">
        <f>STANDARDIZE(D558,H$18,I$18)</f>
        <v>0.41692706249428207</v>
      </c>
      <c r="U558" s="1"/>
    </row>
    <row r="559" spans="1:21" x14ac:dyDescent="0.3">
      <c r="A559" t="s">
        <v>2</v>
      </c>
      <c r="B559">
        <v>1998</v>
      </c>
      <c r="C559" s="3">
        <v>1998.74999999896</v>
      </c>
      <c r="D559">
        <v>28.2</v>
      </c>
      <c r="E559" s="1">
        <v>36069</v>
      </c>
      <c r="F559" s="2">
        <f>STANDARDIZE(D559,H$19,I$19)</f>
        <v>0.59942542846231428</v>
      </c>
      <c r="U559" s="1"/>
    </row>
    <row r="560" spans="1:21" x14ac:dyDescent="0.3">
      <c r="A560" t="s">
        <v>1</v>
      </c>
      <c r="B560">
        <v>1998</v>
      </c>
      <c r="C560" s="3">
        <v>1998.8333333323201</v>
      </c>
      <c r="D560">
        <v>28</v>
      </c>
      <c r="E560" s="1">
        <v>36100</v>
      </c>
      <c r="F560" s="2">
        <f>STANDARDIZE(D560,H$20,I$20)</f>
        <v>0.29862093140746954</v>
      </c>
      <c r="U560" s="1"/>
    </row>
    <row r="561" spans="1:21" x14ac:dyDescent="0.3">
      <c r="A561" t="s">
        <v>0</v>
      </c>
      <c r="B561">
        <v>1998</v>
      </c>
      <c r="C561" s="3">
        <v>1998.9166666656799</v>
      </c>
      <c r="D561">
        <v>27.3</v>
      </c>
      <c r="E561" s="1">
        <v>36130</v>
      </c>
      <c r="F561" s="2">
        <f>STANDARDIZE(D561,H$21,I$21)</f>
        <v>-0.16764995936695137</v>
      </c>
      <c r="U561" s="1"/>
    </row>
    <row r="562" spans="1:21" x14ac:dyDescent="0.3">
      <c r="A562" t="s">
        <v>11</v>
      </c>
      <c r="B562">
        <v>1999</v>
      </c>
      <c r="C562" s="3">
        <v>1998.99999999904</v>
      </c>
      <c r="D562">
        <v>26.8</v>
      </c>
      <c r="E562" s="1">
        <v>36161</v>
      </c>
      <c r="F562" s="2">
        <f>STANDARDIZE(D562,H$10,I$10)</f>
        <v>-0.30192258766674546</v>
      </c>
      <c r="U562" s="1"/>
    </row>
    <row r="563" spans="1:21" x14ac:dyDescent="0.3">
      <c r="A563" t="s">
        <v>10</v>
      </c>
      <c r="B563">
        <v>1999</v>
      </c>
      <c r="C563" s="3">
        <v>1999.0833333323999</v>
      </c>
      <c r="D563">
        <v>26.3</v>
      </c>
      <c r="E563" s="1">
        <v>36192</v>
      </c>
      <c r="F563" s="2">
        <f>STANDARDIZE(D563,H$11,I$11)</f>
        <v>-1.1719769981877</v>
      </c>
      <c r="U563" s="1"/>
    </row>
    <row r="564" spans="1:21" x14ac:dyDescent="0.3">
      <c r="A564" t="s">
        <v>9</v>
      </c>
      <c r="B564">
        <v>1999</v>
      </c>
      <c r="C564" s="3">
        <v>1999.16666666576</v>
      </c>
      <c r="D564">
        <v>27.3</v>
      </c>
      <c r="E564" s="1">
        <v>36220</v>
      </c>
      <c r="F564" s="2">
        <f>STANDARDIZE(D564,H$12,I$12)</f>
        <v>0.11196055040993279</v>
      </c>
      <c r="U564" s="1"/>
    </row>
    <row r="565" spans="1:21" x14ac:dyDescent="0.3">
      <c r="A565" t="s">
        <v>8</v>
      </c>
      <c r="B565">
        <v>1999</v>
      </c>
      <c r="C565" s="3">
        <v>1999.2499999991201</v>
      </c>
      <c r="D565">
        <v>27.8</v>
      </c>
      <c r="E565" s="1">
        <v>36251</v>
      </c>
      <c r="F565" s="2">
        <f>STANDARDIZE(D565,H$13,I$13)</f>
        <v>0.24261039677669438</v>
      </c>
      <c r="U565" s="1"/>
    </row>
    <row r="566" spans="1:21" x14ac:dyDescent="0.3">
      <c r="A566" t="s">
        <v>7</v>
      </c>
      <c r="B566">
        <v>1999</v>
      </c>
      <c r="C566" s="3">
        <v>1999.3333333324799</v>
      </c>
      <c r="D566">
        <v>28.2</v>
      </c>
      <c r="E566" s="1">
        <v>36281</v>
      </c>
      <c r="F566" s="2">
        <f>STANDARDIZE(D566,H$14,I$14)</f>
        <v>5.783022267665789E-2</v>
      </c>
      <c r="U566" s="1"/>
    </row>
    <row r="567" spans="1:21" x14ac:dyDescent="0.3">
      <c r="A567" t="s">
        <v>6</v>
      </c>
      <c r="B567">
        <v>1999</v>
      </c>
      <c r="C567" s="3">
        <v>1999.41666666584</v>
      </c>
      <c r="D567">
        <v>28</v>
      </c>
      <c r="E567" s="1">
        <v>36312</v>
      </c>
      <c r="F567" s="2">
        <f>STANDARDIZE(D567,H$15,I$15)</f>
        <v>-0.83323320583169747</v>
      </c>
      <c r="U567" s="1"/>
    </row>
    <row r="568" spans="1:21" x14ac:dyDescent="0.3">
      <c r="A568" t="s">
        <v>5</v>
      </c>
      <c r="B568">
        <v>1999</v>
      </c>
      <c r="C568" s="3">
        <v>1999.4999999992001</v>
      </c>
      <c r="D568">
        <v>28.1</v>
      </c>
      <c r="E568" s="1">
        <v>36342</v>
      </c>
      <c r="F568" s="2">
        <f>STANDARDIZE(D568,H$16,I$16)</f>
        <v>-0.29986394059170085</v>
      </c>
      <c r="U568" s="1"/>
    </row>
    <row r="569" spans="1:21" x14ac:dyDescent="0.3">
      <c r="A569" t="s">
        <v>4</v>
      </c>
      <c r="B569">
        <v>1999</v>
      </c>
      <c r="C569" s="3">
        <v>1999.58333333256</v>
      </c>
      <c r="D569">
        <v>27.6</v>
      </c>
      <c r="E569" s="1">
        <v>36373</v>
      </c>
      <c r="F569" s="2">
        <f>STANDARDIZE(D569,H$17,I$17)</f>
        <v>-1.2015061469990642</v>
      </c>
      <c r="U569" s="1"/>
    </row>
    <row r="570" spans="1:21" x14ac:dyDescent="0.3">
      <c r="A570" t="s">
        <v>3</v>
      </c>
      <c r="B570">
        <v>1999</v>
      </c>
      <c r="C570" s="3">
        <v>1999.66666666592</v>
      </c>
      <c r="D570">
        <v>27.4</v>
      </c>
      <c r="E570" s="1">
        <v>36404</v>
      </c>
      <c r="F570" s="2">
        <f>STANDARDIZE(D570,H$18,I$18)</f>
        <v>-1.8367327347720799</v>
      </c>
      <c r="U570" s="1"/>
    </row>
    <row r="571" spans="1:21" x14ac:dyDescent="0.3">
      <c r="A571" t="s">
        <v>2</v>
      </c>
      <c r="B571">
        <v>1999</v>
      </c>
      <c r="C571" s="3">
        <v>1999.7499999992799</v>
      </c>
      <c r="D571">
        <v>27.2</v>
      </c>
      <c r="E571" s="1">
        <v>36434</v>
      </c>
      <c r="F571" s="2">
        <f>STANDARDIZE(D571,H$19,I$19)</f>
        <v>-1.4809334114951542</v>
      </c>
      <c r="U571" s="1"/>
    </row>
    <row r="572" spans="1:21" x14ac:dyDescent="0.3">
      <c r="A572" t="s">
        <v>1</v>
      </c>
      <c r="B572">
        <v>1999</v>
      </c>
      <c r="C572" s="3">
        <v>1999.83333333264</v>
      </c>
      <c r="D572">
        <v>27.4</v>
      </c>
      <c r="E572" s="1">
        <v>36465</v>
      </c>
      <c r="F572" s="2">
        <f>STANDARDIZE(D572,H$20,I$20)</f>
        <v>-0.76917512635256757</v>
      </c>
      <c r="U572" s="1"/>
    </row>
    <row r="573" spans="1:21" x14ac:dyDescent="0.3">
      <c r="A573" t="s">
        <v>0</v>
      </c>
      <c r="B573">
        <v>1999</v>
      </c>
      <c r="C573" s="3">
        <v>1999.9166666660001</v>
      </c>
      <c r="D573">
        <v>26.8</v>
      </c>
      <c r="E573" s="1">
        <v>36495</v>
      </c>
      <c r="F573" s="2">
        <f>STANDARDIZE(D573,H$21,I$21)</f>
        <v>-1.0058997562016962</v>
      </c>
      <c r="U573" s="1"/>
    </row>
    <row r="574" spans="1:21" x14ac:dyDescent="0.3">
      <c r="A574" t="s">
        <v>11</v>
      </c>
      <c r="B574">
        <v>2000</v>
      </c>
      <c r="C574" s="3">
        <v>2000</v>
      </c>
      <c r="D574">
        <v>26.1</v>
      </c>
      <c r="E574" s="1">
        <v>36526</v>
      </c>
      <c r="F574" s="2">
        <f>STANDARDIZE(D574,H$10,I$10)</f>
        <v>-1.5244130651800996</v>
      </c>
      <c r="U574" s="1"/>
    </row>
    <row r="575" spans="1:21" x14ac:dyDescent="0.3">
      <c r="A575" t="s">
        <v>10</v>
      </c>
      <c r="B575">
        <v>2000</v>
      </c>
      <c r="C575" s="3">
        <v>2000.0833333333101</v>
      </c>
      <c r="D575">
        <v>26.3</v>
      </c>
      <c r="E575" s="1">
        <v>36557</v>
      </c>
      <c r="F575" s="2">
        <f>STANDARDIZE(D575,H$11,I$11)</f>
        <v>-1.1719769981877</v>
      </c>
      <c r="U575" s="1"/>
    </row>
    <row r="576" spans="1:21" x14ac:dyDescent="0.3">
      <c r="A576" t="s">
        <v>9</v>
      </c>
      <c r="B576">
        <v>2000</v>
      </c>
      <c r="C576" s="3">
        <v>2000.1666666666399</v>
      </c>
      <c r="D576">
        <v>26.4</v>
      </c>
      <c r="E576" s="1">
        <v>36586</v>
      </c>
      <c r="F576" s="2">
        <f>STANDARDIZE(D576,H$12,I$12)</f>
        <v>-1.4790577975209815</v>
      </c>
      <c r="U576" s="1"/>
    </row>
    <row r="577" spans="1:21" x14ac:dyDescent="0.3">
      <c r="A577" t="s">
        <v>8</v>
      </c>
      <c r="B577">
        <v>2000</v>
      </c>
      <c r="C577" s="3">
        <v>2000.24999999997</v>
      </c>
      <c r="D577">
        <v>27.3</v>
      </c>
      <c r="E577" s="1">
        <v>36617</v>
      </c>
      <c r="F577" s="2">
        <f>STANDARDIZE(D577,H$13,I$13)</f>
        <v>-0.81221741529590419</v>
      </c>
      <c r="U577" s="1"/>
    </row>
    <row r="578" spans="1:21" x14ac:dyDescent="0.3">
      <c r="A578" t="s">
        <v>7</v>
      </c>
      <c r="B578">
        <v>2000</v>
      </c>
      <c r="C578" s="3">
        <v>2000.3333333333101</v>
      </c>
      <c r="D578">
        <v>27.9</v>
      </c>
      <c r="E578" s="1">
        <v>36647</v>
      </c>
      <c r="F578" s="2">
        <f>STANDARDIZE(D578,H$14,I$14)</f>
        <v>-0.74289593746188709</v>
      </c>
      <c r="U578" s="1"/>
    </row>
    <row r="579" spans="1:21" x14ac:dyDescent="0.3">
      <c r="A579" t="s">
        <v>6</v>
      </c>
      <c r="B579">
        <v>2000</v>
      </c>
      <c r="C579" s="3">
        <v>2000.4166666666399</v>
      </c>
      <c r="D579">
        <v>28.1</v>
      </c>
      <c r="E579" s="1">
        <v>36678</v>
      </c>
      <c r="F579" s="2">
        <f>STANDARDIZE(D579,H$15,I$15)</f>
        <v>-0.59741248720008056</v>
      </c>
      <c r="U579" s="1"/>
    </row>
    <row r="580" spans="1:21" x14ac:dyDescent="0.3">
      <c r="A580" t="s">
        <v>5</v>
      </c>
      <c r="B580">
        <v>2000</v>
      </c>
      <c r="C580" s="3">
        <v>2000.49999999997</v>
      </c>
      <c r="D580">
        <v>27.8</v>
      </c>
      <c r="E580" s="1">
        <v>36708</v>
      </c>
      <c r="F580" s="2">
        <f>STANDARDIZE(D580,H$16,I$16)</f>
        <v>-1.1054685571067606</v>
      </c>
      <c r="U580" s="1"/>
    </row>
    <row r="581" spans="1:21" x14ac:dyDescent="0.3">
      <c r="A581" t="s">
        <v>4</v>
      </c>
      <c r="B581">
        <v>2000</v>
      </c>
      <c r="C581" s="3">
        <v>2000.5833333333101</v>
      </c>
      <c r="D581">
        <v>28.2</v>
      </c>
      <c r="E581" s="1">
        <v>36739</v>
      </c>
      <c r="F581" s="2">
        <f>STANDARDIZE(D581,H$17,I$17)</f>
        <v>5.2239397695631823E-2</v>
      </c>
      <c r="U581" s="1"/>
    </row>
    <row r="582" spans="1:21" x14ac:dyDescent="0.3">
      <c r="A582" t="s">
        <v>3</v>
      </c>
      <c r="B582">
        <v>2000</v>
      </c>
      <c r="C582" s="3">
        <v>2000.6666666666399</v>
      </c>
      <c r="D582">
        <v>27.7</v>
      </c>
      <c r="E582" s="1">
        <v>36770</v>
      </c>
      <c r="F582" s="2">
        <f>STANDARDIZE(D582,H$18,I$18)</f>
        <v>-1.1606347955921696</v>
      </c>
      <c r="U582" s="1"/>
    </row>
    <row r="583" spans="1:21" x14ac:dyDescent="0.3">
      <c r="A583" t="s">
        <v>2</v>
      </c>
      <c r="B583">
        <v>2000</v>
      </c>
      <c r="C583" s="3">
        <v>2000.74999999997</v>
      </c>
      <c r="D583">
        <v>27.8</v>
      </c>
      <c r="E583" s="1">
        <v>36800</v>
      </c>
      <c r="F583" s="2">
        <f>STANDARDIZE(D583,H$19,I$19)</f>
        <v>-0.23271810752067018</v>
      </c>
      <c r="U583" s="1"/>
    </row>
    <row r="584" spans="1:21" x14ac:dyDescent="0.3">
      <c r="A584" t="s">
        <v>1</v>
      </c>
      <c r="B584">
        <v>2000</v>
      </c>
      <c r="C584" s="3">
        <v>2000.8333333333101</v>
      </c>
      <c r="D584">
        <v>27.7</v>
      </c>
      <c r="E584" s="1">
        <v>36831</v>
      </c>
      <c r="F584" s="2">
        <f>STANDARDIZE(D584,H$20,I$20)</f>
        <v>-0.23527709747254905</v>
      </c>
      <c r="U584" s="1"/>
    </row>
    <row r="585" spans="1:21" x14ac:dyDescent="0.3">
      <c r="A585" t="s">
        <v>0</v>
      </c>
      <c r="B585">
        <v>2000</v>
      </c>
      <c r="C585" s="3">
        <v>2000.9166666666399</v>
      </c>
      <c r="E585" s="1">
        <v>36861</v>
      </c>
      <c r="F585" s="2"/>
      <c r="U585" s="1"/>
    </row>
    <row r="586" spans="1:21" x14ac:dyDescent="0.3">
      <c r="A586" t="s">
        <v>11</v>
      </c>
      <c r="B586">
        <v>2001</v>
      </c>
      <c r="C586" s="3">
        <v>2001</v>
      </c>
      <c r="D586">
        <v>26.9</v>
      </c>
      <c r="E586" s="1">
        <v>36892</v>
      </c>
      <c r="F586" s="2">
        <f>STANDARDIZE(D586,H$10,I$10)</f>
        <v>-0.12728109087912701</v>
      </c>
      <c r="U586" s="1"/>
    </row>
    <row r="587" spans="1:21" x14ac:dyDescent="0.3">
      <c r="A587" t="s">
        <v>10</v>
      </c>
      <c r="B587">
        <v>2001</v>
      </c>
      <c r="C587" s="3">
        <v>2001.0833333333101</v>
      </c>
      <c r="D587">
        <v>26</v>
      </c>
      <c r="E587" s="1">
        <v>36923</v>
      </c>
      <c r="F587" s="2">
        <f>STANDARDIZE(D587,H$11,I$11)</f>
        <v>-1.7563422604419459</v>
      </c>
      <c r="U587" s="1"/>
    </row>
    <row r="588" spans="1:21" x14ac:dyDescent="0.3">
      <c r="A588" t="s">
        <v>9</v>
      </c>
      <c r="B588">
        <v>2001</v>
      </c>
      <c r="C588" s="3">
        <v>2001.1666666666399</v>
      </c>
      <c r="D588">
        <v>26.7</v>
      </c>
      <c r="E588" s="1">
        <v>36951</v>
      </c>
      <c r="F588" s="2">
        <f>STANDARDIZE(D588,H$12,I$12)</f>
        <v>-0.9487183482106768</v>
      </c>
      <c r="U588" s="1"/>
    </row>
    <row r="589" spans="1:21" x14ac:dyDescent="0.3">
      <c r="A589" t="s">
        <v>8</v>
      </c>
      <c r="B589">
        <v>2001</v>
      </c>
      <c r="C589" s="3">
        <v>2001.24999999997</v>
      </c>
      <c r="D589">
        <v>27.3</v>
      </c>
      <c r="E589" s="1">
        <v>36982</v>
      </c>
      <c r="F589" s="2">
        <f>STANDARDIZE(D589,H$13,I$13)</f>
        <v>-0.81221741529590419</v>
      </c>
      <c r="U589" s="1"/>
    </row>
    <row r="590" spans="1:21" x14ac:dyDescent="0.3">
      <c r="A590" t="s">
        <v>7</v>
      </c>
      <c r="B590">
        <v>2001</v>
      </c>
      <c r="C590" s="3">
        <v>2001.3333333333101</v>
      </c>
      <c r="D590">
        <v>28</v>
      </c>
      <c r="E590" s="1">
        <v>37012</v>
      </c>
      <c r="F590" s="2">
        <f>STANDARDIZE(D590,H$14,I$14)</f>
        <v>-0.47598721741570227</v>
      </c>
      <c r="U590" s="1"/>
    </row>
    <row r="591" spans="1:21" x14ac:dyDescent="0.3">
      <c r="A591" t="s">
        <v>6</v>
      </c>
      <c r="B591">
        <v>2001</v>
      </c>
      <c r="C591" s="3">
        <v>2001.4166666666399</v>
      </c>
      <c r="D591">
        <v>28.2</v>
      </c>
      <c r="E591" s="1">
        <v>37043</v>
      </c>
      <c r="F591" s="2">
        <f>STANDARDIZE(D591,H$15,I$15)</f>
        <v>-0.36159176856847203</v>
      </c>
      <c r="U591" s="1"/>
    </row>
    <row r="592" spans="1:21" x14ac:dyDescent="0.3">
      <c r="A592" t="s">
        <v>5</v>
      </c>
      <c r="B592">
        <v>2001</v>
      </c>
      <c r="C592" s="3">
        <v>2001.49999999998</v>
      </c>
      <c r="D592">
        <v>28.3</v>
      </c>
      <c r="E592" s="1">
        <v>37073</v>
      </c>
      <c r="F592" s="2">
        <f>STANDARDIZE(D592,H$16,I$16)</f>
        <v>0.23720580375166916</v>
      </c>
      <c r="U592" s="1"/>
    </row>
    <row r="593" spans="1:21" x14ac:dyDescent="0.3">
      <c r="A593" t="s">
        <v>4</v>
      </c>
      <c r="B593">
        <v>2001</v>
      </c>
      <c r="C593" s="3">
        <v>2001.5833333333101</v>
      </c>
      <c r="D593">
        <v>28.8</v>
      </c>
      <c r="E593" s="1">
        <v>37104</v>
      </c>
      <c r="F593" s="2">
        <f>STANDARDIZE(D593,H$17,I$17)</f>
        <v>1.3059849423903354</v>
      </c>
      <c r="U593" s="1"/>
    </row>
    <row r="594" spans="1:21" x14ac:dyDescent="0.3">
      <c r="A594" t="s">
        <v>3</v>
      </c>
      <c r="B594">
        <v>2001</v>
      </c>
      <c r="C594" s="3">
        <v>2001.6666666666399</v>
      </c>
      <c r="D594">
        <v>28.2</v>
      </c>
      <c r="E594" s="1">
        <v>37135</v>
      </c>
      <c r="F594" s="2">
        <f>STANDARDIZE(D594,H$18,I$18)</f>
        <v>-3.3804896958988702E-2</v>
      </c>
      <c r="U594" s="1"/>
    </row>
    <row r="595" spans="1:21" x14ac:dyDescent="0.3">
      <c r="A595" t="s">
        <v>2</v>
      </c>
      <c r="B595">
        <v>2001</v>
      </c>
      <c r="C595" s="3">
        <v>2001.74999999998</v>
      </c>
      <c r="D595">
        <v>28.1</v>
      </c>
      <c r="E595" s="1">
        <v>37165</v>
      </c>
      <c r="F595" s="2">
        <f>STANDARDIZE(D595,H$19,I$19)</f>
        <v>0.39138954446657193</v>
      </c>
      <c r="U595" s="1"/>
    </row>
    <row r="596" spans="1:21" x14ac:dyDescent="0.3">
      <c r="A596" t="s">
        <v>1</v>
      </c>
      <c r="B596">
        <v>2001</v>
      </c>
      <c r="C596" s="3">
        <v>2001.8333333333101</v>
      </c>
      <c r="D596">
        <v>28.1</v>
      </c>
      <c r="E596" s="1">
        <v>37196</v>
      </c>
      <c r="F596" s="2">
        <f>STANDARDIZE(D596,H$20,I$20)</f>
        <v>0.47658694103414445</v>
      </c>
      <c r="U596" s="1"/>
    </row>
    <row r="597" spans="1:21" x14ac:dyDescent="0.3">
      <c r="A597" t="s">
        <v>0</v>
      </c>
      <c r="B597">
        <v>2001</v>
      </c>
      <c r="C597" s="3">
        <v>2001.9166666666399</v>
      </c>
      <c r="D597">
        <v>27.9</v>
      </c>
      <c r="E597" s="1">
        <v>37226</v>
      </c>
      <c r="F597" s="2">
        <f>STANDARDIZE(D597,H$21,I$21)</f>
        <v>0.83824979683473899</v>
      </c>
      <c r="U597" s="1"/>
    </row>
    <row r="598" spans="1:21" x14ac:dyDescent="0.3">
      <c r="A598" t="s">
        <v>11</v>
      </c>
      <c r="B598">
        <v>2002</v>
      </c>
      <c r="C598" s="3">
        <v>2002</v>
      </c>
      <c r="D598">
        <v>27.7</v>
      </c>
      <c r="E598" s="1">
        <v>37257</v>
      </c>
      <c r="F598" s="2">
        <f>STANDARDIZE(D598,H$10,I$10)</f>
        <v>1.2698508834218516</v>
      </c>
      <c r="U598" s="1"/>
    </row>
    <row r="599" spans="1:21" x14ac:dyDescent="0.3">
      <c r="A599" t="s">
        <v>10</v>
      </c>
      <c r="B599">
        <v>2002</v>
      </c>
      <c r="C599" s="3">
        <v>2002.0833333333101</v>
      </c>
      <c r="D599">
        <v>26.7</v>
      </c>
      <c r="E599" s="1">
        <v>37288</v>
      </c>
      <c r="F599" s="2">
        <f>STANDARDIZE(D599,H$11,I$11)</f>
        <v>-0.39282331518204333</v>
      </c>
      <c r="U599" s="1"/>
    </row>
    <row r="600" spans="1:21" x14ac:dyDescent="0.3">
      <c r="A600" t="s">
        <v>9</v>
      </c>
      <c r="B600">
        <v>2002</v>
      </c>
      <c r="C600" s="3">
        <v>2002.1666666666399</v>
      </c>
      <c r="D600">
        <v>27</v>
      </c>
      <c r="E600" s="1">
        <v>37316</v>
      </c>
      <c r="F600" s="2">
        <f>STANDARDIZE(D600,H$12,I$12)</f>
        <v>-0.418378898900372</v>
      </c>
      <c r="U600" s="1"/>
    </row>
    <row r="601" spans="1:21" x14ac:dyDescent="0.3">
      <c r="A601" t="s">
        <v>8</v>
      </c>
      <c r="B601">
        <v>2002</v>
      </c>
      <c r="C601" s="3">
        <v>2002.24999999998</v>
      </c>
      <c r="D601">
        <v>27.7</v>
      </c>
      <c r="E601" s="1">
        <v>37347</v>
      </c>
      <c r="F601" s="2">
        <f>STANDARDIZE(D601,H$13,I$13)</f>
        <v>3.1644834362171657E-2</v>
      </c>
      <c r="U601" s="1"/>
    </row>
    <row r="602" spans="1:21" x14ac:dyDescent="0.3">
      <c r="A602" t="s">
        <v>7</v>
      </c>
      <c r="B602">
        <v>2002</v>
      </c>
      <c r="C602" s="3">
        <v>2002.3333333333101</v>
      </c>
      <c r="D602">
        <v>28.5</v>
      </c>
      <c r="E602" s="1">
        <v>37377</v>
      </c>
      <c r="F602" s="2">
        <f>STANDARDIZE(D602,H$14,I$14)</f>
        <v>0.85855638281520286</v>
      </c>
      <c r="U602" s="1"/>
    </row>
    <row r="603" spans="1:21" x14ac:dyDescent="0.3">
      <c r="A603" t="s">
        <v>6</v>
      </c>
      <c r="B603">
        <v>2002</v>
      </c>
      <c r="C603" s="3">
        <v>2002.4166666666399</v>
      </c>
      <c r="D603">
        <v>28.7</v>
      </c>
      <c r="E603" s="1">
        <v>37408</v>
      </c>
      <c r="F603" s="2">
        <f>STANDARDIZE(D603,H$15,I$15)</f>
        <v>0.81751182458959581</v>
      </c>
      <c r="U603" s="1"/>
    </row>
    <row r="604" spans="1:21" x14ac:dyDescent="0.3">
      <c r="A604" t="s">
        <v>5</v>
      </c>
      <c r="B604">
        <v>2002</v>
      </c>
      <c r="C604" s="3">
        <v>2002.49999999998</v>
      </c>
      <c r="D604">
        <v>28.4</v>
      </c>
      <c r="E604" s="1">
        <v>37438</v>
      </c>
      <c r="F604" s="2">
        <f>STANDARDIZE(D604,H$16,I$16)</f>
        <v>0.50574067592334937</v>
      </c>
      <c r="U604" s="1"/>
    </row>
    <row r="605" spans="1:21" x14ac:dyDescent="0.3">
      <c r="A605" t="s">
        <v>4</v>
      </c>
      <c r="B605">
        <v>2002</v>
      </c>
      <c r="C605" s="3">
        <v>2002.5833333333101</v>
      </c>
      <c r="D605">
        <v>28.8</v>
      </c>
      <c r="E605" s="1">
        <v>37469</v>
      </c>
      <c r="F605" s="2">
        <f>STANDARDIZE(D605,H$17,I$17)</f>
        <v>1.3059849423903354</v>
      </c>
      <c r="U605" s="1"/>
    </row>
    <row r="606" spans="1:21" x14ac:dyDescent="0.3">
      <c r="A606" t="s">
        <v>3</v>
      </c>
      <c r="B606">
        <v>2002</v>
      </c>
      <c r="C606" s="3">
        <v>2002.6666666666399</v>
      </c>
      <c r="D606">
        <v>28.5</v>
      </c>
      <c r="E606" s="1">
        <v>37500</v>
      </c>
      <c r="F606" s="2">
        <f>STANDARDIZE(D606,H$18,I$18)</f>
        <v>0.64229304222092143</v>
      </c>
      <c r="U606" s="1"/>
    </row>
    <row r="607" spans="1:21" x14ac:dyDescent="0.3">
      <c r="A607" t="s">
        <v>2</v>
      </c>
      <c r="B607">
        <v>2002</v>
      </c>
      <c r="C607" s="3">
        <v>2002.74999999998</v>
      </c>
      <c r="D607">
        <v>28.4</v>
      </c>
      <c r="E607" s="1">
        <v>37530</v>
      </c>
      <c r="F607" s="2">
        <f>STANDARDIZE(D607,H$19,I$19)</f>
        <v>1.0154971964538066</v>
      </c>
      <c r="U607" s="1"/>
    </row>
    <row r="608" spans="1:21" x14ac:dyDescent="0.3">
      <c r="A608" t="s">
        <v>1</v>
      </c>
      <c r="B608">
        <v>2002</v>
      </c>
      <c r="C608" s="3">
        <v>2002.8333333333101</v>
      </c>
      <c r="D608">
        <v>28.3</v>
      </c>
      <c r="E608" s="1">
        <v>37561</v>
      </c>
      <c r="F608" s="2">
        <f>STANDARDIZE(D608,H$20,I$20)</f>
        <v>0.83251896028748806</v>
      </c>
      <c r="U608" s="1"/>
    </row>
    <row r="609" spans="1:21" x14ac:dyDescent="0.3">
      <c r="A609" t="s">
        <v>0</v>
      </c>
      <c r="B609">
        <v>2002</v>
      </c>
      <c r="C609" s="3">
        <v>2002.9166666666399</v>
      </c>
      <c r="D609">
        <v>27.9</v>
      </c>
      <c r="E609" s="1">
        <v>37591</v>
      </c>
      <c r="F609" s="2">
        <f>STANDARDIZE(D609,H$21,I$21)</f>
        <v>0.83824979683473899</v>
      </c>
      <c r="U609" s="1"/>
    </row>
    <row r="610" spans="1:21" x14ac:dyDescent="0.3">
      <c r="A610" t="s">
        <v>11</v>
      </c>
      <c r="B610">
        <v>2003</v>
      </c>
      <c r="C610" s="3">
        <v>2003</v>
      </c>
      <c r="D610">
        <v>27.3</v>
      </c>
      <c r="E610" s="1">
        <v>37622</v>
      </c>
      <c r="F610" s="2">
        <f>STANDARDIZE(D610,H$10,I$10)</f>
        <v>0.57128489627136547</v>
      </c>
      <c r="U610" s="1"/>
    </row>
    <row r="611" spans="1:21" x14ac:dyDescent="0.3">
      <c r="A611" t="s">
        <v>10</v>
      </c>
      <c r="B611">
        <v>2003</v>
      </c>
      <c r="C611" s="3">
        <v>2003.0833333333101</v>
      </c>
      <c r="D611">
        <v>27.4</v>
      </c>
      <c r="E611" s="1">
        <v>37653</v>
      </c>
      <c r="F611" s="2">
        <f>STANDARDIZE(D611,H$11,I$11)</f>
        <v>0.97069563007785931</v>
      </c>
      <c r="U611" s="1"/>
    </row>
    <row r="612" spans="1:21" x14ac:dyDescent="0.3">
      <c r="A612" t="s">
        <v>9</v>
      </c>
      <c r="B612">
        <v>2003</v>
      </c>
      <c r="C612" s="3">
        <v>2003.1666666666499</v>
      </c>
      <c r="D612">
        <v>27.5</v>
      </c>
      <c r="E612" s="1">
        <v>37681</v>
      </c>
      <c r="F612" s="2">
        <f>STANDARDIZE(D612,H$12,I$12)</f>
        <v>0.46552018328346723</v>
      </c>
      <c r="U612" s="1"/>
    </row>
    <row r="613" spans="1:21" x14ac:dyDescent="0.3">
      <c r="A613" t="s">
        <v>8</v>
      </c>
      <c r="B613">
        <v>2003</v>
      </c>
      <c r="C613" s="3">
        <v>2003.24999999998</v>
      </c>
      <c r="D613">
        <v>27.9</v>
      </c>
      <c r="E613" s="1">
        <v>37712</v>
      </c>
      <c r="F613" s="2">
        <f>STANDARDIZE(D613,H$13,I$13)</f>
        <v>0.45357595919120958</v>
      </c>
      <c r="U613" s="1"/>
    </row>
    <row r="614" spans="1:21" x14ac:dyDescent="0.3">
      <c r="A614" t="s">
        <v>7</v>
      </c>
      <c r="B614">
        <v>2003</v>
      </c>
      <c r="C614" s="3">
        <v>2003.3333333333101</v>
      </c>
      <c r="D614">
        <v>28.7</v>
      </c>
      <c r="E614" s="1">
        <v>37742</v>
      </c>
      <c r="F614" s="2">
        <f>STANDARDIZE(D614,H$14,I$14)</f>
        <v>1.3923738229075631</v>
      </c>
      <c r="U614" s="1"/>
    </row>
    <row r="615" spans="1:21" x14ac:dyDescent="0.3">
      <c r="A615" t="s">
        <v>6</v>
      </c>
      <c r="B615">
        <v>2003</v>
      </c>
      <c r="C615" s="3">
        <v>2003.4166666666499</v>
      </c>
      <c r="D615">
        <v>28.3</v>
      </c>
      <c r="E615" s="1">
        <v>37773</v>
      </c>
      <c r="F615" s="2">
        <f>STANDARDIZE(D615,H$15,I$15)</f>
        <v>-0.12577104993685509</v>
      </c>
      <c r="U615" s="1"/>
    </row>
    <row r="616" spans="1:21" x14ac:dyDescent="0.3">
      <c r="A616" t="s">
        <v>5</v>
      </c>
      <c r="B616">
        <v>2003</v>
      </c>
      <c r="C616" s="3">
        <v>2003.49999999998</v>
      </c>
      <c r="D616">
        <v>28.2</v>
      </c>
      <c r="E616" s="1">
        <v>37803</v>
      </c>
      <c r="F616" s="2">
        <f>STANDARDIZE(D616,H$16,I$16)</f>
        <v>-3.1329068420020617E-2</v>
      </c>
      <c r="U616" s="1"/>
    </row>
    <row r="617" spans="1:21" x14ac:dyDescent="0.3">
      <c r="A617" t="s">
        <v>4</v>
      </c>
      <c r="B617">
        <v>2003</v>
      </c>
      <c r="C617" s="3">
        <v>2003.5833333333101</v>
      </c>
      <c r="D617">
        <v>28.4</v>
      </c>
      <c r="E617" s="1">
        <v>37834</v>
      </c>
      <c r="F617" s="2">
        <f>STANDARDIZE(D617,H$17,I$17)</f>
        <v>0.4701545792605305</v>
      </c>
      <c r="U617" s="1"/>
    </row>
    <row r="618" spans="1:21" x14ac:dyDescent="0.3">
      <c r="A618" t="s">
        <v>3</v>
      </c>
      <c r="B618">
        <v>2003</v>
      </c>
      <c r="C618" s="3">
        <v>2003.6666666666499</v>
      </c>
      <c r="D618">
        <v>28.6</v>
      </c>
      <c r="E618" s="1">
        <v>37865</v>
      </c>
      <c r="F618" s="2">
        <f>STANDARDIZE(D618,H$18,I$18)</f>
        <v>0.86765902194756084</v>
      </c>
      <c r="U618" s="1"/>
    </row>
    <row r="619" spans="1:21" x14ac:dyDescent="0.3">
      <c r="A619" t="s">
        <v>2</v>
      </c>
      <c r="B619">
        <v>2003</v>
      </c>
      <c r="C619" s="3">
        <v>2003.74999999998</v>
      </c>
      <c r="D619">
        <v>27.9</v>
      </c>
      <c r="E619" s="1">
        <v>37895</v>
      </c>
      <c r="F619" s="2">
        <f>STANDARDIZE(D619,H$19,I$19)</f>
        <v>-2.468222352492774E-2</v>
      </c>
      <c r="U619" s="1"/>
    </row>
    <row r="620" spans="1:21" x14ac:dyDescent="0.3">
      <c r="A620" t="s">
        <v>1</v>
      </c>
      <c r="B620">
        <v>2003</v>
      </c>
      <c r="C620" s="3">
        <v>2003.8333333333101</v>
      </c>
      <c r="D620">
        <v>28.3</v>
      </c>
      <c r="E620" s="1">
        <v>37926</v>
      </c>
      <c r="F620" s="2">
        <f>STANDARDIZE(D620,H$20,I$20)</f>
        <v>0.83251896028748806</v>
      </c>
      <c r="U620" s="1"/>
    </row>
    <row r="621" spans="1:21" x14ac:dyDescent="0.3">
      <c r="A621" t="s">
        <v>0</v>
      </c>
      <c r="B621">
        <v>2003</v>
      </c>
      <c r="C621" s="3">
        <v>2003.9166666666499</v>
      </c>
      <c r="D621">
        <v>27.8</v>
      </c>
      <c r="E621" s="1">
        <v>37956</v>
      </c>
      <c r="F621" s="2">
        <f>STANDARDIZE(D621,H$21,I$21)</f>
        <v>0.67059983746779361</v>
      </c>
      <c r="U621" s="1"/>
    </row>
    <row r="622" spans="1:21" x14ac:dyDescent="0.3">
      <c r="A622" t="s">
        <v>11</v>
      </c>
      <c r="B622">
        <v>2004</v>
      </c>
      <c r="C622" s="3">
        <v>2004</v>
      </c>
      <c r="D622">
        <v>27</v>
      </c>
      <c r="E622" s="1">
        <v>37987</v>
      </c>
      <c r="F622" s="2">
        <f>STANDARDIZE(D622,H$10,I$10)</f>
        <v>4.7360405908497653E-2</v>
      </c>
      <c r="U622" s="1"/>
    </row>
    <row r="623" spans="1:21" x14ac:dyDescent="0.3">
      <c r="A623" t="s">
        <v>10</v>
      </c>
      <c r="B623">
        <v>2004</v>
      </c>
      <c r="C623" s="3">
        <v>2004.0833333333101</v>
      </c>
      <c r="D623">
        <v>27.4</v>
      </c>
      <c r="E623" s="1">
        <v>38018</v>
      </c>
      <c r="F623" s="2">
        <f>STANDARDIZE(D623,H$11,I$11)</f>
        <v>0.97069563007785931</v>
      </c>
      <c r="U623" s="1"/>
    </row>
    <row r="624" spans="1:21" x14ac:dyDescent="0.3">
      <c r="A624" t="s">
        <v>9</v>
      </c>
      <c r="B624">
        <v>2004</v>
      </c>
      <c r="C624" s="3">
        <v>2004.1666666666499</v>
      </c>
      <c r="D624">
        <v>27.1</v>
      </c>
      <c r="E624" s="1">
        <v>38047</v>
      </c>
      <c r="F624" s="2">
        <f>STANDARDIZE(D624,H$12,I$12)</f>
        <v>-0.24159908246360165</v>
      </c>
      <c r="U624" s="1"/>
    </row>
    <row r="625" spans="1:21" x14ac:dyDescent="0.3">
      <c r="A625" t="s">
        <v>8</v>
      </c>
      <c r="B625">
        <v>2004</v>
      </c>
      <c r="C625" s="3">
        <v>2004.24999999998</v>
      </c>
      <c r="D625">
        <v>27.8</v>
      </c>
      <c r="E625" s="1">
        <v>38078</v>
      </c>
      <c r="F625" s="2">
        <f>STANDARDIZE(D625,H$13,I$13)</f>
        <v>0.24261039677669438</v>
      </c>
      <c r="U625" s="1"/>
    </row>
    <row r="626" spans="1:21" x14ac:dyDescent="0.3">
      <c r="A626" t="s">
        <v>7</v>
      </c>
      <c r="B626">
        <v>2004</v>
      </c>
      <c r="C626" s="3">
        <v>2004.3333333333101</v>
      </c>
      <c r="D626">
        <v>28.2</v>
      </c>
      <c r="E626" s="1">
        <v>38108</v>
      </c>
      <c r="F626" s="2">
        <f>STANDARDIZE(D626,H$14,I$14)</f>
        <v>5.783022267665789E-2</v>
      </c>
      <c r="U626" s="1"/>
    </row>
    <row r="627" spans="1:21" x14ac:dyDescent="0.3">
      <c r="A627" t="s">
        <v>6</v>
      </c>
      <c r="B627">
        <v>2004</v>
      </c>
      <c r="C627" s="3">
        <v>2004.4166666666499</v>
      </c>
      <c r="D627">
        <v>28.5</v>
      </c>
      <c r="E627" s="1">
        <v>38139</v>
      </c>
      <c r="F627" s="2">
        <f>STANDARDIZE(D627,H$15,I$15)</f>
        <v>0.34587038732637038</v>
      </c>
      <c r="U627" s="1"/>
    </row>
    <row r="628" spans="1:21" x14ac:dyDescent="0.3">
      <c r="A628" t="s">
        <v>5</v>
      </c>
      <c r="B628">
        <v>2004</v>
      </c>
      <c r="C628" s="3">
        <v>2004.49999999998</v>
      </c>
      <c r="D628">
        <v>28.2</v>
      </c>
      <c r="E628" s="1">
        <v>38169</v>
      </c>
      <c r="F628" s="2">
        <f>STANDARDIZE(D628,H$16,I$16)</f>
        <v>-3.1329068420020617E-2</v>
      </c>
      <c r="U628" s="1"/>
    </row>
    <row r="629" spans="1:21" x14ac:dyDescent="0.3">
      <c r="A629" t="s">
        <v>4</v>
      </c>
      <c r="B629">
        <v>2004</v>
      </c>
      <c r="C629" s="3">
        <v>2004.5833333333101</v>
      </c>
      <c r="D629">
        <v>28.6</v>
      </c>
      <c r="E629" s="1">
        <v>38200</v>
      </c>
      <c r="F629" s="2">
        <f>STANDARDIZE(D629,H$17,I$17)</f>
        <v>0.88806976082543654</v>
      </c>
      <c r="U629" s="1"/>
    </row>
    <row r="630" spans="1:21" x14ac:dyDescent="0.3">
      <c r="A630" t="s">
        <v>3</v>
      </c>
      <c r="B630">
        <v>2004</v>
      </c>
      <c r="C630" s="3">
        <v>2004.6666666666499</v>
      </c>
      <c r="D630">
        <v>28.3</v>
      </c>
      <c r="E630" s="1">
        <v>38231</v>
      </c>
      <c r="F630" s="2">
        <f>STANDARDIZE(D630,H$18,I$18)</f>
        <v>0.19156108276765069</v>
      </c>
      <c r="U630" s="1"/>
    </row>
    <row r="631" spans="1:21" x14ac:dyDescent="0.3">
      <c r="A631" t="s">
        <v>2</v>
      </c>
      <c r="B631">
        <v>2004</v>
      </c>
      <c r="C631" s="3">
        <v>2004.74999999998</v>
      </c>
      <c r="D631">
        <v>28</v>
      </c>
      <c r="E631" s="1">
        <v>38261</v>
      </c>
      <c r="F631" s="2">
        <f>STANDARDIZE(D631,H$19,I$19)</f>
        <v>0.18335366047082208</v>
      </c>
      <c r="U631" s="1"/>
    </row>
    <row r="632" spans="1:21" x14ac:dyDescent="0.3">
      <c r="A632" t="s">
        <v>1</v>
      </c>
      <c r="B632">
        <v>2004</v>
      </c>
      <c r="C632" s="3">
        <v>2004.8333333333101</v>
      </c>
      <c r="D632">
        <v>27.6</v>
      </c>
      <c r="E632" s="1">
        <v>38292</v>
      </c>
      <c r="F632" s="2">
        <f>STANDARDIZE(D632,H$20,I$20)</f>
        <v>-0.41324310709921769</v>
      </c>
      <c r="U632" s="1"/>
    </row>
    <row r="633" spans="1:21" x14ac:dyDescent="0.3">
      <c r="A633" t="s">
        <v>0</v>
      </c>
      <c r="B633">
        <v>2004</v>
      </c>
      <c r="C633" s="3">
        <v>2004.9166666666499</v>
      </c>
      <c r="D633">
        <v>27.6</v>
      </c>
      <c r="E633" s="1">
        <v>38322</v>
      </c>
      <c r="F633" s="2">
        <f>STANDARDIZE(D633,H$21,I$21)</f>
        <v>0.33529991873389681</v>
      </c>
      <c r="U633" s="1"/>
    </row>
    <row r="634" spans="1:21" x14ac:dyDescent="0.3">
      <c r="A634" t="s">
        <v>11</v>
      </c>
      <c r="B634">
        <v>2005</v>
      </c>
      <c r="C634" s="3">
        <v>2005</v>
      </c>
      <c r="D634">
        <v>27.4</v>
      </c>
      <c r="E634" s="1">
        <v>38353</v>
      </c>
      <c r="F634" s="2">
        <f>STANDARDIZE(D634,H$10,I$10)</f>
        <v>0.74592639305898389</v>
      </c>
      <c r="U634" s="1"/>
    </row>
    <row r="635" spans="1:21" x14ac:dyDescent="0.3">
      <c r="A635" t="s">
        <v>10</v>
      </c>
      <c r="B635">
        <v>2005</v>
      </c>
      <c r="C635" s="3">
        <v>2005.0833333333201</v>
      </c>
      <c r="D635">
        <v>27.3</v>
      </c>
      <c r="E635" s="1">
        <v>38384</v>
      </c>
      <c r="F635" s="2">
        <f>STANDARDIZE(D635,H$11,I$11)</f>
        <v>0.77590720932644863</v>
      </c>
      <c r="U635" s="1"/>
    </row>
    <row r="636" spans="1:21" x14ac:dyDescent="0.3">
      <c r="A636" t="s">
        <v>9</v>
      </c>
      <c r="B636">
        <v>2005</v>
      </c>
      <c r="C636" s="3">
        <v>2005.1666666666499</v>
      </c>
      <c r="D636">
        <v>28.2</v>
      </c>
      <c r="E636" s="1">
        <v>38412</v>
      </c>
      <c r="F636" s="2">
        <f>STANDARDIZE(D636,H$12,I$12)</f>
        <v>1.7029788983408409</v>
      </c>
      <c r="U636" s="1"/>
    </row>
    <row r="637" spans="1:21" x14ac:dyDescent="0.3">
      <c r="A637" t="s">
        <v>8</v>
      </c>
      <c r="B637">
        <v>2005</v>
      </c>
      <c r="C637" s="3">
        <v>2005.24999999998</v>
      </c>
      <c r="D637">
        <v>28.3</v>
      </c>
      <c r="E637" s="1">
        <v>38443</v>
      </c>
      <c r="F637" s="2">
        <f>STANDARDIZE(D637,H$13,I$13)</f>
        <v>1.2974382088492928</v>
      </c>
      <c r="U637" s="1"/>
    </row>
    <row r="638" spans="1:21" x14ac:dyDescent="0.3">
      <c r="A638" t="s">
        <v>7</v>
      </c>
      <c r="B638">
        <v>2005</v>
      </c>
      <c r="C638" s="3">
        <v>2005.3333333333201</v>
      </c>
      <c r="D638">
        <v>28.5</v>
      </c>
      <c r="E638" s="1">
        <v>38473</v>
      </c>
      <c r="F638" s="2">
        <f>STANDARDIZE(D638,H$14,I$14)</f>
        <v>0.85855638281520286</v>
      </c>
      <c r="U638" s="1"/>
    </row>
    <row r="639" spans="1:21" x14ac:dyDescent="0.3">
      <c r="A639" t="s">
        <v>6</v>
      </c>
      <c r="B639">
        <v>2005</v>
      </c>
      <c r="C639" s="3">
        <v>2005.4166666666499</v>
      </c>
      <c r="D639">
        <v>28.8</v>
      </c>
      <c r="E639" s="1">
        <v>38504</v>
      </c>
      <c r="F639" s="2">
        <f>STANDARDIZE(D639,H$15,I$15)</f>
        <v>1.0533325432212126</v>
      </c>
      <c r="U639" s="1"/>
    </row>
    <row r="640" spans="1:21" x14ac:dyDescent="0.3">
      <c r="A640" t="s">
        <v>5</v>
      </c>
      <c r="B640">
        <v>2005</v>
      </c>
      <c r="C640" s="3">
        <v>2005.49999999998</v>
      </c>
      <c r="D640">
        <v>28.7</v>
      </c>
      <c r="E640" s="1">
        <v>38534</v>
      </c>
      <c r="F640" s="2">
        <f>STANDARDIZE(D640,H$16,I$16)</f>
        <v>1.3113452924384092</v>
      </c>
      <c r="U640" s="1"/>
    </row>
    <row r="641" spans="1:21" x14ac:dyDescent="0.3">
      <c r="A641" t="s">
        <v>4</v>
      </c>
      <c r="B641">
        <v>2005</v>
      </c>
      <c r="C641" s="3">
        <v>2005.5833333333201</v>
      </c>
      <c r="D641">
        <v>28.6</v>
      </c>
      <c r="E641" s="1">
        <v>38565</v>
      </c>
      <c r="F641" s="2">
        <f>STANDARDIZE(D641,H$17,I$17)</f>
        <v>0.88806976082543654</v>
      </c>
      <c r="U641" s="1"/>
    </row>
    <row r="642" spans="1:21" x14ac:dyDescent="0.3">
      <c r="A642" t="s">
        <v>3</v>
      </c>
      <c r="B642">
        <v>2005</v>
      </c>
      <c r="C642" s="3">
        <v>2005.6666666666499</v>
      </c>
      <c r="D642">
        <v>28.5</v>
      </c>
      <c r="E642" s="1">
        <v>38596</v>
      </c>
      <c r="F642" s="2">
        <f>STANDARDIZE(D642,H$18,I$18)</f>
        <v>0.64229304222092143</v>
      </c>
      <c r="U642" s="1"/>
    </row>
    <row r="643" spans="1:21" x14ac:dyDescent="0.3">
      <c r="A643" t="s">
        <v>2</v>
      </c>
      <c r="B643">
        <v>2005</v>
      </c>
      <c r="C643" s="3">
        <v>2005.74999999998</v>
      </c>
      <c r="D643">
        <v>27.8</v>
      </c>
      <c r="E643" s="1">
        <v>38626</v>
      </c>
      <c r="F643" s="2">
        <f>STANDARDIZE(D643,H$19,I$19)</f>
        <v>-0.23271810752067018</v>
      </c>
      <c r="U643" s="1"/>
    </row>
    <row r="644" spans="1:21" x14ac:dyDescent="0.3">
      <c r="A644" t="s">
        <v>1</v>
      </c>
      <c r="B644">
        <v>2005</v>
      </c>
      <c r="C644" s="3">
        <v>2005.8333333333201</v>
      </c>
      <c r="D644">
        <v>28</v>
      </c>
      <c r="E644" s="1">
        <v>38657</v>
      </c>
      <c r="F644" s="2">
        <f>STANDARDIZE(D644,H$20,I$20)</f>
        <v>0.29862093140746954</v>
      </c>
      <c r="U644" s="1"/>
    </row>
    <row r="645" spans="1:21" x14ac:dyDescent="0.3">
      <c r="A645" t="s">
        <v>0</v>
      </c>
      <c r="B645">
        <v>2005</v>
      </c>
      <c r="C645" s="3">
        <v>2005.9166666666499</v>
      </c>
      <c r="D645">
        <v>27.5</v>
      </c>
      <c r="E645" s="1">
        <v>38687</v>
      </c>
      <c r="F645" s="2">
        <f>STANDARDIZE(D645,H$21,I$21)</f>
        <v>0.16764995936694543</v>
      </c>
      <c r="U645" s="1"/>
    </row>
    <row r="646" spans="1:21" x14ac:dyDescent="0.3">
      <c r="A646" t="s">
        <v>11</v>
      </c>
      <c r="B646">
        <v>2006</v>
      </c>
      <c r="C646" s="3">
        <v>2006</v>
      </c>
      <c r="D646">
        <v>27.2</v>
      </c>
      <c r="E646" s="1">
        <v>38718</v>
      </c>
      <c r="F646" s="2">
        <f>STANDARDIZE(D646,H$10,I$10)</f>
        <v>0.39664339948374078</v>
      </c>
      <c r="U646" s="1"/>
    </row>
    <row r="647" spans="1:21" x14ac:dyDescent="0.3">
      <c r="A647" t="s">
        <v>10</v>
      </c>
      <c r="B647">
        <v>2006</v>
      </c>
      <c r="C647" s="3">
        <v>2006.0833333333201</v>
      </c>
      <c r="D647">
        <v>26.8</v>
      </c>
      <c r="E647" s="1">
        <v>38749</v>
      </c>
      <c r="F647" s="2">
        <f>STANDARDIZE(D647,H$11,I$11)</f>
        <v>-0.19803489443062569</v>
      </c>
      <c r="U647" s="1"/>
    </row>
    <row r="648" spans="1:21" x14ac:dyDescent="0.3">
      <c r="A648" t="s">
        <v>9</v>
      </c>
      <c r="B648">
        <v>2006</v>
      </c>
      <c r="C648" s="3">
        <v>2006.1666666666499</v>
      </c>
      <c r="D648">
        <v>27.1</v>
      </c>
      <c r="E648" s="1">
        <v>38777</v>
      </c>
      <c r="F648" s="2">
        <f>STANDARDIZE(D648,H$12,I$12)</f>
        <v>-0.24159908246360165</v>
      </c>
      <c r="U648" s="1"/>
    </row>
    <row r="649" spans="1:21" x14ac:dyDescent="0.3">
      <c r="A649" t="s">
        <v>8</v>
      </c>
      <c r="B649">
        <v>2006</v>
      </c>
      <c r="C649" s="3">
        <v>2006.24999999998</v>
      </c>
      <c r="D649">
        <v>27.6</v>
      </c>
      <c r="E649" s="1">
        <v>38808</v>
      </c>
      <c r="F649" s="2">
        <f>STANDARDIZE(D649,H$13,I$13)</f>
        <v>-0.17932072805234356</v>
      </c>
      <c r="U649" s="1"/>
    </row>
    <row r="650" spans="1:21" x14ac:dyDescent="0.3">
      <c r="A650" t="s">
        <v>7</v>
      </c>
      <c r="B650">
        <v>2006</v>
      </c>
      <c r="C650" s="3">
        <v>2006.3333333333201</v>
      </c>
      <c r="D650">
        <v>28.3</v>
      </c>
      <c r="E650" s="1">
        <v>38838</v>
      </c>
      <c r="F650" s="2">
        <f>STANDARDIZE(D650,H$14,I$14)</f>
        <v>0.32473894272284271</v>
      </c>
      <c r="U650" s="1"/>
    </row>
    <row r="651" spans="1:21" x14ac:dyDescent="0.3">
      <c r="A651" t="s">
        <v>6</v>
      </c>
      <c r="B651">
        <v>2006</v>
      </c>
      <c r="C651" s="3">
        <v>2006.4166666666499</v>
      </c>
      <c r="D651">
        <v>28.5</v>
      </c>
      <c r="E651" s="1">
        <v>38869</v>
      </c>
      <c r="F651" s="2">
        <f>STANDARDIZE(D651,H$15,I$15)</f>
        <v>0.34587038732637038</v>
      </c>
      <c r="U651" s="1"/>
    </row>
    <row r="652" spans="1:21" x14ac:dyDescent="0.3">
      <c r="A652" t="s">
        <v>5</v>
      </c>
      <c r="B652">
        <v>2006</v>
      </c>
      <c r="C652" s="3">
        <v>2006.49999999998</v>
      </c>
      <c r="D652">
        <v>28.6</v>
      </c>
      <c r="E652" s="1">
        <v>38899</v>
      </c>
      <c r="F652" s="2">
        <f>STANDARDIZE(D652,H$16,I$16)</f>
        <v>1.042810420266729</v>
      </c>
      <c r="U652" s="1"/>
    </row>
    <row r="653" spans="1:21" x14ac:dyDescent="0.3">
      <c r="A653" t="s">
        <v>4</v>
      </c>
      <c r="B653">
        <v>2006</v>
      </c>
      <c r="C653" s="3">
        <v>2006.5833333333201</v>
      </c>
      <c r="D653">
        <v>28.7</v>
      </c>
      <c r="E653" s="1">
        <v>38930</v>
      </c>
      <c r="F653" s="2">
        <f>STANDARDIZE(D653,H$17,I$17)</f>
        <v>1.0970273516078821</v>
      </c>
      <c r="U653" s="1"/>
    </row>
    <row r="654" spans="1:21" x14ac:dyDescent="0.3">
      <c r="A654" t="s">
        <v>3</v>
      </c>
      <c r="B654">
        <v>2006</v>
      </c>
      <c r="C654" s="3">
        <v>2006.6666666666499</v>
      </c>
      <c r="D654">
        <v>28.5</v>
      </c>
      <c r="E654" s="1">
        <v>38961</v>
      </c>
      <c r="F654" s="2">
        <f>STANDARDIZE(D654,H$18,I$18)</f>
        <v>0.64229304222092143</v>
      </c>
      <c r="U654" s="1"/>
    </row>
    <row r="655" spans="1:21" x14ac:dyDescent="0.3">
      <c r="A655" t="s">
        <v>2</v>
      </c>
      <c r="B655">
        <v>2006</v>
      </c>
      <c r="C655" s="3">
        <v>2006.74999999998</v>
      </c>
      <c r="D655">
        <v>28.4</v>
      </c>
      <c r="E655" s="1">
        <v>38991</v>
      </c>
      <c r="F655" s="2">
        <f>STANDARDIZE(D655,H$19,I$19)</f>
        <v>1.0154971964538066</v>
      </c>
      <c r="U655" s="1"/>
    </row>
    <row r="656" spans="1:21" x14ac:dyDescent="0.3">
      <c r="A656" t="s">
        <v>1</v>
      </c>
      <c r="B656">
        <v>2006</v>
      </c>
      <c r="C656" s="3">
        <v>2006.8333333333201</v>
      </c>
      <c r="D656">
        <v>28.2</v>
      </c>
      <c r="E656" s="1">
        <v>39022</v>
      </c>
      <c r="F656" s="2">
        <f>STANDARDIZE(D656,H$20,I$20)</f>
        <v>0.65455295066081309</v>
      </c>
      <c r="U656" s="1"/>
    </row>
    <row r="657" spans="1:21" x14ac:dyDescent="0.3">
      <c r="A657" t="s">
        <v>0</v>
      </c>
      <c r="B657">
        <v>2006</v>
      </c>
      <c r="C657" s="3">
        <v>2006.9166666666499</v>
      </c>
      <c r="D657">
        <v>27.8</v>
      </c>
      <c r="E657" s="1">
        <v>39052</v>
      </c>
      <c r="F657" s="2">
        <f>STANDARDIZE(D657,H$21,I$21)</f>
        <v>0.67059983746779361</v>
      </c>
      <c r="U657" s="1"/>
    </row>
    <row r="658" spans="1:21" x14ac:dyDescent="0.3">
      <c r="A658" t="s">
        <v>11</v>
      </c>
      <c r="B658">
        <v>2007</v>
      </c>
      <c r="C658" s="3">
        <v>2007</v>
      </c>
      <c r="D658">
        <v>26.9</v>
      </c>
      <c r="E658" s="1">
        <v>39083</v>
      </c>
      <c r="F658" s="2">
        <f>STANDARDIZE(D658,H$10,I$10)</f>
        <v>-0.12728109087912701</v>
      </c>
      <c r="U658" s="1"/>
    </row>
    <row r="659" spans="1:21" x14ac:dyDescent="0.3">
      <c r="A659" t="s">
        <v>10</v>
      </c>
      <c r="B659">
        <v>2007</v>
      </c>
      <c r="C659" s="3">
        <v>2007.0833333333201</v>
      </c>
      <c r="D659">
        <v>27.1</v>
      </c>
      <c r="E659" s="1">
        <v>39114</v>
      </c>
      <c r="F659" s="2">
        <f>STANDARDIZE(D659,H$11,I$11)</f>
        <v>0.38633036782362029</v>
      </c>
      <c r="U659" s="1"/>
    </row>
    <row r="660" spans="1:21" x14ac:dyDescent="0.3">
      <c r="A660" t="s">
        <v>9</v>
      </c>
      <c r="B660">
        <v>2007</v>
      </c>
      <c r="C660" s="3">
        <v>2007.1666666666499</v>
      </c>
      <c r="D660">
        <v>27.4</v>
      </c>
      <c r="E660" s="1">
        <v>39142</v>
      </c>
      <c r="F660" s="2">
        <f>STANDARDIZE(D660,H$12,I$12)</f>
        <v>0.28874036684669685</v>
      </c>
      <c r="U660" s="1"/>
    </row>
    <row r="661" spans="1:21" x14ac:dyDescent="0.3">
      <c r="A661" t="s">
        <v>8</v>
      </c>
      <c r="B661">
        <v>2007</v>
      </c>
      <c r="C661" s="3">
        <v>2007.24999999999</v>
      </c>
      <c r="D661">
        <v>27.8</v>
      </c>
      <c r="E661" s="1">
        <v>39173</v>
      </c>
      <c r="F661" s="2">
        <f>STANDARDIZE(D661,H$13,I$13)</f>
        <v>0.24261039677669438</v>
      </c>
      <c r="U661" s="1"/>
    </row>
    <row r="662" spans="1:21" x14ac:dyDescent="0.3">
      <c r="A662" t="s">
        <v>7</v>
      </c>
      <c r="B662">
        <v>2007</v>
      </c>
      <c r="C662" s="3">
        <v>2007.3333333333201</v>
      </c>
      <c r="D662">
        <v>27.9</v>
      </c>
      <c r="E662" s="1">
        <v>39203</v>
      </c>
      <c r="F662" s="2">
        <f>STANDARDIZE(D662,H$14,I$14)</f>
        <v>-0.74289593746188709</v>
      </c>
      <c r="U662" s="1"/>
    </row>
    <row r="663" spans="1:21" x14ac:dyDescent="0.3">
      <c r="A663" t="s">
        <v>6</v>
      </c>
      <c r="B663">
        <v>2007</v>
      </c>
      <c r="C663" s="3">
        <v>2007.4166666666499</v>
      </c>
      <c r="D663">
        <v>28.7</v>
      </c>
      <c r="E663" s="1">
        <v>39234</v>
      </c>
      <c r="F663" s="2">
        <f>STANDARDIZE(D663,H$15,I$15)</f>
        <v>0.81751182458959581</v>
      </c>
      <c r="U663" s="1"/>
    </row>
    <row r="664" spans="1:21" x14ac:dyDescent="0.3">
      <c r="A664" t="s">
        <v>5</v>
      </c>
      <c r="B664">
        <v>2007</v>
      </c>
      <c r="C664" s="3">
        <v>2007.49999999999</v>
      </c>
      <c r="D664">
        <v>28.4</v>
      </c>
      <c r="E664" s="1">
        <v>39264</v>
      </c>
      <c r="F664" s="2">
        <f>STANDARDIZE(D664,H$16,I$16)</f>
        <v>0.50574067592334937</v>
      </c>
      <c r="U664" s="1"/>
    </row>
    <row r="665" spans="1:21" x14ac:dyDescent="0.3">
      <c r="A665" t="s">
        <v>4</v>
      </c>
      <c r="B665">
        <v>2007</v>
      </c>
      <c r="C665" s="3">
        <v>2007.5833333333201</v>
      </c>
      <c r="D665">
        <v>27.8</v>
      </c>
      <c r="E665" s="1">
        <v>39295</v>
      </c>
      <c r="F665" s="2">
        <f>STANDARDIZE(D665,H$17,I$17)</f>
        <v>-0.78359096543416551</v>
      </c>
      <c r="U665" s="1"/>
    </row>
    <row r="666" spans="1:21" x14ac:dyDescent="0.3">
      <c r="A666" t="s">
        <v>3</v>
      </c>
      <c r="B666">
        <v>2007</v>
      </c>
      <c r="C666" s="3">
        <v>2007.6666666666499</v>
      </c>
      <c r="D666">
        <v>28</v>
      </c>
      <c r="E666" s="1">
        <v>39326</v>
      </c>
      <c r="F666" s="2">
        <f>STANDARDIZE(D666,H$18,I$18)</f>
        <v>-0.48453685641225946</v>
      </c>
      <c r="U666" s="1"/>
    </row>
    <row r="667" spans="1:21" x14ac:dyDescent="0.3">
      <c r="A667" t="s">
        <v>2</v>
      </c>
      <c r="B667">
        <v>2007</v>
      </c>
      <c r="C667" s="3">
        <v>2007.74999999999</v>
      </c>
      <c r="D667">
        <v>27.5</v>
      </c>
      <c r="E667" s="1">
        <v>39356</v>
      </c>
      <c r="F667" s="2">
        <f>STANDARDIZE(D667,H$19,I$19)</f>
        <v>-0.85682575950791229</v>
      </c>
      <c r="U667" s="1"/>
    </row>
    <row r="668" spans="1:21" x14ac:dyDescent="0.3">
      <c r="A668" t="s">
        <v>1</v>
      </c>
      <c r="B668">
        <v>2007</v>
      </c>
      <c r="C668" s="3">
        <v>2007.8333333333201</v>
      </c>
      <c r="D668">
        <v>28.2</v>
      </c>
      <c r="E668" s="1">
        <v>39387</v>
      </c>
      <c r="F668" s="2">
        <f>STANDARDIZE(D668,H$20,I$20)</f>
        <v>0.65455295066081309</v>
      </c>
      <c r="U668" s="1"/>
    </row>
    <row r="669" spans="1:21" x14ac:dyDescent="0.3">
      <c r="A669" t="s">
        <v>0</v>
      </c>
      <c r="B669">
        <v>2007</v>
      </c>
      <c r="C669" s="3">
        <v>2007.9166666666499</v>
      </c>
      <c r="D669">
        <v>27.6</v>
      </c>
      <c r="E669" s="1">
        <v>39417</v>
      </c>
      <c r="F669" s="2">
        <f>STANDARDIZE(D669,H$21,I$21)</f>
        <v>0.33529991873389681</v>
      </c>
      <c r="U669" s="1"/>
    </row>
    <row r="670" spans="1:21" x14ac:dyDescent="0.3">
      <c r="A670" t="s">
        <v>11</v>
      </c>
      <c r="B670">
        <v>2008</v>
      </c>
      <c r="C670" s="3">
        <v>2008</v>
      </c>
      <c r="D670">
        <v>27</v>
      </c>
      <c r="E670" s="1">
        <v>39448</v>
      </c>
      <c r="F670" s="2">
        <f>STANDARDIZE(D670,H$10,I$10)</f>
        <v>4.7360405908497653E-2</v>
      </c>
      <c r="U670" s="1"/>
    </row>
    <row r="671" spans="1:21" x14ac:dyDescent="0.3">
      <c r="A671" t="s">
        <v>10</v>
      </c>
      <c r="B671">
        <v>2008</v>
      </c>
      <c r="C671" s="3">
        <v>2008.0833333333201</v>
      </c>
      <c r="D671">
        <v>26.9</v>
      </c>
      <c r="E671" s="1">
        <v>39479</v>
      </c>
      <c r="F671" s="2">
        <f>STANDARDIZE(D671,H$11,I$11)</f>
        <v>-3.2464736792149761E-3</v>
      </c>
      <c r="U671" s="1"/>
    </row>
    <row r="672" spans="1:21" x14ac:dyDescent="0.3">
      <c r="A672" t="s">
        <v>9</v>
      </c>
      <c r="B672">
        <v>2008</v>
      </c>
      <c r="C672" s="3">
        <v>2008.1666666666499</v>
      </c>
      <c r="D672">
        <v>27</v>
      </c>
      <c r="E672" s="1">
        <v>39508</v>
      </c>
      <c r="F672" s="2">
        <f>STANDARDIZE(D672,H$12,I$12)</f>
        <v>-0.418378898900372</v>
      </c>
      <c r="U672" s="1"/>
    </row>
    <row r="673" spans="1:21" x14ac:dyDescent="0.3">
      <c r="A673" t="s">
        <v>8</v>
      </c>
      <c r="B673">
        <v>2008</v>
      </c>
      <c r="C673" s="3">
        <v>2008.24999999999</v>
      </c>
      <c r="D673">
        <v>27.7</v>
      </c>
      <c r="E673" s="1">
        <v>39539</v>
      </c>
      <c r="F673" s="2">
        <f>STANDARDIZE(D673,H$13,I$13)</f>
        <v>3.1644834362171657E-2</v>
      </c>
      <c r="U673" s="1"/>
    </row>
    <row r="674" spans="1:21" x14ac:dyDescent="0.3">
      <c r="A674" t="s">
        <v>7</v>
      </c>
      <c r="B674">
        <v>2008</v>
      </c>
      <c r="C674" s="3">
        <v>2008.3333333333201</v>
      </c>
      <c r="D674">
        <v>28</v>
      </c>
      <c r="E674" s="1">
        <v>39569</v>
      </c>
      <c r="F674" s="2">
        <f>STANDARDIZE(D674,H$14,I$14)</f>
        <v>-0.47598721741570227</v>
      </c>
      <c r="U674" s="1"/>
    </row>
    <row r="675" spans="1:21" x14ac:dyDescent="0.3">
      <c r="A675" t="s">
        <v>6</v>
      </c>
      <c r="B675">
        <v>2008</v>
      </c>
      <c r="C675" s="3">
        <v>2008.4166666666499</v>
      </c>
      <c r="D675">
        <v>28.2</v>
      </c>
      <c r="E675" s="1">
        <v>39600</v>
      </c>
      <c r="F675" s="2">
        <f>STANDARDIZE(D675,H$15,I$15)</f>
        <v>-0.36159176856847203</v>
      </c>
      <c r="U675" s="1"/>
    </row>
    <row r="676" spans="1:21" x14ac:dyDescent="0.3">
      <c r="A676" t="s">
        <v>5</v>
      </c>
      <c r="B676">
        <v>2008</v>
      </c>
      <c r="C676" s="3">
        <v>2008.49999999999</v>
      </c>
      <c r="D676">
        <v>28</v>
      </c>
      <c r="E676" s="1">
        <v>39630</v>
      </c>
      <c r="F676" s="2">
        <f>STANDARDIZE(D676,H$16,I$16)</f>
        <v>-0.56839881276339066</v>
      </c>
      <c r="U676" s="1"/>
    </row>
    <row r="677" spans="1:21" x14ac:dyDescent="0.3">
      <c r="A677" t="s">
        <v>4</v>
      </c>
      <c r="B677">
        <v>2008</v>
      </c>
      <c r="C677" s="3">
        <v>2008.5833333333201</v>
      </c>
      <c r="D677">
        <v>27.8</v>
      </c>
      <c r="E677" s="1">
        <v>39661</v>
      </c>
      <c r="F677" s="2">
        <f>STANDARDIZE(D677,H$17,I$17)</f>
        <v>-0.78359096543416551</v>
      </c>
      <c r="U677" s="1"/>
    </row>
    <row r="678" spans="1:21" x14ac:dyDescent="0.3">
      <c r="A678" t="s">
        <v>3</v>
      </c>
      <c r="B678">
        <v>2008</v>
      </c>
      <c r="C678" s="3">
        <v>2008.6666666666599</v>
      </c>
      <c r="D678">
        <v>28.2</v>
      </c>
      <c r="E678" s="1">
        <v>39692</v>
      </c>
      <c r="F678" s="2">
        <f>STANDARDIZE(D678,H$18,I$18)</f>
        <v>-3.3804896958988702E-2</v>
      </c>
      <c r="U678" s="1"/>
    </row>
    <row r="679" spans="1:21" x14ac:dyDescent="0.3">
      <c r="A679" t="s">
        <v>2</v>
      </c>
      <c r="B679">
        <v>2008</v>
      </c>
      <c r="C679" s="3">
        <v>2008.74999999999</v>
      </c>
      <c r="D679">
        <v>28</v>
      </c>
      <c r="E679" s="1">
        <v>39722</v>
      </c>
      <c r="F679" s="2">
        <f>STANDARDIZE(D679,H$19,I$19)</f>
        <v>0.18335366047082208</v>
      </c>
      <c r="U679" s="1"/>
    </row>
    <row r="680" spans="1:21" x14ac:dyDescent="0.3">
      <c r="A680" t="s">
        <v>1</v>
      </c>
      <c r="B680">
        <v>2008</v>
      </c>
      <c r="C680" s="3">
        <v>2008.8333333333201</v>
      </c>
      <c r="D680">
        <v>27.7</v>
      </c>
      <c r="E680" s="1">
        <v>39753</v>
      </c>
      <c r="F680" s="2">
        <f>STANDARDIZE(D680,H$20,I$20)</f>
        <v>-0.23527709747254905</v>
      </c>
      <c r="U680" s="1"/>
    </row>
    <row r="681" spans="1:21" x14ac:dyDescent="0.3">
      <c r="A681" t="s">
        <v>0</v>
      </c>
      <c r="B681">
        <v>2008</v>
      </c>
      <c r="C681" s="3">
        <v>2008.9166666666599</v>
      </c>
      <c r="D681">
        <v>27.1</v>
      </c>
      <c r="E681" s="1">
        <v>39783</v>
      </c>
      <c r="F681" s="2">
        <f>STANDARDIZE(D681,H$21,I$21)</f>
        <v>-0.50294987810084812</v>
      </c>
      <c r="U681" s="1"/>
    </row>
    <row r="682" spans="1:21" x14ac:dyDescent="0.3">
      <c r="A682" t="s">
        <v>11</v>
      </c>
      <c r="B682">
        <v>2009</v>
      </c>
      <c r="C682" s="3">
        <v>2009</v>
      </c>
      <c r="D682">
        <v>26.7</v>
      </c>
      <c r="E682" s="1">
        <v>39814</v>
      </c>
      <c r="F682" s="2">
        <f>STANDARDIZE(D682,H$10,I$10)</f>
        <v>-0.4765640844543701</v>
      </c>
      <c r="U682" s="1"/>
    </row>
    <row r="683" spans="1:21" x14ac:dyDescent="0.3">
      <c r="A683" t="s">
        <v>10</v>
      </c>
      <c r="B683">
        <v>2009</v>
      </c>
      <c r="C683" s="3">
        <v>2009.0833333333201</v>
      </c>
      <c r="D683">
        <v>27</v>
      </c>
      <c r="E683" s="1">
        <v>39845</v>
      </c>
      <c r="F683" s="2">
        <f>STANDARDIZE(D683,H$11,I$11)</f>
        <v>0.19154194707220265</v>
      </c>
      <c r="U683" s="1"/>
    </row>
    <row r="684" spans="1:21" x14ac:dyDescent="0.3">
      <c r="A684" t="s">
        <v>9</v>
      </c>
      <c r="B684">
        <v>2009</v>
      </c>
      <c r="C684" s="3">
        <v>2009.1666666666599</v>
      </c>
      <c r="D684">
        <v>27.4</v>
      </c>
      <c r="E684" s="1">
        <v>39873</v>
      </c>
      <c r="F684" s="2">
        <f>STANDARDIZE(D684,H$12,I$12)</f>
        <v>0.28874036684669685</v>
      </c>
      <c r="U684" s="1"/>
    </row>
    <row r="685" spans="1:21" x14ac:dyDescent="0.3">
      <c r="A685" t="s">
        <v>8</v>
      </c>
      <c r="B685">
        <v>2009</v>
      </c>
      <c r="C685" s="3">
        <v>2009.24999999999</v>
      </c>
      <c r="D685">
        <v>28</v>
      </c>
      <c r="E685" s="1">
        <v>39904</v>
      </c>
      <c r="F685" s="2">
        <f>STANDARDIZE(D685,H$13,I$13)</f>
        <v>0.66454152160573232</v>
      </c>
      <c r="U685" s="1"/>
    </row>
    <row r="686" spans="1:21" x14ac:dyDescent="0.3">
      <c r="A686" t="s">
        <v>7</v>
      </c>
      <c r="B686">
        <v>2009</v>
      </c>
      <c r="C686" s="3">
        <v>2009.3333333333201</v>
      </c>
      <c r="D686">
        <v>28.7</v>
      </c>
      <c r="E686" s="1">
        <v>39934</v>
      </c>
      <c r="F686" s="2">
        <f>STANDARDIZE(D686,H$14,I$14)</f>
        <v>1.3923738229075631</v>
      </c>
      <c r="U686" s="1"/>
    </row>
    <row r="687" spans="1:21" x14ac:dyDescent="0.3">
      <c r="A687" t="s">
        <v>6</v>
      </c>
      <c r="B687">
        <v>2009</v>
      </c>
      <c r="C687" s="3">
        <v>2009.4166666666599</v>
      </c>
      <c r="D687">
        <v>28.6</v>
      </c>
      <c r="E687" s="1">
        <v>39965</v>
      </c>
      <c r="F687" s="2">
        <f>STANDARDIZE(D687,H$15,I$15)</f>
        <v>0.58169110595798723</v>
      </c>
      <c r="U687" s="1"/>
    </row>
    <row r="688" spans="1:21" x14ac:dyDescent="0.3">
      <c r="A688" t="s">
        <v>5</v>
      </c>
      <c r="B688">
        <v>2009</v>
      </c>
      <c r="C688" s="3">
        <v>2009.49999999999</v>
      </c>
      <c r="D688">
        <v>28.8</v>
      </c>
      <c r="E688" s="1">
        <v>39995</v>
      </c>
      <c r="F688" s="2">
        <f>STANDARDIZE(D688,H$16,I$16)</f>
        <v>1.5798801646100991</v>
      </c>
      <c r="U688" s="1"/>
    </row>
    <row r="689" spans="1:21" x14ac:dyDescent="0.3">
      <c r="A689" t="s">
        <v>4</v>
      </c>
      <c r="B689">
        <v>2009</v>
      </c>
      <c r="C689" s="3">
        <v>2009.5833333333201</v>
      </c>
      <c r="D689">
        <v>28.6</v>
      </c>
      <c r="E689" s="1">
        <v>40026</v>
      </c>
      <c r="F689" s="2">
        <f>STANDARDIZE(D689,H$17,I$17)</f>
        <v>0.88806976082543654</v>
      </c>
      <c r="U689" s="1"/>
    </row>
    <row r="690" spans="1:21" x14ac:dyDescent="0.3">
      <c r="A690" t="s">
        <v>3</v>
      </c>
      <c r="B690">
        <v>2009</v>
      </c>
      <c r="C690" s="3">
        <v>2009.6666666666599</v>
      </c>
      <c r="D690">
        <v>29</v>
      </c>
      <c r="E690" s="1">
        <v>40057</v>
      </c>
      <c r="F690" s="2">
        <f>STANDARDIZE(D690,H$18,I$18)</f>
        <v>1.7691229408541025</v>
      </c>
      <c r="U690" s="1"/>
    </row>
    <row r="691" spans="1:21" x14ac:dyDescent="0.3">
      <c r="A691" t="s">
        <v>2</v>
      </c>
      <c r="B691">
        <v>2009</v>
      </c>
      <c r="C691" s="3">
        <v>2009.74999999999</v>
      </c>
      <c r="D691">
        <v>28.3</v>
      </c>
      <c r="E691" s="1">
        <v>40087</v>
      </c>
      <c r="F691" s="2">
        <f>STANDARDIZE(D691,H$19,I$19)</f>
        <v>0.80746131245806418</v>
      </c>
      <c r="U691" s="1"/>
    </row>
    <row r="692" spans="1:21" x14ac:dyDescent="0.3">
      <c r="A692" t="s">
        <v>1</v>
      </c>
      <c r="B692">
        <v>2009</v>
      </c>
      <c r="C692" s="3">
        <v>2009.8333333333201</v>
      </c>
      <c r="D692">
        <v>28.5</v>
      </c>
      <c r="E692" s="1">
        <v>40118</v>
      </c>
      <c r="F692" s="2">
        <f>STANDARDIZE(D692,H$20,I$20)</f>
        <v>1.1884509795408318</v>
      </c>
      <c r="U692" s="1"/>
    </row>
    <row r="693" spans="1:21" x14ac:dyDescent="0.3">
      <c r="A693" t="s">
        <v>0</v>
      </c>
      <c r="B693">
        <v>2009</v>
      </c>
      <c r="C693" s="3">
        <v>2009.9166666666599</v>
      </c>
      <c r="D693">
        <v>28.4</v>
      </c>
      <c r="E693" s="1">
        <v>40148</v>
      </c>
      <c r="F693" s="2">
        <f>STANDARDIZE(D693,H$21,I$21)</f>
        <v>1.676499593669484</v>
      </c>
      <c r="U693" s="1"/>
    </row>
    <row r="694" spans="1:21" x14ac:dyDescent="0.3">
      <c r="A694" t="s">
        <v>11</v>
      </c>
      <c r="B694">
        <v>2010</v>
      </c>
      <c r="C694" s="3">
        <v>2010</v>
      </c>
      <c r="D694">
        <v>27.9</v>
      </c>
      <c r="E694" s="1">
        <v>40179</v>
      </c>
      <c r="F694" s="2">
        <f>STANDARDIZE(D694,H$10,I$10)</f>
        <v>1.6191338769970949</v>
      </c>
      <c r="U694" s="1"/>
    </row>
    <row r="695" spans="1:21" x14ac:dyDescent="0.3">
      <c r="A695" t="s">
        <v>10</v>
      </c>
      <c r="B695">
        <v>2010</v>
      </c>
      <c r="C695" s="3">
        <v>2010.0833333333201</v>
      </c>
      <c r="D695">
        <v>28</v>
      </c>
      <c r="E695" s="1">
        <v>40210</v>
      </c>
      <c r="F695" s="2">
        <f>STANDARDIZE(D695,H$11,I$11)</f>
        <v>2.1394261545863511</v>
      </c>
      <c r="U695" s="1"/>
    </row>
    <row r="696" spans="1:21" x14ac:dyDescent="0.3">
      <c r="A696" t="s">
        <v>9</v>
      </c>
      <c r="B696">
        <v>2010</v>
      </c>
      <c r="C696" s="3">
        <v>2010.1666666666599</v>
      </c>
      <c r="D696">
        <v>28.6</v>
      </c>
      <c r="E696" s="1">
        <v>40238</v>
      </c>
      <c r="F696" s="2">
        <f>STANDARDIZE(D696,H$12,I$12)</f>
        <v>2.4100981640879162</v>
      </c>
      <c r="U696" s="1"/>
    </row>
    <row r="697" spans="1:21" x14ac:dyDescent="0.3">
      <c r="A697" t="s">
        <v>8</v>
      </c>
      <c r="B697">
        <v>2010</v>
      </c>
      <c r="C697" s="3">
        <v>2010.24999999999</v>
      </c>
      <c r="D697">
        <v>28.8</v>
      </c>
      <c r="E697" s="1">
        <v>40269</v>
      </c>
      <c r="F697" s="2">
        <f>STANDARDIZE(D697,H$13,I$13)</f>
        <v>2.3522660209218915</v>
      </c>
      <c r="U697" s="1"/>
    </row>
    <row r="698" spans="1:21" x14ac:dyDescent="0.3">
      <c r="A698" t="s">
        <v>7</v>
      </c>
      <c r="B698">
        <v>2010</v>
      </c>
      <c r="C698" s="3">
        <v>2010.3333333333201</v>
      </c>
      <c r="D698">
        <v>29</v>
      </c>
      <c r="E698" s="1">
        <v>40299</v>
      </c>
      <c r="F698" s="2">
        <f>STANDARDIZE(D698,H$14,I$14)</f>
        <v>2.1930999830461082</v>
      </c>
      <c r="U698" s="1"/>
    </row>
    <row r="699" spans="1:21" x14ac:dyDescent="0.3">
      <c r="A699" t="s">
        <v>6</v>
      </c>
      <c r="B699">
        <v>2010</v>
      </c>
      <c r="C699" s="3">
        <v>2010.4166666666599</v>
      </c>
      <c r="D699">
        <v>28.7</v>
      </c>
      <c r="E699" s="1">
        <v>40330</v>
      </c>
      <c r="F699" s="2">
        <f>STANDARDIZE(D699,H$15,I$15)</f>
        <v>0.81751182458959581</v>
      </c>
      <c r="U699" s="1"/>
    </row>
    <row r="700" spans="1:21" x14ac:dyDescent="0.3">
      <c r="A700" t="s">
        <v>5</v>
      </c>
      <c r="B700">
        <v>2010</v>
      </c>
      <c r="C700" s="3">
        <v>2010.49999999999</v>
      </c>
      <c r="D700">
        <v>28.1</v>
      </c>
      <c r="E700" s="1">
        <v>40360</v>
      </c>
      <c r="F700" s="2">
        <f>STANDARDIZE(D700,H$16,I$16)</f>
        <v>-0.29986394059170085</v>
      </c>
      <c r="U700" s="1"/>
    </row>
    <row r="701" spans="1:21" x14ac:dyDescent="0.3">
      <c r="A701" t="s">
        <v>4</v>
      </c>
      <c r="B701">
        <v>2010</v>
      </c>
      <c r="C701" s="3">
        <v>2010.5833333333301</v>
      </c>
      <c r="D701">
        <v>28.1</v>
      </c>
      <c r="E701" s="1">
        <v>40391</v>
      </c>
      <c r="F701" s="2">
        <f>STANDARDIZE(D701,H$17,I$17)</f>
        <v>-0.15671819308681381</v>
      </c>
      <c r="U701" s="1"/>
    </row>
    <row r="702" spans="1:21" x14ac:dyDescent="0.3">
      <c r="A702" t="s">
        <v>3</v>
      </c>
      <c r="B702">
        <v>2010</v>
      </c>
      <c r="C702" s="3">
        <v>2010.6666666666599</v>
      </c>
      <c r="D702">
        <v>28.2</v>
      </c>
      <c r="E702" s="1">
        <v>40422</v>
      </c>
      <c r="F702" s="2">
        <f>STANDARDIZE(D702,H$18,I$18)</f>
        <v>-3.3804896958988702E-2</v>
      </c>
      <c r="U702" s="1"/>
    </row>
    <row r="703" spans="1:21" x14ac:dyDescent="0.3">
      <c r="A703" t="s">
        <v>2</v>
      </c>
      <c r="B703">
        <v>2010</v>
      </c>
      <c r="C703" s="3">
        <v>2010.74999999999</v>
      </c>
      <c r="D703">
        <v>27.9</v>
      </c>
      <c r="E703" s="1">
        <v>40452</v>
      </c>
      <c r="F703" s="2">
        <f>STANDARDIZE(D703,H$19,I$19)</f>
        <v>-2.468222352492774E-2</v>
      </c>
      <c r="U703" s="1"/>
    </row>
    <row r="704" spans="1:21" x14ac:dyDescent="0.3">
      <c r="A704" t="s">
        <v>1</v>
      </c>
      <c r="B704">
        <v>2010</v>
      </c>
      <c r="C704" s="3">
        <v>2010.8333333333301</v>
      </c>
      <c r="D704">
        <v>27.1</v>
      </c>
      <c r="E704" s="1">
        <v>40483</v>
      </c>
      <c r="F704" s="2">
        <f>STANDARDIZE(D704,H$20,I$20)</f>
        <v>-1.3030731552325798</v>
      </c>
      <c r="U704" s="1"/>
    </row>
    <row r="705" spans="1:21" x14ac:dyDescent="0.3">
      <c r="A705" t="s">
        <v>0</v>
      </c>
      <c r="B705">
        <v>2010</v>
      </c>
      <c r="C705" s="3">
        <v>2010.9166666666599</v>
      </c>
      <c r="D705">
        <v>27.2</v>
      </c>
      <c r="E705" s="1">
        <v>40513</v>
      </c>
      <c r="F705" s="2">
        <f>STANDARDIZE(D705,H$21,I$21)</f>
        <v>-0.33529991873390275</v>
      </c>
      <c r="U705" s="1"/>
    </row>
    <row r="706" spans="1:21" x14ac:dyDescent="0.3">
      <c r="A706" t="s">
        <v>11</v>
      </c>
      <c r="B706">
        <v>2011</v>
      </c>
      <c r="C706" s="3">
        <v>2011</v>
      </c>
      <c r="E706" s="1">
        <v>40544</v>
      </c>
      <c r="F706" s="2"/>
      <c r="U706" s="1"/>
    </row>
    <row r="707" spans="1:21" x14ac:dyDescent="0.3">
      <c r="A707" t="s">
        <v>10</v>
      </c>
      <c r="B707">
        <v>2011</v>
      </c>
      <c r="C707" s="3">
        <v>2011.0833333333301</v>
      </c>
      <c r="D707">
        <v>27.1</v>
      </c>
      <c r="E707" s="1">
        <v>40575</v>
      </c>
      <c r="F707" s="2">
        <f>STANDARDIZE(D707,H$11,I$11)</f>
        <v>0.38633036782362029</v>
      </c>
      <c r="U707" s="1"/>
    </row>
    <row r="708" spans="1:21" x14ac:dyDescent="0.3">
      <c r="A708" t="s">
        <v>9</v>
      </c>
      <c r="B708">
        <v>2011</v>
      </c>
      <c r="C708" s="3">
        <v>2011.1666666666599</v>
      </c>
      <c r="D708">
        <v>27.3</v>
      </c>
      <c r="E708" s="1">
        <v>40603</v>
      </c>
      <c r="F708" s="2">
        <f>STANDARDIZE(D708,H$12,I$12)</f>
        <v>0.11196055040993279</v>
      </c>
      <c r="U708" s="1"/>
    </row>
    <row r="709" spans="1:21" x14ac:dyDescent="0.3">
      <c r="A709" t="s">
        <v>8</v>
      </c>
      <c r="B709">
        <v>2011</v>
      </c>
      <c r="C709" s="3">
        <v>2011.24999999999</v>
      </c>
      <c r="D709">
        <v>28</v>
      </c>
      <c r="E709" s="1">
        <v>40634</v>
      </c>
      <c r="F709" s="2">
        <f>STANDARDIZE(D709,H$13,I$13)</f>
        <v>0.66454152160573232</v>
      </c>
      <c r="U709" s="1"/>
    </row>
    <row r="710" spans="1:21" x14ac:dyDescent="0.3">
      <c r="A710" t="s">
        <v>7</v>
      </c>
      <c r="B710">
        <v>2011</v>
      </c>
      <c r="C710" s="3">
        <v>2011.3333333333301</v>
      </c>
      <c r="D710">
        <v>28.3</v>
      </c>
      <c r="E710" s="1">
        <v>40664</v>
      </c>
      <c r="F710" s="2">
        <f>STANDARDIZE(D710,H$14,I$14)</f>
        <v>0.32473894272284271</v>
      </c>
      <c r="U710" s="1"/>
    </row>
    <row r="711" spans="1:21" x14ac:dyDescent="0.3">
      <c r="A711" t="s">
        <v>6</v>
      </c>
      <c r="B711">
        <v>2011</v>
      </c>
      <c r="C711" s="3">
        <v>2011.4166666666599</v>
      </c>
      <c r="D711">
        <v>28.6</v>
      </c>
      <c r="E711" s="1">
        <v>40695</v>
      </c>
      <c r="F711" s="2">
        <f>STANDARDIZE(D711,H$15,I$15)</f>
        <v>0.58169110595798723</v>
      </c>
      <c r="U711" s="1"/>
    </row>
    <row r="712" spans="1:21" x14ac:dyDescent="0.3">
      <c r="A712" t="s">
        <v>5</v>
      </c>
      <c r="B712">
        <v>2011</v>
      </c>
      <c r="C712" s="3">
        <v>2011.49999999999</v>
      </c>
      <c r="D712">
        <v>28.1</v>
      </c>
      <c r="E712" s="1">
        <v>40725</v>
      </c>
      <c r="F712" s="2">
        <f>STANDARDIZE(D712,H$16,I$16)</f>
        <v>-0.29986394059170085</v>
      </c>
      <c r="U712" s="1"/>
    </row>
    <row r="713" spans="1:21" x14ac:dyDescent="0.3">
      <c r="A713" t="s">
        <v>4</v>
      </c>
      <c r="B713">
        <v>2011</v>
      </c>
      <c r="C713" s="3">
        <v>2011.5833333333301</v>
      </c>
      <c r="D713">
        <v>28.1</v>
      </c>
      <c r="E713" s="1">
        <v>40756</v>
      </c>
      <c r="F713" s="2">
        <f>STANDARDIZE(D713,H$17,I$17)</f>
        <v>-0.15671819308681381</v>
      </c>
      <c r="U713" s="1"/>
    </row>
    <row r="714" spans="1:21" x14ac:dyDescent="0.3">
      <c r="A714" t="s">
        <v>3</v>
      </c>
      <c r="B714">
        <v>2011</v>
      </c>
      <c r="C714" s="3">
        <v>2011.6666666666599</v>
      </c>
      <c r="D714">
        <v>28.2</v>
      </c>
      <c r="E714" s="1">
        <v>40787</v>
      </c>
      <c r="F714" s="2">
        <f>STANDARDIZE(D714,H$18,I$18)</f>
        <v>-3.3804896958988702E-2</v>
      </c>
      <c r="U714" s="1"/>
    </row>
    <row r="715" spans="1:21" x14ac:dyDescent="0.3">
      <c r="A715" t="s">
        <v>2</v>
      </c>
      <c r="B715">
        <v>2011</v>
      </c>
      <c r="C715" s="3">
        <v>2011.74999999999</v>
      </c>
      <c r="D715">
        <v>27.3</v>
      </c>
      <c r="E715" s="1">
        <v>40817</v>
      </c>
      <c r="F715" s="2">
        <f>STANDARDIZE(D715,H$19,I$19)</f>
        <v>-1.2728975274994045</v>
      </c>
      <c r="U715" s="1"/>
    </row>
    <row r="716" spans="1:21" x14ac:dyDescent="0.3">
      <c r="A716" t="s">
        <v>1</v>
      </c>
      <c r="B716">
        <v>2011</v>
      </c>
      <c r="C716" s="3">
        <v>2011.8333333333301</v>
      </c>
      <c r="D716">
        <v>27.3</v>
      </c>
      <c r="E716" s="1">
        <v>40848</v>
      </c>
      <c r="F716" s="2">
        <f>STANDARDIZE(D716,H$20,I$20)</f>
        <v>-0.94714113597923622</v>
      </c>
      <c r="U716" s="1"/>
    </row>
    <row r="717" spans="1:21" x14ac:dyDescent="0.3">
      <c r="A717" t="s">
        <v>0</v>
      </c>
      <c r="B717">
        <v>2011</v>
      </c>
      <c r="C717" s="3">
        <v>2011.9166666666599</v>
      </c>
      <c r="D717">
        <v>27.1</v>
      </c>
      <c r="E717" s="1">
        <v>40878</v>
      </c>
      <c r="F717" s="2">
        <f>STANDARDIZE(D717,H$21,I$21)</f>
        <v>-0.50294987810084812</v>
      </c>
      <c r="U717" s="1"/>
    </row>
    <row r="718" spans="1:21" x14ac:dyDescent="0.3">
      <c r="A718" t="s">
        <v>11</v>
      </c>
      <c r="B718">
        <v>2012</v>
      </c>
      <c r="C718" s="3">
        <v>2012</v>
      </c>
      <c r="D718">
        <v>26.9</v>
      </c>
      <c r="E718" s="1">
        <v>40909</v>
      </c>
      <c r="F718" s="2">
        <f>STANDARDIZE(D718,H$10,I$10)</f>
        <v>-0.12728109087912701</v>
      </c>
      <c r="U718" s="1"/>
    </row>
    <row r="719" spans="1:21" x14ac:dyDescent="0.3">
      <c r="A719" t="s">
        <v>10</v>
      </c>
      <c r="B719">
        <v>2012</v>
      </c>
      <c r="C719" s="3">
        <v>2012.0833333333301</v>
      </c>
      <c r="D719">
        <v>26.7</v>
      </c>
      <c r="E719" s="1">
        <v>40940</v>
      </c>
      <c r="F719" s="2">
        <f>STANDARDIZE(D719,H$11,I$11)</f>
        <v>-0.39282331518204333</v>
      </c>
      <c r="U719" s="1"/>
    </row>
    <row r="720" spans="1:21" x14ac:dyDescent="0.3">
      <c r="A720" t="s">
        <v>9</v>
      </c>
      <c r="B720">
        <v>2012</v>
      </c>
      <c r="C720" s="3">
        <v>2012.1666666666599</v>
      </c>
      <c r="D720">
        <v>27.4</v>
      </c>
      <c r="E720" s="1">
        <v>40969</v>
      </c>
      <c r="F720" s="2">
        <f>STANDARDIZE(D720,H$12,I$12)</f>
        <v>0.28874036684669685</v>
      </c>
      <c r="U720" s="1"/>
    </row>
    <row r="721" spans="1:21" x14ac:dyDescent="0.3">
      <c r="A721" t="s">
        <v>8</v>
      </c>
      <c r="B721">
        <v>2012</v>
      </c>
      <c r="C721" s="3">
        <v>2012.24999999999</v>
      </c>
      <c r="D721">
        <v>28</v>
      </c>
      <c r="E721" s="1">
        <v>41000</v>
      </c>
      <c r="F721" s="2">
        <f>STANDARDIZE(D721,H$13,I$13)</f>
        <v>0.66454152160573232</v>
      </c>
      <c r="U721" s="1"/>
    </row>
    <row r="722" spans="1:21" x14ac:dyDescent="0.3">
      <c r="A722" t="s">
        <v>7</v>
      </c>
      <c r="B722">
        <v>2012</v>
      </c>
      <c r="C722" s="3">
        <v>2012.3333333333301</v>
      </c>
      <c r="D722">
        <v>28.9</v>
      </c>
      <c r="E722" s="1">
        <v>41030</v>
      </c>
      <c r="F722" s="2">
        <f>STANDARDIZE(D722,H$14,I$14)</f>
        <v>1.9261912629999232</v>
      </c>
      <c r="U722" s="1"/>
    </row>
    <row r="723" spans="1:21" x14ac:dyDescent="0.3">
      <c r="A723" t="s">
        <v>6</v>
      </c>
      <c r="B723">
        <v>2012</v>
      </c>
      <c r="C723" s="3">
        <v>2012.4166666666599</v>
      </c>
      <c r="D723">
        <v>29</v>
      </c>
      <c r="E723" s="1">
        <v>41061</v>
      </c>
      <c r="F723" s="2">
        <f>STANDARDIZE(D723,H$15,I$15)</f>
        <v>1.5249739804844382</v>
      </c>
      <c r="U723" s="1"/>
    </row>
    <row r="724" spans="1:21" x14ac:dyDescent="0.3">
      <c r="A724" t="s">
        <v>5</v>
      </c>
      <c r="B724">
        <v>2012</v>
      </c>
      <c r="C724" s="3">
        <v>2012.5</v>
      </c>
      <c r="D724">
        <v>28.9</v>
      </c>
      <c r="E724" s="1">
        <v>41091</v>
      </c>
      <c r="F724" s="2">
        <f>STANDARDIZE(D724,H$16,I$16)</f>
        <v>1.8484150367817793</v>
      </c>
      <c r="U724" s="1"/>
    </row>
    <row r="725" spans="1:21" x14ac:dyDescent="0.3">
      <c r="A725" t="s">
        <v>4</v>
      </c>
      <c r="B725">
        <v>2012</v>
      </c>
      <c r="C725" s="3">
        <v>2012.5833333333301</v>
      </c>
      <c r="D725">
        <v>28.4</v>
      </c>
      <c r="E725" s="1">
        <v>41122</v>
      </c>
      <c r="F725" s="2">
        <f>STANDARDIZE(D725,H$17,I$17)</f>
        <v>0.4701545792605305</v>
      </c>
      <c r="U725" s="1"/>
    </row>
    <row r="726" spans="1:21" x14ac:dyDescent="0.3">
      <c r="A726" t="s">
        <v>3</v>
      </c>
      <c r="B726">
        <v>2012</v>
      </c>
      <c r="C726" s="3">
        <v>2012.6666666666599</v>
      </c>
      <c r="D726">
        <v>28.9</v>
      </c>
      <c r="E726" s="1">
        <v>41153</v>
      </c>
      <c r="F726" s="2">
        <f>STANDARDIZE(D726,H$18,I$18)</f>
        <v>1.5437569611274631</v>
      </c>
      <c r="U726" s="1"/>
    </row>
    <row r="727" spans="1:21" x14ac:dyDescent="0.3">
      <c r="A727" t="s">
        <v>2</v>
      </c>
      <c r="B727">
        <v>2012</v>
      </c>
      <c r="C727" s="3">
        <v>2012.75</v>
      </c>
      <c r="E727" s="1">
        <v>41183</v>
      </c>
      <c r="F727" s="2"/>
      <c r="U727" s="1"/>
    </row>
    <row r="728" spans="1:21" x14ac:dyDescent="0.3">
      <c r="A728" t="s">
        <v>1</v>
      </c>
      <c r="B728">
        <v>2012</v>
      </c>
      <c r="C728" s="3">
        <v>2012.8333333333301</v>
      </c>
      <c r="E728" s="1">
        <v>41214</v>
      </c>
      <c r="F728" s="2"/>
      <c r="U728" s="1"/>
    </row>
    <row r="729" spans="1:21" x14ac:dyDescent="0.3">
      <c r="A729" t="s">
        <v>0</v>
      </c>
      <c r="B729">
        <v>2012</v>
      </c>
      <c r="C729" s="3">
        <v>2012.9166666666599</v>
      </c>
      <c r="E729" s="1">
        <v>41244</v>
      </c>
      <c r="F729" s="2"/>
      <c r="U729" s="1"/>
    </row>
    <row r="730" spans="1:21" x14ac:dyDescent="0.3">
      <c r="A730" t="s">
        <v>11</v>
      </c>
      <c r="B730">
        <v>2013</v>
      </c>
      <c r="C730" s="3">
        <v>2013</v>
      </c>
      <c r="D730">
        <v>27</v>
      </c>
      <c r="E730" s="1">
        <v>41275</v>
      </c>
      <c r="F730" s="2">
        <f>STANDARDIZE(D730,H$10,I$10)</f>
        <v>4.7360405908497653E-2</v>
      </c>
      <c r="U730" s="1"/>
    </row>
    <row r="731" spans="1:21" x14ac:dyDescent="0.3">
      <c r="A731" t="s">
        <v>10</v>
      </c>
      <c r="B731">
        <v>2013</v>
      </c>
      <c r="C731" s="3">
        <v>2013.0833333333301</v>
      </c>
      <c r="D731">
        <v>27.2</v>
      </c>
      <c r="E731" s="1">
        <v>41306</v>
      </c>
      <c r="F731" s="2">
        <f>STANDARDIZE(D731,H$11,I$11)</f>
        <v>0.58111878857503096</v>
      </c>
      <c r="U731" s="1"/>
    </row>
    <row r="732" spans="1:21" x14ac:dyDescent="0.3">
      <c r="A732" t="s">
        <v>9</v>
      </c>
      <c r="B732">
        <v>2013</v>
      </c>
      <c r="C732" s="3">
        <v>2013.1666666666599</v>
      </c>
      <c r="D732">
        <v>28.1</v>
      </c>
      <c r="E732" s="1">
        <v>41334</v>
      </c>
      <c r="F732" s="2">
        <f>STANDARDIZE(D732,H$12,I$12)</f>
        <v>1.5261990819040767</v>
      </c>
      <c r="U732" s="1"/>
    </row>
    <row r="733" spans="1:21" x14ac:dyDescent="0.3">
      <c r="A733" t="s">
        <v>8</v>
      </c>
      <c r="B733">
        <v>2013</v>
      </c>
      <c r="C733" s="3">
        <v>2013.25</v>
      </c>
      <c r="D733">
        <v>28.3</v>
      </c>
      <c r="E733" s="1">
        <v>41365</v>
      </c>
      <c r="F733" s="2">
        <f>STANDARDIZE(D733,H$13,I$13)</f>
        <v>1.2974382088492928</v>
      </c>
      <c r="U733" s="1"/>
    </row>
    <row r="734" spans="1:21" x14ac:dyDescent="0.3">
      <c r="A734" t="s">
        <v>7</v>
      </c>
      <c r="B734">
        <v>2013</v>
      </c>
      <c r="C734" s="3">
        <v>2013.3333333333301</v>
      </c>
      <c r="D734">
        <v>28.1</v>
      </c>
      <c r="E734" s="1">
        <v>41395</v>
      </c>
      <c r="F734" s="2">
        <f>STANDARDIZE(D734,H$14,I$14)</f>
        <v>-0.20907849736951745</v>
      </c>
      <c r="U734" s="1"/>
    </row>
    <row r="735" spans="1:21" x14ac:dyDescent="0.3">
      <c r="A735" t="s">
        <v>6</v>
      </c>
      <c r="B735">
        <v>2013</v>
      </c>
      <c r="C735" s="3">
        <v>2013.4166666666599</v>
      </c>
      <c r="D735">
        <v>28.8</v>
      </c>
      <c r="E735" s="1">
        <v>41426</v>
      </c>
      <c r="F735" s="2">
        <f>STANDARDIZE(D735,H$15,I$15)</f>
        <v>1.0533325432212126</v>
      </c>
      <c r="U735" s="1"/>
    </row>
    <row r="736" spans="1:21" x14ac:dyDescent="0.3">
      <c r="A736" t="s">
        <v>5</v>
      </c>
      <c r="B736">
        <v>2013</v>
      </c>
      <c r="C736" s="3">
        <v>2013.5</v>
      </c>
      <c r="D736">
        <v>28.3</v>
      </c>
      <c r="E736" s="1">
        <v>41456</v>
      </c>
      <c r="F736" s="2">
        <f>STANDARDIZE(D736,H$16,I$16)</f>
        <v>0.23720580375166916</v>
      </c>
      <c r="U736" s="1"/>
    </row>
    <row r="737" spans="1:21" x14ac:dyDescent="0.3">
      <c r="A737" t="s">
        <v>4</v>
      </c>
      <c r="B737">
        <v>2013</v>
      </c>
      <c r="C737" s="3">
        <v>2013.5833333333301</v>
      </c>
      <c r="D737">
        <v>28.2</v>
      </c>
      <c r="E737" s="1">
        <v>41487</v>
      </c>
      <c r="F737" s="2">
        <f>STANDARDIZE(D737,H$17,I$17)</f>
        <v>5.2239397695631823E-2</v>
      </c>
      <c r="U737" s="1"/>
    </row>
    <row r="738" spans="1:21" x14ac:dyDescent="0.3">
      <c r="A738" t="s">
        <v>3</v>
      </c>
      <c r="B738">
        <v>2013</v>
      </c>
      <c r="C738" s="3">
        <v>2013.6666666666599</v>
      </c>
      <c r="D738">
        <v>28.3</v>
      </c>
      <c r="E738" s="1">
        <v>41518</v>
      </c>
      <c r="F738" s="2">
        <f>STANDARDIZE(D738,H$18,I$18)</f>
        <v>0.19156108276765069</v>
      </c>
      <c r="U738" s="1"/>
    </row>
    <row r="739" spans="1:21" x14ac:dyDescent="0.3">
      <c r="A739" t="s">
        <v>2</v>
      </c>
      <c r="B739">
        <v>2013</v>
      </c>
      <c r="C739" s="3">
        <v>2013.75</v>
      </c>
      <c r="D739">
        <v>28.4</v>
      </c>
      <c r="E739" s="1">
        <v>41548</v>
      </c>
      <c r="F739" s="2">
        <f>STANDARDIZE(D739,H$19,I$19)</f>
        <v>1.0154971964538066</v>
      </c>
      <c r="U739" s="1"/>
    </row>
    <row r="740" spans="1:21" x14ac:dyDescent="0.3">
      <c r="A740" t="s">
        <v>1</v>
      </c>
      <c r="B740">
        <v>2013</v>
      </c>
      <c r="C740" s="3">
        <v>2013.8333333333301</v>
      </c>
      <c r="D740">
        <v>28.8</v>
      </c>
      <c r="E740" s="1">
        <v>41579</v>
      </c>
      <c r="F740" s="2">
        <f>STANDARDIZE(D740,H$20,I$20)</f>
        <v>1.7223490084208501</v>
      </c>
      <c r="U740" s="1"/>
    </row>
    <row r="741" spans="1:21" x14ac:dyDescent="0.3">
      <c r="A741" t="s">
        <v>0</v>
      </c>
      <c r="B741">
        <v>2013</v>
      </c>
      <c r="C741" s="3">
        <v>2013.9166666666599</v>
      </c>
      <c r="D741">
        <v>28.8</v>
      </c>
      <c r="E741" s="1">
        <v>41609</v>
      </c>
      <c r="F741" s="2">
        <f>STANDARDIZE(D741,H$21,I$21)</f>
        <v>2.3470994311372837</v>
      </c>
      <c r="U741" s="1"/>
    </row>
  </sheetData>
  <autoFilter ref="A9:F741" xr:uid="{226A718E-7A4B-4F64-83F4-F4C2516C0316}"/>
  <mergeCells count="1">
    <mergeCell ref="G9:H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54AE-4F8A-4D60-81E9-16B1E528D79F}">
  <dimension ref="A1:K453"/>
  <sheetViews>
    <sheetView workbookViewId="0">
      <selection activeCell="H15" sqref="H15"/>
    </sheetView>
  </sheetViews>
  <sheetFormatPr baseColWidth="10" defaultRowHeight="14.4" x14ac:dyDescent="0.3"/>
  <cols>
    <col min="9" max="9" width="8.5546875" customWidth="1"/>
    <col min="10" max="10" width="10.33203125" customWidth="1"/>
  </cols>
  <sheetData>
    <row r="1" spans="1:11" x14ac:dyDescent="0.3">
      <c r="A1" s="4" t="s">
        <v>34</v>
      </c>
      <c r="B1" s="4" t="s">
        <v>31</v>
      </c>
      <c r="C1" s="4" t="s">
        <v>33</v>
      </c>
      <c r="D1" s="4" t="s">
        <v>32</v>
      </c>
      <c r="F1" s="4" t="s">
        <v>13</v>
      </c>
      <c r="G1" s="4" t="s">
        <v>12</v>
      </c>
      <c r="I1" s="4" t="s">
        <v>31</v>
      </c>
      <c r="J1" s="4" t="s">
        <v>30</v>
      </c>
      <c r="K1" s="4" t="s">
        <v>29</v>
      </c>
    </row>
    <row r="2" spans="1:11" x14ac:dyDescent="0.3">
      <c r="A2">
        <v>1981.5833333333301</v>
      </c>
      <c r="B2">
        <v>1981</v>
      </c>
      <c r="C2">
        <v>8</v>
      </c>
      <c r="D2">
        <v>20.327966322669386</v>
      </c>
      <c r="F2">
        <v>2019</v>
      </c>
      <c r="G2" s="2">
        <f t="shared" ref="G2:G40" si="0">AVERAGEIF(B$2:B$453,F2,D$2:D$453)</f>
        <v>26.154001787458821</v>
      </c>
      <c r="I2">
        <v>1981</v>
      </c>
      <c r="J2">
        <v>30.478000000000002</v>
      </c>
      <c r="K2">
        <v>28.710999999999999</v>
      </c>
    </row>
    <row r="3" spans="1:11" x14ac:dyDescent="0.3">
      <c r="A3">
        <v>1981.6666666666699</v>
      </c>
      <c r="B3">
        <v>1981</v>
      </c>
      <c r="C3">
        <v>9</v>
      </c>
      <c r="D3">
        <v>14.147903797584537</v>
      </c>
      <c r="F3">
        <v>2018</v>
      </c>
      <c r="G3" s="2">
        <f t="shared" si="0"/>
        <v>20.122703119208211</v>
      </c>
      <c r="I3">
        <v>1982</v>
      </c>
      <c r="J3">
        <v>28.672999999999998</v>
      </c>
      <c r="K3">
        <v>27.37</v>
      </c>
    </row>
    <row r="4" spans="1:11" x14ac:dyDescent="0.3">
      <c r="A4">
        <v>1981.75</v>
      </c>
      <c r="B4">
        <v>1981</v>
      </c>
      <c r="C4">
        <v>10</v>
      </c>
      <c r="D4">
        <v>16.805227568098957</v>
      </c>
      <c r="F4">
        <v>2017</v>
      </c>
      <c r="G4" s="2">
        <f t="shared" si="0"/>
        <v>20.003352431811308</v>
      </c>
      <c r="I4">
        <v>1983</v>
      </c>
      <c r="J4">
        <v>28.863</v>
      </c>
      <c r="K4">
        <v>27.170999999999999</v>
      </c>
    </row>
    <row r="5" spans="1:11" x14ac:dyDescent="0.3">
      <c r="A5">
        <v>1981.8333333333301</v>
      </c>
      <c r="B5">
        <v>1981</v>
      </c>
      <c r="C5">
        <v>11</v>
      </c>
      <c r="D5">
        <v>21.175132330377018</v>
      </c>
      <c r="F5">
        <v>2016</v>
      </c>
      <c r="G5" s="2">
        <f t="shared" si="0"/>
        <v>21.924066258023363</v>
      </c>
      <c r="I5">
        <v>1984</v>
      </c>
      <c r="J5">
        <v>27.675999999999998</v>
      </c>
      <c r="K5">
        <v>27.315000000000001</v>
      </c>
    </row>
    <row r="6" spans="1:11" x14ac:dyDescent="0.3">
      <c r="A6">
        <v>1981.9166666666699</v>
      </c>
      <c r="B6">
        <v>1981</v>
      </c>
      <c r="C6">
        <v>12</v>
      </c>
      <c r="D6">
        <v>20.53997632834157</v>
      </c>
      <c r="F6">
        <v>2015</v>
      </c>
      <c r="G6" s="2">
        <f t="shared" si="0"/>
        <v>23.209321709516644</v>
      </c>
      <c r="I6">
        <v>1985</v>
      </c>
      <c r="J6">
        <v>28.161999999999999</v>
      </c>
      <c r="K6">
        <v>26.681000000000001</v>
      </c>
    </row>
    <row r="7" spans="1:11" x14ac:dyDescent="0.3">
      <c r="A7">
        <v>1982</v>
      </c>
      <c r="B7">
        <v>1982</v>
      </c>
      <c r="C7">
        <v>1</v>
      </c>
      <c r="D7">
        <v>27.714685250167381</v>
      </c>
      <c r="F7">
        <v>2014</v>
      </c>
      <c r="G7" s="2">
        <f t="shared" si="0"/>
        <v>22.788402050620238</v>
      </c>
      <c r="I7">
        <v>1986</v>
      </c>
      <c r="J7">
        <v>28.777000000000001</v>
      </c>
      <c r="K7">
        <v>26.86</v>
      </c>
    </row>
    <row r="8" spans="1:11" x14ac:dyDescent="0.3">
      <c r="A8">
        <v>1982.0833333333335</v>
      </c>
      <c r="B8">
        <v>1982</v>
      </c>
      <c r="C8">
        <v>2</v>
      </c>
      <c r="D8">
        <v>25.64880507218049</v>
      </c>
      <c r="F8">
        <v>2013</v>
      </c>
      <c r="G8" s="2">
        <f t="shared" si="0"/>
        <v>21.942720358076503</v>
      </c>
      <c r="I8">
        <v>1987</v>
      </c>
      <c r="J8">
        <v>28.86</v>
      </c>
      <c r="K8">
        <v>27.212</v>
      </c>
    </row>
    <row r="9" spans="1:11" x14ac:dyDescent="0.3">
      <c r="A9">
        <v>1982.1666666666667</v>
      </c>
      <c r="B9">
        <v>1982</v>
      </c>
      <c r="C9">
        <v>3</v>
      </c>
      <c r="D9">
        <v>25.723700670971287</v>
      </c>
      <c r="F9">
        <v>2012</v>
      </c>
      <c r="G9" s="2">
        <f t="shared" si="0"/>
        <v>21.666984190731057</v>
      </c>
      <c r="I9">
        <v>1988</v>
      </c>
      <c r="J9">
        <v>28.908999999999999</v>
      </c>
      <c r="K9">
        <v>26.838999999999999</v>
      </c>
    </row>
    <row r="10" spans="1:11" x14ac:dyDescent="0.3">
      <c r="A10">
        <v>1982.25</v>
      </c>
      <c r="B10">
        <v>1982</v>
      </c>
      <c r="C10">
        <v>4</v>
      </c>
      <c r="D10">
        <v>20.370217158142459</v>
      </c>
      <c r="F10">
        <v>2011</v>
      </c>
      <c r="G10" s="2">
        <f t="shared" si="0"/>
        <v>20.381782318068783</v>
      </c>
      <c r="I10">
        <v>1989</v>
      </c>
      <c r="J10">
        <v>28.004000000000001</v>
      </c>
      <c r="K10">
        <v>27.373000000000001</v>
      </c>
    </row>
    <row r="11" spans="1:11" x14ac:dyDescent="0.3">
      <c r="A11">
        <v>1982.3333333333335</v>
      </c>
      <c r="B11">
        <v>1982</v>
      </c>
      <c r="C11">
        <v>5</v>
      </c>
      <c r="D11">
        <v>14.51710552720631</v>
      </c>
      <c r="F11">
        <v>2010</v>
      </c>
      <c r="G11" s="2">
        <f t="shared" si="0"/>
        <v>18.908919303748387</v>
      </c>
      <c r="I11">
        <v>1990</v>
      </c>
      <c r="J11">
        <v>28.08</v>
      </c>
      <c r="K11">
        <v>26.84</v>
      </c>
    </row>
    <row r="12" spans="1:11" x14ac:dyDescent="0.3">
      <c r="A12">
        <v>1982.4166666666667</v>
      </c>
      <c r="B12">
        <v>1982</v>
      </c>
      <c r="C12">
        <v>6</v>
      </c>
      <c r="D12">
        <v>20.872188150778754</v>
      </c>
      <c r="F12">
        <v>2009</v>
      </c>
      <c r="G12" s="2">
        <f t="shared" si="0"/>
        <v>23.229698554381571</v>
      </c>
      <c r="I12">
        <v>1991</v>
      </c>
      <c r="J12">
        <v>28.036000000000001</v>
      </c>
      <c r="K12">
        <v>26.914000000000001</v>
      </c>
    </row>
    <row r="13" spans="1:11" x14ac:dyDescent="0.3">
      <c r="A13">
        <v>1982.5</v>
      </c>
      <c r="B13">
        <v>1982</v>
      </c>
      <c r="C13">
        <v>7</v>
      </c>
      <c r="D13">
        <v>19.700168732677309</v>
      </c>
      <c r="F13">
        <v>2008</v>
      </c>
      <c r="G13" s="2">
        <f t="shared" si="0"/>
        <v>20.907259480128157</v>
      </c>
      <c r="I13">
        <v>1992</v>
      </c>
      <c r="J13">
        <v>28.465</v>
      </c>
      <c r="K13">
        <v>25.789000000000001</v>
      </c>
    </row>
    <row r="14" spans="1:11" x14ac:dyDescent="0.3">
      <c r="A14">
        <v>1982.5833333333335</v>
      </c>
      <c r="B14">
        <v>1982</v>
      </c>
      <c r="C14">
        <v>8</v>
      </c>
      <c r="D14">
        <v>20.821689322044907</v>
      </c>
      <c r="F14">
        <v>2007</v>
      </c>
      <c r="G14" s="2">
        <f t="shared" si="0"/>
        <v>21.556068682204767</v>
      </c>
      <c r="I14">
        <v>1993</v>
      </c>
      <c r="J14">
        <v>28.855</v>
      </c>
      <c r="K14">
        <v>26.489000000000001</v>
      </c>
    </row>
    <row r="15" spans="1:11" x14ac:dyDescent="0.3">
      <c r="A15">
        <v>1982.6666666666667</v>
      </c>
      <c r="B15">
        <v>1982</v>
      </c>
      <c r="C15">
        <v>9</v>
      </c>
      <c r="D15">
        <v>19.124885275668767</v>
      </c>
      <c r="F15">
        <v>2006</v>
      </c>
      <c r="G15" s="2">
        <f t="shared" si="0"/>
        <v>21.068336416610673</v>
      </c>
      <c r="I15">
        <v>1994</v>
      </c>
      <c r="J15">
        <v>28.003</v>
      </c>
      <c r="K15">
        <v>28.379000000000001</v>
      </c>
    </row>
    <row r="16" spans="1:11" x14ac:dyDescent="0.3">
      <c r="A16">
        <v>1982.75</v>
      </c>
      <c r="B16">
        <v>1982</v>
      </c>
      <c r="C16">
        <v>10</v>
      </c>
      <c r="D16">
        <v>19.207944579046135</v>
      </c>
      <c r="F16">
        <v>2005</v>
      </c>
      <c r="G16" s="2">
        <f t="shared" si="0"/>
        <v>21.105671989898742</v>
      </c>
      <c r="I16">
        <v>1995</v>
      </c>
      <c r="J16">
        <v>28.106000000000002</v>
      </c>
      <c r="K16">
        <v>27.007000000000001</v>
      </c>
    </row>
    <row r="17" spans="1:11" x14ac:dyDescent="0.3">
      <c r="A17">
        <v>1982.8333333333335</v>
      </c>
      <c r="B17">
        <v>1982</v>
      </c>
      <c r="C17">
        <v>11</v>
      </c>
      <c r="D17">
        <v>21.045925325111281</v>
      </c>
      <c r="F17">
        <v>2004</v>
      </c>
      <c r="G17" s="2">
        <f t="shared" si="0"/>
        <v>22.560877957064665</v>
      </c>
      <c r="I17">
        <v>1996</v>
      </c>
      <c r="J17">
        <v>28.468</v>
      </c>
      <c r="K17">
        <v>27.227</v>
      </c>
    </row>
    <row r="18" spans="1:11" x14ac:dyDescent="0.3">
      <c r="A18">
        <v>1982.9166666666667</v>
      </c>
      <c r="B18">
        <v>1982</v>
      </c>
      <c r="C18">
        <v>12</v>
      </c>
      <c r="D18">
        <v>24.418211761934753</v>
      </c>
      <c r="F18">
        <v>2003</v>
      </c>
      <c r="G18" s="2">
        <f t="shared" si="0"/>
        <v>22.656340975070346</v>
      </c>
      <c r="I18">
        <v>1997</v>
      </c>
      <c r="J18">
        <v>28.928000000000001</v>
      </c>
      <c r="K18">
        <v>27.562000000000001</v>
      </c>
    </row>
    <row r="19" spans="1:11" x14ac:dyDescent="0.3">
      <c r="A19">
        <v>1983</v>
      </c>
      <c r="B19">
        <v>1983</v>
      </c>
      <c r="C19">
        <v>1</v>
      </c>
      <c r="D19">
        <v>27.22600853676088</v>
      </c>
      <c r="F19">
        <v>2002</v>
      </c>
      <c r="G19" s="2">
        <f t="shared" si="0"/>
        <v>23.197325383204383</v>
      </c>
      <c r="I19">
        <v>1998</v>
      </c>
      <c r="J19">
        <v>29.463999999999999</v>
      </c>
      <c r="K19">
        <v>27.603999999999999</v>
      </c>
    </row>
    <row r="20" spans="1:11" x14ac:dyDescent="0.3">
      <c r="A20">
        <v>1983.0833333333401</v>
      </c>
      <c r="B20">
        <v>1983</v>
      </c>
      <c r="C20">
        <v>2</v>
      </c>
      <c r="D20">
        <v>25.87361477805517</v>
      </c>
      <c r="F20">
        <v>2001</v>
      </c>
      <c r="G20" s="2">
        <f t="shared" si="0"/>
        <v>21.445563622348363</v>
      </c>
      <c r="I20">
        <v>1999</v>
      </c>
      <c r="J20">
        <v>29.169</v>
      </c>
      <c r="K20">
        <v>26.803999999999998</v>
      </c>
    </row>
    <row r="21" spans="1:11" x14ac:dyDescent="0.3">
      <c r="A21">
        <v>1983.1666666666699</v>
      </c>
      <c r="B21">
        <v>1983</v>
      </c>
      <c r="C21">
        <v>3</v>
      </c>
      <c r="D21">
        <v>24.245424977227739</v>
      </c>
      <c r="F21">
        <v>2000</v>
      </c>
      <c r="G21" s="2">
        <f t="shared" si="0"/>
        <v>20.358912248068432</v>
      </c>
      <c r="I21">
        <v>2000</v>
      </c>
      <c r="J21">
        <v>28.827000000000002</v>
      </c>
      <c r="K21">
        <v>26.704000000000001</v>
      </c>
    </row>
    <row r="22" spans="1:11" x14ac:dyDescent="0.3">
      <c r="A22">
        <v>1983.25</v>
      </c>
      <c r="B22">
        <v>1983</v>
      </c>
      <c r="C22">
        <v>4</v>
      </c>
      <c r="D22">
        <v>22.165742352767158</v>
      </c>
      <c r="F22">
        <v>1999</v>
      </c>
      <c r="G22" s="2">
        <f t="shared" si="0"/>
        <v>19.152725869944319</v>
      </c>
      <c r="I22">
        <v>2001</v>
      </c>
      <c r="J22">
        <v>27.646999999999998</v>
      </c>
      <c r="K22">
        <v>26.853999999999999</v>
      </c>
    </row>
    <row r="23" spans="1:11" x14ac:dyDescent="0.3">
      <c r="A23">
        <v>1983.3333333333401</v>
      </c>
      <c r="B23">
        <v>1983</v>
      </c>
      <c r="C23">
        <v>5</v>
      </c>
      <c r="D23">
        <v>20.463870724535905</v>
      </c>
      <c r="F23">
        <v>1998</v>
      </c>
      <c r="G23" s="2">
        <f t="shared" si="0"/>
        <v>21.603481926130936</v>
      </c>
      <c r="I23">
        <v>2002</v>
      </c>
      <c r="J23">
        <v>29.367000000000001</v>
      </c>
      <c r="K23">
        <v>28.384</v>
      </c>
    </row>
    <row r="24" spans="1:11" x14ac:dyDescent="0.3">
      <c r="A24">
        <v>1983.4166666666699</v>
      </c>
      <c r="B24">
        <v>1983</v>
      </c>
      <c r="C24">
        <v>6</v>
      </c>
      <c r="D24">
        <v>17.539077662394739</v>
      </c>
      <c r="F24">
        <v>1997</v>
      </c>
      <c r="G24" s="2">
        <f t="shared" si="0"/>
        <v>23.599933635219113</v>
      </c>
      <c r="I24">
        <v>2003</v>
      </c>
      <c r="J24">
        <v>29.632999999999999</v>
      </c>
      <c r="K24">
        <v>27.923999999999999</v>
      </c>
    </row>
    <row r="25" spans="1:11" x14ac:dyDescent="0.3">
      <c r="A25">
        <v>1983.5</v>
      </c>
      <c r="B25">
        <v>1983</v>
      </c>
      <c r="C25">
        <v>7</v>
      </c>
      <c r="D25">
        <v>19.889145096650815</v>
      </c>
      <c r="F25">
        <v>1996</v>
      </c>
      <c r="G25" s="2">
        <f t="shared" si="0"/>
        <v>21.533212708265193</v>
      </c>
      <c r="I25">
        <v>2004</v>
      </c>
      <c r="J25">
        <v>29.940999999999999</v>
      </c>
      <c r="K25">
        <v>27.646000000000001</v>
      </c>
    </row>
    <row r="26" spans="1:11" x14ac:dyDescent="0.3">
      <c r="A26">
        <v>1983.5833333333401</v>
      </c>
      <c r="B26">
        <v>1983</v>
      </c>
      <c r="C26">
        <v>8</v>
      </c>
      <c r="D26">
        <v>21.092683456944947</v>
      </c>
      <c r="F26">
        <v>1995</v>
      </c>
      <c r="G26" s="2">
        <f t="shared" si="0"/>
        <v>21.669533567012166</v>
      </c>
      <c r="I26">
        <v>2005</v>
      </c>
      <c r="J26">
        <v>29.065999999999999</v>
      </c>
      <c r="K26">
        <v>27.145</v>
      </c>
    </row>
    <row r="27" spans="1:11" x14ac:dyDescent="0.3">
      <c r="A27">
        <v>1983.6666666666699</v>
      </c>
      <c r="B27">
        <v>1983</v>
      </c>
      <c r="C27">
        <v>9</v>
      </c>
      <c r="D27">
        <v>18.914715465841962</v>
      </c>
      <c r="F27">
        <v>1994</v>
      </c>
      <c r="G27" s="2">
        <f t="shared" si="0"/>
        <v>23.376049677751769</v>
      </c>
      <c r="I27">
        <v>2006</v>
      </c>
      <c r="J27">
        <v>28.614000000000001</v>
      </c>
      <c r="K27">
        <v>27.858000000000001</v>
      </c>
    </row>
    <row r="28" spans="1:11" x14ac:dyDescent="0.3">
      <c r="A28">
        <v>1983.75</v>
      </c>
      <c r="B28">
        <v>1983</v>
      </c>
      <c r="C28">
        <v>10</v>
      </c>
      <c r="D28">
        <v>17.308222540784477</v>
      </c>
      <c r="F28">
        <v>1993</v>
      </c>
      <c r="G28" s="2">
        <f t="shared" si="0"/>
        <v>20.431227743054741</v>
      </c>
      <c r="I28">
        <v>2007</v>
      </c>
      <c r="J28">
        <v>28.963999999999999</v>
      </c>
      <c r="K28">
        <v>27.061</v>
      </c>
    </row>
    <row r="29" spans="1:11" x14ac:dyDescent="0.3">
      <c r="A29">
        <v>1983.8333333333401</v>
      </c>
      <c r="B29">
        <v>1983</v>
      </c>
      <c r="C29">
        <v>11</v>
      </c>
      <c r="D29">
        <v>18.823198044061506</v>
      </c>
      <c r="F29">
        <v>1992</v>
      </c>
      <c r="G29" s="2">
        <f t="shared" si="0"/>
        <v>21.242879932166506</v>
      </c>
      <c r="I29">
        <v>2008</v>
      </c>
      <c r="J29">
        <v>28.584</v>
      </c>
      <c r="K29">
        <v>27.08</v>
      </c>
    </row>
    <row r="30" spans="1:11" x14ac:dyDescent="0.3">
      <c r="A30">
        <v>1983.9166666666699</v>
      </c>
      <c r="B30">
        <v>1983</v>
      </c>
      <c r="C30">
        <v>12</v>
      </c>
      <c r="D30">
        <v>20.001023408890696</v>
      </c>
      <c r="F30">
        <v>1991</v>
      </c>
      <c r="G30" s="2">
        <f t="shared" si="0"/>
        <v>21.118954769967228</v>
      </c>
      <c r="I30">
        <v>2009</v>
      </c>
      <c r="J30">
        <v>27.704999999999998</v>
      </c>
      <c r="K30">
        <v>27.434999999999999</v>
      </c>
    </row>
    <row r="31" spans="1:11" x14ac:dyDescent="0.3">
      <c r="A31">
        <v>1984</v>
      </c>
      <c r="B31">
        <v>1984</v>
      </c>
      <c r="C31">
        <v>1</v>
      </c>
      <c r="D31">
        <v>26.310109852712422</v>
      </c>
      <c r="F31">
        <v>1990</v>
      </c>
      <c r="G31" s="2">
        <f t="shared" si="0"/>
        <v>21.302288770934279</v>
      </c>
      <c r="I31">
        <v>2010</v>
      </c>
      <c r="J31">
        <v>29.277000000000001</v>
      </c>
      <c r="K31">
        <v>27.16</v>
      </c>
    </row>
    <row r="32" spans="1:11" x14ac:dyDescent="0.3">
      <c r="A32">
        <v>1984.0833333333401</v>
      </c>
      <c r="B32">
        <v>1984</v>
      </c>
      <c r="C32">
        <v>2</v>
      </c>
      <c r="D32">
        <v>22.510910934947226</v>
      </c>
      <c r="F32">
        <v>1989</v>
      </c>
      <c r="G32" s="2">
        <f t="shared" si="0"/>
        <v>21.002086672547467</v>
      </c>
      <c r="I32">
        <v>2011</v>
      </c>
      <c r="J32">
        <v>28.783000000000001</v>
      </c>
      <c r="K32">
        <v>27.58</v>
      </c>
    </row>
    <row r="33" spans="1:11" x14ac:dyDescent="0.3">
      <c r="A33">
        <v>1984.1666666666699</v>
      </c>
      <c r="B33">
        <v>1984</v>
      </c>
      <c r="C33">
        <v>3</v>
      </c>
      <c r="D33">
        <v>23.655402135321399</v>
      </c>
      <c r="F33">
        <v>1988</v>
      </c>
      <c r="G33" s="2">
        <f t="shared" si="0"/>
        <v>19.713687572159891</v>
      </c>
      <c r="I33">
        <v>2012</v>
      </c>
      <c r="J33">
        <v>28.760999999999999</v>
      </c>
      <c r="K33">
        <v>27.472000000000001</v>
      </c>
    </row>
    <row r="34" spans="1:11" x14ac:dyDescent="0.3">
      <c r="A34">
        <v>1984.25</v>
      </c>
      <c r="B34">
        <v>1984</v>
      </c>
      <c r="C34">
        <v>4</v>
      </c>
      <c r="D34">
        <v>20.298272620374973</v>
      </c>
      <c r="F34">
        <v>1987</v>
      </c>
      <c r="G34" s="2">
        <f t="shared" si="0"/>
        <v>20.699588359079982</v>
      </c>
      <c r="I34">
        <v>2013</v>
      </c>
      <c r="J34">
        <v>29.771999999999998</v>
      </c>
      <c r="K34">
        <v>27.774999999999999</v>
      </c>
    </row>
    <row r="35" spans="1:11" x14ac:dyDescent="0.3">
      <c r="A35">
        <v>1984.3333333333401</v>
      </c>
      <c r="B35">
        <v>1984</v>
      </c>
      <c r="C35">
        <v>5</v>
      </c>
      <c r="D35">
        <v>18.453547848769723</v>
      </c>
      <c r="F35">
        <v>1986</v>
      </c>
      <c r="G35" s="2">
        <f t="shared" si="0"/>
        <v>21.548145443326749</v>
      </c>
      <c r="I35">
        <v>2014</v>
      </c>
      <c r="J35">
        <v>28.728999999999999</v>
      </c>
      <c r="K35">
        <v>27.893000000000001</v>
      </c>
    </row>
    <row r="36" spans="1:11" x14ac:dyDescent="0.3">
      <c r="A36">
        <v>1984.4166666666699</v>
      </c>
      <c r="B36">
        <v>1984</v>
      </c>
      <c r="C36">
        <v>6</v>
      </c>
      <c r="D36">
        <v>16.344775618013756</v>
      </c>
      <c r="F36">
        <v>1985</v>
      </c>
      <c r="G36" s="2">
        <f t="shared" si="0"/>
        <v>21.115262664496942</v>
      </c>
      <c r="I36">
        <v>2015</v>
      </c>
      <c r="J36">
        <v>28.908999999999999</v>
      </c>
      <c r="K36">
        <v>28.273</v>
      </c>
    </row>
    <row r="37" spans="1:11" x14ac:dyDescent="0.3">
      <c r="A37">
        <v>1984.5</v>
      </c>
      <c r="B37">
        <v>1984</v>
      </c>
      <c r="C37">
        <v>7</v>
      </c>
      <c r="D37">
        <v>13.46164796506142</v>
      </c>
      <c r="F37">
        <v>1984</v>
      </c>
      <c r="G37" s="2">
        <f t="shared" si="0"/>
        <v>18.675401710266872</v>
      </c>
      <c r="I37">
        <v>2016</v>
      </c>
      <c r="J37">
        <v>28.689</v>
      </c>
      <c r="K37">
        <v>27.89</v>
      </c>
    </row>
    <row r="38" spans="1:11" x14ac:dyDescent="0.3">
      <c r="A38">
        <v>1984.5833333333401</v>
      </c>
      <c r="B38">
        <v>1984</v>
      </c>
      <c r="C38">
        <v>8</v>
      </c>
      <c r="D38">
        <v>15.863420066633909</v>
      </c>
      <c r="F38">
        <v>1983</v>
      </c>
      <c r="G38" s="2">
        <f t="shared" si="0"/>
        <v>21.128560587076333</v>
      </c>
      <c r="I38">
        <v>2017</v>
      </c>
      <c r="J38">
        <v>28.853999999999999</v>
      </c>
      <c r="K38">
        <v>28.245000000000001</v>
      </c>
    </row>
    <row r="39" spans="1:11" x14ac:dyDescent="0.3">
      <c r="A39">
        <v>1984.6666666666699</v>
      </c>
      <c r="B39">
        <v>1984</v>
      </c>
      <c r="C39">
        <v>9</v>
      </c>
      <c r="D39">
        <v>15.093609816583429</v>
      </c>
      <c r="F39">
        <v>1982</v>
      </c>
      <c r="G39" s="2">
        <f t="shared" si="0"/>
        <v>21.597127235494153</v>
      </c>
      <c r="I39">
        <v>2018</v>
      </c>
      <c r="J39">
        <v>28.390999999999998</v>
      </c>
      <c r="K39">
        <v>27.847000000000001</v>
      </c>
    </row>
    <row r="40" spans="1:11" x14ac:dyDescent="0.3">
      <c r="A40">
        <v>1984.75000000001</v>
      </c>
      <c r="B40">
        <v>1984</v>
      </c>
      <c r="C40">
        <v>10</v>
      </c>
      <c r="D40">
        <v>13.130398627107375</v>
      </c>
      <c r="F40">
        <v>1981</v>
      </c>
      <c r="G40" s="2">
        <f t="shared" si="0"/>
        <v>18.599241269414293</v>
      </c>
      <c r="I40">
        <v>2019</v>
      </c>
      <c r="J40">
        <v>28.344999999999999</v>
      </c>
      <c r="K40">
        <v>27.797999999999998</v>
      </c>
    </row>
    <row r="41" spans="1:11" x14ac:dyDescent="0.3">
      <c r="A41">
        <v>1984.8333333333401</v>
      </c>
      <c r="B41">
        <v>1984</v>
      </c>
      <c r="C41">
        <v>11</v>
      </c>
      <c r="D41">
        <v>14.846625515360051</v>
      </c>
      <c r="I41">
        <v>2020</v>
      </c>
      <c r="J41">
        <v>28.239000000000001</v>
      </c>
      <c r="K41">
        <v>28.207999999999998</v>
      </c>
    </row>
    <row r="42" spans="1:11" x14ac:dyDescent="0.3">
      <c r="A42">
        <v>1984.9166666666699</v>
      </c>
      <c r="B42">
        <v>1984</v>
      </c>
      <c r="C42">
        <v>12</v>
      </c>
      <c r="D42">
        <v>24.136099522316758</v>
      </c>
    </row>
    <row r="43" spans="1:11" x14ac:dyDescent="0.3">
      <c r="A43">
        <v>1985.00000000001</v>
      </c>
      <c r="B43">
        <v>1985</v>
      </c>
      <c r="C43">
        <v>1</v>
      </c>
      <c r="D43">
        <v>24.004717570375682</v>
      </c>
    </row>
    <row r="44" spans="1:11" x14ac:dyDescent="0.3">
      <c r="A44">
        <v>1985.0833333333401</v>
      </c>
      <c r="B44">
        <v>1985</v>
      </c>
      <c r="C44">
        <v>2</v>
      </c>
      <c r="D44">
        <v>26.300720077570766</v>
      </c>
    </row>
    <row r="45" spans="1:11" x14ac:dyDescent="0.3">
      <c r="A45">
        <v>1985.1666666666699</v>
      </c>
      <c r="B45">
        <v>1985</v>
      </c>
      <c r="C45">
        <v>3</v>
      </c>
      <c r="D45">
        <v>24.985568775199301</v>
      </c>
    </row>
    <row r="46" spans="1:11" x14ac:dyDescent="0.3">
      <c r="A46">
        <v>1985.25000000001</v>
      </c>
      <c r="B46">
        <v>1985</v>
      </c>
      <c r="C46">
        <v>4</v>
      </c>
      <c r="D46">
        <v>24.848992870718586</v>
      </c>
    </row>
    <row r="47" spans="1:11" x14ac:dyDescent="0.3">
      <c r="A47">
        <v>1985.3333333333401</v>
      </c>
      <c r="B47">
        <v>1985</v>
      </c>
      <c r="C47">
        <v>5</v>
      </c>
      <c r="D47">
        <v>19.465049679480643</v>
      </c>
    </row>
    <row r="48" spans="1:11" x14ac:dyDescent="0.3">
      <c r="A48">
        <v>1985.4166666666699</v>
      </c>
      <c r="B48">
        <v>1985</v>
      </c>
      <c r="C48">
        <v>6</v>
      </c>
      <c r="D48">
        <v>20.014264729767028</v>
      </c>
    </row>
    <row r="49" spans="1:4" x14ac:dyDescent="0.3">
      <c r="A49">
        <v>1985.50000000001</v>
      </c>
      <c r="B49">
        <v>1985</v>
      </c>
      <c r="C49">
        <v>7</v>
      </c>
      <c r="D49">
        <v>16.65286480052335</v>
      </c>
    </row>
    <row r="50" spans="1:4" x14ac:dyDescent="0.3">
      <c r="A50">
        <v>1985.5833333333401</v>
      </c>
      <c r="B50">
        <v>1985</v>
      </c>
      <c r="C50">
        <v>8</v>
      </c>
      <c r="D50">
        <v>16.701616496251454</v>
      </c>
    </row>
    <row r="51" spans="1:4" x14ac:dyDescent="0.3">
      <c r="A51">
        <v>1985.6666666666699</v>
      </c>
      <c r="B51">
        <v>1985</v>
      </c>
      <c r="C51">
        <v>9</v>
      </c>
      <c r="D51">
        <v>16.373700561717094</v>
      </c>
    </row>
    <row r="52" spans="1:4" x14ac:dyDescent="0.3">
      <c r="A52">
        <v>1985.75000000001</v>
      </c>
      <c r="B52">
        <v>1985</v>
      </c>
      <c r="C52">
        <v>10</v>
      </c>
      <c r="D52">
        <v>16.738626886586339</v>
      </c>
    </row>
    <row r="53" spans="1:4" x14ac:dyDescent="0.3">
      <c r="A53">
        <v>1985.8333333333401</v>
      </c>
      <c r="B53">
        <v>1985</v>
      </c>
      <c r="C53">
        <v>11</v>
      </c>
      <c r="D53">
        <v>21.417205329228032</v>
      </c>
    </row>
    <row r="54" spans="1:4" x14ac:dyDescent="0.3">
      <c r="A54">
        <v>1985.9166666666699</v>
      </c>
      <c r="B54">
        <v>1985</v>
      </c>
      <c r="C54">
        <v>12</v>
      </c>
      <c r="D54">
        <v>25.879824196545012</v>
      </c>
    </row>
    <row r="55" spans="1:4" x14ac:dyDescent="0.3">
      <c r="A55">
        <v>1986.00000000001</v>
      </c>
      <c r="B55">
        <v>1986</v>
      </c>
      <c r="C55">
        <v>1</v>
      </c>
      <c r="D55">
        <v>26.94758463539813</v>
      </c>
    </row>
    <row r="56" spans="1:4" x14ac:dyDescent="0.3">
      <c r="A56">
        <v>1986.0833333333401</v>
      </c>
      <c r="B56">
        <v>1986</v>
      </c>
      <c r="C56">
        <v>2</v>
      </c>
      <c r="D56">
        <v>22.371890105412053</v>
      </c>
    </row>
    <row r="57" spans="1:4" x14ac:dyDescent="0.3">
      <c r="A57">
        <v>1986.1666666666699</v>
      </c>
      <c r="B57">
        <v>1986</v>
      </c>
      <c r="C57">
        <v>3</v>
      </c>
      <c r="D57">
        <v>25.901686936249863</v>
      </c>
    </row>
    <row r="58" spans="1:4" x14ac:dyDescent="0.3">
      <c r="A58">
        <v>1986.25000000001</v>
      </c>
      <c r="B58">
        <v>1986</v>
      </c>
      <c r="C58">
        <v>4</v>
      </c>
      <c r="D58">
        <v>19.661375459968713</v>
      </c>
    </row>
    <row r="59" spans="1:4" x14ac:dyDescent="0.3">
      <c r="A59">
        <v>1986.3333333333401</v>
      </c>
      <c r="B59">
        <v>1986</v>
      </c>
      <c r="C59">
        <v>5</v>
      </c>
      <c r="D59">
        <v>20.466091138485915</v>
      </c>
    </row>
    <row r="60" spans="1:4" x14ac:dyDescent="0.3">
      <c r="A60">
        <v>1986.4166666666699</v>
      </c>
      <c r="B60">
        <v>1986</v>
      </c>
      <c r="C60">
        <v>6</v>
      </c>
      <c r="D60">
        <v>17.586665404323437</v>
      </c>
    </row>
    <row r="61" spans="1:4" x14ac:dyDescent="0.3">
      <c r="A61">
        <v>1986.50000000001</v>
      </c>
      <c r="B61">
        <v>1986</v>
      </c>
      <c r="C61">
        <v>7</v>
      </c>
      <c r="D61">
        <v>22.583429149230849</v>
      </c>
    </row>
    <row r="62" spans="1:4" x14ac:dyDescent="0.3">
      <c r="A62">
        <v>1986.5833333333401</v>
      </c>
      <c r="B62">
        <v>1986</v>
      </c>
      <c r="C62">
        <v>8</v>
      </c>
      <c r="D62">
        <v>21.118790047153841</v>
      </c>
    </row>
    <row r="63" spans="1:4" x14ac:dyDescent="0.3">
      <c r="A63">
        <v>1986.6666666666799</v>
      </c>
      <c r="B63">
        <v>1986</v>
      </c>
      <c r="C63">
        <v>9</v>
      </c>
      <c r="D63">
        <v>16.669496219136942</v>
      </c>
    </row>
    <row r="64" spans="1:4" x14ac:dyDescent="0.3">
      <c r="A64">
        <v>1986.75000000001</v>
      </c>
      <c r="B64">
        <v>1986</v>
      </c>
      <c r="C64">
        <v>10</v>
      </c>
      <c r="D64">
        <v>15.28446253654678</v>
      </c>
    </row>
    <row r="65" spans="1:4" x14ac:dyDescent="0.3">
      <c r="A65">
        <v>1986.8333333333401</v>
      </c>
      <c r="B65">
        <v>1986</v>
      </c>
      <c r="C65">
        <v>11</v>
      </c>
      <c r="D65">
        <v>24.22223786712841</v>
      </c>
    </row>
    <row r="66" spans="1:4" x14ac:dyDescent="0.3">
      <c r="A66">
        <v>1986.9166666666799</v>
      </c>
      <c r="B66">
        <v>1986</v>
      </c>
      <c r="C66">
        <v>12</v>
      </c>
      <c r="D66">
        <v>25.764035820886104</v>
      </c>
    </row>
    <row r="67" spans="1:4" x14ac:dyDescent="0.3">
      <c r="A67">
        <v>1987.00000000001</v>
      </c>
      <c r="B67">
        <v>1987</v>
      </c>
      <c r="C67">
        <v>1</v>
      </c>
      <c r="D67">
        <v>25.604110275018297</v>
      </c>
    </row>
    <row r="68" spans="1:4" x14ac:dyDescent="0.3">
      <c r="A68">
        <v>1987.0833333333401</v>
      </c>
      <c r="B68">
        <v>1987</v>
      </c>
      <c r="C68">
        <v>2</v>
      </c>
      <c r="D68">
        <v>27.044052872147731</v>
      </c>
    </row>
    <row r="69" spans="1:4" x14ac:dyDescent="0.3">
      <c r="A69">
        <v>1987.1666666666799</v>
      </c>
      <c r="B69">
        <v>1987</v>
      </c>
      <c r="C69">
        <v>3</v>
      </c>
      <c r="D69">
        <v>25.121241257360008</v>
      </c>
    </row>
    <row r="70" spans="1:4" x14ac:dyDescent="0.3">
      <c r="A70">
        <v>1987.25000000001</v>
      </c>
      <c r="B70">
        <v>1987</v>
      </c>
      <c r="C70">
        <v>4</v>
      </c>
      <c r="D70">
        <v>19.259569737924313</v>
      </c>
    </row>
    <row r="71" spans="1:4" x14ac:dyDescent="0.3">
      <c r="A71">
        <v>1987.3333333333401</v>
      </c>
      <c r="B71">
        <v>1987</v>
      </c>
      <c r="C71">
        <v>5</v>
      </c>
      <c r="D71">
        <v>14.823389551414014</v>
      </c>
    </row>
    <row r="72" spans="1:4" x14ac:dyDescent="0.3">
      <c r="A72">
        <v>1987.4166666666799</v>
      </c>
      <c r="B72">
        <v>1987</v>
      </c>
      <c r="C72">
        <v>6</v>
      </c>
      <c r="D72">
        <v>22.840310303494533</v>
      </c>
    </row>
    <row r="73" spans="1:4" x14ac:dyDescent="0.3">
      <c r="A73">
        <v>1987.50000000001</v>
      </c>
      <c r="B73">
        <v>1987</v>
      </c>
      <c r="C73">
        <v>7</v>
      </c>
      <c r="D73">
        <v>16.6910117327065</v>
      </c>
    </row>
    <row r="74" spans="1:4" x14ac:dyDescent="0.3">
      <c r="A74">
        <v>1987.5833333333401</v>
      </c>
      <c r="B74">
        <v>1987</v>
      </c>
      <c r="C74">
        <v>8</v>
      </c>
      <c r="D74">
        <v>17.862235768960204</v>
      </c>
    </row>
    <row r="75" spans="1:4" x14ac:dyDescent="0.3">
      <c r="A75">
        <v>1987.6666666666799</v>
      </c>
      <c r="B75">
        <v>1987</v>
      </c>
      <c r="C75">
        <v>9</v>
      </c>
      <c r="D75">
        <v>19.098235541177189</v>
      </c>
    </row>
    <row r="76" spans="1:4" x14ac:dyDescent="0.3">
      <c r="A76">
        <v>1987.75000000001</v>
      </c>
      <c r="B76">
        <v>1987</v>
      </c>
      <c r="C76">
        <v>10</v>
      </c>
      <c r="D76">
        <v>16.067847865904621</v>
      </c>
    </row>
    <row r="77" spans="1:4" x14ac:dyDescent="0.3">
      <c r="A77">
        <v>1987.8333333333401</v>
      </c>
      <c r="B77">
        <v>1987</v>
      </c>
      <c r="C77">
        <v>11</v>
      </c>
      <c r="D77">
        <v>21.949222916733397</v>
      </c>
    </row>
    <row r="78" spans="1:4" x14ac:dyDescent="0.3">
      <c r="A78">
        <v>1987.9166666666799</v>
      </c>
      <c r="B78">
        <v>1987</v>
      </c>
      <c r="C78">
        <v>12</v>
      </c>
      <c r="D78">
        <v>22.033832486118985</v>
      </c>
    </row>
    <row r="79" spans="1:4" x14ac:dyDescent="0.3">
      <c r="A79">
        <v>1988.00000000001</v>
      </c>
      <c r="B79">
        <v>1988</v>
      </c>
      <c r="C79">
        <v>1</v>
      </c>
      <c r="D79">
        <v>26.88108012634763</v>
      </c>
    </row>
    <row r="80" spans="1:4" x14ac:dyDescent="0.3">
      <c r="A80">
        <v>1988.0833333333401</v>
      </c>
      <c r="B80">
        <v>1988</v>
      </c>
      <c r="C80">
        <v>2</v>
      </c>
      <c r="D80">
        <v>24.768965195269082</v>
      </c>
    </row>
    <row r="81" spans="1:4" x14ac:dyDescent="0.3">
      <c r="A81">
        <v>1988.1666666666799</v>
      </c>
      <c r="B81">
        <v>1988</v>
      </c>
      <c r="C81">
        <v>3</v>
      </c>
      <c r="D81">
        <v>27.233853559629818</v>
      </c>
    </row>
    <row r="82" spans="1:4" x14ac:dyDescent="0.3">
      <c r="A82">
        <v>1988.25000000001</v>
      </c>
      <c r="B82">
        <v>1988</v>
      </c>
      <c r="C82">
        <v>4</v>
      </c>
      <c r="D82">
        <v>21.560681267451962</v>
      </c>
    </row>
    <row r="83" spans="1:4" x14ac:dyDescent="0.3">
      <c r="A83">
        <v>1988.3333333333401</v>
      </c>
      <c r="B83">
        <v>1988</v>
      </c>
      <c r="C83">
        <v>5</v>
      </c>
      <c r="D83">
        <v>15.414071624640956</v>
      </c>
    </row>
    <row r="84" spans="1:4" x14ac:dyDescent="0.3">
      <c r="A84">
        <v>1988.4166666666799</v>
      </c>
      <c r="B84">
        <v>1988</v>
      </c>
      <c r="C84">
        <v>6</v>
      </c>
      <c r="D84">
        <v>17.388405050505021</v>
      </c>
    </row>
    <row r="85" spans="1:4" x14ac:dyDescent="0.3">
      <c r="A85">
        <v>1988.50000000001</v>
      </c>
      <c r="B85">
        <v>1988</v>
      </c>
      <c r="C85">
        <v>7</v>
      </c>
      <c r="D85">
        <v>19.260478219501518</v>
      </c>
    </row>
    <row r="86" spans="1:4" x14ac:dyDescent="0.3">
      <c r="A86">
        <v>1988.5833333333501</v>
      </c>
      <c r="B86">
        <v>1988</v>
      </c>
      <c r="C86">
        <v>8</v>
      </c>
      <c r="D86">
        <v>11.961064689198539</v>
      </c>
    </row>
    <row r="87" spans="1:4" x14ac:dyDescent="0.3">
      <c r="A87">
        <v>1988.6666666666799</v>
      </c>
      <c r="B87">
        <v>1988</v>
      </c>
      <c r="C87">
        <v>9</v>
      </c>
      <c r="D87">
        <v>15.277686096065443</v>
      </c>
    </row>
    <row r="88" spans="1:4" x14ac:dyDescent="0.3">
      <c r="A88">
        <v>1988.75000000001</v>
      </c>
      <c r="B88">
        <v>1988</v>
      </c>
      <c r="C88">
        <v>10</v>
      </c>
      <c r="D88">
        <v>14.37623663305502</v>
      </c>
    </row>
    <row r="89" spans="1:4" x14ac:dyDescent="0.3">
      <c r="A89">
        <v>1988.8333333333501</v>
      </c>
      <c r="B89">
        <v>1988</v>
      </c>
      <c r="C89">
        <v>11</v>
      </c>
      <c r="D89">
        <v>18.219904536191514</v>
      </c>
    </row>
    <row r="90" spans="1:4" x14ac:dyDescent="0.3">
      <c r="A90">
        <v>1988.9166666666799</v>
      </c>
      <c r="B90">
        <v>1988</v>
      </c>
      <c r="C90">
        <v>12</v>
      </c>
      <c r="D90">
        <v>24.221823868062195</v>
      </c>
    </row>
    <row r="91" spans="1:4" x14ac:dyDescent="0.3">
      <c r="A91">
        <v>1989.00000000001</v>
      </c>
      <c r="B91">
        <v>1989</v>
      </c>
      <c r="C91">
        <v>1</v>
      </c>
      <c r="D91">
        <v>27.646930501316437</v>
      </c>
    </row>
    <row r="92" spans="1:4" x14ac:dyDescent="0.3">
      <c r="A92">
        <v>1989.0833333333501</v>
      </c>
      <c r="B92">
        <v>1989</v>
      </c>
      <c r="C92">
        <v>2</v>
      </c>
      <c r="D92">
        <v>25.66123506784497</v>
      </c>
    </row>
    <row r="93" spans="1:4" x14ac:dyDescent="0.3">
      <c r="A93">
        <v>1989.1666666666799</v>
      </c>
      <c r="B93">
        <v>1989</v>
      </c>
      <c r="C93">
        <v>3</v>
      </c>
      <c r="D93">
        <v>24.555820958749017</v>
      </c>
    </row>
    <row r="94" spans="1:4" x14ac:dyDescent="0.3">
      <c r="A94">
        <v>1989.25000000001</v>
      </c>
      <c r="B94">
        <v>1989</v>
      </c>
      <c r="C94">
        <v>4</v>
      </c>
      <c r="D94">
        <v>24.029475448871416</v>
      </c>
    </row>
    <row r="95" spans="1:4" x14ac:dyDescent="0.3">
      <c r="A95">
        <v>1989.3333333333501</v>
      </c>
      <c r="B95">
        <v>1989</v>
      </c>
      <c r="C95">
        <v>5</v>
      </c>
      <c r="D95">
        <v>19.784024714025417</v>
      </c>
    </row>
    <row r="96" spans="1:4" x14ac:dyDescent="0.3">
      <c r="A96">
        <v>1989.4166666666799</v>
      </c>
      <c r="B96">
        <v>1989</v>
      </c>
      <c r="C96">
        <v>6</v>
      </c>
      <c r="D96">
        <v>17.940879225621106</v>
      </c>
    </row>
    <row r="97" spans="1:4" x14ac:dyDescent="0.3">
      <c r="A97">
        <v>1989.50000000001</v>
      </c>
      <c r="B97">
        <v>1989</v>
      </c>
      <c r="C97">
        <v>7</v>
      </c>
      <c r="D97">
        <v>18.677826608704429</v>
      </c>
    </row>
    <row r="98" spans="1:4" x14ac:dyDescent="0.3">
      <c r="A98">
        <v>1989.5833333333501</v>
      </c>
      <c r="B98">
        <v>1989</v>
      </c>
      <c r="C98">
        <v>8</v>
      </c>
      <c r="D98">
        <v>18.981232198844197</v>
      </c>
    </row>
    <row r="99" spans="1:4" x14ac:dyDescent="0.3">
      <c r="A99">
        <v>1989.6666666666799</v>
      </c>
      <c r="B99">
        <v>1989</v>
      </c>
      <c r="C99">
        <v>9</v>
      </c>
      <c r="D99">
        <v>14.418893420131013</v>
      </c>
    </row>
    <row r="100" spans="1:4" x14ac:dyDescent="0.3">
      <c r="A100">
        <v>1989.75000000001</v>
      </c>
      <c r="B100">
        <v>1989</v>
      </c>
      <c r="C100">
        <v>10</v>
      </c>
      <c r="D100">
        <v>18.0912924567081</v>
      </c>
    </row>
    <row r="101" spans="1:4" x14ac:dyDescent="0.3">
      <c r="A101">
        <v>1989.8333333333501</v>
      </c>
      <c r="B101">
        <v>1989</v>
      </c>
      <c r="C101">
        <v>11</v>
      </c>
      <c r="D101">
        <v>15.955022822696948</v>
      </c>
    </row>
    <row r="102" spans="1:4" x14ac:dyDescent="0.3">
      <c r="A102">
        <v>1989.9166666666799</v>
      </c>
      <c r="B102">
        <v>1989</v>
      </c>
      <c r="C102">
        <v>12</v>
      </c>
      <c r="D102">
        <v>26.282406647056536</v>
      </c>
    </row>
    <row r="103" spans="1:4" x14ac:dyDescent="0.3">
      <c r="A103">
        <v>1990.00000000001</v>
      </c>
      <c r="B103">
        <v>1990</v>
      </c>
      <c r="C103">
        <v>1</v>
      </c>
      <c r="D103">
        <v>27.547722412048909</v>
      </c>
    </row>
    <row r="104" spans="1:4" x14ac:dyDescent="0.3">
      <c r="A104">
        <v>1990.0833333333501</v>
      </c>
      <c r="B104">
        <v>1990</v>
      </c>
      <c r="C104">
        <v>2</v>
      </c>
      <c r="D104">
        <v>23.783354935921754</v>
      </c>
    </row>
    <row r="105" spans="1:4" x14ac:dyDescent="0.3">
      <c r="A105">
        <v>1990.1666666666799</v>
      </c>
      <c r="B105">
        <v>1990</v>
      </c>
      <c r="C105">
        <v>3</v>
      </c>
      <c r="D105">
        <v>24.706590529930999</v>
      </c>
    </row>
    <row r="106" spans="1:4" x14ac:dyDescent="0.3">
      <c r="A106">
        <v>1990.25000000002</v>
      </c>
      <c r="B106">
        <v>1990</v>
      </c>
      <c r="C106">
        <v>4</v>
      </c>
      <c r="D106">
        <v>22.132919185541759</v>
      </c>
    </row>
    <row r="107" spans="1:4" x14ac:dyDescent="0.3">
      <c r="A107">
        <v>1990.3333333333501</v>
      </c>
      <c r="B107">
        <v>1990</v>
      </c>
      <c r="C107">
        <v>5</v>
      </c>
      <c r="D107">
        <v>18.254277408592767</v>
      </c>
    </row>
    <row r="108" spans="1:4" x14ac:dyDescent="0.3">
      <c r="A108">
        <v>1990.4166666666799</v>
      </c>
      <c r="B108">
        <v>1990</v>
      </c>
      <c r="C108">
        <v>6</v>
      </c>
      <c r="D108">
        <v>18.309611564292837</v>
      </c>
    </row>
    <row r="109" spans="1:4" x14ac:dyDescent="0.3">
      <c r="A109">
        <v>1990.50000000002</v>
      </c>
      <c r="B109">
        <v>1990</v>
      </c>
      <c r="C109">
        <v>7</v>
      </c>
      <c r="D109">
        <v>17.054458099444034</v>
      </c>
    </row>
    <row r="110" spans="1:4" x14ac:dyDescent="0.3">
      <c r="A110">
        <v>1990.5833333333501</v>
      </c>
      <c r="B110">
        <v>1990</v>
      </c>
      <c r="C110">
        <v>8</v>
      </c>
      <c r="D110">
        <v>18.867695832207637</v>
      </c>
    </row>
    <row r="111" spans="1:4" x14ac:dyDescent="0.3">
      <c r="A111">
        <v>1990.6666666666799</v>
      </c>
      <c r="B111">
        <v>1990</v>
      </c>
      <c r="C111">
        <v>9</v>
      </c>
      <c r="D111">
        <v>21.052718451727394</v>
      </c>
    </row>
    <row r="112" spans="1:4" x14ac:dyDescent="0.3">
      <c r="A112">
        <v>1990.75000000002</v>
      </c>
      <c r="B112">
        <v>1990</v>
      </c>
      <c r="C112">
        <v>10</v>
      </c>
      <c r="D112">
        <v>16.822857441632827</v>
      </c>
    </row>
    <row r="113" spans="1:4" x14ac:dyDescent="0.3">
      <c r="A113">
        <v>1990.8333333333501</v>
      </c>
      <c r="B113">
        <v>1990</v>
      </c>
      <c r="C113">
        <v>11</v>
      </c>
      <c r="D113">
        <v>22.09796450963492</v>
      </c>
    </row>
    <row r="114" spans="1:4" x14ac:dyDescent="0.3">
      <c r="A114">
        <v>1990.9166666666799</v>
      </c>
      <c r="B114">
        <v>1990</v>
      </c>
      <c r="C114">
        <v>12</v>
      </c>
      <c r="D114">
        <v>24.997294880235433</v>
      </c>
    </row>
    <row r="115" spans="1:4" x14ac:dyDescent="0.3">
      <c r="A115">
        <v>1991.00000000002</v>
      </c>
      <c r="B115">
        <v>1991</v>
      </c>
      <c r="C115">
        <v>1</v>
      </c>
      <c r="D115">
        <v>26.955743199907293</v>
      </c>
    </row>
    <row r="116" spans="1:4" x14ac:dyDescent="0.3">
      <c r="A116">
        <v>1991.0833333333501</v>
      </c>
      <c r="B116">
        <v>1991</v>
      </c>
      <c r="C116">
        <v>2</v>
      </c>
      <c r="D116">
        <v>24.939648855714719</v>
      </c>
    </row>
    <row r="117" spans="1:4" x14ac:dyDescent="0.3">
      <c r="A117">
        <v>1991.1666666666799</v>
      </c>
      <c r="B117">
        <v>1991</v>
      </c>
      <c r="C117">
        <v>3</v>
      </c>
      <c r="D117">
        <v>26.559624212667917</v>
      </c>
    </row>
    <row r="118" spans="1:4" x14ac:dyDescent="0.3">
      <c r="A118">
        <v>1991.25000000002</v>
      </c>
      <c r="B118">
        <v>1991</v>
      </c>
      <c r="C118">
        <v>4</v>
      </c>
      <c r="D118">
        <v>21.415734802416281</v>
      </c>
    </row>
    <row r="119" spans="1:4" x14ac:dyDescent="0.3">
      <c r="A119">
        <v>1991.3333333333501</v>
      </c>
      <c r="B119">
        <v>1991</v>
      </c>
      <c r="C119">
        <v>5</v>
      </c>
      <c r="D119">
        <v>16.566598984421855</v>
      </c>
    </row>
    <row r="120" spans="1:4" x14ac:dyDescent="0.3">
      <c r="A120">
        <v>1991.4166666666799</v>
      </c>
      <c r="B120">
        <v>1991</v>
      </c>
      <c r="C120">
        <v>6</v>
      </c>
      <c r="D120">
        <v>18.610438873341199</v>
      </c>
    </row>
    <row r="121" spans="1:4" x14ac:dyDescent="0.3">
      <c r="A121">
        <v>1991.50000000002</v>
      </c>
      <c r="B121">
        <v>1991</v>
      </c>
      <c r="C121">
        <v>7</v>
      </c>
      <c r="D121">
        <v>20.417768451451312</v>
      </c>
    </row>
    <row r="122" spans="1:4" x14ac:dyDescent="0.3">
      <c r="A122">
        <v>1991.5833333333501</v>
      </c>
      <c r="B122">
        <v>1991</v>
      </c>
      <c r="C122">
        <v>8</v>
      </c>
      <c r="D122">
        <v>18.40699294246841</v>
      </c>
    </row>
    <row r="123" spans="1:4" x14ac:dyDescent="0.3">
      <c r="A123">
        <v>1991.6666666666799</v>
      </c>
      <c r="B123">
        <v>1991</v>
      </c>
      <c r="C123">
        <v>9</v>
      </c>
      <c r="D123">
        <v>16.364969844392473</v>
      </c>
    </row>
    <row r="124" spans="1:4" x14ac:dyDescent="0.3">
      <c r="A124">
        <v>1991.75000000002</v>
      </c>
      <c r="B124">
        <v>1991</v>
      </c>
      <c r="C124">
        <v>10</v>
      </c>
      <c r="D124">
        <v>20.395061106124963</v>
      </c>
    </row>
    <row r="125" spans="1:4" x14ac:dyDescent="0.3">
      <c r="A125">
        <v>1991.8333333333501</v>
      </c>
      <c r="B125">
        <v>1991</v>
      </c>
      <c r="C125">
        <v>11</v>
      </c>
      <c r="D125">
        <v>19.765695713144126</v>
      </c>
    </row>
    <row r="126" spans="1:4" x14ac:dyDescent="0.3">
      <c r="A126">
        <v>1991.9166666666799</v>
      </c>
      <c r="B126">
        <v>1991</v>
      </c>
      <c r="C126">
        <v>12</v>
      </c>
      <c r="D126">
        <v>23.029180253556223</v>
      </c>
    </row>
    <row r="127" spans="1:4" x14ac:dyDescent="0.3">
      <c r="A127">
        <v>1992.00000000002</v>
      </c>
      <c r="B127">
        <v>1992</v>
      </c>
      <c r="C127">
        <v>1</v>
      </c>
      <c r="D127">
        <v>25.555311614136535</v>
      </c>
    </row>
    <row r="128" spans="1:4" x14ac:dyDescent="0.3">
      <c r="A128">
        <v>1992.0833333333501</v>
      </c>
      <c r="B128">
        <v>1992</v>
      </c>
      <c r="C128">
        <v>2</v>
      </c>
      <c r="D128">
        <v>24.952758571304944</v>
      </c>
    </row>
    <row r="129" spans="1:4" x14ac:dyDescent="0.3">
      <c r="A129">
        <v>1992.1666666666899</v>
      </c>
      <c r="B129">
        <v>1992</v>
      </c>
      <c r="C129">
        <v>3</v>
      </c>
      <c r="D129">
        <v>24.985031584415132</v>
      </c>
    </row>
    <row r="130" spans="1:4" x14ac:dyDescent="0.3">
      <c r="A130">
        <v>1992.25000000002</v>
      </c>
      <c r="B130">
        <v>1992</v>
      </c>
      <c r="C130">
        <v>4</v>
      </c>
      <c r="D130">
        <v>20.75661435987212</v>
      </c>
    </row>
    <row r="131" spans="1:4" x14ac:dyDescent="0.3">
      <c r="A131">
        <v>1992.3333333333501</v>
      </c>
      <c r="B131">
        <v>1992</v>
      </c>
      <c r="C131">
        <v>5</v>
      </c>
      <c r="D131">
        <v>19.801840263105099</v>
      </c>
    </row>
    <row r="132" spans="1:4" x14ac:dyDescent="0.3">
      <c r="A132">
        <v>1992.4166666666899</v>
      </c>
      <c r="B132">
        <v>1992</v>
      </c>
      <c r="C132">
        <v>6</v>
      </c>
      <c r="D132">
        <v>24.802783397784467</v>
      </c>
    </row>
    <row r="133" spans="1:4" x14ac:dyDescent="0.3">
      <c r="A133">
        <v>1992.50000000002</v>
      </c>
      <c r="B133">
        <v>1992</v>
      </c>
      <c r="C133">
        <v>7</v>
      </c>
      <c r="D133">
        <v>19.059445219727923</v>
      </c>
    </row>
    <row r="134" spans="1:4" x14ac:dyDescent="0.3">
      <c r="A134">
        <v>1992.5833333333501</v>
      </c>
      <c r="B134">
        <v>1992</v>
      </c>
      <c r="C134">
        <v>8</v>
      </c>
      <c r="D134">
        <v>16.507396158897357</v>
      </c>
    </row>
    <row r="135" spans="1:4" x14ac:dyDescent="0.3">
      <c r="A135">
        <v>1992.6666666666899</v>
      </c>
      <c r="B135">
        <v>1992</v>
      </c>
      <c r="C135">
        <v>9</v>
      </c>
      <c r="D135">
        <v>17.014170332100193</v>
      </c>
    </row>
    <row r="136" spans="1:4" x14ac:dyDescent="0.3">
      <c r="A136">
        <v>1992.75000000002</v>
      </c>
      <c r="B136">
        <v>1992</v>
      </c>
      <c r="C136">
        <v>10</v>
      </c>
      <c r="D136">
        <v>18.432283067329486</v>
      </c>
    </row>
    <row r="137" spans="1:4" x14ac:dyDescent="0.3">
      <c r="A137">
        <v>1992.8333333333501</v>
      </c>
      <c r="B137">
        <v>1992</v>
      </c>
      <c r="C137">
        <v>11</v>
      </c>
      <c r="D137">
        <v>19.69394509793521</v>
      </c>
    </row>
    <row r="138" spans="1:4" x14ac:dyDescent="0.3">
      <c r="A138">
        <v>1992.9166666666899</v>
      </c>
      <c r="B138">
        <v>1992</v>
      </c>
      <c r="C138">
        <v>12</v>
      </c>
      <c r="D138">
        <v>23.352979519389589</v>
      </c>
    </row>
    <row r="139" spans="1:4" x14ac:dyDescent="0.3">
      <c r="A139">
        <v>1993.00000000002</v>
      </c>
      <c r="B139">
        <v>1993</v>
      </c>
      <c r="C139">
        <v>1</v>
      </c>
      <c r="D139">
        <v>22.046540846811208</v>
      </c>
    </row>
    <row r="140" spans="1:4" x14ac:dyDescent="0.3">
      <c r="A140">
        <v>1993.0833333333501</v>
      </c>
      <c r="B140">
        <v>1993</v>
      </c>
      <c r="C140">
        <v>2</v>
      </c>
      <c r="D140">
        <v>26.079714577463943</v>
      </c>
    </row>
    <row r="141" spans="1:4" x14ac:dyDescent="0.3">
      <c r="A141">
        <v>1993.1666666666899</v>
      </c>
      <c r="B141">
        <v>1993</v>
      </c>
      <c r="C141">
        <v>3</v>
      </c>
      <c r="D141">
        <v>23.687232969930367</v>
      </c>
    </row>
    <row r="142" spans="1:4" x14ac:dyDescent="0.3">
      <c r="A142">
        <v>1993.25000000002</v>
      </c>
      <c r="B142">
        <v>1993</v>
      </c>
      <c r="C142">
        <v>4</v>
      </c>
      <c r="D142">
        <v>19.572847505000073</v>
      </c>
    </row>
    <row r="143" spans="1:4" x14ac:dyDescent="0.3">
      <c r="A143">
        <v>1993.3333333333501</v>
      </c>
      <c r="B143">
        <v>1993</v>
      </c>
      <c r="C143">
        <v>5</v>
      </c>
      <c r="D143">
        <v>14.589486647049617</v>
      </c>
    </row>
    <row r="144" spans="1:4" x14ac:dyDescent="0.3">
      <c r="A144">
        <v>1993.4166666666899</v>
      </c>
      <c r="B144">
        <v>1993</v>
      </c>
      <c r="C144">
        <v>6</v>
      </c>
      <c r="D144">
        <v>20.406637538138227</v>
      </c>
    </row>
    <row r="145" spans="1:4" x14ac:dyDescent="0.3">
      <c r="A145">
        <v>1993.50000000002</v>
      </c>
      <c r="B145">
        <v>1993</v>
      </c>
      <c r="C145">
        <v>7</v>
      </c>
      <c r="D145">
        <v>22.67193315746372</v>
      </c>
    </row>
    <row r="146" spans="1:4" x14ac:dyDescent="0.3">
      <c r="A146">
        <v>1993.5833333333501</v>
      </c>
      <c r="B146">
        <v>1993</v>
      </c>
      <c r="C146">
        <v>8</v>
      </c>
      <c r="D146">
        <v>20.104330500500971</v>
      </c>
    </row>
    <row r="147" spans="1:4" x14ac:dyDescent="0.3">
      <c r="A147">
        <v>1993.6666666666899</v>
      </c>
      <c r="B147">
        <v>1993</v>
      </c>
      <c r="C147">
        <v>9</v>
      </c>
      <c r="D147">
        <v>14.746251916238034</v>
      </c>
    </row>
    <row r="148" spans="1:4" x14ac:dyDescent="0.3">
      <c r="A148">
        <v>1993.75000000002</v>
      </c>
      <c r="B148">
        <v>1993</v>
      </c>
      <c r="C148">
        <v>10</v>
      </c>
      <c r="D148">
        <v>15.916477947944296</v>
      </c>
    </row>
    <row r="149" spans="1:4" x14ac:dyDescent="0.3">
      <c r="A149">
        <v>1993.8333333333501</v>
      </c>
      <c r="B149">
        <v>1993</v>
      </c>
      <c r="C149">
        <v>11</v>
      </c>
      <c r="D149">
        <v>19.423841344618339</v>
      </c>
    </row>
    <row r="150" spans="1:4" x14ac:dyDescent="0.3">
      <c r="A150">
        <v>1993.9166666666899</v>
      </c>
      <c r="B150">
        <v>1993</v>
      </c>
      <c r="C150">
        <v>12</v>
      </c>
      <c r="D150">
        <v>25.929437965498135</v>
      </c>
    </row>
    <row r="151" spans="1:4" x14ac:dyDescent="0.3">
      <c r="A151">
        <v>1994.00000000002</v>
      </c>
      <c r="B151">
        <v>1994</v>
      </c>
      <c r="C151">
        <v>1</v>
      </c>
      <c r="D151">
        <v>26.665182646377186</v>
      </c>
    </row>
    <row r="152" spans="1:4" x14ac:dyDescent="0.3">
      <c r="A152">
        <v>1994.0833333333601</v>
      </c>
      <c r="B152">
        <v>1994</v>
      </c>
      <c r="C152">
        <v>2</v>
      </c>
      <c r="D152">
        <v>25.891444773824887</v>
      </c>
    </row>
    <row r="153" spans="1:4" x14ac:dyDescent="0.3">
      <c r="A153">
        <v>1994.1666666666899</v>
      </c>
      <c r="B153">
        <v>1994</v>
      </c>
      <c r="C153">
        <v>3</v>
      </c>
      <c r="D153">
        <v>23.120433014742297</v>
      </c>
    </row>
    <row r="154" spans="1:4" x14ac:dyDescent="0.3">
      <c r="A154">
        <v>1994.25000000002</v>
      </c>
      <c r="B154">
        <v>1994</v>
      </c>
      <c r="C154">
        <v>4</v>
      </c>
      <c r="D154">
        <v>19.876563063150247</v>
      </c>
    </row>
    <row r="155" spans="1:4" x14ac:dyDescent="0.3">
      <c r="A155">
        <v>1994.3333333333601</v>
      </c>
      <c r="B155">
        <v>1994</v>
      </c>
      <c r="C155">
        <v>5</v>
      </c>
      <c r="D155">
        <v>17.765329322381536</v>
      </c>
    </row>
    <row r="156" spans="1:4" x14ac:dyDescent="0.3">
      <c r="A156">
        <v>1994.4166666666899</v>
      </c>
      <c r="B156">
        <v>1994</v>
      </c>
      <c r="C156">
        <v>6</v>
      </c>
      <c r="D156">
        <v>18.334661361421752</v>
      </c>
    </row>
    <row r="157" spans="1:4" x14ac:dyDescent="0.3">
      <c r="A157">
        <v>1994.50000000002</v>
      </c>
      <c r="B157">
        <v>1994</v>
      </c>
      <c r="C157">
        <v>7</v>
      </c>
      <c r="D157">
        <v>22.444102261849093</v>
      </c>
    </row>
    <row r="158" spans="1:4" x14ac:dyDescent="0.3">
      <c r="A158">
        <v>1994.5833333333601</v>
      </c>
      <c r="B158">
        <v>1994</v>
      </c>
      <c r="C158">
        <v>8</v>
      </c>
      <c r="D158">
        <v>19.942906197142314</v>
      </c>
    </row>
    <row r="159" spans="1:4" x14ac:dyDescent="0.3">
      <c r="A159">
        <v>1994.6666666666899</v>
      </c>
      <c r="B159">
        <v>1994</v>
      </c>
      <c r="C159">
        <v>9</v>
      </c>
      <c r="D159">
        <v>21.727518533688887</v>
      </c>
    </row>
    <row r="160" spans="1:4" x14ac:dyDescent="0.3">
      <c r="A160">
        <v>1994.75000000002</v>
      </c>
      <c r="B160">
        <v>1994</v>
      </c>
      <c r="C160">
        <v>10</v>
      </c>
      <c r="D160">
        <v>28.434039977413857</v>
      </c>
    </row>
    <row r="161" spans="1:4" x14ac:dyDescent="0.3">
      <c r="A161">
        <v>1994.8333333333601</v>
      </c>
      <c r="B161">
        <v>1994</v>
      </c>
      <c r="C161">
        <v>11</v>
      </c>
      <c r="D161">
        <v>28.51259661835746</v>
      </c>
    </row>
    <row r="162" spans="1:4" x14ac:dyDescent="0.3">
      <c r="A162">
        <v>1994.9166666666899</v>
      </c>
      <c r="B162">
        <v>1994</v>
      </c>
      <c r="C162">
        <v>12</v>
      </c>
      <c r="D162">
        <v>27.79781836267178</v>
      </c>
    </row>
    <row r="163" spans="1:4" x14ac:dyDescent="0.3">
      <c r="A163">
        <v>1995.00000000002</v>
      </c>
      <c r="B163">
        <v>1995</v>
      </c>
      <c r="C163">
        <v>1</v>
      </c>
      <c r="D163">
        <v>26.214448168273474</v>
      </c>
    </row>
    <row r="164" spans="1:4" x14ac:dyDescent="0.3">
      <c r="A164">
        <v>1995.0833333333601</v>
      </c>
      <c r="B164">
        <v>1995</v>
      </c>
      <c r="C164">
        <v>2</v>
      </c>
      <c r="D164">
        <v>24.557192992973132</v>
      </c>
    </row>
    <row r="165" spans="1:4" x14ac:dyDescent="0.3">
      <c r="A165">
        <v>1995.1666666666899</v>
      </c>
      <c r="B165">
        <v>1995</v>
      </c>
      <c r="C165">
        <v>3</v>
      </c>
      <c r="D165">
        <v>26.628454595931494</v>
      </c>
    </row>
    <row r="166" spans="1:4" x14ac:dyDescent="0.3">
      <c r="A166">
        <v>1995.25000000002</v>
      </c>
      <c r="B166">
        <v>1995</v>
      </c>
      <c r="C166">
        <v>4</v>
      </c>
      <c r="D166">
        <v>21.227240227968053</v>
      </c>
    </row>
    <row r="167" spans="1:4" x14ac:dyDescent="0.3">
      <c r="A167">
        <v>1995.3333333333601</v>
      </c>
      <c r="B167">
        <v>1995</v>
      </c>
      <c r="C167">
        <v>5</v>
      </c>
      <c r="D167">
        <v>19.699278660122481</v>
      </c>
    </row>
    <row r="168" spans="1:4" x14ac:dyDescent="0.3">
      <c r="A168">
        <v>1995.4166666666899</v>
      </c>
      <c r="B168">
        <v>1995</v>
      </c>
      <c r="C168">
        <v>6</v>
      </c>
      <c r="D168">
        <v>20.152869256038176</v>
      </c>
    </row>
    <row r="169" spans="1:4" x14ac:dyDescent="0.3">
      <c r="A169">
        <v>1995.50000000002</v>
      </c>
      <c r="B169">
        <v>1995</v>
      </c>
      <c r="C169">
        <v>7</v>
      </c>
      <c r="D169">
        <v>21.877624566030775</v>
      </c>
    </row>
    <row r="170" spans="1:4" x14ac:dyDescent="0.3">
      <c r="A170">
        <v>1995.5833333333601</v>
      </c>
      <c r="B170">
        <v>1995</v>
      </c>
      <c r="C170">
        <v>8</v>
      </c>
      <c r="D170">
        <v>19.18772657198592</v>
      </c>
    </row>
    <row r="171" spans="1:4" x14ac:dyDescent="0.3">
      <c r="A171">
        <v>1995.6666666666899</v>
      </c>
      <c r="B171">
        <v>1995</v>
      </c>
      <c r="C171">
        <v>9</v>
      </c>
      <c r="D171">
        <v>21.298774744253457</v>
      </c>
    </row>
    <row r="172" spans="1:4" x14ac:dyDescent="0.3">
      <c r="A172">
        <v>1995.75000000003</v>
      </c>
      <c r="B172">
        <v>1995</v>
      </c>
      <c r="C172">
        <v>10</v>
      </c>
      <c r="D172">
        <v>18.504996500139001</v>
      </c>
    </row>
    <row r="173" spans="1:4" x14ac:dyDescent="0.3">
      <c r="A173">
        <v>1995.8333333333601</v>
      </c>
      <c r="B173">
        <v>1995</v>
      </c>
      <c r="C173">
        <v>11</v>
      </c>
      <c r="D173">
        <v>17.877244159872035</v>
      </c>
    </row>
    <row r="174" spans="1:4" x14ac:dyDescent="0.3">
      <c r="A174">
        <v>1995.9166666666899</v>
      </c>
      <c r="B174">
        <v>1995</v>
      </c>
      <c r="C174">
        <v>12</v>
      </c>
      <c r="D174">
        <v>22.808552360557993</v>
      </c>
    </row>
    <row r="175" spans="1:4" x14ac:dyDescent="0.3">
      <c r="A175">
        <v>1996.00000000003</v>
      </c>
      <c r="B175">
        <v>1996</v>
      </c>
      <c r="C175">
        <v>1</v>
      </c>
      <c r="D175">
        <v>28.244736229542934</v>
      </c>
    </row>
    <row r="176" spans="1:4" x14ac:dyDescent="0.3">
      <c r="A176">
        <v>1996.0833333333601</v>
      </c>
      <c r="B176">
        <v>1996</v>
      </c>
      <c r="C176">
        <v>2</v>
      </c>
      <c r="D176">
        <v>25.955162484915633</v>
      </c>
    </row>
    <row r="177" spans="1:4" x14ac:dyDescent="0.3">
      <c r="A177">
        <v>1996.1666666666899</v>
      </c>
      <c r="B177">
        <v>1996</v>
      </c>
      <c r="C177">
        <v>3</v>
      </c>
      <c r="D177">
        <v>24.595674999812687</v>
      </c>
    </row>
    <row r="178" spans="1:4" x14ac:dyDescent="0.3">
      <c r="A178">
        <v>1996.25000000003</v>
      </c>
      <c r="B178">
        <v>1996</v>
      </c>
      <c r="C178">
        <v>4</v>
      </c>
      <c r="D178">
        <v>22.651378601170737</v>
      </c>
    </row>
    <row r="179" spans="1:4" x14ac:dyDescent="0.3">
      <c r="A179">
        <v>1996.3333333333601</v>
      </c>
      <c r="B179">
        <v>1996</v>
      </c>
      <c r="C179">
        <v>5</v>
      </c>
      <c r="D179">
        <v>19.956576550251299</v>
      </c>
    </row>
    <row r="180" spans="1:4" x14ac:dyDescent="0.3">
      <c r="A180">
        <v>1996.4166666666899</v>
      </c>
      <c r="B180">
        <v>1996</v>
      </c>
      <c r="C180">
        <v>6</v>
      </c>
      <c r="D180">
        <v>20.23569478130235</v>
      </c>
    </row>
    <row r="181" spans="1:4" x14ac:dyDescent="0.3">
      <c r="A181">
        <v>1996.50000000003</v>
      </c>
      <c r="B181">
        <v>1996</v>
      </c>
      <c r="C181">
        <v>7</v>
      </c>
      <c r="D181">
        <v>18.556585133493389</v>
      </c>
    </row>
    <row r="182" spans="1:4" x14ac:dyDescent="0.3">
      <c r="A182">
        <v>1996.5833333333601</v>
      </c>
      <c r="B182">
        <v>1996</v>
      </c>
      <c r="C182">
        <v>8</v>
      </c>
      <c r="D182">
        <v>20.483724094303209</v>
      </c>
    </row>
    <row r="183" spans="1:4" x14ac:dyDescent="0.3">
      <c r="A183">
        <v>1996.6666666666899</v>
      </c>
      <c r="B183">
        <v>1996</v>
      </c>
      <c r="C183">
        <v>9</v>
      </c>
      <c r="D183">
        <v>18.494610911383013</v>
      </c>
    </row>
    <row r="184" spans="1:4" x14ac:dyDescent="0.3">
      <c r="A184">
        <v>1996.75000000003</v>
      </c>
      <c r="B184">
        <v>1996</v>
      </c>
      <c r="C184">
        <v>10</v>
      </c>
      <c r="D184">
        <v>18.314930523616354</v>
      </c>
    </row>
    <row r="185" spans="1:4" x14ac:dyDescent="0.3">
      <c r="A185">
        <v>1996.8333333333601</v>
      </c>
      <c r="B185">
        <v>1996</v>
      </c>
      <c r="C185">
        <v>11</v>
      </c>
      <c r="D185">
        <v>19.110698588977854</v>
      </c>
    </row>
    <row r="186" spans="1:4" x14ac:dyDescent="0.3">
      <c r="A186">
        <v>1996.9166666666899</v>
      </c>
      <c r="B186">
        <v>1996</v>
      </c>
      <c r="C186">
        <v>12</v>
      </c>
      <c r="D186">
        <v>21.79877960041285</v>
      </c>
    </row>
    <row r="187" spans="1:4" x14ac:dyDescent="0.3">
      <c r="A187">
        <v>1997.00000000003</v>
      </c>
      <c r="B187">
        <v>1997</v>
      </c>
      <c r="C187">
        <v>1</v>
      </c>
      <c r="D187">
        <v>26.945756092757346</v>
      </c>
    </row>
    <row r="188" spans="1:4" x14ac:dyDescent="0.3">
      <c r="A188">
        <v>1997.0833333333601</v>
      </c>
      <c r="B188">
        <v>1997</v>
      </c>
      <c r="C188">
        <v>2</v>
      </c>
      <c r="D188">
        <v>23.127983983164569</v>
      </c>
    </row>
    <row r="189" spans="1:4" x14ac:dyDescent="0.3">
      <c r="A189">
        <v>1997.1666666666899</v>
      </c>
      <c r="B189">
        <v>1997</v>
      </c>
      <c r="C189">
        <v>3</v>
      </c>
      <c r="D189">
        <v>26.192923756404227</v>
      </c>
    </row>
    <row r="190" spans="1:4" x14ac:dyDescent="0.3">
      <c r="A190">
        <v>1997.25000000003</v>
      </c>
      <c r="B190">
        <v>1997</v>
      </c>
      <c r="C190">
        <v>4</v>
      </c>
      <c r="D190">
        <v>22.794708191248706</v>
      </c>
    </row>
    <row r="191" spans="1:4" x14ac:dyDescent="0.3">
      <c r="A191">
        <v>1997.3333333333601</v>
      </c>
      <c r="B191">
        <v>1997</v>
      </c>
      <c r="C191">
        <v>5</v>
      </c>
      <c r="D191">
        <v>21.716714167387956</v>
      </c>
    </row>
    <row r="192" spans="1:4" x14ac:dyDescent="0.3">
      <c r="A192">
        <v>1997.4166666666899</v>
      </c>
      <c r="B192">
        <v>1997</v>
      </c>
      <c r="C192">
        <v>6</v>
      </c>
      <c r="D192">
        <v>20.258816684959115</v>
      </c>
    </row>
    <row r="193" spans="1:4" x14ac:dyDescent="0.3">
      <c r="A193">
        <v>1997.50000000003</v>
      </c>
      <c r="B193">
        <v>1997</v>
      </c>
      <c r="C193">
        <v>7</v>
      </c>
      <c r="D193">
        <v>22.153501546626231</v>
      </c>
    </row>
    <row r="194" spans="1:4" x14ac:dyDescent="0.3">
      <c r="A194">
        <v>1997.5833333333601</v>
      </c>
      <c r="B194">
        <v>1997</v>
      </c>
      <c r="C194">
        <v>8</v>
      </c>
      <c r="D194">
        <v>24.157784374588271</v>
      </c>
    </row>
    <row r="195" spans="1:4" x14ac:dyDescent="0.3">
      <c r="A195">
        <v>1997.6666666666999</v>
      </c>
      <c r="B195">
        <v>1997</v>
      </c>
      <c r="C195">
        <v>9</v>
      </c>
      <c r="D195">
        <v>23.449537736095987</v>
      </c>
    </row>
    <row r="196" spans="1:4" x14ac:dyDescent="0.3">
      <c r="A196">
        <v>1997.75000000003</v>
      </c>
      <c r="B196">
        <v>1997</v>
      </c>
      <c r="C196">
        <v>10</v>
      </c>
      <c r="D196">
        <v>20.601048362600036</v>
      </c>
    </row>
    <row r="197" spans="1:4" x14ac:dyDescent="0.3">
      <c r="A197">
        <v>1997.8333333333601</v>
      </c>
      <c r="B197">
        <v>1997</v>
      </c>
      <c r="C197">
        <v>11</v>
      </c>
      <c r="D197">
        <v>23.149498447424779</v>
      </c>
    </row>
    <row r="198" spans="1:4" x14ac:dyDescent="0.3">
      <c r="A198">
        <v>1997.9166666666999</v>
      </c>
      <c r="B198">
        <v>1997</v>
      </c>
      <c r="C198">
        <v>12</v>
      </c>
      <c r="D198">
        <v>28.650930279372158</v>
      </c>
    </row>
    <row r="199" spans="1:4" x14ac:dyDescent="0.3">
      <c r="A199">
        <v>1998.00000000003</v>
      </c>
      <c r="B199">
        <v>1998</v>
      </c>
      <c r="C199">
        <v>1</v>
      </c>
      <c r="D199">
        <v>27.366618976443227</v>
      </c>
    </row>
    <row r="200" spans="1:4" x14ac:dyDescent="0.3">
      <c r="A200">
        <v>1998.0833333333601</v>
      </c>
      <c r="B200">
        <v>1998</v>
      </c>
      <c r="C200">
        <v>2</v>
      </c>
      <c r="D200">
        <v>23.774572029778252</v>
      </c>
    </row>
    <row r="201" spans="1:4" x14ac:dyDescent="0.3">
      <c r="A201">
        <v>1998.1666666666999</v>
      </c>
      <c r="B201">
        <v>1998</v>
      </c>
      <c r="C201">
        <v>3</v>
      </c>
      <c r="D201">
        <v>26.957328050578919</v>
      </c>
    </row>
    <row r="202" spans="1:4" x14ac:dyDescent="0.3">
      <c r="A202">
        <v>1998.25000000003</v>
      </c>
      <c r="B202">
        <v>1998</v>
      </c>
      <c r="C202">
        <v>4</v>
      </c>
      <c r="D202">
        <v>23.143554006203285</v>
      </c>
    </row>
    <row r="203" spans="1:4" x14ac:dyDescent="0.3">
      <c r="A203">
        <v>1998.3333333333601</v>
      </c>
      <c r="B203">
        <v>1998</v>
      </c>
      <c r="C203">
        <v>5</v>
      </c>
      <c r="D203">
        <v>19.197347483691985</v>
      </c>
    </row>
    <row r="204" spans="1:4" x14ac:dyDescent="0.3">
      <c r="A204">
        <v>1998.4166666666999</v>
      </c>
      <c r="B204">
        <v>1998</v>
      </c>
      <c r="C204">
        <v>6</v>
      </c>
      <c r="D204">
        <v>17.486051265118743</v>
      </c>
    </row>
    <row r="205" spans="1:4" x14ac:dyDescent="0.3">
      <c r="A205">
        <v>1998.50000000003</v>
      </c>
      <c r="B205">
        <v>1998</v>
      </c>
      <c r="C205">
        <v>7</v>
      </c>
      <c r="D205">
        <v>18.642042302669932</v>
      </c>
    </row>
    <row r="206" spans="1:4" x14ac:dyDescent="0.3">
      <c r="A206">
        <v>1998.5833333333601</v>
      </c>
      <c r="B206">
        <v>1998</v>
      </c>
      <c r="C206">
        <v>8</v>
      </c>
      <c r="D206">
        <v>18.98879877049735</v>
      </c>
    </row>
    <row r="207" spans="1:4" x14ac:dyDescent="0.3">
      <c r="A207">
        <v>1998.6666666666999</v>
      </c>
      <c r="B207">
        <v>1998</v>
      </c>
      <c r="C207">
        <v>9</v>
      </c>
      <c r="D207">
        <v>19.840570435836632</v>
      </c>
    </row>
    <row r="208" spans="1:4" x14ac:dyDescent="0.3">
      <c r="A208">
        <v>1998.75000000003</v>
      </c>
      <c r="B208">
        <v>1998</v>
      </c>
      <c r="C208">
        <v>10</v>
      </c>
      <c r="D208">
        <v>16.223680840070418</v>
      </c>
    </row>
    <row r="209" spans="1:4" x14ac:dyDescent="0.3">
      <c r="A209">
        <v>1998.8333333333601</v>
      </c>
      <c r="B209">
        <v>1998</v>
      </c>
      <c r="C209">
        <v>11</v>
      </c>
      <c r="D209">
        <v>24.536655938395601</v>
      </c>
    </row>
    <row r="210" spans="1:4" x14ac:dyDescent="0.3">
      <c r="A210">
        <v>1998.9166666666999</v>
      </c>
      <c r="B210">
        <v>1998</v>
      </c>
      <c r="C210">
        <v>12</v>
      </c>
      <c r="D210">
        <v>23.084563014286861</v>
      </c>
    </row>
    <row r="211" spans="1:4" x14ac:dyDescent="0.3">
      <c r="A211">
        <v>1999.00000000003</v>
      </c>
      <c r="B211">
        <v>1999</v>
      </c>
      <c r="C211">
        <v>1</v>
      </c>
      <c r="D211">
        <v>25.946889436356546</v>
      </c>
    </row>
    <row r="212" spans="1:4" x14ac:dyDescent="0.3">
      <c r="A212">
        <v>1999.0833333333601</v>
      </c>
      <c r="B212">
        <v>1999</v>
      </c>
      <c r="C212">
        <v>2</v>
      </c>
      <c r="D212">
        <v>23.109148411123144</v>
      </c>
    </row>
    <row r="213" spans="1:4" x14ac:dyDescent="0.3">
      <c r="A213">
        <v>1999.1666666666999</v>
      </c>
      <c r="B213">
        <v>1999</v>
      </c>
      <c r="C213">
        <v>3</v>
      </c>
      <c r="D213">
        <v>23.97500072625694</v>
      </c>
    </row>
    <row r="214" spans="1:4" x14ac:dyDescent="0.3">
      <c r="A214">
        <v>1999.25000000003</v>
      </c>
      <c r="B214">
        <v>1999</v>
      </c>
      <c r="C214">
        <v>4</v>
      </c>
      <c r="D214">
        <v>19.184574752434177</v>
      </c>
    </row>
    <row r="215" spans="1:4" x14ac:dyDescent="0.3">
      <c r="A215">
        <v>1999.3333333333601</v>
      </c>
      <c r="B215">
        <v>1999</v>
      </c>
      <c r="C215">
        <v>5</v>
      </c>
      <c r="D215">
        <v>18.385187401764551</v>
      </c>
    </row>
    <row r="216" spans="1:4" x14ac:dyDescent="0.3">
      <c r="A216">
        <v>1999.4166666666999</v>
      </c>
      <c r="B216">
        <v>1999</v>
      </c>
      <c r="C216">
        <v>6</v>
      </c>
      <c r="D216">
        <v>14.156237432938825</v>
      </c>
    </row>
    <row r="217" spans="1:4" x14ac:dyDescent="0.3">
      <c r="A217">
        <v>1999.50000000003</v>
      </c>
      <c r="B217">
        <v>1999</v>
      </c>
      <c r="C217">
        <v>7</v>
      </c>
      <c r="D217">
        <v>23.360641225668292</v>
      </c>
    </row>
    <row r="218" spans="1:4" x14ac:dyDescent="0.3">
      <c r="A218">
        <v>1999.5833333333701</v>
      </c>
      <c r="B218">
        <v>1999</v>
      </c>
      <c r="C218">
        <v>8</v>
      </c>
      <c r="D218">
        <v>13.048210266585244</v>
      </c>
    </row>
    <row r="219" spans="1:4" x14ac:dyDescent="0.3">
      <c r="A219">
        <v>1999.6666666666999</v>
      </c>
      <c r="B219">
        <v>1999</v>
      </c>
      <c r="C219">
        <v>9</v>
      </c>
      <c r="D219">
        <v>16.591459799840568</v>
      </c>
    </row>
    <row r="220" spans="1:4" x14ac:dyDescent="0.3">
      <c r="A220">
        <v>1999.75000000003</v>
      </c>
      <c r="B220">
        <v>1999</v>
      </c>
      <c r="C220">
        <v>10</v>
      </c>
      <c r="D220">
        <v>16.33884457694063</v>
      </c>
    </row>
    <row r="221" spans="1:4" x14ac:dyDescent="0.3">
      <c r="A221">
        <v>1999.8333333333701</v>
      </c>
      <c r="B221">
        <v>1999</v>
      </c>
      <c r="C221">
        <v>11</v>
      </c>
      <c r="D221">
        <v>16.744610988265695</v>
      </c>
    </row>
    <row r="222" spans="1:4" x14ac:dyDescent="0.3">
      <c r="A222">
        <v>1999.9166666666999</v>
      </c>
      <c r="B222">
        <v>1999</v>
      </c>
      <c r="C222">
        <v>12</v>
      </c>
      <c r="D222">
        <v>18.991905421157206</v>
      </c>
    </row>
    <row r="223" spans="1:4" x14ac:dyDescent="0.3">
      <c r="A223">
        <v>2000.00000000003</v>
      </c>
      <c r="B223">
        <v>2000</v>
      </c>
      <c r="C223">
        <v>1</v>
      </c>
      <c r="D223">
        <v>25.500051257319587</v>
      </c>
    </row>
    <row r="224" spans="1:4" x14ac:dyDescent="0.3">
      <c r="A224">
        <v>2000.0833333333701</v>
      </c>
      <c r="B224">
        <v>2000</v>
      </c>
      <c r="C224">
        <v>2</v>
      </c>
      <c r="D224">
        <v>24.478269206574925</v>
      </c>
    </row>
    <row r="225" spans="1:4" x14ac:dyDescent="0.3">
      <c r="A225">
        <v>2000.1666666666999</v>
      </c>
      <c r="B225">
        <v>2000</v>
      </c>
      <c r="C225">
        <v>3</v>
      </c>
      <c r="D225">
        <v>22.569271897845738</v>
      </c>
    </row>
    <row r="226" spans="1:4" x14ac:dyDescent="0.3">
      <c r="A226">
        <v>2000.25000000003</v>
      </c>
      <c r="B226">
        <v>2000</v>
      </c>
      <c r="C226">
        <v>4</v>
      </c>
      <c r="D226">
        <v>17.638870439374124</v>
      </c>
    </row>
    <row r="227" spans="1:4" x14ac:dyDescent="0.3">
      <c r="A227">
        <v>2000.3333333333701</v>
      </c>
      <c r="B227">
        <v>2000</v>
      </c>
      <c r="C227">
        <v>5</v>
      </c>
      <c r="D227">
        <v>15.483617942189685</v>
      </c>
    </row>
    <row r="228" spans="1:4" x14ac:dyDescent="0.3">
      <c r="A228">
        <v>2000.4166666666999</v>
      </c>
      <c r="B228">
        <v>2000</v>
      </c>
      <c r="C228">
        <v>6</v>
      </c>
      <c r="D228">
        <v>19.804740520705984</v>
      </c>
    </row>
    <row r="229" spans="1:4" x14ac:dyDescent="0.3">
      <c r="A229">
        <v>2000.50000000003</v>
      </c>
      <c r="B229">
        <v>2000</v>
      </c>
      <c r="C229">
        <v>7</v>
      </c>
      <c r="D229">
        <v>18.201684064375215</v>
      </c>
    </row>
    <row r="230" spans="1:4" x14ac:dyDescent="0.3">
      <c r="A230">
        <v>2000.5833333333701</v>
      </c>
      <c r="B230">
        <v>2000</v>
      </c>
      <c r="C230">
        <v>8</v>
      </c>
      <c r="D230">
        <v>20.04183904900103</v>
      </c>
    </row>
    <row r="231" spans="1:4" x14ac:dyDescent="0.3">
      <c r="A231">
        <v>2000.6666666666999</v>
      </c>
      <c r="B231">
        <v>2000</v>
      </c>
      <c r="C231">
        <v>9</v>
      </c>
      <c r="D231">
        <v>15.575507842155625</v>
      </c>
    </row>
    <row r="232" spans="1:4" x14ac:dyDescent="0.3">
      <c r="A232">
        <v>2000.75000000003</v>
      </c>
      <c r="B232">
        <v>2000</v>
      </c>
      <c r="C232">
        <v>10</v>
      </c>
      <c r="D232">
        <v>19.518087673306574</v>
      </c>
    </row>
    <row r="233" spans="1:4" x14ac:dyDescent="0.3">
      <c r="A233">
        <v>2000.8333333333701</v>
      </c>
      <c r="B233">
        <v>2000</v>
      </c>
      <c r="C233">
        <v>11</v>
      </c>
      <c r="D233">
        <v>24.022917682355203</v>
      </c>
    </row>
    <row r="234" spans="1:4" x14ac:dyDescent="0.3">
      <c r="A234">
        <v>2000.9166666666999</v>
      </c>
      <c r="B234">
        <v>2000</v>
      </c>
      <c r="C234">
        <v>12</v>
      </c>
      <c r="D234">
        <v>21.472089401617499</v>
      </c>
    </row>
    <row r="235" spans="1:4" x14ac:dyDescent="0.3">
      <c r="A235">
        <v>2001.00000000003</v>
      </c>
      <c r="B235">
        <v>2001</v>
      </c>
      <c r="C235">
        <v>1</v>
      </c>
      <c r="D235">
        <v>24.752984825747657</v>
      </c>
    </row>
    <row r="236" spans="1:4" x14ac:dyDescent="0.3">
      <c r="A236">
        <v>2001.0833333333701</v>
      </c>
      <c r="B236">
        <v>2001</v>
      </c>
      <c r="C236">
        <v>2</v>
      </c>
      <c r="D236">
        <v>23.495392877549776</v>
      </c>
    </row>
    <row r="237" spans="1:4" x14ac:dyDescent="0.3">
      <c r="A237">
        <v>2001.1666666666999</v>
      </c>
      <c r="B237">
        <v>2001</v>
      </c>
      <c r="C237">
        <v>3</v>
      </c>
      <c r="D237">
        <v>26.015776457771103</v>
      </c>
    </row>
    <row r="238" spans="1:4" x14ac:dyDescent="0.3">
      <c r="A238">
        <v>2001.25000000004</v>
      </c>
      <c r="B238">
        <v>2001</v>
      </c>
      <c r="C238">
        <v>4</v>
      </c>
      <c r="D238">
        <v>23.298522454257672</v>
      </c>
    </row>
    <row r="239" spans="1:4" x14ac:dyDescent="0.3">
      <c r="A239">
        <v>2001.3333333333701</v>
      </c>
      <c r="B239">
        <v>2001</v>
      </c>
      <c r="C239">
        <v>5</v>
      </c>
      <c r="D239">
        <v>18.465685948684779</v>
      </c>
    </row>
    <row r="240" spans="1:4" x14ac:dyDescent="0.3">
      <c r="A240">
        <v>2001.4166666666999</v>
      </c>
      <c r="B240">
        <v>2001</v>
      </c>
      <c r="C240">
        <v>6</v>
      </c>
      <c r="D240">
        <v>20.515154165035955</v>
      </c>
    </row>
    <row r="241" spans="1:4" x14ac:dyDescent="0.3">
      <c r="A241">
        <v>2001.50000000004</v>
      </c>
      <c r="B241">
        <v>2001</v>
      </c>
      <c r="C241">
        <v>7</v>
      </c>
      <c r="D241">
        <v>20.602063233676883</v>
      </c>
    </row>
    <row r="242" spans="1:4" x14ac:dyDescent="0.3">
      <c r="A242">
        <v>2001.5833333333701</v>
      </c>
      <c r="B242">
        <v>2001</v>
      </c>
      <c r="C242">
        <v>8</v>
      </c>
      <c r="D242">
        <v>25.12455691856098</v>
      </c>
    </row>
    <row r="243" spans="1:4" x14ac:dyDescent="0.3">
      <c r="A243">
        <v>2001.6666666666999</v>
      </c>
      <c r="B243">
        <v>2001</v>
      </c>
      <c r="C243">
        <v>9</v>
      </c>
      <c r="D243">
        <v>16.087377279028775</v>
      </c>
    </row>
    <row r="244" spans="1:4" x14ac:dyDescent="0.3">
      <c r="A244">
        <v>2001.75000000004</v>
      </c>
      <c r="B244">
        <v>2001</v>
      </c>
      <c r="C244">
        <v>10</v>
      </c>
      <c r="D244">
        <v>19.791515622825564</v>
      </c>
    </row>
    <row r="245" spans="1:4" x14ac:dyDescent="0.3">
      <c r="A245">
        <v>2001.8333333333701</v>
      </c>
      <c r="B245">
        <v>2001</v>
      </c>
      <c r="C245">
        <v>11</v>
      </c>
      <c r="D245">
        <v>17.029529916197792</v>
      </c>
    </row>
    <row r="246" spans="1:4" x14ac:dyDescent="0.3">
      <c r="A246">
        <v>2001.9166666666999</v>
      </c>
      <c r="B246">
        <v>2001</v>
      </c>
      <c r="C246">
        <v>12</v>
      </c>
      <c r="D246">
        <v>22.168203768843426</v>
      </c>
    </row>
    <row r="247" spans="1:4" x14ac:dyDescent="0.3">
      <c r="A247">
        <v>2002.00000000004</v>
      </c>
      <c r="B247">
        <v>2002</v>
      </c>
      <c r="C247">
        <v>1</v>
      </c>
      <c r="D247">
        <v>28.488367944867825</v>
      </c>
    </row>
    <row r="248" spans="1:4" x14ac:dyDescent="0.3">
      <c r="A248">
        <v>2002.0833333333701</v>
      </c>
      <c r="B248">
        <v>2002</v>
      </c>
      <c r="C248">
        <v>2</v>
      </c>
      <c r="D248">
        <v>27.347871743153416</v>
      </c>
    </row>
    <row r="249" spans="1:4" x14ac:dyDescent="0.3">
      <c r="A249">
        <v>2002.1666666666999</v>
      </c>
      <c r="B249">
        <v>2002</v>
      </c>
      <c r="C249">
        <v>3</v>
      </c>
      <c r="D249">
        <v>25.418529945881552</v>
      </c>
    </row>
    <row r="250" spans="1:4" x14ac:dyDescent="0.3">
      <c r="A250">
        <v>2002.25000000004</v>
      </c>
      <c r="B250">
        <v>2002</v>
      </c>
      <c r="C250">
        <v>4</v>
      </c>
      <c r="D250">
        <v>18.647737535466636</v>
      </c>
    </row>
    <row r="251" spans="1:4" x14ac:dyDescent="0.3">
      <c r="A251">
        <v>2002.3333333333701</v>
      </c>
      <c r="B251">
        <v>2002</v>
      </c>
      <c r="C251">
        <v>5</v>
      </c>
      <c r="D251">
        <v>19.354471661081131</v>
      </c>
    </row>
    <row r="252" spans="1:4" x14ac:dyDescent="0.3">
      <c r="A252">
        <v>2002.4166666666999</v>
      </c>
      <c r="B252">
        <v>2002</v>
      </c>
      <c r="C252">
        <v>6</v>
      </c>
      <c r="D252">
        <v>24.302891495162161</v>
      </c>
    </row>
    <row r="253" spans="1:4" x14ac:dyDescent="0.3">
      <c r="A253">
        <v>2002.50000000004</v>
      </c>
      <c r="B253">
        <v>2002</v>
      </c>
      <c r="C253">
        <v>7</v>
      </c>
      <c r="D253">
        <v>21.770177101293584</v>
      </c>
    </row>
    <row r="254" spans="1:4" x14ac:dyDescent="0.3">
      <c r="A254">
        <v>2002.5833333333701</v>
      </c>
      <c r="B254">
        <v>2002</v>
      </c>
      <c r="C254">
        <v>8</v>
      </c>
      <c r="D254">
        <v>21.913359935096608</v>
      </c>
    </row>
    <row r="255" spans="1:4" x14ac:dyDescent="0.3">
      <c r="A255">
        <v>2002.6666666666999</v>
      </c>
      <c r="B255">
        <v>2002</v>
      </c>
      <c r="C255">
        <v>9</v>
      </c>
      <c r="D255">
        <v>18.249040951286023</v>
      </c>
    </row>
    <row r="256" spans="1:4" x14ac:dyDescent="0.3">
      <c r="A256">
        <v>2002.75000000004</v>
      </c>
      <c r="B256">
        <v>2002</v>
      </c>
      <c r="C256">
        <v>10</v>
      </c>
      <c r="D256">
        <v>21.572584484798277</v>
      </c>
    </row>
    <row r="257" spans="1:4" x14ac:dyDescent="0.3">
      <c r="A257">
        <v>2002.8333333333701</v>
      </c>
      <c r="B257">
        <v>2002</v>
      </c>
      <c r="C257">
        <v>11</v>
      </c>
      <c r="D257">
        <v>24.23050343156525</v>
      </c>
    </row>
    <row r="258" spans="1:4" x14ac:dyDescent="0.3">
      <c r="A258">
        <v>2002.9166666666999</v>
      </c>
      <c r="B258">
        <v>2002</v>
      </c>
      <c r="C258">
        <v>12</v>
      </c>
      <c r="D258">
        <v>27.072368368800184</v>
      </c>
    </row>
    <row r="259" spans="1:4" x14ac:dyDescent="0.3">
      <c r="A259">
        <v>2003.00000000004</v>
      </c>
      <c r="B259">
        <v>2003</v>
      </c>
      <c r="C259">
        <v>1</v>
      </c>
      <c r="D259">
        <v>28.934034119080518</v>
      </c>
    </row>
    <row r="260" spans="1:4" x14ac:dyDescent="0.3">
      <c r="A260">
        <v>2003.0833333333701</v>
      </c>
      <c r="B260">
        <v>2003</v>
      </c>
      <c r="C260">
        <v>2</v>
      </c>
      <c r="D260">
        <v>28.531725919976218</v>
      </c>
    </row>
    <row r="261" spans="1:4" x14ac:dyDescent="0.3">
      <c r="A261">
        <v>2003.1666666667099</v>
      </c>
      <c r="B261">
        <v>2003</v>
      </c>
      <c r="C261">
        <v>3</v>
      </c>
      <c r="D261">
        <v>25.561242643796053</v>
      </c>
    </row>
    <row r="262" spans="1:4" x14ac:dyDescent="0.3">
      <c r="A262">
        <v>2003.25000000004</v>
      </c>
      <c r="B262">
        <v>2003</v>
      </c>
      <c r="C262">
        <v>4</v>
      </c>
      <c r="D262">
        <v>22.734182917594996</v>
      </c>
    </row>
    <row r="263" spans="1:4" x14ac:dyDescent="0.3">
      <c r="A263">
        <v>2003.3333333333701</v>
      </c>
      <c r="B263">
        <v>2003</v>
      </c>
      <c r="C263">
        <v>5</v>
      </c>
      <c r="D263">
        <v>22.126264125997881</v>
      </c>
    </row>
    <row r="264" spans="1:4" x14ac:dyDescent="0.3">
      <c r="A264">
        <v>2003.4166666667099</v>
      </c>
      <c r="B264">
        <v>2003</v>
      </c>
      <c r="C264">
        <v>6</v>
      </c>
      <c r="D264">
        <v>17.984144573167743</v>
      </c>
    </row>
    <row r="265" spans="1:4" x14ac:dyDescent="0.3">
      <c r="A265">
        <v>2003.50000000004</v>
      </c>
      <c r="B265">
        <v>2003</v>
      </c>
      <c r="C265">
        <v>7</v>
      </c>
      <c r="D265">
        <v>23.170544180392159</v>
      </c>
    </row>
    <row r="266" spans="1:4" x14ac:dyDescent="0.3">
      <c r="A266">
        <v>2003.5833333333701</v>
      </c>
      <c r="B266">
        <v>2003</v>
      </c>
      <c r="C266">
        <v>8</v>
      </c>
      <c r="D266">
        <v>20.942528988831192</v>
      </c>
    </row>
    <row r="267" spans="1:4" x14ac:dyDescent="0.3">
      <c r="A267">
        <v>2003.6666666667099</v>
      </c>
      <c r="B267">
        <v>2003</v>
      </c>
      <c r="C267">
        <v>9</v>
      </c>
      <c r="D267">
        <v>20.82296597411829</v>
      </c>
    </row>
    <row r="268" spans="1:4" x14ac:dyDescent="0.3">
      <c r="A268">
        <v>2003.75000000004</v>
      </c>
      <c r="B268">
        <v>2003</v>
      </c>
      <c r="C268">
        <v>10</v>
      </c>
      <c r="D268">
        <v>19.19033641443</v>
      </c>
    </row>
    <row r="269" spans="1:4" x14ac:dyDescent="0.3">
      <c r="A269">
        <v>2003.8333333333701</v>
      </c>
      <c r="B269">
        <v>2003</v>
      </c>
      <c r="C269">
        <v>11</v>
      </c>
      <c r="D269">
        <v>19.080681082724301</v>
      </c>
    </row>
    <row r="270" spans="1:4" x14ac:dyDescent="0.3">
      <c r="A270">
        <v>2003.9166666667099</v>
      </c>
      <c r="B270">
        <v>2003</v>
      </c>
      <c r="C270">
        <v>12</v>
      </c>
      <c r="D270">
        <v>22.797440760734766</v>
      </c>
    </row>
    <row r="271" spans="1:4" x14ac:dyDescent="0.3">
      <c r="A271">
        <v>2004.00000000004</v>
      </c>
      <c r="B271">
        <v>2004</v>
      </c>
      <c r="C271">
        <v>1</v>
      </c>
      <c r="D271">
        <v>27.115321001596442</v>
      </c>
    </row>
    <row r="272" spans="1:4" x14ac:dyDescent="0.3">
      <c r="A272">
        <v>2004.0833333333701</v>
      </c>
      <c r="B272">
        <v>2004</v>
      </c>
      <c r="C272">
        <v>2</v>
      </c>
      <c r="D272">
        <v>28.548031078532176</v>
      </c>
    </row>
    <row r="273" spans="1:4" x14ac:dyDescent="0.3">
      <c r="A273">
        <v>2004.1666666667099</v>
      </c>
      <c r="B273">
        <v>2004</v>
      </c>
      <c r="C273">
        <v>3</v>
      </c>
      <c r="D273">
        <v>26.794342320127143</v>
      </c>
    </row>
    <row r="274" spans="1:4" x14ac:dyDescent="0.3">
      <c r="A274">
        <v>2004.25000000004</v>
      </c>
      <c r="B274">
        <v>2004</v>
      </c>
      <c r="C274">
        <v>4</v>
      </c>
      <c r="D274">
        <v>21.549782371366565</v>
      </c>
    </row>
    <row r="275" spans="1:4" x14ac:dyDescent="0.3">
      <c r="A275">
        <v>2004.3333333333701</v>
      </c>
      <c r="B275">
        <v>2004</v>
      </c>
      <c r="C275">
        <v>5</v>
      </c>
      <c r="D275">
        <v>16.94247367744714</v>
      </c>
    </row>
    <row r="276" spans="1:4" x14ac:dyDescent="0.3">
      <c r="A276">
        <v>2004.4166666667099</v>
      </c>
      <c r="B276">
        <v>2004</v>
      </c>
      <c r="C276">
        <v>6</v>
      </c>
      <c r="D276">
        <v>21.037098621657989</v>
      </c>
    </row>
    <row r="277" spans="1:4" x14ac:dyDescent="0.3">
      <c r="A277">
        <v>2004.50000000004</v>
      </c>
      <c r="B277">
        <v>2004</v>
      </c>
      <c r="C277">
        <v>7</v>
      </c>
      <c r="D277">
        <v>21.672874542316539</v>
      </c>
    </row>
    <row r="278" spans="1:4" x14ac:dyDescent="0.3">
      <c r="A278">
        <v>2004.5833333333701</v>
      </c>
      <c r="B278">
        <v>2004</v>
      </c>
      <c r="C278">
        <v>8</v>
      </c>
      <c r="D278">
        <v>19.153458577352975</v>
      </c>
    </row>
    <row r="279" spans="1:4" x14ac:dyDescent="0.3">
      <c r="A279">
        <v>2004.6666666667099</v>
      </c>
      <c r="B279">
        <v>2004</v>
      </c>
      <c r="C279">
        <v>9</v>
      </c>
      <c r="D279">
        <v>21.503426320408121</v>
      </c>
    </row>
    <row r="280" spans="1:4" x14ac:dyDescent="0.3">
      <c r="A280">
        <v>2004.75000000004</v>
      </c>
      <c r="B280">
        <v>2004</v>
      </c>
      <c r="C280">
        <v>10</v>
      </c>
      <c r="D280">
        <v>18.090368512483824</v>
      </c>
    </row>
    <row r="281" spans="1:4" x14ac:dyDescent="0.3">
      <c r="A281">
        <v>2004.8333333333701</v>
      </c>
      <c r="B281">
        <v>2004</v>
      </c>
      <c r="C281">
        <v>11</v>
      </c>
      <c r="D281">
        <v>22.961161730688797</v>
      </c>
    </row>
    <row r="282" spans="1:4" x14ac:dyDescent="0.3">
      <c r="A282">
        <v>2004.9166666667099</v>
      </c>
      <c r="B282">
        <v>2004</v>
      </c>
      <c r="C282">
        <v>12</v>
      </c>
      <c r="D282">
        <v>25.362196730798289</v>
      </c>
    </row>
    <row r="283" spans="1:4" x14ac:dyDescent="0.3">
      <c r="A283">
        <v>2005.00000000004</v>
      </c>
      <c r="B283">
        <v>2005</v>
      </c>
      <c r="C283">
        <v>1</v>
      </c>
      <c r="D283">
        <v>27.421838485449573</v>
      </c>
    </row>
    <row r="284" spans="1:4" x14ac:dyDescent="0.3">
      <c r="A284">
        <v>2005.0833333333801</v>
      </c>
      <c r="B284">
        <v>2005</v>
      </c>
      <c r="C284">
        <v>2</v>
      </c>
      <c r="D284">
        <v>26.146752995698002</v>
      </c>
    </row>
    <row r="285" spans="1:4" x14ac:dyDescent="0.3">
      <c r="A285">
        <v>2005.1666666667099</v>
      </c>
      <c r="B285">
        <v>2005</v>
      </c>
      <c r="C285">
        <v>3</v>
      </c>
      <c r="D285">
        <v>23.472428743411079</v>
      </c>
    </row>
    <row r="286" spans="1:4" x14ac:dyDescent="0.3">
      <c r="A286">
        <v>2005.25000000004</v>
      </c>
      <c r="B286">
        <v>2005</v>
      </c>
      <c r="C286">
        <v>4</v>
      </c>
      <c r="D286">
        <v>17.574080509349038</v>
      </c>
    </row>
    <row r="287" spans="1:4" x14ac:dyDescent="0.3">
      <c r="A287">
        <v>2005.3333333333801</v>
      </c>
      <c r="B287">
        <v>2005</v>
      </c>
      <c r="C287">
        <v>5</v>
      </c>
      <c r="D287">
        <v>18.594617619586511</v>
      </c>
    </row>
    <row r="288" spans="1:4" x14ac:dyDescent="0.3">
      <c r="A288">
        <v>2005.4166666667099</v>
      </c>
      <c r="B288">
        <v>2005</v>
      </c>
      <c r="C288">
        <v>6</v>
      </c>
      <c r="D288">
        <v>18.352227322447877</v>
      </c>
    </row>
    <row r="289" spans="1:4" x14ac:dyDescent="0.3">
      <c r="A289">
        <v>2005.50000000004</v>
      </c>
      <c r="B289">
        <v>2005</v>
      </c>
      <c r="C289">
        <v>7</v>
      </c>
      <c r="D289">
        <v>22.074435898363163</v>
      </c>
    </row>
    <row r="290" spans="1:4" x14ac:dyDescent="0.3">
      <c r="A290">
        <v>2005.5833333333801</v>
      </c>
      <c r="B290">
        <v>2005</v>
      </c>
      <c r="C290">
        <v>8</v>
      </c>
      <c r="D290">
        <v>20.595108845502285</v>
      </c>
    </row>
    <row r="291" spans="1:4" x14ac:dyDescent="0.3">
      <c r="A291">
        <v>2005.6666666667099</v>
      </c>
      <c r="B291">
        <v>2005</v>
      </c>
      <c r="C291">
        <v>9</v>
      </c>
      <c r="D291">
        <v>16.867043488530257</v>
      </c>
    </row>
    <row r="292" spans="1:4" x14ac:dyDescent="0.3">
      <c r="A292">
        <v>2005.75000000004</v>
      </c>
      <c r="B292">
        <v>2005</v>
      </c>
      <c r="C292">
        <v>10</v>
      </c>
      <c r="D292">
        <v>18.03022840985518</v>
      </c>
    </row>
    <row r="293" spans="1:4" x14ac:dyDescent="0.3">
      <c r="A293">
        <v>2005.8333333333801</v>
      </c>
      <c r="B293">
        <v>2005</v>
      </c>
      <c r="C293">
        <v>11</v>
      </c>
      <c r="D293">
        <v>19.004022588357994</v>
      </c>
    </row>
    <row r="294" spans="1:4" x14ac:dyDescent="0.3">
      <c r="A294">
        <v>2005.9166666667099</v>
      </c>
      <c r="B294">
        <v>2005</v>
      </c>
      <c r="C294">
        <v>12</v>
      </c>
      <c r="D294">
        <v>25.135278972233952</v>
      </c>
    </row>
    <row r="295" spans="1:4" x14ac:dyDescent="0.3">
      <c r="A295">
        <v>2006.00000000004</v>
      </c>
      <c r="B295">
        <v>2006</v>
      </c>
      <c r="C295">
        <v>1</v>
      </c>
      <c r="D295">
        <v>23.973011035824417</v>
      </c>
    </row>
    <row r="296" spans="1:4" x14ac:dyDescent="0.3">
      <c r="A296">
        <v>2006.0833333333801</v>
      </c>
      <c r="B296">
        <v>2006</v>
      </c>
      <c r="C296">
        <v>2</v>
      </c>
      <c r="D296">
        <v>26.544886199604456</v>
      </c>
    </row>
    <row r="297" spans="1:4" x14ac:dyDescent="0.3">
      <c r="A297">
        <v>2006.1666666667099</v>
      </c>
      <c r="B297">
        <v>2006</v>
      </c>
      <c r="C297">
        <v>3</v>
      </c>
      <c r="D297">
        <v>22.314641289325809</v>
      </c>
    </row>
    <row r="298" spans="1:4" x14ac:dyDescent="0.3">
      <c r="A298">
        <v>2006.25000000004</v>
      </c>
      <c r="B298">
        <v>2006</v>
      </c>
      <c r="C298">
        <v>4</v>
      </c>
      <c r="D298">
        <v>20.685648846602383</v>
      </c>
    </row>
    <row r="299" spans="1:4" x14ac:dyDescent="0.3">
      <c r="A299">
        <v>2006.3333333333801</v>
      </c>
      <c r="B299">
        <v>2006</v>
      </c>
      <c r="C299">
        <v>5</v>
      </c>
      <c r="D299">
        <v>17.688347394177768</v>
      </c>
    </row>
    <row r="300" spans="1:4" x14ac:dyDescent="0.3">
      <c r="A300">
        <v>2006.4166666667099</v>
      </c>
      <c r="B300">
        <v>2006</v>
      </c>
      <c r="C300">
        <v>6</v>
      </c>
      <c r="D300">
        <v>20.542472452081743</v>
      </c>
    </row>
    <row r="301" spans="1:4" x14ac:dyDescent="0.3">
      <c r="A301">
        <v>2006.50000000004</v>
      </c>
      <c r="B301">
        <v>2006</v>
      </c>
      <c r="C301">
        <v>7</v>
      </c>
      <c r="D301">
        <v>22.673559705042301</v>
      </c>
    </row>
    <row r="302" spans="1:4" x14ac:dyDescent="0.3">
      <c r="A302">
        <v>2006.5833333333801</v>
      </c>
      <c r="B302">
        <v>2006</v>
      </c>
      <c r="C302">
        <v>8</v>
      </c>
      <c r="D302">
        <v>19.674129033843549</v>
      </c>
    </row>
    <row r="303" spans="1:4" x14ac:dyDescent="0.3">
      <c r="A303">
        <v>2006.6666666667099</v>
      </c>
      <c r="B303">
        <v>2006</v>
      </c>
      <c r="C303">
        <v>9</v>
      </c>
      <c r="D303">
        <v>17.373039137916823</v>
      </c>
    </row>
    <row r="304" spans="1:4" x14ac:dyDescent="0.3">
      <c r="A304">
        <v>2006.75000000005</v>
      </c>
      <c r="B304">
        <v>2006</v>
      </c>
      <c r="C304">
        <v>10</v>
      </c>
      <c r="D304">
        <v>17.000748147605208</v>
      </c>
    </row>
    <row r="305" spans="1:4" x14ac:dyDescent="0.3">
      <c r="A305">
        <v>2006.8333333333801</v>
      </c>
      <c r="B305">
        <v>2006</v>
      </c>
      <c r="C305">
        <v>11</v>
      </c>
      <c r="D305">
        <v>18.139764227419278</v>
      </c>
    </row>
    <row r="306" spans="1:4" x14ac:dyDescent="0.3">
      <c r="A306">
        <v>2006.9166666667099</v>
      </c>
      <c r="B306">
        <v>2006</v>
      </c>
      <c r="C306">
        <v>12</v>
      </c>
      <c r="D306">
        <v>26.209789529884308</v>
      </c>
    </row>
    <row r="307" spans="1:4" x14ac:dyDescent="0.3">
      <c r="A307">
        <v>2007.00000000005</v>
      </c>
      <c r="B307">
        <v>2007</v>
      </c>
      <c r="C307">
        <v>1</v>
      </c>
      <c r="D307">
        <v>27.685529425510779</v>
      </c>
    </row>
    <row r="308" spans="1:4" x14ac:dyDescent="0.3">
      <c r="A308">
        <v>2007.0833333333801</v>
      </c>
      <c r="B308">
        <v>2007</v>
      </c>
      <c r="C308">
        <v>2</v>
      </c>
      <c r="D308">
        <v>28.658051918105286</v>
      </c>
    </row>
    <row r="309" spans="1:4" x14ac:dyDescent="0.3">
      <c r="A309">
        <v>2007.1666666667099</v>
      </c>
      <c r="B309">
        <v>2007</v>
      </c>
      <c r="C309">
        <v>3</v>
      </c>
      <c r="D309">
        <v>24.299869095928823</v>
      </c>
    </row>
    <row r="310" spans="1:4" x14ac:dyDescent="0.3">
      <c r="A310">
        <v>2007.25000000005</v>
      </c>
      <c r="B310">
        <v>2007</v>
      </c>
      <c r="C310">
        <v>4</v>
      </c>
      <c r="D310">
        <v>17.828285662343927</v>
      </c>
    </row>
    <row r="311" spans="1:4" x14ac:dyDescent="0.3">
      <c r="A311">
        <v>2007.3333333333801</v>
      </c>
      <c r="B311">
        <v>2007</v>
      </c>
      <c r="C311">
        <v>5</v>
      </c>
      <c r="D311">
        <v>14.045777905533761</v>
      </c>
    </row>
    <row r="312" spans="1:4" x14ac:dyDescent="0.3">
      <c r="A312">
        <v>2007.4166666667099</v>
      </c>
      <c r="B312">
        <v>2007</v>
      </c>
      <c r="C312">
        <v>6</v>
      </c>
      <c r="D312">
        <v>17.759752956354422</v>
      </c>
    </row>
    <row r="313" spans="1:4" x14ac:dyDescent="0.3">
      <c r="A313">
        <v>2007.50000000005</v>
      </c>
      <c r="B313">
        <v>2007</v>
      </c>
      <c r="C313">
        <v>7</v>
      </c>
      <c r="D313">
        <v>25.018329620272031</v>
      </c>
    </row>
    <row r="314" spans="1:4" x14ac:dyDescent="0.3">
      <c r="A314">
        <v>2007.5833333333801</v>
      </c>
      <c r="B314">
        <v>2007</v>
      </c>
      <c r="C314">
        <v>8</v>
      </c>
      <c r="D314">
        <v>17.10231600249897</v>
      </c>
    </row>
    <row r="315" spans="1:4" x14ac:dyDescent="0.3">
      <c r="A315">
        <v>2007.6666666667099</v>
      </c>
      <c r="B315">
        <v>2007</v>
      </c>
      <c r="C315">
        <v>9</v>
      </c>
      <c r="D315">
        <v>21.767069406570073</v>
      </c>
    </row>
    <row r="316" spans="1:4" x14ac:dyDescent="0.3">
      <c r="A316">
        <v>2007.75000000005</v>
      </c>
      <c r="B316">
        <v>2007</v>
      </c>
      <c r="C316">
        <v>10</v>
      </c>
      <c r="D316">
        <v>19.221380408279209</v>
      </c>
    </row>
    <row r="317" spans="1:4" x14ac:dyDescent="0.3">
      <c r="A317">
        <v>2007.8333333333801</v>
      </c>
      <c r="B317">
        <v>2007</v>
      </c>
      <c r="C317">
        <v>11</v>
      </c>
      <c r="D317">
        <v>18.551853358158478</v>
      </c>
    </row>
    <row r="318" spans="1:4" x14ac:dyDescent="0.3">
      <c r="A318">
        <v>2007.9166666667099</v>
      </c>
      <c r="B318">
        <v>2007</v>
      </c>
      <c r="C318">
        <v>12</v>
      </c>
      <c r="D318">
        <v>26.734608426901442</v>
      </c>
    </row>
    <row r="319" spans="1:4" x14ac:dyDescent="0.3">
      <c r="A319">
        <v>2008.00000000005</v>
      </c>
      <c r="B319">
        <v>2008</v>
      </c>
      <c r="C319">
        <v>1</v>
      </c>
      <c r="D319">
        <v>27.957586109415704</v>
      </c>
    </row>
    <row r="320" spans="1:4" x14ac:dyDescent="0.3">
      <c r="A320">
        <v>2008.0833333333801</v>
      </c>
      <c r="B320">
        <v>2008</v>
      </c>
      <c r="C320">
        <v>2</v>
      </c>
      <c r="D320">
        <v>23.753847220035322</v>
      </c>
    </row>
    <row r="321" spans="1:4" x14ac:dyDescent="0.3">
      <c r="A321">
        <v>2008.1666666667099</v>
      </c>
      <c r="B321">
        <v>2008</v>
      </c>
      <c r="C321">
        <v>3</v>
      </c>
      <c r="D321">
        <v>24.144733310216555</v>
      </c>
    </row>
    <row r="322" spans="1:4" x14ac:dyDescent="0.3">
      <c r="A322">
        <v>2008.25000000005</v>
      </c>
      <c r="B322">
        <v>2008</v>
      </c>
      <c r="C322">
        <v>4</v>
      </c>
      <c r="D322">
        <v>20.92476411453281</v>
      </c>
    </row>
    <row r="323" spans="1:4" x14ac:dyDescent="0.3">
      <c r="A323">
        <v>2008.3333333333801</v>
      </c>
      <c r="B323">
        <v>2008</v>
      </c>
      <c r="C323">
        <v>5</v>
      </c>
      <c r="D323">
        <v>16.091664861079767</v>
      </c>
    </row>
    <row r="324" spans="1:4" x14ac:dyDescent="0.3">
      <c r="A324">
        <v>2008.4166666667099</v>
      </c>
      <c r="B324">
        <v>2008</v>
      </c>
      <c r="C324">
        <v>6</v>
      </c>
      <c r="D324">
        <v>21.470568750790317</v>
      </c>
    </row>
    <row r="325" spans="1:4" x14ac:dyDescent="0.3">
      <c r="A325">
        <v>2008.50000000005</v>
      </c>
      <c r="B325">
        <v>2008</v>
      </c>
      <c r="C325">
        <v>7</v>
      </c>
      <c r="D325">
        <v>17.708595477361794</v>
      </c>
    </row>
    <row r="326" spans="1:4" x14ac:dyDescent="0.3">
      <c r="A326">
        <v>2008.5833333333801</v>
      </c>
      <c r="B326">
        <v>2008</v>
      </c>
      <c r="C326">
        <v>8</v>
      </c>
      <c r="D326">
        <v>19.568579550865419</v>
      </c>
    </row>
    <row r="327" spans="1:4" x14ac:dyDescent="0.3">
      <c r="A327">
        <v>2008.6666666667199</v>
      </c>
      <c r="B327">
        <v>2008</v>
      </c>
      <c r="C327">
        <v>9</v>
      </c>
      <c r="D327">
        <v>20.895079062282015</v>
      </c>
    </row>
    <row r="328" spans="1:4" x14ac:dyDescent="0.3">
      <c r="A328">
        <v>2008.75000000005</v>
      </c>
      <c r="B328">
        <v>2008</v>
      </c>
      <c r="C328">
        <v>10</v>
      </c>
      <c r="D328">
        <v>15.110066100609442</v>
      </c>
    </row>
    <row r="329" spans="1:4" x14ac:dyDescent="0.3">
      <c r="A329">
        <v>2008.8333333333801</v>
      </c>
      <c r="B329">
        <v>2008</v>
      </c>
      <c r="C329">
        <v>11</v>
      </c>
      <c r="D329">
        <v>19.150193633737661</v>
      </c>
    </row>
    <row r="330" spans="1:4" x14ac:dyDescent="0.3">
      <c r="A330">
        <v>2008.9166666667199</v>
      </c>
      <c r="B330">
        <v>2008</v>
      </c>
      <c r="C330">
        <v>12</v>
      </c>
      <c r="D330">
        <v>24.111435570611082</v>
      </c>
    </row>
    <row r="331" spans="1:4" x14ac:dyDescent="0.3">
      <c r="A331">
        <v>2009.00000000005</v>
      </c>
      <c r="B331">
        <v>2009</v>
      </c>
      <c r="C331">
        <v>1</v>
      </c>
      <c r="D331">
        <v>26.478545751977624</v>
      </c>
    </row>
    <row r="332" spans="1:4" x14ac:dyDescent="0.3">
      <c r="A332">
        <v>2009.0833333333801</v>
      </c>
      <c r="B332">
        <v>2009</v>
      </c>
      <c r="C332">
        <v>2</v>
      </c>
      <c r="D332">
        <v>25.623535900732154</v>
      </c>
    </row>
    <row r="333" spans="1:4" x14ac:dyDescent="0.3">
      <c r="A333">
        <v>2009.1666666667199</v>
      </c>
      <c r="B333">
        <v>2009</v>
      </c>
      <c r="C333">
        <v>3</v>
      </c>
      <c r="D333">
        <v>25.916101314037334</v>
      </c>
    </row>
    <row r="334" spans="1:4" x14ac:dyDescent="0.3">
      <c r="A334">
        <v>2009.25000000005</v>
      </c>
      <c r="B334">
        <v>2009</v>
      </c>
      <c r="C334">
        <v>4</v>
      </c>
      <c r="D334">
        <v>25.521984563796533</v>
      </c>
    </row>
    <row r="335" spans="1:4" x14ac:dyDescent="0.3">
      <c r="A335">
        <v>2009.3333333333801</v>
      </c>
      <c r="B335">
        <v>2009</v>
      </c>
      <c r="C335">
        <v>5</v>
      </c>
      <c r="D335">
        <v>22.827025309205034</v>
      </c>
    </row>
    <row r="336" spans="1:4" x14ac:dyDescent="0.3">
      <c r="A336">
        <v>2009.4166666667199</v>
      </c>
      <c r="B336">
        <v>2009</v>
      </c>
      <c r="C336">
        <v>6</v>
      </c>
      <c r="D336">
        <v>22.546700964076315</v>
      </c>
    </row>
    <row r="337" spans="1:4" x14ac:dyDescent="0.3">
      <c r="A337">
        <v>2009.50000000005</v>
      </c>
      <c r="B337">
        <v>2009</v>
      </c>
      <c r="C337">
        <v>7</v>
      </c>
      <c r="D337">
        <v>23.153413946526015</v>
      </c>
    </row>
    <row r="338" spans="1:4" x14ac:dyDescent="0.3">
      <c r="A338">
        <v>2009.5833333333801</v>
      </c>
      <c r="B338">
        <v>2009</v>
      </c>
      <c r="C338">
        <v>8</v>
      </c>
      <c r="D338">
        <v>20.385376746278105</v>
      </c>
    </row>
    <row r="339" spans="1:4" x14ac:dyDescent="0.3">
      <c r="A339">
        <v>2009.6666666667199</v>
      </c>
      <c r="B339">
        <v>2009</v>
      </c>
      <c r="C339">
        <v>9</v>
      </c>
      <c r="D339">
        <v>21.386618261538146</v>
      </c>
    </row>
    <row r="340" spans="1:4" x14ac:dyDescent="0.3">
      <c r="A340">
        <v>2009.75000000005</v>
      </c>
      <c r="B340">
        <v>2009</v>
      </c>
      <c r="C340">
        <v>10</v>
      </c>
      <c r="D340">
        <v>16.957283799681438</v>
      </c>
    </row>
    <row r="341" spans="1:4" x14ac:dyDescent="0.3">
      <c r="A341">
        <v>2009.8333333333801</v>
      </c>
      <c r="B341">
        <v>2009</v>
      </c>
      <c r="C341">
        <v>11</v>
      </c>
      <c r="D341">
        <v>19.507534985284263</v>
      </c>
    </row>
    <row r="342" spans="1:4" x14ac:dyDescent="0.3">
      <c r="A342">
        <v>2009.9166666667199</v>
      </c>
      <c r="B342">
        <v>2009</v>
      </c>
      <c r="C342">
        <v>12</v>
      </c>
      <c r="D342">
        <v>28.452261109445878</v>
      </c>
    </row>
    <row r="343" spans="1:4" x14ac:dyDescent="0.3">
      <c r="A343">
        <v>2010.00000000005</v>
      </c>
      <c r="B343">
        <v>2010</v>
      </c>
      <c r="C343">
        <v>1</v>
      </c>
      <c r="D343">
        <v>29.052436614459904</v>
      </c>
    </row>
    <row r="344" spans="1:4" x14ac:dyDescent="0.3">
      <c r="A344">
        <v>2010.0833333333801</v>
      </c>
      <c r="B344">
        <v>2010</v>
      </c>
      <c r="C344">
        <v>2</v>
      </c>
      <c r="D344">
        <v>26.214190674135349</v>
      </c>
    </row>
    <row r="345" spans="1:4" x14ac:dyDescent="0.3">
      <c r="A345">
        <v>2010.1666666667199</v>
      </c>
      <c r="B345">
        <v>2010</v>
      </c>
      <c r="C345">
        <v>3</v>
      </c>
      <c r="D345">
        <v>22.376546306496714</v>
      </c>
    </row>
    <row r="346" spans="1:4" x14ac:dyDescent="0.3">
      <c r="A346">
        <v>2010.25000000005</v>
      </c>
      <c r="B346">
        <v>2010</v>
      </c>
      <c r="C346">
        <v>4</v>
      </c>
      <c r="D346">
        <v>20.864334483303143</v>
      </c>
    </row>
    <row r="347" spans="1:4" x14ac:dyDescent="0.3">
      <c r="A347">
        <v>2010.3333333333801</v>
      </c>
      <c r="B347">
        <v>2010</v>
      </c>
      <c r="C347">
        <v>5</v>
      </c>
      <c r="D347">
        <v>16.82834658851327</v>
      </c>
    </row>
    <row r="348" spans="1:4" x14ac:dyDescent="0.3">
      <c r="A348">
        <v>2010.4166666667199</v>
      </c>
      <c r="B348">
        <v>2010</v>
      </c>
      <c r="C348">
        <v>6</v>
      </c>
      <c r="D348">
        <v>14.42920769459184</v>
      </c>
    </row>
    <row r="349" spans="1:4" x14ac:dyDescent="0.3">
      <c r="A349">
        <v>2010.50000000005</v>
      </c>
      <c r="B349">
        <v>2010</v>
      </c>
      <c r="C349">
        <v>7</v>
      </c>
      <c r="D349">
        <v>14.202771786654244</v>
      </c>
    </row>
    <row r="350" spans="1:4" x14ac:dyDescent="0.3">
      <c r="A350">
        <v>2010.5833333333901</v>
      </c>
      <c r="B350">
        <v>2010</v>
      </c>
      <c r="C350">
        <v>8</v>
      </c>
      <c r="D350">
        <v>17.32737558654658</v>
      </c>
    </row>
    <row r="351" spans="1:4" x14ac:dyDescent="0.3">
      <c r="A351">
        <v>2010.6666666667199</v>
      </c>
      <c r="B351">
        <v>2010</v>
      </c>
      <c r="C351">
        <v>9</v>
      </c>
      <c r="D351">
        <v>16.43442740971096</v>
      </c>
    </row>
    <row r="352" spans="1:4" x14ac:dyDescent="0.3">
      <c r="A352">
        <v>2010.75000000005</v>
      </c>
      <c r="B352">
        <v>2010</v>
      </c>
      <c r="C352">
        <v>10</v>
      </c>
      <c r="D352">
        <v>18.900899885434079</v>
      </c>
    </row>
    <row r="353" spans="1:4" x14ac:dyDescent="0.3">
      <c r="A353">
        <v>2010.8333333333901</v>
      </c>
      <c r="B353">
        <v>2010</v>
      </c>
      <c r="C353">
        <v>11</v>
      </c>
      <c r="D353">
        <v>12.022265572405431</v>
      </c>
    </row>
    <row r="354" spans="1:4" x14ac:dyDescent="0.3">
      <c r="A354">
        <v>2010.9166666667199</v>
      </c>
      <c r="B354">
        <v>2010</v>
      </c>
      <c r="C354">
        <v>12</v>
      </c>
      <c r="D354">
        <v>18.254229042729182</v>
      </c>
    </row>
    <row r="355" spans="1:4" x14ac:dyDescent="0.3">
      <c r="A355">
        <v>2011.00000000005</v>
      </c>
      <c r="B355">
        <v>2011</v>
      </c>
      <c r="C355">
        <v>1</v>
      </c>
      <c r="D355">
        <v>24.747078288549424</v>
      </c>
    </row>
    <row r="356" spans="1:4" x14ac:dyDescent="0.3">
      <c r="A356">
        <v>2011.0833333333901</v>
      </c>
      <c r="B356">
        <v>2011</v>
      </c>
      <c r="C356">
        <v>2</v>
      </c>
      <c r="D356">
        <v>25.291033627569703</v>
      </c>
    </row>
    <row r="357" spans="1:4" x14ac:dyDescent="0.3">
      <c r="A357">
        <v>2011.1666666667199</v>
      </c>
      <c r="B357">
        <v>2011</v>
      </c>
      <c r="C357">
        <v>3</v>
      </c>
      <c r="D357">
        <v>21.038908030108544</v>
      </c>
    </row>
    <row r="358" spans="1:4" x14ac:dyDescent="0.3">
      <c r="A358">
        <v>2011.25000000005</v>
      </c>
      <c r="B358">
        <v>2011</v>
      </c>
      <c r="C358">
        <v>4</v>
      </c>
      <c r="D358">
        <v>21.304415247509436</v>
      </c>
    </row>
    <row r="359" spans="1:4" x14ac:dyDescent="0.3">
      <c r="A359">
        <v>2011.3333333333901</v>
      </c>
      <c r="B359">
        <v>2011</v>
      </c>
      <c r="C359">
        <v>5</v>
      </c>
      <c r="D359">
        <v>16.771644555066118</v>
      </c>
    </row>
    <row r="360" spans="1:4" x14ac:dyDescent="0.3">
      <c r="A360">
        <v>2011.4166666667199</v>
      </c>
      <c r="B360">
        <v>2011</v>
      </c>
      <c r="C360">
        <v>6</v>
      </c>
      <c r="D360">
        <v>16.2976680528255</v>
      </c>
    </row>
    <row r="361" spans="1:4" x14ac:dyDescent="0.3">
      <c r="A361">
        <v>2011.50000000005</v>
      </c>
      <c r="B361">
        <v>2011</v>
      </c>
      <c r="C361">
        <v>7</v>
      </c>
      <c r="D361">
        <v>23.743056142814222</v>
      </c>
    </row>
    <row r="362" spans="1:4" x14ac:dyDescent="0.3">
      <c r="A362">
        <v>2011.5833333333901</v>
      </c>
      <c r="B362">
        <v>2011</v>
      </c>
      <c r="C362">
        <v>8</v>
      </c>
      <c r="D362">
        <v>19.198689761060074</v>
      </c>
    </row>
    <row r="363" spans="1:4" x14ac:dyDescent="0.3">
      <c r="A363">
        <v>2011.6666666667199</v>
      </c>
      <c r="B363">
        <v>2011</v>
      </c>
      <c r="C363">
        <v>9</v>
      </c>
      <c r="D363">
        <v>19.35091233931616</v>
      </c>
    </row>
    <row r="364" spans="1:4" x14ac:dyDescent="0.3">
      <c r="A364">
        <v>2011.75000000005</v>
      </c>
      <c r="B364">
        <v>2011</v>
      </c>
      <c r="C364">
        <v>10</v>
      </c>
      <c r="D364">
        <v>15.539773233801988</v>
      </c>
    </row>
    <row r="365" spans="1:4" x14ac:dyDescent="0.3">
      <c r="A365">
        <v>2011.8333333333901</v>
      </c>
      <c r="B365">
        <v>2011</v>
      </c>
      <c r="C365">
        <v>11</v>
      </c>
      <c r="D365">
        <v>19.172080062224612</v>
      </c>
    </row>
    <row r="366" spans="1:4" x14ac:dyDescent="0.3">
      <c r="A366">
        <v>2011.9166666667199</v>
      </c>
      <c r="B366">
        <v>2011</v>
      </c>
      <c r="C366">
        <v>12</v>
      </c>
      <c r="D366">
        <v>22.126128475979641</v>
      </c>
    </row>
    <row r="367" spans="1:4" x14ac:dyDescent="0.3">
      <c r="A367">
        <v>2012.00000000005</v>
      </c>
      <c r="B367">
        <v>2012</v>
      </c>
      <c r="C367">
        <v>1</v>
      </c>
      <c r="D367">
        <v>25.356184047064708</v>
      </c>
    </row>
    <row r="368" spans="1:4" x14ac:dyDescent="0.3">
      <c r="A368">
        <v>2012.0833333333901</v>
      </c>
      <c r="B368">
        <v>2012</v>
      </c>
      <c r="C368">
        <v>2</v>
      </c>
      <c r="D368">
        <v>25.047651823105813</v>
      </c>
    </row>
    <row r="369" spans="1:4" x14ac:dyDescent="0.3">
      <c r="A369">
        <v>2012.1666666667199</v>
      </c>
      <c r="B369">
        <v>2012</v>
      </c>
      <c r="C369">
        <v>3</v>
      </c>
      <c r="D369">
        <v>24.375704217764142</v>
      </c>
    </row>
    <row r="370" spans="1:4" x14ac:dyDescent="0.3">
      <c r="A370">
        <v>2012.25000000006</v>
      </c>
      <c r="B370">
        <v>2012</v>
      </c>
      <c r="C370">
        <v>4</v>
      </c>
      <c r="D370">
        <v>15.136658597704182</v>
      </c>
    </row>
    <row r="371" spans="1:4" x14ac:dyDescent="0.3">
      <c r="A371">
        <v>2012.3333333333901</v>
      </c>
      <c r="B371">
        <v>2012</v>
      </c>
      <c r="C371">
        <v>5</v>
      </c>
      <c r="D371">
        <v>23.075115898151846</v>
      </c>
    </row>
    <row r="372" spans="1:4" x14ac:dyDescent="0.3">
      <c r="A372">
        <v>2012.4166666667199</v>
      </c>
      <c r="B372">
        <v>2012</v>
      </c>
      <c r="C372">
        <v>6</v>
      </c>
      <c r="D372">
        <v>22.184323457015978</v>
      </c>
    </row>
    <row r="373" spans="1:4" x14ac:dyDescent="0.3">
      <c r="A373">
        <v>2012.50000000006</v>
      </c>
      <c r="B373">
        <v>2012</v>
      </c>
      <c r="C373">
        <v>7</v>
      </c>
      <c r="D373">
        <v>20.144348443032413</v>
      </c>
    </row>
    <row r="374" spans="1:4" x14ac:dyDescent="0.3">
      <c r="A374">
        <v>2012.5833333333901</v>
      </c>
      <c r="B374">
        <v>2012</v>
      </c>
      <c r="C374">
        <v>8</v>
      </c>
      <c r="D374">
        <v>21.766378645619536</v>
      </c>
    </row>
    <row r="375" spans="1:4" x14ac:dyDescent="0.3">
      <c r="A375">
        <v>2012.6666666667199</v>
      </c>
      <c r="B375">
        <v>2012</v>
      </c>
      <c r="C375">
        <v>9</v>
      </c>
      <c r="D375">
        <v>19.679853098571151</v>
      </c>
    </row>
    <row r="376" spans="1:4" x14ac:dyDescent="0.3">
      <c r="A376">
        <v>2012.75000000006</v>
      </c>
      <c r="B376">
        <v>2012</v>
      </c>
      <c r="C376">
        <v>10</v>
      </c>
      <c r="D376">
        <v>15.68643654431261</v>
      </c>
    </row>
    <row r="377" spans="1:4" x14ac:dyDescent="0.3">
      <c r="A377">
        <v>2012.8333333333901</v>
      </c>
      <c r="B377">
        <v>2012</v>
      </c>
      <c r="C377">
        <v>11</v>
      </c>
      <c r="D377">
        <v>22.733767549808785</v>
      </c>
    </row>
    <row r="378" spans="1:4" x14ac:dyDescent="0.3">
      <c r="A378">
        <v>2012.9166666667199</v>
      </c>
      <c r="B378">
        <v>2012</v>
      </c>
      <c r="C378">
        <v>12</v>
      </c>
      <c r="D378">
        <v>24.817387966621478</v>
      </c>
    </row>
    <row r="379" spans="1:4" x14ac:dyDescent="0.3">
      <c r="A379">
        <v>2013.00000000006</v>
      </c>
      <c r="B379">
        <v>2013</v>
      </c>
      <c r="C379">
        <v>1</v>
      </c>
      <c r="D379">
        <v>27.975794912517717</v>
      </c>
    </row>
    <row r="380" spans="1:4" x14ac:dyDescent="0.3">
      <c r="A380">
        <v>2013.0833333333901</v>
      </c>
      <c r="B380">
        <v>2013</v>
      </c>
      <c r="C380">
        <v>2</v>
      </c>
      <c r="D380">
        <v>26.326586980045651</v>
      </c>
    </row>
    <row r="381" spans="1:4" x14ac:dyDescent="0.3">
      <c r="A381">
        <v>2013.1666666667199</v>
      </c>
      <c r="B381">
        <v>2013</v>
      </c>
      <c r="C381">
        <v>3</v>
      </c>
      <c r="D381">
        <v>20.63981074433373</v>
      </c>
    </row>
    <row r="382" spans="1:4" x14ac:dyDescent="0.3">
      <c r="A382">
        <v>2013.25000000006</v>
      </c>
      <c r="B382">
        <v>2013</v>
      </c>
      <c r="C382">
        <v>4</v>
      </c>
      <c r="D382">
        <v>22.770817816790903</v>
      </c>
    </row>
    <row r="383" spans="1:4" x14ac:dyDescent="0.3">
      <c r="A383">
        <v>2013.3333333333901</v>
      </c>
      <c r="B383">
        <v>2013</v>
      </c>
      <c r="C383">
        <v>5</v>
      </c>
      <c r="D383">
        <v>18.580428092586423</v>
      </c>
    </row>
    <row r="384" spans="1:4" x14ac:dyDescent="0.3">
      <c r="A384">
        <v>2013.4166666667199</v>
      </c>
      <c r="B384">
        <v>2013</v>
      </c>
      <c r="C384">
        <v>6</v>
      </c>
      <c r="D384">
        <v>21.200540388726093</v>
      </c>
    </row>
    <row r="385" spans="1:4" x14ac:dyDescent="0.3">
      <c r="A385">
        <v>2013.50000000006</v>
      </c>
      <c r="B385">
        <v>2013</v>
      </c>
      <c r="C385">
        <v>7</v>
      </c>
      <c r="D385">
        <v>21.979131542279063</v>
      </c>
    </row>
    <row r="386" spans="1:4" x14ac:dyDescent="0.3">
      <c r="A386">
        <v>2013.5833333333901</v>
      </c>
      <c r="B386">
        <v>2013</v>
      </c>
      <c r="C386">
        <v>8</v>
      </c>
      <c r="D386">
        <v>16.626672861622481</v>
      </c>
    </row>
    <row r="387" spans="1:4" x14ac:dyDescent="0.3">
      <c r="A387">
        <v>2013.6666666667199</v>
      </c>
      <c r="B387">
        <v>2013</v>
      </c>
      <c r="C387">
        <v>9</v>
      </c>
      <c r="D387">
        <v>19.613955164455827</v>
      </c>
    </row>
    <row r="388" spans="1:4" x14ac:dyDescent="0.3">
      <c r="A388">
        <v>2013.75000000006</v>
      </c>
      <c r="B388">
        <v>2013</v>
      </c>
      <c r="C388">
        <v>10</v>
      </c>
      <c r="D388">
        <v>19.690581270102648</v>
      </c>
    </row>
    <row r="389" spans="1:4" x14ac:dyDescent="0.3">
      <c r="A389">
        <v>2013.8333333333901</v>
      </c>
      <c r="B389">
        <v>2013</v>
      </c>
      <c r="C389">
        <v>11</v>
      </c>
      <c r="D389">
        <v>22.893730729126567</v>
      </c>
    </row>
    <row r="390" spans="1:4" x14ac:dyDescent="0.3">
      <c r="A390">
        <v>2013.9166666667199</v>
      </c>
      <c r="B390">
        <v>2013</v>
      </c>
      <c r="C390">
        <v>12</v>
      </c>
      <c r="D390">
        <v>25.014593794330924</v>
      </c>
    </row>
    <row r="391" spans="1:4" x14ac:dyDescent="0.3">
      <c r="A391">
        <v>2014.00000000006</v>
      </c>
      <c r="B391">
        <v>2014</v>
      </c>
      <c r="C391">
        <v>1</v>
      </c>
      <c r="D391">
        <v>27.124709221331091</v>
      </c>
    </row>
    <row r="392" spans="1:4" x14ac:dyDescent="0.3">
      <c r="A392">
        <v>2014.0833333333901</v>
      </c>
      <c r="B392">
        <v>2014</v>
      </c>
      <c r="C392">
        <v>2</v>
      </c>
      <c r="D392">
        <v>27.611478020063966</v>
      </c>
    </row>
    <row r="393" spans="1:4" x14ac:dyDescent="0.3">
      <c r="A393">
        <v>2014.16666666673</v>
      </c>
      <c r="B393">
        <v>2014</v>
      </c>
      <c r="C393">
        <v>3</v>
      </c>
      <c r="D393">
        <v>26.035358953128142</v>
      </c>
    </row>
    <row r="394" spans="1:4" x14ac:dyDescent="0.3">
      <c r="A394">
        <v>2014.25000000006</v>
      </c>
      <c r="B394">
        <v>2014</v>
      </c>
      <c r="C394">
        <v>4</v>
      </c>
      <c r="D394">
        <v>19.739855103391626</v>
      </c>
    </row>
    <row r="395" spans="1:4" x14ac:dyDescent="0.3">
      <c r="A395">
        <v>2014.3333333333901</v>
      </c>
      <c r="B395">
        <v>2014</v>
      </c>
      <c r="C395">
        <v>5</v>
      </c>
      <c r="D395">
        <v>25.194522264175895</v>
      </c>
    </row>
    <row r="396" spans="1:4" x14ac:dyDescent="0.3">
      <c r="A396">
        <v>2014.41666666673</v>
      </c>
      <c r="B396">
        <v>2014</v>
      </c>
      <c r="C396">
        <v>6</v>
      </c>
      <c r="D396">
        <v>17.89334299273057</v>
      </c>
    </row>
    <row r="397" spans="1:4" x14ac:dyDescent="0.3">
      <c r="A397">
        <v>2014.50000000006</v>
      </c>
      <c r="B397">
        <v>2014</v>
      </c>
      <c r="C397">
        <v>7</v>
      </c>
      <c r="D397">
        <v>24.078890947969164</v>
      </c>
    </row>
    <row r="398" spans="1:4" x14ac:dyDescent="0.3">
      <c r="A398">
        <v>2014.5833333333901</v>
      </c>
      <c r="B398">
        <v>2014</v>
      </c>
      <c r="C398">
        <v>8</v>
      </c>
      <c r="D398">
        <v>20.495275834939726</v>
      </c>
    </row>
    <row r="399" spans="1:4" x14ac:dyDescent="0.3">
      <c r="A399">
        <v>2014.66666666673</v>
      </c>
      <c r="B399">
        <v>2014</v>
      </c>
      <c r="C399">
        <v>9</v>
      </c>
      <c r="D399">
        <v>18.67891938257015</v>
      </c>
    </row>
    <row r="400" spans="1:4" x14ac:dyDescent="0.3">
      <c r="A400">
        <v>2014.75000000006</v>
      </c>
      <c r="B400">
        <v>2014</v>
      </c>
      <c r="C400">
        <v>10</v>
      </c>
      <c r="D400">
        <v>19.780761266037231</v>
      </c>
    </row>
    <row r="401" spans="1:4" x14ac:dyDescent="0.3">
      <c r="A401">
        <v>2014.8333333333901</v>
      </c>
      <c r="B401">
        <v>2014</v>
      </c>
      <c r="C401">
        <v>11</v>
      </c>
      <c r="D401">
        <v>22.649542598109132</v>
      </c>
    </row>
    <row r="402" spans="1:4" x14ac:dyDescent="0.3">
      <c r="A402">
        <v>2014.91666666673</v>
      </c>
      <c r="B402">
        <v>2014</v>
      </c>
      <c r="C402">
        <v>12</v>
      </c>
      <c r="D402">
        <v>24.178168022996232</v>
      </c>
    </row>
    <row r="403" spans="1:4" x14ac:dyDescent="0.3">
      <c r="A403">
        <v>2015.00000000006</v>
      </c>
      <c r="B403">
        <v>2015</v>
      </c>
      <c r="C403">
        <v>1</v>
      </c>
      <c r="D403">
        <v>26.041884776017195</v>
      </c>
    </row>
    <row r="404" spans="1:4" x14ac:dyDescent="0.3">
      <c r="A404">
        <v>2015.0833333333901</v>
      </c>
      <c r="B404">
        <v>2015</v>
      </c>
      <c r="C404">
        <v>2</v>
      </c>
      <c r="D404">
        <v>26.439775291258574</v>
      </c>
    </row>
    <row r="405" spans="1:4" x14ac:dyDescent="0.3">
      <c r="A405">
        <v>2015.16666666673</v>
      </c>
      <c r="B405">
        <v>2015</v>
      </c>
      <c r="C405">
        <v>3</v>
      </c>
      <c r="D405">
        <v>26.119779968614221</v>
      </c>
    </row>
    <row r="406" spans="1:4" x14ac:dyDescent="0.3">
      <c r="A406">
        <v>2015.25000000006</v>
      </c>
      <c r="B406">
        <v>2015</v>
      </c>
      <c r="C406">
        <v>4</v>
      </c>
      <c r="D406">
        <v>21.517213323662766</v>
      </c>
    </row>
    <row r="407" spans="1:4" x14ac:dyDescent="0.3">
      <c r="A407">
        <v>2015.3333333333901</v>
      </c>
      <c r="B407">
        <v>2015</v>
      </c>
      <c r="C407">
        <v>5</v>
      </c>
      <c r="D407">
        <v>22.239242389815473</v>
      </c>
    </row>
    <row r="408" spans="1:4" x14ac:dyDescent="0.3">
      <c r="A408">
        <v>2015.41666666673</v>
      </c>
      <c r="B408">
        <v>2015</v>
      </c>
      <c r="C408">
        <v>6</v>
      </c>
      <c r="D408">
        <v>18.100706542474239</v>
      </c>
    </row>
    <row r="409" spans="1:4" x14ac:dyDescent="0.3">
      <c r="A409">
        <v>2015.50000000006</v>
      </c>
      <c r="B409">
        <v>2015</v>
      </c>
      <c r="C409">
        <v>7</v>
      </c>
      <c r="D409">
        <v>23.130348732209679</v>
      </c>
    </row>
    <row r="410" spans="1:4" x14ac:dyDescent="0.3">
      <c r="A410">
        <v>2015.5833333333901</v>
      </c>
      <c r="B410">
        <v>2015</v>
      </c>
      <c r="C410">
        <v>8</v>
      </c>
      <c r="D410">
        <v>22.572522162498672</v>
      </c>
    </row>
    <row r="411" spans="1:4" x14ac:dyDescent="0.3">
      <c r="A411">
        <v>2015.66666666673</v>
      </c>
      <c r="B411">
        <v>2015</v>
      </c>
      <c r="C411">
        <v>9</v>
      </c>
      <c r="D411">
        <v>21.677077563724449</v>
      </c>
    </row>
    <row r="412" spans="1:4" x14ac:dyDescent="0.3">
      <c r="A412">
        <v>2015.75000000006</v>
      </c>
      <c r="B412">
        <v>2015</v>
      </c>
      <c r="C412">
        <v>10</v>
      </c>
      <c r="D412">
        <v>19.719679437110106</v>
      </c>
    </row>
    <row r="413" spans="1:4" x14ac:dyDescent="0.3">
      <c r="A413">
        <v>2015.8333333333901</v>
      </c>
      <c r="B413">
        <v>2015</v>
      </c>
      <c r="C413">
        <v>11</v>
      </c>
      <c r="D413">
        <v>24.109466360940289</v>
      </c>
    </row>
    <row r="414" spans="1:4" x14ac:dyDescent="0.3">
      <c r="A414">
        <v>2015.91666666673</v>
      </c>
      <c r="B414">
        <v>2015</v>
      </c>
      <c r="C414">
        <v>12</v>
      </c>
      <c r="D414">
        <v>26.844163965874067</v>
      </c>
    </row>
    <row r="415" spans="1:4" x14ac:dyDescent="0.3">
      <c r="A415">
        <v>2016.00000000006</v>
      </c>
      <c r="B415">
        <v>2016</v>
      </c>
      <c r="C415">
        <v>1</v>
      </c>
      <c r="D415">
        <v>26.892488149366244</v>
      </c>
    </row>
    <row r="416" spans="1:4" x14ac:dyDescent="0.3">
      <c r="A416">
        <v>2016.0833333334001</v>
      </c>
      <c r="B416">
        <v>2016</v>
      </c>
      <c r="C416">
        <v>2</v>
      </c>
      <c r="D416">
        <v>27.250573214829121</v>
      </c>
    </row>
    <row r="417" spans="1:4" x14ac:dyDescent="0.3">
      <c r="A417">
        <v>2016.16666666673</v>
      </c>
      <c r="B417">
        <v>2016</v>
      </c>
      <c r="C417">
        <v>3</v>
      </c>
      <c r="D417">
        <v>26.229400965045023</v>
      </c>
    </row>
    <row r="418" spans="1:4" x14ac:dyDescent="0.3">
      <c r="A418">
        <v>2016.25000000006</v>
      </c>
      <c r="B418">
        <v>2016</v>
      </c>
      <c r="C418">
        <v>4</v>
      </c>
      <c r="D418">
        <v>23.768411694550053</v>
      </c>
    </row>
    <row r="419" spans="1:4" x14ac:dyDescent="0.3">
      <c r="A419">
        <v>2016.3333333334001</v>
      </c>
      <c r="B419">
        <v>2016</v>
      </c>
      <c r="C419">
        <v>5</v>
      </c>
      <c r="D419">
        <v>23.039739447301457</v>
      </c>
    </row>
    <row r="420" spans="1:4" x14ac:dyDescent="0.3">
      <c r="A420">
        <v>2016.41666666673</v>
      </c>
      <c r="B420">
        <v>2016</v>
      </c>
      <c r="C420">
        <v>6</v>
      </c>
      <c r="D420">
        <v>19.868472871634118</v>
      </c>
    </row>
    <row r="421" spans="1:4" x14ac:dyDescent="0.3">
      <c r="A421">
        <v>2016.50000000006</v>
      </c>
      <c r="B421">
        <v>2016</v>
      </c>
      <c r="C421">
        <v>7</v>
      </c>
      <c r="D421">
        <v>19.394128013376008</v>
      </c>
    </row>
    <row r="422" spans="1:4" x14ac:dyDescent="0.3">
      <c r="A422">
        <v>2016.5833333334001</v>
      </c>
      <c r="B422">
        <v>2016</v>
      </c>
      <c r="C422">
        <v>8</v>
      </c>
      <c r="D422">
        <v>20.53177096825841</v>
      </c>
    </row>
    <row r="423" spans="1:4" x14ac:dyDescent="0.3">
      <c r="A423">
        <v>2016.66666666673</v>
      </c>
      <c r="B423">
        <v>2016</v>
      </c>
      <c r="C423">
        <v>9</v>
      </c>
      <c r="D423">
        <v>18.304410697418302</v>
      </c>
    </row>
    <row r="424" spans="1:4" x14ac:dyDescent="0.3">
      <c r="A424">
        <v>2016.75000000006</v>
      </c>
      <c r="B424">
        <v>2016</v>
      </c>
      <c r="C424">
        <v>10</v>
      </c>
      <c r="D424">
        <v>18.234955619777601</v>
      </c>
    </row>
    <row r="425" spans="1:4" x14ac:dyDescent="0.3">
      <c r="A425">
        <v>2016.8333333334001</v>
      </c>
      <c r="B425">
        <v>2016</v>
      </c>
      <c r="C425">
        <v>11</v>
      </c>
      <c r="D425">
        <v>17.78981108279007</v>
      </c>
    </row>
    <row r="426" spans="1:4" x14ac:dyDescent="0.3">
      <c r="A426">
        <v>2016.91666666673</v>
      </c>
      <c r="B426">
        <v>2016</v>
      </c>
      <c r="C426">
        <v>12</v>
      </c>
      <c r="D426">
        <v>21.784632371933974</v>
      </c>
    </row>
    <row r="427" spans="1:4" x14ac:dyDescent="0.3">
      <c r="A427">
        <v>2017.00000000006</v>
      </c>
      <c r="B427">
        <v>2017</v>
      </c>
      <c r="C427">
        <v>1</v>
      </c>
      <c r="D427">
        <v>26.743932971948773</v>
      </c>
    </row>
    <row r="428" spans="1:4" x14ac:dyDescent="0.3">
      <c r="A428">
        <v>2017.0833333334001</v>
      </c>
      <c r="B428">
        <v>2017</v>
      </c>
      <c r="C428">
        <v>2</v>
      </c>
      <c r="D428">
        <v>26.896540714349669</v>
      </c>
    </row>
    <row r="429" spans="1:4" x14ac:dyDescent="0.3">
      <c r="A429">
        <v>2017.16666666673</v>
      </c>
      <c r="B429">
        <v>2017</v>
      </c>
      <c r="C429">
        <v>3</v>
      </c>
      <c r="D429">
        <v>21.83946694786599</v>
      </c>
    </row>
    <row r="430" spans="1:4" x14ac:dyDescent="0.3">
      <c r="A430">
        <v>2017.25000000006</v>
      </c>
      <c r="B430">
        <v>2017</v>
      </c>
      <c r="C430">
        <v>4</v>
      </c>
      <c r="D430">
        <v>21.738086821232194</v>
      </c>
    </row>
    <row r="431" spans="1:4" x14ac:dyDescent="0.3">
      <c r="A431">
        <v>2017.3333333334001</v>
      </c>
      <c r="B431">
        <v>2017</v>
      </c>
      <c r="C431">
        <v>5</v>
      </c>
      <c r="D431">
        <v>15.701309268117051</v>
      </c>
    </row>
    <row r="432" spans="1:4" x14ac:dyDescent="0.3">
      <c r="A432">
        <v>2017.41666666673</v>
      </c>
      <c r="B432">
        <v>2017</v>
      </c>
      <c r="C432">
        <v>6</v>
      </c>
      <c r="D432">
        <v>17.918204085671384</v>
      </c>
    </row>
    <row r="433" spans="1:4" x14ac:dyDescent="0.3">
      <c r="A433">
        <v>2017.50000000006</v>
      </c>
      <c r="B433">
        <v>2017</v>
      </c>
      <c r="C433">
        <v>7</v>
      </c>
      <c r="D433">
        <v>17.731081774231477</v>
      </c>
    </row>
    <row r="434" spans="1:4" x14ac:dyDescent="0.3">
      <c r="A434">
        <v>2017.5833333334001</v>
      </c>
      <c r="B434">
        <v>2017</v>
      </c>
      <c r="C434">
        <v>8</v>
      </c>
      <c r="D434">
        <v>18.705582347253642</v>
      </c>
    </row>
    <row r="435" spans="1:4" x14ac:dyDescent="0.3">
      <c r="A435">
        <v>2017.66666666673</v>
      </c>
      <c r="B435">
        <v>2017</v>
      </c>
      <c r="C435">
        <v>9</v>
      </c>
      <c r="D435">
        <v>14.744991432051782</v>
      </c>
    </row>
    <row r="436" spans="1:4" x14ac:dyDescent="0.3">
      <c r="A436">
        <v>2017.75000000007</v>
      </c>
      <c r="B436">
        <v>2017</v>
      </c>
      <c r="C436">
        <v>10</v>
      </c>
      <c r="D436">
        <v>15.45158132652117</v>
      </c>
    </row>
    <row r="437" spans="1:4" x14ac:dyDescent="0.3">
      <c r="A437">
        <v>2017.8333333334001</v>
      </c>
      <c r="B437">
        <v>2017</v>
      </c>
      <c r="C437">
        <v>11</v>
      </c>
      <c r="D437">
        <v>18.369305190135357</v>
      </c>
    </row>
    <row r="438" spans="1:4" x14ac:dyDescent="0.3">
      <c r="A438">
        <v>2017.91666666673</v>
      </c>
      <c r="B438">
        <v>2017</v>
      </c>
      <c r="C438">
        <v>12</v>
      </c>
      <c r="D438">
        <v>24.200146302357172</v>
      </c>
    </row>
    <row r="439" spans="1:4" x14ac:dyDescent="0.3">
      <c r="A439">
        <v>2018.00000000007</v>
      </c>
      <c r="B439">
        <v>2018</v>
      </c>
      <c r="C439">
        <v>1</v>
      </c>
      <c r="D439">
        <v>22.734860082719987</v>
      </c>
    </row>
    <row r="440" spans="1:4" x14ac:dyDescent="0.3">
      <c r="A440">
        <v>2018.0833333334001</v>
      </c>
      <c r="B440">
        <v>2018</v>
      </c>
      <c r="C440">
        <v>2</v>
      </c>
      <c r="D440">
        <v>27.359832234267319</v>
      </c>
    </row>
    <row r="441" spans="1:4" x14ac:dyDescent="0.3">
      <c r="A441">
        <v>2018.16666666673</v>
      </c>
      <c r="B441">
        <v>2018</v>
      </c>
      <c r="C441">
        <v>3</v>
      </c>
      <c r="D441">
        <v>24.483476372859716</v>
      </c>
    </row>
    <row r="442" spans="1:4" x14ac:dyDescent="0.3">
      <c r="A442">
        <v>2018.25000000007</v>
      </c>
      <c r="B442">
        <v>2018</v>
      </c>
      <c r="C442">
        <v>4</v>
      </c>
      <c r="D442">
        <v>18.217897686311332</v>
      </c>
    </row>
    <row r="443" spans="1:4" x14ac:dyDescent="0.3">
      <c r="A443">
        <v>2018.3333333334001</v>
      </c>
      <c r="B443">
        <v>2018</v>
      </c>
      <c r="C443">
        <v>5</v>
      </c>
      <c r="D443">
        <v>15.159491882705987</v>
      </c>
    </row>
    <row r="444" spans="1:4" x14ac:dyDescent="0.3">
      <c r="A444">
        <v>2018.41666666673</v>
      </c>
      <c r="B444">
        <v>2018</v>
      </c>
      <c r="C444">
        <v>6</v>
      </c>
      <c r="D444">
        <v>18.774130815237175</v>
      </c>
    </row>
    <row r="445" spans="1:4" x14ac:dyDescent="0.3">
      <c r="A445">
        <v>2018.50000000007</v>
      </c>
      <c r="B445">
        <v>2018</v>
      </c>
      <c r="C445">
        <v>7</v>
      </c>
      <c r="D445">
        <v>17.633871934727463</v>
      </c>
    </row>
    <row r="446" spans="1:4" x14ac:dyDescent="0.3">
      <c r="A446">
        <v>2018.5833333334001</v>
      </c>
      <c r="B446">
        <v>2018</v>
      </c>
      <c r="C446">
        <v>8</v>
      </c>
      <c r="D446">
        <v>19.660029637769416</v>
      </c>
    </row>
    <row r="447" spans="1:4" x14ac:dyDescent="0.3">
      <c r="A447">
        <v>2018.66666666673</v>
      </c>
      <c r="B447">
        <v>2018</v>
      </c>
      <c r="C447">
        <v>9</v>
      </c>
      <c r="D447">
        <v>16.094808865286179</v>
      </c>
    </row>
    <row r="448" spans="1:4" x14ac:dyDescent="0.3">
      <c r="A448">
        <v>2018.75000000007</v>
      </c>
      <c r="B448">
        <v>2018</v>
      </c>
      <c r="C448">
        <v>10</v>
      </c>
      <c r="D448">
        <v>11.829356642249749</v>
      </c>
    </row>
    <row r="449" spans="1:4" x14ac:dyDescent="0.3">
      <c r="A449">
        <v>2018.8333333334001</v>
      </c>
      <c r="B449">
        <v>2018</v>
      </c>
      <c r="C449">
        <v>11</v>
      </c>
      <c r="D449">
        <v>22.064232942336105</v>
      </c>
    </row>
    <row r="450" spans="1:4" x14ac:dyDescent="0.3">
      <c r="A450">
        <v>2018.91666666673</v>
      </c>
      <c r="B450">
        <v>2018</v>
      </c>
      <c r="C450">
        <v>12</v>
      </c>
      <c r="D450">
        <v>27.460448334028115</v>
      </c>
    </row>
    <row r="451" spans="1:4" x14ac:dyDescent="0.3">
      <c r="A451">
        <v>2019.00000000007</v>
      </c>
      <c r="B451">
        <v>2019</v>
      </c>
      <c r="C451">
        <v>1</v>
      </c>
      <c r="D451">
        <v>27.493501463417481</v>
      </c>
    </row>
    <row r="452" spans="1:4" x14ac:dyDescent="0.3">
      <c r="A452">
        <v>2019.0833333334001</v>
      </c>
      <c r="B452">
        <v>2019</v>
      </c>
      <c r="C452">
        <v>2</v>
      </c>
      <c r="D452">
        <v>25.662333262197468</v>
      </c>
    </row>
    <row r="453" spans="1:4" x14ac:dyDescent="0.3">
      <c r="A453">
        <v>2019.16666666673</v>
      </c>
      <c r="B453">
        <v>2019</v>
      </c>
      <c r="C453">
        <v>3</v>
      </c>
      <c r="D453">
        <v>25.306170636761514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95C1-31D0-49FB-9C61-C64CCA1FEBF1}">
  <dimension ref="A1:M205"/>
  <sheetViews>
    <sheetView tabSelected="1" workbookViewId="0">
      <selection activeCell="E7" sqref="E7"/>
    </sheetView>
  </sheetViews>
  <sheetFormatPr baseColWidth="10" defaultRowHeight="14.4" x14ac:dyDescent="0.3"/>
  <cols>
    <col min="6" max="6" width="7.6640625" customWidth="1"/>
    <col min="8" max="8" width="8.77734375" customWidth="1"/>
    <col min="11" max="11" width="9.44140625" customWidth="1"/>
    <col min="12" max="12" width="12.77734375" customWidth="1"/>
    <col min="13" max="13" width="10.21875" customWidth="1"/>
  </cols>
  <sheetData>
    <row r="1" spans="1:13" x14ac:dyDescent="0.3">
      <c r="A1" t="s">
        <v>39</v>
      </c>
      <c r="B1" t="s">
        <v>38</v>
      </c>
      <c r="C1" t="s">
        <v>37</v>
      </c>
      <c r="D1" t="s">
        <v>36</v>
      </c>
      <c r="F1" s="19" t="s">
        <v>15</v>
      </c>
      <c r="G1" s="19"/>
      <c r="H1" s="5" t="s">
        <v>14</v>
      </c>
      <c r="J1" s="4" t="s">
        <v>13</v>
      </c>
      <c r="K1" s="4" t="s">
        <v>103</v>
      </c>
      <c r="L1" s="4" t="s">
        <v>104</v>
      </c>
      <c r="M1" s="4" t="s">
        <v>35</v>
      </c>
    </row>
    <row r="2" spans="1:13" x14ac:dyDescent="0.3">
      <c r="A2">
        <v>2001</v>
      </c>
      <c r="B2">
        <v>1</v>
      </c>
      <c r="C2" s="3">
        <v>2001</v>
      </c>
      <c r="D2">
        <v>27.6721586796581</v>
      </c>
      <c r="F2">
        <v>1</v>
      </c>
      <c r="G2" s="2">
        <f t="shared" ref="G2:G13" si="0">AVERAGEIF(B$2:B$205,F2,D$2:D$205)</f>
        <v>27.728489497753774</v>
      </c>
      <c r="H2" s="9">
        <f t="array" ref="H2">_xlfn.STDEV.S(IF(B$2:B$205=F2,D$2:D$205))</f>
        <v>0.34720122185105617</v>
      </c>
      <c r="J2">
        <v>2017</v>
      </c>
      <c r="K2" s="2">
        <f t="shared" ref="K2:K18" ca="1" si="1">AVERAGEIF(A$2:A$721,J2,D$2:D$205)</f>
        <v>29.233463165288125</v>
      </c>
      <c r="L2" s="3">
        <v>29.683</v>
      </c>
      <c r="M2" s="3">
        <v>29.965</v>
      </c>
    </row>
    <row r="3" spans="1:13" x14ac:dyDescent="0.3">
      <c r="A3">
        <v>2001</v>
      </c>
      <c r="B3">
        <v>2</v>
      </c>
      <c r="C3" s="3">
        <v>2001.0833333333101</v>
      </c>
      <c r="D3">
        <v>27.266836542013099</v>
      </c>
      <c r="F3">
        <v>2</v>
      </c>
      <c r="G3" s="2">
        <f t="shared" si="0"/>
        <v>27.427739228898886</v>
      </c>
      <c r="H3" s="9">
        <f t="array" ref="H3">_xlfn.STDEV.S(IF(B$2:B$205=F3,D$2:D$205))</f>
        <v>0.31989208140656</v>
      </c>
      <c r="J3">
        <v>2016</v>
      </c>
      <c r="K3" s="2">
        <f t="shared" ca="1" si="1"/>
        <v>29.129994911506973</v>
      </c>
      <c r="L3" s="3">
        <v>29.559000000000001</v>
      </c>
      <c r="M3" s="3">
        <v>29.559000000000001</v>
      </c>
    </row>
    <row r="4" spans="1:13" x14ac:dyDescent="0.3">
      <c r="A4">
        <v>2001</v>
      </c>
      <c r="B4">
        <v>3</v>
      </c>
      <c r="C4" s="3">
        <v>2001.1666666666399</v>
      </c>
      <c r="D4">
        <v>27.0164006149047</v>
      </c>
      <c r="F4">
        <v>3</v>
      </c>
      <c r="G4" s="2">
        <f t="shared" si="0"/>
        <v>27.290617627705057</v>
      </c>
      <c r="H4" s="9">
        <f t="array" ref="H4">_xlfn.STDEV.S(IF(B$2:B$205=F4,D$2:D$205))</f>
        <v>0.37482343369929239</v>
      </c>
      <c r="J4">
        <v>2015</v>
      </c>
      <c r="K4" s="2">
        <f t="shared" ca="1" si="1"/>
        <v>28.943719222984026</v>
      </c>
      <c r="L4" s="3">
        <v>29.777999999999999</v>
      </c>
      <c r="M4" s="3">
        <v>29.78</v>
      </c>
    </row>
    <row r="5" spans="1:13" x14ac:dyDescent="0.3">
      <c r="A5">
        <v>2001</v>
      </c>
      <c r="B5">
        <v>4</v>
      </c>
      <c r="C5" s="3">
        <v>2001.24999999997</v>
      </c>
      <c r="D5">
        <v>27.468211592732899</v>
      </c>
      <c r="F5">
        <v>4</v>
      </c>
      <c r="G5" s="2">
        <f t="shared" si="0"/>
        <v>27.90163999115774</v>
      </c>
      <c r="H5" s="9">
        <f t="array" ref="H5">_xlfn.STDEV.S(IF(B$2:B$205=F5,D$2:D$205))</f>
        <v>0.3427360850647565</v>
      </c>
      <c r="J5">
        <v>2014</v>
      </c>
      <c r="K5" s="2">
        <f t="shared" ca="1" si="1"/>
        <v>29.014452770347081</v>
      </c>
      <c r="L5" s="3">
        <v>29.565999999999999</v>
      </c>
      <c r="M5" s="3">
        <v>29.622</v>
      </c>
    </row>
    <row r="6" spans="1:13" x14ac:dyDescent="0.3">
      <c r="A6">
        <v>2001</v>
      </c>
      <c r="B6">
        <v>5</v>
      </c>
      <c r="C6" s="3">
        <v>2001.3333333333101</v>
      </c>
      <c r="D6">
        <v>28.996548530098401</v>
      </c>
      <c r="F6">
        <v>5</v>
      </c>
      <c r="G6" s="2">
        <f t="shared" si="0"/>
        <v>29.308600703385864</v>
      </c>
      <c r="H6" s="9">
        <f t="array" ref="H6">_xlfn.STDEV.S(IF(B$2:B$205=F6,D$2:D$205))</f>
        <v>0.42278680202823499</v>
      </c>
      <c r="J6">
        <v>2013</v>
      </c>
      <c r="K6" s="2">
        <f t="shared" ca="1" si="1"/>
        <v>28.982900764020865</v>
      </c>
      <c r="L6" s="3">
        <v>29.504000000000001</v>
      </c>
      <c r="M6" s="3">
        <v>29.526</v>
      </c>
    </row>
    <row r="7" spans="1:13" x14ac:dyDescent="0.3">
      <c r="A7">
        <v>2001</v>
      </c>
      <c r="B7">
        <v>6</v>
      </c>
      <c r="C7" s="3">
        <v>2001.4166666666399</v>
      </c>
      <c r="D7">
        <v>29.491659105547299</v>
      </c>
      <c r="F7">
        <v>6</v>
      </c>
      <c r="G7" s="2">
        <f t="shared" si="0"/>
        <v>29.997315020365281</v>
      </c>
      <c r="H7" s="9">
        <f t="array" ref="H7">_xlfn.STDEV.S(IF(B$2:B$205=F7,D$2:D$205))</f>
        <v>0.36328620209843232</v>
      </c>
      <c r="J7">
        <v>2012</v>
      </c>
      <c r="K7" s="2">
        <f t="shared" ca="1" si="1"/>
        <v>28.892338839064948</v>
      </c>
      <c r="L7" s="3">
        <v>29.433</v>
      </c>
      <c r="M7" s="3">
        <v>29.521999999999998</v>
      </c>
    </row>
    <row r="8" spans="1:13" x14ac:dyDescent="0.3">
      <c r="A8">
        <v>2001</v>
      </c>
      <c r="B8">
        <v>7</v>
      </c>
      <c r="C8" s="3">
        <v>2001.49999999998</v>
      </c>
      <c r="D8">
        <v>29.2572823006115</v>
      </c>
      <c r="F8">
        <v>7</v>
      </c>
      <c r="G8" s="2">
        <f t="shared" si="0"/>
        <v>30.05050080158923</v>
      </c>
      <c r="H8" s="9">
        <f t="array" ref="H8">_xlfn.STDEV.S(IF(B$2:B$205=F8,D$2:D$205))</f>
        <v>0.41288173174789256</v>
      </c>
      <c r="J8">
        <v>2011</v>
      </c>
      <c r="K8" s="2">
        <f t="shared" ca="1" si="1"/>
        <v>28.825604113005443</v>
      </c>
      <c r="L8" s="3">
        <v>29.254000000000001</v>
      </c>
      <c r="M8" s="3">
        <v>29.556000000000001</v>
      </c>
    </row>
    <row r="9" spans="1:13" x14ac:dyDescent="0.3">
      <c r="A9">
        <v>2001</v>
      </c>
      <c r="B9">
        <v>8</v>
      </c>
      <c r="C9" s="3">
        <v>2001.5833333333101</v>
      </c>
      <c r="D9">
        <v>29.6441444471075</v>
      </c>
      <c r="F9">
        <v>8</v>
      </c>
      <c r="G9" s="2">
        <f t="shared" si="0"/>
        <v>29.907056173731949</v>
      </c>
      <c r="H9" s="9">
        <f t="array" ref="H9">_xlfn.STDEV.S(IF(B$2:B$205=F9,D$2:D$205))</f>
        <v>0.37732509467561015</v>
      </c>
      <c r="J9">
        <v>2010</v>
      </c>
      <c r="K9" s="2">
        <f t="shared" ca="1" si="1"/>
        <v>29.044087647534226</v>
      </c>
      <c r="L9" s="3">
        <v>29.289000000000001</v>
      </c>
      <c r="M9" s="3">
        <v>29.622</v>
      </c>
    </row>
    <row r="10" spans="1:13" x14ac:dyDescent="0.3">
      <c r="A10">
        <v>2001</v>
      </c>
      <c r="B10">
        <v>9</v>
      </c>
      <c r="C10" s="3">
        <v>2001.6666666666399</v>
      </c>
      <c r="D10">
        <v>29.656015733976201</v>
      </c>
      <c r="F10">
        <v>9</v>
      </c>
      <c r="G10" s="2">
        <f t="shared" si="0"/>
        <v>29.960803549648851</v>
      </c>
      <c r="H10" s="9">
        <f t="array" ref="H10">_xlfn.STDEV.S(IF(B$2:B$205=F10,D$2:D$205))</f>
        <v>0.29190133796810985</v>
      </c>
      <c r="J10">
        <v>2009</v>
      </c>
      <c r="K10" s="2">
        <f t="shared" ca="1" si="1"/>
        <v>28.746090292128898</v>
      </c>
      <c r="L10" s="3">
        <v>29.312999999999999</v>
      </c>
      <c r="M10" s="3">
        <v>29.452000000000002</v>
      </c>
    </row>
    <row r="11" spans="1:13" x14ac:dyDescent="0.3">
      <c r="A11">
        <v>2001</v>
      </c>
      <c r="B11">
        <v>10</v>
      </c>
      <c r="C11" s="3">
        <v>2001.74999999998</v>
      </c>
      <c r="D11">
        <v>29.632981389718498</v>
      </c>
      <c r="F11">
        <v>10</v>
      </c>
      <c r="G11" s="2">
        <f t="shared" si="0"/>
        <v>29.595717178732098</v>
      </c>
      <c r="H11" s="9">
        <f t="array" ref="H11">_xlfn.STDEV.S(IF(B$2:B$205=F11,D$2:D$205))</f>
        <v>0.31271014144165449</v>
      </c>
      <c r="J11">
        <v>2008</v>
      </c>
      <c r="K11" s="2">
        <f t="shared" ca="1" si="1"/>
        <v>28.687753237492867</v>
      </c>
      <c r="L11" s="3">
        <v>29.161000000000001</v>
      </c>
      <c r="M11" s="3">
        <v>29.414000000000001</v>
      </c>
    </row>
    <row r="12" spans="1:13" x14ac:dyDescent="0.3">
      <c r="A12">
        <v>2001</v>
      </c>
      <c r="B12">
        <v>11</v>
      </c>
      <c r="C12" s="3">
        <v>2001.8333333333101</v>
      </c>
      <c r="D12">
        <v>28.932136155345599</v>
      </c>
      <c r="F12">
        <v>11</v>
      </c>
      <c r="G12" s="2">
        <f t="shared" si="0"/>
        <v>29.296157573829699</v>
      </c>
      <c r="H12" s="9">
        <f t="array" ref="H12">_xlfn.STDEV.S(IF(B$2:B$205=F12,D$2:D$205))</f>
        <v>0.31371049418050384</v>
      </c>
      <c r="J12">
        <v>2007</v>
      </c>
      <c r="K12" s="2">
        <f t="shared" ca="1" si="1"/>
        <v>28.792489556722568</v>
      </c>
      <c r="L12" s="3">
        <v>29.245999999999999</v>
      </c>
      <c r="M12" s="3">
        <v>29.611999999999998</v>
      </c>
    </row>
    <row r="13" spans="1:13" x14ac:dyDescent="0.3">
      <c r="A13">
        <v>2001</v>
      </c>
      <c r="B13">
        <v>12</v>
      </c>
      <c r="C13" s="3">
        <v>2001.9166666666399</v>
      </c>
      <c r="D13">
        <v>28.702787972996202</v>
      </c>
      <c r="F13">
        <v>12</v>
      </c>
      <c r="G13" s="2">
        <f t="shared" si="0"/>
        <v>28.747873637029699</v>
      </c>
      <c r="H13" s="9">
        <f t="array" ref="H13">_xlfn.STDEV.S(IF(B$2:B$205=F13,D$2:D$205))</f>
        <v>0.45879412702262162</v>
      </c>
      <c r="J13">
        <v>2006</v>
      </c>
      <c r="K13" s="2">
        <f t="shared" ca="1" si="1"/>
        <v>28.981554457238001</v>
      </c>
      <c r="L13" s="3">
        <v>29.56</v>
      </c>
      <c r="M13" s="3">
        <v>29.873999999999999</v>
      </c>
    </row>
    <row r="14" spans="1:13" x14ac:dyDescent="0.3">
      <c r="A14">
        <v>2002</v>
      </c>
      <c r="B14">
        <v>1</v>
      </c>
      <c r="C14" s="3">
        <v>2002</v>
      </c>
      <c r="D14">
        <v>28.372978654345001</v>
      </c>
      <c r="J14">
        <v>2005</v>
      </c>
      <c r="K14" s="2">
        <f t="shared" ca="1" si="1"/>
        <v>29.045670192409247</v>
      </c>
      <c r="L14" s="3">
        <v>29.337</v>
      </c>
      <c r="M14" s="3">
        <v>29.45</v>
      </c>
    </row>
    <row r="15" spans="1:13" x14ac:dyDescent="0.3">
      <c r="A15">
        <v>2002</v>
      </c>
      <c r="B15">
        <v>2</v>
      </c>
      <c r="C15" s="3">
        <v>2002.0833333333101</v>
      </c>
      <c r="D15">
        <v>27.369406590142599</v>
      </c>
      <c r="J15">
        <v>2004</v>
      </c>
      <c r="K15" s="2">
        <f t="shared" ca="1" si="1"/>
        <v>28.75249296607063</v>
      </c>
      <c r="L15" s="3">
        <v>29.245000000000001</v>
      </c>
      <c r="M15" s="3">
        <v>29.559000000000001</v>
      </c>
    </row>
    <row r="16" spans="1:13" x14ac:dyDescent="0.3">
      <c r="A16">
        <v>2002</v>
      </c>
      <c r="B16">
        <v>3</v>
      </c>
      <c r="C16" s="3">
        <v>2002.1666666666399</v>
      </c>
      <c r="D16">
        <v>27.304802843257502</v>
      </c>
      <c r="J16">
        <v>2003</v>
      </c>
      <c r="K16" s="2">
        <f t="shared" ca="1" si="1"/>
        <v>29.125436760302559</v>
      </c>
      <c r="L16" s="3">
        <v>29.492999999999999</v>
      </c>
      <c r="M16" s="3">
        <v>29.602</v>
      </c>
    </row>
    <row r="17" spans="1:12" x14ac:dyDescent="0.3">
      <c r="A17">
        <v>2002</v>
      </c>
      <c r="B17">
        <v>4</v>
      </c>
      <c r="C17" s="3">
        <v>2002.24999999998</v>
      </c>
      <c r="D17">
        <v>27.966350331940198</v>
      </c>
      <c r="J17">
        <v>2002</v>
      </c>
      <c r="K17" s="2">
        <f t="shared" ca="1" si="1"/>
        <v>29.041578075580926</v>
      </c>
      <c r="L17" s="3">
        <v>29.596</v>
      </c>
    </row>
    <row r="18" spans="1:12" x14ac:dyDescent="0.3">
      <c r="A18">
        <v>2002</v>
      </c>
      <c r="B18">
        <v>5</v>
      </c>
      <c r="C18" s="3">
        <v>2002.3333333333101</v>
      </c>
      <c r="D18">
        <v>28.449312673370699</v>
      </c>
      <c r="J18">
        <v>2001</v>
      </c>
      <c r="K18" s="2">
        <f t="shared" ca="1" si="1"/>
        <v>28.644763588725834</v>
      </c>
      <c r="L18" s="3">
        <v>29.129000000000001</v>
      </c>
    </row>
    <row r="19" spans="1:12" x14ac:dyDescent="0.3">
      <c r="A19">
        <v>2002</v>
      </c>
      <c r="B19">
        <v>6</v>
      </c>
      <c r="C19" s="3">
        <v>2002.4166666666399</v>
      </c>
      <c r="D19">
        <v>30.0458165049948</v>
      </c>
    </row>
    <row r="20" spans="1:12" x14ac:dyDescent="0.3">
      <c r="A20">
        <v>2002</v>
      </c>
      <c r="B20">
        <v>7</v>
      </c>
      <c r="C20" s="3">
        <v>2002.49999999998</v>
      </c>
      <c r="D20">
        <v>29.9286101325809</v>
      </c>
    </row>
    <row r="21" spans="1:12" x14ac:dyDescent="0.3">
      <c r="A21">
        <v>2002</v>
      </c>
      <c r="B21">
        <v>8</v>
      </c>
      <c r="C21" s="3">
        <v>2002.5833333333101</v>
      </c>
      <c r="D21">
        <v>30.067854565442801</v>
      </c>
    </row>
    <row r="22" spans="1:12" x14ac:dyDescent="0.3">
      <c r="A22">
        <v>2002</v>
      </c>
      <c r="B22">
        <v>9</v>
      </c>
      <c r="C22" s="3">
        <v>2002.6666666666399</v>
      </c>
      <c r="D22">
        <v>30.278739661706801</v>
      </c>
    </row>
    <row r="23" spans="1:12" x14ac:dyDescent="0.3">
      <c r="A23">
        <v>2002</v>
      </c>
      <c r="B23">
        <v>10</v>
      </c>
      <c r="C23" s="3">
        <v>2002.74999999998</v>
      </c>
      <c r="D23">
        <v>30.285128813275499</v>
      </c>
    </row>
    <row r="24" spans="1:12" x14ac:dyDescent="0.3">
      <c r="A24">
        <v>2002</v>
      </c>
      <c r="B24">
        <v>11</v>
      </c>
      <c r="C24" s="3">
        <v>2002.8333333333101</v>
      </c>
      <c r="D24">
        <v>29.6185084985622</v>
      </c>
    </row>
    <row r="25" spans="1:12" x14ac:dyDescent="0.3">
      <c r="A25">
        <v>2002</v>
      </c>
      <c r="B25">
        <v>12</v>
      </c>
      <c r="C25" s="3">
        <v>2002.9166666666399</v>
      </c>
      <c r="D25">
        <v>28.8114276373521</v>
      </c>
    </row>
    <row r="26" spans="1:12" x14ac:dyDescent="0.3">
      <c r="A26">
        <v>2003</v>
      </c>
      <c r="B26">
        <v>1</v>
      </c>
      <c r="C26" s="3">
        <v>2003</v>
      </c>
      <c r="D26">
        <v>27.8908823313486</v>
      </c>
    </row>
    <row r="27" spans="1:12" x14ac:dyDescent="0.3">
      <c r="A27">
        <v>2003</v>
      </c>
      <c r="B27">
        <v>2</v>
      </c>
      <c r="C27" s="3">
        <v>2003.0833333333101</v>
      </c>
      <c r="D27">
        <v>27.770690542994998</v>
      </c>
    </row>
    <row r="28" spans="1:12" x14ac:dyDescent="0.3">
      <c r="A28">
        <v>2003</v>
      </c>
      <c r="B28">
        <v>3</v>
      </c>
      <c r="C28" s="3">
        <v>2003.1666666666499</v>
      </c>
      <c r="D28">
        <v>28.0474273407523</v>
      </c>
    </row>
    <row r="29" spans="1:12" x14ac:dyDescent="0.3">
      <c r="A29">
        <v>2003</v>
      </c>
      <c r="B29">
        <v>4</v>
      </c>
      <c r="C29" s="3">
        <v>2003.24999999998</v>
      </c>
      <c r="D29">
        <v>28.420514886796099</v>
      </c>
    </row>
    <row r="30" spans="1:12" x14ac:dyDescent="0.3">
      <c r="A30">
        <v>2003</v>
      </c>
      <c r="B30">
        <v>5</v>
      </c>
      <c r="C30" s="3">
        <v>2003.3333333333101</v>
      </c>
      <c r="D30">
        <v>29.7439511533351</v>
      </c>
    </row>
    <row r="31" spans="1:12" x14ac:dyDescent="0.3">
      <c r="A31">
        <v>2003</v>
      </c>
      <c r="B31">
        <v>6</v>
      </c>
      <c r="C31" s="3">
        <v>2003.4166666666499</v>
      </c>
      <c r="D31">
        <v>29.6372204698175</v>
      </c>
    </row>
    <row r="32" spans="1:12" x14ac:dyDescent="0.3">
      <c r="A32">
        <v>2003</v>
      </c>
      <c r="B32">
        <v>7</v>
      </c>
      <c r="C32" s="3">
        <v>2003.49999999998</v>
      </c>
      <c r="D32">
        <v>29.747964188312999</v>
      </c>
    </row>
    <row r="33" spans="1:4" x14ac:dyDescent="0.3">
      <c r="A33">
        <v>2003</v>
      </c>
      <c r="B33">
        <v>8</v>
      </c>
      <c r="C33" s="3">
        <v>2003.5833333333101</v>
      </c>
      <c r="D33">
        <v>29.906191165251801</v>
      </c>
    </row>
    <row r="34" spans="1:4" x14ac:dyDescent="0.3">
      <c r="A34">
        <v>2003</v>
      </c>
      <c r="B34">
        <v>9</v>
      </c>
      <c r="C34" s="3">
        <v>2003.6666666666499</v>
      </c>
      <c r="D34">
        <v>30.3967277984625</v>
      </c>
    </row>
    <row r="35" spans="1:4" x14ac:dyDescent="0.3">
      <c r="A35">
        <v>2003</v>
      </c>
      <c r="B35">
        <v>10</v>
      </c>
      <c r="C35" s="3">
        <v>2003.74999999998</v>
      </c>
      <c r="D35">
        <v>29.538294862179999</v>
      </c>
    </row>
    <row r="36" spans="1:4" x14ac:dyDescent="0.3">
      <c r="A36">
        <v>2003</v>
      </c>
      <c r="B36">
        <v>11</v>
      </c>
      <c r="C36" s="3">
        <v>2003.8333333333101</v>
      </c>
      <c r="D36">
        <v>29.866645083667802</v>
      </c>
    </row>
    <row r="37" spans="1:4" x14ac:dyDescent="0.3">
      <c r="A37">
        <v>2003</v>
      </c>
      <c r="B37">
        <v>12</v>
      </c>
      <c r="C37" s="3">
        <v>2003.9166666666499</v>
      </c>
      <c r="D37">
        <v>28.538731300711</v>
      </c>
    </row>
    <row r="38" spans="1:4" x14ac:dyDescent="0.3">
      <c r="A38">
        <v>2004</v>
      </c>
      <c r="B38">
        <v>1</v>
      </c>
      <c r="C38" s="3">
        <v>2004</v>
      </c>
      <c r="D38">
        <v>27.5339328777257</v>
      </c>
    </row>
    <row r="39" spans="1:4" x14ac:dyDescent="0.3">
      <c r="A39">
        <v>2004</v>
      </c>
      <c r="B39">
        <v>2</v>
      </c>
      <c r="C39" s="3">
        <v>2004.0833333333101</v>
      </c>
      <c r="D39">
        <v>27.658044134358999</v>
      </c>
    </row>
    <row r="40" spans="1:4" x14ac:dyDescent="0.3">
      <c r="A40">
        <v>2004</v>
      </c>
      <c r="B40">
        <v>3</v>
      </c>
      <c r="C40" s="3">
        <v>2004.1666666666499</v>
      </c>
      <c r="D40">
        <v>27.055006649782602</v>
      </c>
    </row>
    <row r="41" spans="1:4" x14ac:dyDescent="0.3">
      <c r="A41">
        <v>2004</v>
      </c>
      <c r="B41">
        <v>4</v>
      </c>
      <c r="C41" s="3">
        <v>2004.24999999998</v>
      </c>
      <c r="D41">
        <v>27.919245351022902</v>
      </c>
    </row>
    <row r="42" spans="1:4" x14ac:dyDescent="0.3">
      <c r="A42">
        <v>2004</v>
      </c>
      <c r="B42">
        <v>5</v>
      </c>
      <c r="C42" s="3">
        <v>2004.3333333333101</v>
      </c>
      <c r="D42">
        <v>29.486568446949899</v>
      </c>
    </row>
    <row r="43" spans="1:4" x14ac:dyDescent="0.3">
      <c r="A43">
        <v>2004</v>
      </c>
      <c r="B43">
        <v>6</v>
      </c>
      <c r="C43" s="3">
        <v>2004.4166666666499</v>
      </c>
      <c r="D43">
        <v>29.836932454415699</v>
      </c>
    </row>
    <row r="44" spans="1:4" x14ac:dyDescent="0.3">
      <c r="A44">
        <v>2004</v>
      </c>
      <c r="B44">
        <v>7</v>
      </c>
      <c r="C44" s="3">
        <v>2004.49999999998</v>
      </c>
      <c r="D44">
        <v>29.8361236719348</v>
      </c>
    </row>
    <row r="45" spans="1:4" x14ac:dyDescent="0.3">
      <c r="A45">
        <v>2004</v>
      </c>
      <c r="B45">
        <v>8</v>
      </c>
      <c r="C45" s="3">
        <v>2004.5833333333101</v>
      </c>
      <c r="D45">
        <v>29.612716532918299</v>
      </c>
    </row>
    <row r="46" spans="1:4" x14ac:dyDescent="0.3">
      <c r="A46">
        <v>2004</v>
      </c>
      <c r="B46">
        <v>9</v>
      </c>
      <c r="C46" s="3">
        <v>2004.6666666666499</v>
      </c>
      <c r="D46">
        <v>29.3869604478746</v>
      </c>
    </row>
    <row r="47" spans="1:4" x14ac:dyDescent="0.3">
      <c r="A47">
        <v>2004</v>
      </c>
      <c r="B47">
        <v>10</v>
      </c>
      <c r="C47" s="3">
        <v>2004.74999999998</v>
      </c>
      <c r="D47">
        <v>29.7361429365329</v>
      </c>
    </row>
    <row r="48" spans="1:4" x14ac:dyDescent="0.3">
      <c r="A48">
        <v>2004</v>
      </c>
      <c r="B48">
        <v>11</v>
      </c>
      <c r="C48" s="3">
        <v>2004.8333333333101</v>
      </c>
      <c r="D48">
        <v>29.002451660299901</v>
      </c>
    </row>
    <row r="49" spans="1:4" x14ac:dyDescent="0.3">
      <c r="A49">
        <v>2004</v>
      </c>
      <c r="B49">
        <v>12</v>
      </c>
      <c r="C49" s="3">
        <v>2004.9166666666499</v>
      </c>
      <c r="D49">
        <v>27.965790429031198</v>
      </c>
    </row>
    <row r="50" spans="1:4" x14ac:dyDescent="0.3">
      <c r="A50">
        <v>2005</v>
      </c>
      <c r="B50">
        <v>1</v>
      </c>
      <c r="C50" s="3">
        <v>2005</v>
      </c>
      <c r="D50">
        <v>27.2598663455828</v>
      </c>
    </row>
    <row r="51" spans="1:4" x14ac:dyDescent="0.3">
      <c r="A51">
        <v>2005</v>
      </c>
      <c r="B51">
        <v>2</v>
      </c>
      <c r="C51" s="3">
        <v>2005.0833333333201</v>
      </c>
      <c r="D51">
        <v>26.5386746667238</v>
      </c>
    </row>
    <row r="52" spans="1:4" x14ac:dyDescent="0.3">
      <c r="A52">
        <v>2005</v>
      </c>
      <c r="B52">
        <v>3</v>
      </c>
      <c r="C52" s="3">
        <v>2005.1666666666499</v>
      </c>
      <c r="D52">
        <v>27.606402342901799</v>
      </c>
    </row>
    <row r="53" spans="1:4" x14ac:dyDescent="0.3">
      <c r="A53">
        <v>2005</v>
      </c>
      <c r="B53">
        <v>4</v>
      </c>
      <c r="C53" s="3">
        <v>2005.24999999998</v>
      </c>
      <c r="D53">
        <v>28.548267448196501</v>
      </c>
    </row>
    <row r="54" spans="1:4" x14ac:dyDescent="0.3">
      <c r="A54">
        <v>2005</v>
      </c>
      <c r="B54">
        <v>5</v>
      </c>
      <c r="C54" s="3">
        <v>2005.3333333333201</v>
      </c>
      <c r="D54">
        <v>29.669741871845801</v>
      </c>
    </row>
    <row r="55" spans="1:4" x14ac:dyDescent="0.3">
      <c r="A55">
        <v>2005</v>
      </c>
      <c r="B55">
        <v>6</v>
      </c>
      <c r="C55" s="3">
        <v>2005.4166666666499</v>
      </c>
      <c r="D55">
        <v>30.5073857117244</v>
      </c>
    </row>
    <row r="56" spans="1:4" x14ac:dyDescent="0.3">
      <c r="A56">
        <v>2005</v>
      </c>
      <c r="B56">
        <v>7</v>
      </c>
      <c r="C56" s="3">
        <v>2005.49999999998</v>
      </c>
      <c r="D56">
        <v>30.8789286381812</v>
      </c>
    </row>
    <row r="57" spans="1:4" x14ac:dyDescent="0.3">
      <c r="A57">
        <v>2005</v>
      </c>
      <c r="B57">
        <v>8</v>
      </c>
      <c r="C57" s="3">
        <v>2005.5833333333201</v>
      </c>
      <c r="D57">
        <v>30.5095972566324</v>
      </c>
    </row>
    <row r="58" spans="1:4" x14ac:dyDescent="0.3">
      <c r="A58">
        <v>2005</v>
      </c>
      <c r="B58">
        <v>9</v>
      </c>
      <c r="C58" s="3">
        <v>2005.6666666666499</v>
      </c>
      <c r="D58">
        <v>29.879862712351098</v>
      </c>
    </row>
    <row r="59" spans="1:4" x14ac:dyDescent="0.3">
      <c r="A59">
        <v>2005</v>
      </c>
      <c r="B59">
        <v>10</v>
      </c>
      <c r="C59" s="3">
        <v>2005.74999999998</v>
      </c>
      <c r="D59">
        <v>29.161441457982701</v>
      </c>
    </row>
    <row r="60" spans="1:4" x14ac:dyDescent="0.3">
      <c r="A60">
        <v>2005</v>
      </c>
      <c r="B60">
        <v>11</v>
      </c>
      <c r="C60" s="3">
        <v>2005.8333333333201</v>
      </c>
      <c r="D60">
        <v>28.955182384110302</v>
      </c>
    </row>
    <row r="61" spans="1:4" x14ac:dyDescent="0.3">
      <c r="A61">
        <v>2005</v>
      </c>
      <c r="B61">
        <v>12</v>
      </c>
      <c r="C61" s="3">
        <v>2005.9166666666499</v>
      </c>
      <c r="D61">
        <v>29.032691472678199</v>
      </c>
    </row>
    <row r="62" spans="1:4" x14ac:dyDescent="0.3">
      <c r="A62">
        <v>2006</v>
      </c>
      <c r="B62">
        <v>1</v>
      </c>
      <c r="C62" s="3">
        <v>2006</v>
      </c>
      <c r="D62">
        <v>28.001500518315002</v>
      </c>
    </row>
    <row r="63" spans="1:4" x14ac:dyDescent="0.3">
      <c r="A63">
        <v>2006</v>
      </c>
      <c r="B63">
        <v>2</v>
      </c>
      <c r="C63" s="3">
        <v>2006.0833333333201</v>
      </c>
      <c r="D63">
        <v>27.289392488716398</v>
      </c>
    </row>
    <row r="64" spans="1:4" x14ac:dyDescent="0.3">
      <c r="A64">
        <v>2006</v>
      </c>
      <c r="B64">
        <v>3</v>
      </c>
      <c r="C64" s="3">
        <v>2006.1666666666499</v>
      </c>
      <c r="D64">
        <v>27.0941262786233</v>
      </c>
    </row>
    <row r="65" spans="1:4" x14ac:dyDescent="0.3">
      <c r="A65">
        <v>2006</v>
      </c>
      <c r="B65">
        <v>4</v>
      </c>
      <c r="C65" s="3">
        <v>2006.24999999998</v>
      </c>
      <c r="D65">
        <v>27.734311863800901</v>
      </c>
    </row>
    <row r="66" spans="1:4" x14ac:dyDescent="0.3">
      <c r="A66">
        <v>2006</v>
      </c>
      <c r="B66">
        <v>5</v>
      </c>
      <c r="C66" s="3">
        <v>2006.3333333333201</v>
      </c>
      <c r="D66">
        <v>29.375347518712299</v>
      </c>
    </row>
    <row r="67" spans="1:4" x14ac:dyDescent="0.3">
      <c r="A67">
        <v>2006</v>
      </c>
      <c r="B67">
        <v>6</v>
      </c>
      <c r="C67" s="3">
        <v>2006.4166666666499</v>
      </c>
      <c r="D67">
        <v>30.224654727408499</v>
      </c>
    </row>
    <row r="68" spans="1:4" x14ac:dyDescent="0.3">
      <c r="A68">
        <v>2006</v>
      </c>
      <c r="B68">
        <v>7</v>
      </c>
      <c r="C68" s="3">
        <v>2006.49999999998</v>
      </c>
      <c r="D68">
        <v>30.299878204991099</v>
      </c>
    </row>
    <row r="69" spans="1:4" x14ac:dyDescent="0.3">
      <c r="A69">
        <v>2006</v>
      </c>
      <c r="B69">
        <v>8</v>
      </c>
      <c r="C69" s="3">
        <v>2006.5833333333201</v>
      </c>
      <c r="D69">
        <v>29.997100016052499</v>
      </c>
    </row>
    <row r="70" spans="1:4" x14ac:dyDescent="0.3">
      <c r="A70">
        <v>2006</v>
      </c>
      <c r="B70">
        <v>9</v>
      </c>
      <c r="C70" s="3">
        <v>2006.6666666666499</v>
      </c>
      <c r="D70">
        <v>29.816798138230499</v>
      </c>
    </row>
    <row r="71" spans="1:4" x14ac:dyDescent="0.3">
      <c r="A71">
        <v>2006</v>
      </c>
      <c r="B71">
        <v>10</v>
      </c>
      <c r="C71" s="3">
        <v>2006.74999999998</v>
      </c>
      <c r="D71">
        <v>29.602638896141201</v>
      </c>
    </row>
    <row r="72" spans="1:4" x14ac:dyDescent="0.3">
      <c r="A72">
        <v>2006</v>
      </c>
      <c r="B72">
        <v>11</v>
      </c>
      <c r="C72" s="3">
        <v>2006.8333333333201</v>
      </c>
      <c r="D72">
        <v>29.4677382950164</v>
      </c>
    </row>
    <row r="73" spans="1:4" x14ac:dyDescent="0.3">
      <c r="A73">
        <v>2006</v>
      </c>
      <c r="B73">
        <v>12</v>
      </c>
      <c r="C73" s="3">
        <v>2006.9166666666499</v>
      </c>
      <c r="D73">
        <v>28.8751665408479</v>
      </c>
    </row>
    <row r="74" spans="1:4" x14ac:dyDescent="0.3">
      <c r="A74">
        <v>2007</v>
      </c>
      <c r="B74">
        <v>1</v>
      </c>
      <c r="C74" s="3">
        <v>2007</v>
      </c>
      <c r="D74">
        <v>27.389019776288801</v>
      </c>
    </row>
    <row r="75" spans="1:4" x14ac:dyDescent="0.3">
      <c r="A75">
        <v>2007</v>
      </c>
      <c r="B75">
        <v>2</v>
      </c>
      <c r="C75" s="3">
        <v>2007.0833333333201</v>
      </c>
      <c r="D75">
        <v>27.570564245238302</v>
      </c>
    </row>
    <row r="76" spans="1:4" x14ac:dyDescent="0.3">
      <c r="A76">
        <v>2007</v>
      </c>
      <c r="B76">
        <v>3</v>
      </c>
      <c r="C76" s="3">
        <v>2007.1666666666499</v>
      </c>
      <c r="D76">
        <v>27.080328154033499</v>
      </c>
    </row>
    <row r="77" spans="1:4" x14ac:dyDescent="0.3">
      <c r="A77">
        <v>2007</v>
      </c>
      <c r="B77">
        <v>4</v>
      </c>
      <c r="C77" s="3">
        <v>2007.24999999999</v>
      </c>
      <c r="D77">
        <v>28.0042676433163</v>
      </c>
    </row>
    <row r="78" spans="1:4" x14ac:dyDescent="0.3">
      <c r="A78">
        <v>2007</v>
      </c>
      <c r="B78">
        <v>5</v>
      </c>
      <c r="C78" s="3">
        <v>2007.3333333333201</v>
      </c>
      <c r="D78">
        <v>29.003848257747599</v>
      </c>
    </row>
    <row r="79" spans="1:4" x14ac:dyDescent="0.3">
      <c r="A79">
        <v>2007</v>
      </c>
      <c r="B79">
        <v>6</v>
      </c>
      <c r="C79" s="3">
        <v>2007.4166666666499</v>
      </c>
      <c r="D79">
        <v>29.817553554166398</v>
      </c>
    </row>
    <row r="80" spans="1:4" x14ac:dyDescent="0.3">
      <c r="A80">
        <v>2007</v>
      </c>
      <c r="B80">
        <v>7</v>
      </c>
      <c r="C80" s="3">
        <v>2007.49999999999</v>
      </c>
      <c r="D80">
        <v>30.641067472145899</v>
      </c>
    </row>
    <row r="81" spans="1:4" x14ac:dyDescent="0.3">
      <c r="A81">
        <v>2007</v>
      </c>
      <c r="B81">
        <v>8</v>
      </c>
      <c r="C81" s="3">
        <v>2007.5833333333201</v>
      </c>
      <c r="D81">
        <v>29.696378472264001</v>
      </c>
    </row>
    <row r="82" spans="1:4" x14ac:dyDescent="0.3">
      <c r="A82">
        <v>2007</v>
      </c>
      <c r="B82">
        <v>9</v>
      </c>
      <c r="C82" s="3">
        <v>2007.6666666666499</v>
      </c>
      <c r="D82">
        <v>29.773190264967901</v>
      </c>
    </row>
    <row r="83" spans="1:4" x14ac:dyDescent="0.3">
      <c r="A83">
        <v>2007</v>
      </c>
      <c r="B83">
        <v>10</v>
      </c>
      <c r="C83" s="3">
        <v>2007.74999999999</v>
      </c>
      <c r="D83">
        <v>29.239602137985301</v>
      </c>
    </row>
    <row r="84" spans="1:4" x14ac:dyDescent="0.3">
      <c r="A84">
        <v>2007</v>
      </c>
      <c r="B84">
        <v>11</v>
      </c>
      <c r="C84" s="3">
        <v>2007.8333333333201</v>
      </c>
      <c r="D84">
        <v>28.811139753892</v>
      </c>
    </row>
    <row r="85" spans="1:4" x14ac:dyDescent="0.3">
      <c r="A85">
        <v>2007</v>
      </c>
      <c r="B85">
        <v>12</v>
      </c>
      <c r="C85" s="3">
        <v>2007.9166666666499</v>
      </c>
      <c r="D85">
        <v>28.482914948624799</v>
      </c>
    </row>
    <row r="86" spans="1:4" x14ac:dyDescent="0.3">
      <c r="A86">
        <v>2008</v>
      </c>
      <c r="B86">
        <v>1</v>
      </c>
      <c r="C86" s="3">
        <v>2008</v>
      </c>
      <c r="D86">
        <v>27.483233493746599</v>
      </c>
    </row>
    <row r="87" spans="1:4" x14ac:dyDescent="0.3">
      <c r="A87">
        <v>2008</v>
      </c>
      <c r="B87">
        <v>2</v>
      </c>
      <c r="C87" s="3">
        <v>2008.0833333333201</v>
      </c>
      <c r="D87">
        <v>27.461929901729899</v>
      </c>
    </row>
    <row r="88" spans="1:4" x14ac:dyDescent="0.3">
      <c r="A88">
        <v>2008</v>
      </c>
      <c r="B88">
        <v>3</v>
      </c>
      <c r="C88" s="3">
        <v>2008.1666666666499</v>
      </c>
      <c r="D88">
        <v>27.832175095765098</v>
      </c>
    </row>
    <row r="89" spans="1:4" x14ac:dyDescent="0.3">
      <c r="A89">
        <v>2008</v>
      </c>
      <c r="B89">
        <v>4</v>
      </c>
      <c r="C89" s="3">
        <v>2008.24999999999</v>
      </c>
      <c r="D89">
        <v>27.576762979720201</v>
      </c>
    </row>
    <row r="90" spans="1:4" x14ac:dyDescent="0.3">
      <c r="A90">
        <v>2008</v>
      </c>
      <c r="B90">
        <v>5</v>
      </c>
      <c r="C90" s="3">
        <v>2008.3333333333201</v>
      </c>
      <c r="D90">
        <v>28.755112396020099</v>
      </c>
    </row>
    <row r="91" spans="1:4" x14ac:dyDescent="0.3">
      <c r="A91">
        <v>2008</v>
      </c>
      <c r="B91">
        <v>6</v>
      </c>
      <c r="C91" s="3">
        <v>2008.4166666666499</v>
      </c>
      <c r="D91">
        <v>29.614361585369899</v>
      </c>
    </row>
    <row r="92" spans="1:4" x14ac:dyDescent="0.3">
      <c r="A92">
        <v>2008</v>
      </c>
      <c r="B92">
        <v>7</v>
      </c>
      <c r="C92" s="3">
        <v>2008.49999999999</v>
      </c>
      <c r="D92">
        <v>30.193407524553798</v>
      </c>
    </row>
    <row r="93" spans="1:4" x14ac:dyDescent="0.3">
      <c r="A93">
        <v>2008</v>
      </c>
      <c r="B93">
        <v>8</v>
      </c>
      <c r="C93" s="3">
        <v>2008.5833333333201</v>
      </c>
      <c r="D93">
        <v>29.335851028353201</v>
      </c>
    </row>
    <row r="94" spans="1:4" x14ac:dyDescent="0.3">
      <c r="A94">
        <v>2008</v>
      </c>
      <c r="B94">
        <v>9</v>
      </c>
      <c r="C94" s="3">
        <v>2008.6666666666599</v>
      </c>
      <c r="D94">
        <v>29.6883078575414</v>
      </c>
    </row>
    <row r="95" spans="1:4" x14ac:dyDescent="0.3">
      <c r="A95">
        <v>2008</v>
      </c>
      <c r="B95">
        <v>10</v>
      </c>
      <c r="C95" s="3">
        <v>2008.74999999999</v>
      </c>
      <c r="D95">
        <v>29.472274255409602</v>
      </c>
    </row>
    <row r="96" spans="1:4" x14ac:dyDescent="0.3">
      <c r="A96">
        <v>2008</v>
      </c>
      <c r="B96">
        <v>11</v>
      </c>
      <c r="C96" s="3">
        <v>2008.8333333333201</v>
      </c>
      <c r="D96">
        <v>28.8320291631522</v>
      </c>
    </row>
    <row r="97" spans="1:4" x14ac:dyDescent="0.3">
      <c r="A97">
        <v>2008</v>
      </c>
      <c r="B97">
        <v>12</v>
      </c>
      <c r="C97" s="3">
        <v>2008.9166666666599</v>
      </c>
      <c r="D97">
        <v>28.007593568552402</v>
      </c>
    </row>
    <row r="98" spans="1:4" x14ac:dyDescent="0.3">
      <c r="A98">
        <v>2009</v>
      </c>
      <c r="B98">
        <v>1</v>
      </c>
      <c r="C98" s="3">
        <v>2009</v>
      </c>
      <c r="D98">
        <v>27.438351998094301</v>
      </c>
    </row>
    <row r="99" spans="1:4" x14ac:dyDescent="0.3">
      <c r="A99">
        <v>2009</v>
      </c>
      <c r="B99">
        <v>2</v>
      </c>
      <c r="C99" s="3">
        <v>2009.0833333333201</v>
      </c>
      <c r="D99">
        <v>27.130515379625599</v>
      </c>
    </row>
    <row r="100" spans="1:4" x14ac:dyDescent="0.3">
      <c r="A100">
        <v>2009</v>
      </c>
      <c r="B100">
        <v>3</v>
      </c>
      <c r="C100" s="3">
        <v>2009.1666666666599</v>
      </c>
      <c r="D100">
        <v>26.649075465444302</v>
      </c>
    </row>
    <row r="101" spans="1:4" x14ac:dyDescent="0.3">
      <c r="A101">
        <v>2009</v>
      </c>
      <c r="B101">
        <v>4</v>
      </c>
      <c r="C101" s="3">
        <v>2009.24999999999</v>
      </c>
      <c r="D101">
        <v>27.710709755291202</v>
      </c>
    </row>
    <row r="102" spans="1:4" x14ac:dyDescent="0.3">
      <c r="A102">
        <v>2009</v>
      </c>
      <c r="B102">
        <v>5</v>
      </c>
      <c r="C102" s="3">
        <v>2009.3333333333201</v>
      </c>
      <c r="D102">
        <v>29.2407872263408</v>
      </c>
    </row>
    <row r="103" spans="1:4" x14ac:dyDescent="0.3">
      <c r="A103">
        <v>2009</v>
      </c>
      <c r="B103">
        <v>6</v>
      </c>
      <c r="C103" s="3">
        <v>2009.4166666666599</v>
      </c>
      <c r="D103">
        <v>29.615779059010301</v>
      </c>
    </row>
    <row r="104" spans="1:4" x14ac:dyDescent="0.3">
      <c r="A104">
        <v>2009</v>
      </c>
      <c r="B104">
        <v>7</v>
      </c>
      <c r="C104" s="3">
        <v>2009.49999999999</v>
      </c>
      <c r="D104">
        <v>29.6727595932654</v>
      </c>
    </row>
    <row r="105" spans="1:4" x14ac:dyDescent="0.3">
      <c r="A105">
        <v>2009</v>
      </c>
      <c r="B105">
        <v>8</v>
      </c>
      <c r="C105" s="3">
        <v>2009.5833333333201</v>
      </c>
      <c r="D105">
        <v>29.4322519069874</v>
      </c>
    </row>
    <row r="106" spans="1:4" x14ac:dyDescent="0.3">
      <c r="A106">
        <v>2009</v>
      </c>
      <c r="B106">
        <v>9</v>
      </c>
      <c r="C106" s="3">
        <v>2009.6666666666599</v>
      </c>
      <c r="D106">
        <v>29.901402318787799</v>
      </c>
    </row>
    <row r="107" spans="1:4" x14ac:dyDescent="0.3">
      <c r="A107">
        <v>2009</v>
      </c>
      <c r="B107">
        <v>10</v>
      </c>
      <c r="C107" s="3">
        <v>2009.74999999999</v>
      </c>
      <c r="D107">
        <v>29.6910849844182</v>
      </c>
    </row>
    <row r="108" spans="1:4" x14ac:dyDescent="0.3">
      <c r="A108">
        <v>2009</v>
      </c>
      <c r="B108">
        <v>11</v>
      </c>
      <c r="C108" s="3">
        <v>2009.8333333333201</v>
      </c>
      <c r="D108">
        <v>29.467158056080301</v>
      </c>
    </row>
    <row r="109" spans="1:4" x14ac:dyDescent="0.3">
      <c r="A109">
        <v>2009</v>
      </c>
      <c r="B109">
        <v>12</v>
      </c>
      <c r="C109" s="3">
        <v>2009.9166666666599</v>
      </c>
      <c r="D109">
        <v>29.0032077622012</v>
      </c>
    </row>
    <row r="110" spans="1:4" x14ac:dyDescent="0.3">
      <c r="A110">
        <v>2010</v>
      </c>
      <c r="B110">
        <v>1</v>
      </c>
      <c r="C110" s="3">
        <v>2010</v>
      </c>
      <c r="D110">
        <v>27.9558841416288</v>
      </c>
    </row>
    <row r="111" spans="1:4" x14ac:dyDescent="0.3">
      <c r="A111">
        <v>2010</v>
      </c>
      <c r="B111">
        <v>2</v>
      </c>
      <c r="C111" s="3">
        <v>2010.0833333333201</v>
      </c>
      <c r="D111">
        <v>27.378130783236902</v>
      </c>
    </row>
    <row r="112" spans="1:4" x14ac:dyDescent="0.3">
      <c r="A112">
        <v>2010</v>
      </c>
      <c r="B112">
        <v>3</v>
      </c>
      <c r="C112" s="3">
        <v>2010.1666666666599</v>
      </c>
      <c r="D112">
        <v>27.8655505939312</v>
      </c>
    </row>
    <row r="113" spans="1:4" x14ac:dyDescent="0.3">
      <c r="A113">
        <v>2010</v>
      </c>
      <c r="B113">
        <v>4</v>
      </c>
      <c r="C113" s="3">
        <v>2010.24999999999</v>
      </c>
      <c r="D113">
        <v>28.540068457210101</v>
      </c>
    </row>
    <row r="114" spans="1:4" x14ac:dyDescent="0.3">
      <c r="A114">
        <v>2010</v>
      </c>
      <c r="B114">
        <v>5</v>
      </c>
      <c r="C114" s="3">
        <v>2010.3333333333201</v>
      </c>
      <c r="D114">
        <v>29.168379195418201</v>
      </c>
    </row>
    <row r="115" spans="1:4" x14ac:dyDescent="0.3">
      <c r="A115">
        <v>2010</v>
      </c>
      <c r="B115">
        <v>6</v>
      </c>
      <c r="C115" s="3">
        <v>2010.4166666666599</v>
      </c>
      <c r="D115">
        <v>30.066990525942099</v>
      </c>
    </row>
    <row r="116" spans="1:4" x14ac:dyDescent="0.3">
      <c r="A116">
        <v>2010</v>
      </c>
      <c r="B116">
        <v>7</v>
      </c>
      <c r="C116" s="3">
        <v>2010.49999999999</v>
      </c>
      <c r="D116">
        <v>30.4315071477915</v>
      </c>
    </row>
    <row r="117" spans="1:4" x14ac:dyDescent="0.3">
      <c r="A117">
        <v>2010</v>
      </c>
      <c r="B117">
        <v>8</v>
      </c>
      <c r="C117" s="3">
        <v>2010.5833333333301</v>
      </c>
      <c r="D117">
        <v>30.839607593870099</v>
      </c>
    </row>
    <row r="118" spans="1:4" x14ac:dyDescent="0.3">
      <c r="A118">
        <v>2010</v>
      </c>
      <c r="B118">
        <v>9</v>
      </c>
      <c r="C118" s="3">
        <v>2010.6666666666599</v>
      </c>
      <c r="D118">
        <v>29.671185203978499</v>
      </c>
    </row>
    <row r="119" spans="1:4" x14ac:dyDescent="0.3">
      <c r="A119">
        <v>2010</v>
      </c>
      <c r="B119">
        <v>10</v>
      </c>
      <c r="C119" s="3">
        <v>2010.74999999999</v>
      </c>
      <c r="D119">
        <v>29.423518125438399</v>
      </c>
    </row>
    <row r="120" spans="1:4" x14ac:dyDescent="0.3">
      <c r="A120">
        <v>2010</v>
      </c>
      <c r="B120">
        <v>11</v>
      </c>
      <c r="C120" s="3">
        <v>2010.8333333333301</v>
      </c>
      <c r="D120">
        <v>29.044062019764802</v>
      </c>
    </row>
    <row r="121" spans="1:4" x14ac:dyDescent="0.3">
      <c r="A121">
        <v>2010</v>
      </c>
      <c r="B121">
        <v>12</v>
      </c>
      <c r="C121" s="3">
        <v>2010.9166666666599</v>
      </c>
      <c r="D121">
        <v>28.144167982200099</v>
      </c>
    </row>
    <row r="122" spans="1:4" x14ac:dyDescent="0.3">
      <c r="A122">
        <v>2011</v>
      </c>
      <c r="B122">
        <v>1</v>
      </c>
      <c r="C122" s="3">
        <v>2011</v>
      </c>
      <c r="D122">
        <v>27.683809033161101</v>
      </c>
    </row>
    <row r="123" spans="1:4" x14ac:dyDescent="0.3">
      <c r="A123">
        <v>2011</v>
      </c>
      <c r="B123">
        <v>2</v>
      </c>
      <c r="C123" s="3">
        <v>2011.0833333333301</v>
      </c>
      <c r="D123">
        <v>27.628027793452102</v>
      </c>
    </row>
    <row r="124" spans="1:4" x14ac:dyDescent="0.3">
      <c r="A124">
        <v>2011</v>
      </c>
      <c r="B124">
        <v>3</v>
      </c>
      <c r="C124" s="3">
        <v>2011.1666666666599</v>
      </c>
      <c r="D124">
        <v>27.045530784522501</v>
      </c>
    </row>
    <row r="125" spans="1:4" x14ac:dyDescent="0.3">
      <c r="A125">
        <v>2011</v>
      </c>
      <c r="B125">
        <v>4</v>
      </c>
      <c r="C125" s="3">
        <v>2011.24999999999</v>
      </c>
      <c r="D125">
        <v>27.4558614750804</v>
      </c>
    </row>
    <row r="126" spans="1:4" x14ac:dyDescent="0.3">
      <c r="A126">
        <v>2011</v>
      </c>
      <c r="B126">
        <v>5</v>
      </c>
      <c r="C126" s="3">
        <v>2011.3333333333301</v>
      </c>
      <c r="D126">
        <v>29.0719099412186</v>
      </c>
    </row>
    <row r="127" spans="1:4" x14ac:dyDescent="0.3">
      <c r="A127">
        <v>2011</v>
      </c>
      <c r="B127">
        <v>6</v>
      </c>
      <c r="C127" s="3">
        <v>2011.4166666666599</v>
      </c>
      <c r="D127">
        <v>29.8492431662598</v>
      </c>
    </row>
    <row r="128" spans="1:4" x14ac:dyDescent="0.3">
      <c r="A128">
        <v>2011</v>
      </c>
      <c r="B128">
        <v>7</v>
      </c>
      <c r="C128" s="3">
        <v>2011.49999999999</v>
      </c>
      <c r="D128">
        <v>30.131515375719601</v>
      </c>
    </row>
    <row r="129" spans="1:4" x14ac:dyDescent="0.3">
      <c r="A129">
        <v>2011</v>
      </c>
      <c r="B129">
        <v>8</v>
      </c>
      <c r="C129" s="3">
        <v>2011.5833333333301</v>
      </c>
      <c r="D129">
        <v>29.907098846185299</v>
      </c>
    </row>
    <row r="130" spans="1:4" x14ac:dyDescent="0.3">
      <c r="A130">
        <v>2011</v>
      </c>
      <c r="B130">
        <v>9</v>
      </c>
      <c r="C130" s="3">
        <v>2011.6666666666599</v>
      </c>
      <c r="D130">
        <v>29.889071622135599</v>
      </c>
    </row>
    <row r="131" spans="1:4" x14ac:dyDescent="0.3">
      <c r="A131">
        <v>2011</v>
      </c>
      <c r="B131">
        <v>10</v>
      </c>
      <c r="C131" s="3">
        <v>2011.74999999999</v>
      </c>
      <c r="D131">
        <v>29.276125000722399</v>
      </c>
    </row>
    <row r="132" spans="1:4" x14ac:dyDescent="0.3">
      <c r="A132">
        <v>2011</v>
      </c>
      <c r="B132">
        <v>11</v>
      </c>
      <c r="C132" s="3">
        <v>2011.8333333333301</v>
      </c>
      <c r="D132">
        <v>29.3260993053687</v>
      </c>
    </row>
    <row r="133" spans="1:4" x14ac:dyDescent="0.3">
      <c r="A133">
        <v>2011</v>
      </c>
      <c r="B133">
        <v>12</v>
      </c>
      <c r="C133" s="3">
        <v>2011.9166666666599</v>
      </c>
      <c r="D133">
        <v>28.642957012239201</v>
      </c>
    </row>
    <row r="134" spans="1:4" x14ac:dyDescent="0.3">
      <c r="A134">
        <v>2012</v>
      </c>
      <c r="B134">
        <v>1</v>
      </c>
      <c r="C134" s="3">
        <v>2012</v>
      </c>
      <c r="D134">
        <v>27.543481675592901</v>
      </c>
    </row>
    <row r="135" spans="1:4" x14ac:dyDescent="0.3">
      <c r="A135">
        <v>2012</v>
      </c>
      <c r="B135">
        <v>2</v>
      </c>
      <c r="C135" s="3">
        <v>2012.0833333333301</v>
      </c>
      <c r="D135">
        <v>27.097799751442999</v>
      </c>
    </row>
    <row r="136" spans="1:4" x14ac:dyDescent="0.3">
      <c r="A136">
        <v>2012</v>
      </c>
      <c r="B136">
        <v>3</v>
      </c>
      <c r="C136" s="3">
        <v>2012.1666666666599</v>
      </c>
      <c r="D136">
        <v>26.980684165359499</v>
      </c>
    </row>
    <row r="137" spans="1:4" x14ac:dyDescent="0.3">
      <c r="A137">
        <v>2012</v>
      </c>
      <c r="B137">
        <v>4</v>
      </c>
      <c r="C137" s="3">
        <v>2012.24999999999</v>
      </c>
      <c r="D137">
        <v>27.8807835870237</v>
      </c>
    </row>
    <row r="138" spans="1:4" x14ac:dyDescent="0.3">
      <c r="A138">
        <v>2012</v>
      </c>
      <c r="B138">
        <v>5</v>
      </c>
      <c r="C138" s="3">
        <v>2012.3333333333301</v>
      </c>
      <c r="D138">
        <v>29.679612167163299</v>
      </c>
    </row>
    <row r="139" spans="1:4" x14ac:dyDescent="0.3">
      <c r="A139">
        <v>2012</v>
      </c>
      <c r="B139">
        <v>6</v>
      </c>
      <c r="C139" s="3">
        <v>2012.4166666666599</v>
      </c>
      <c r="D139">
        <v>30.213421456252298</v>
      </c>
    </row>
    <row r="140" spans="1:4" x14ac:dyDescent="0.3">
      <c r="A140">
        <v>2012</v>
      </c>
      <c r="B140">
        <v>7</v>
      </c>
      <c r="C140" s="3">
        <v>2012.5</v>
      </c>
      <c r="D140">
        <v>29.862247828765899</v>
      </c>
    </row>
    <row r="141" spans="1:4" x14ac:dyDescent="0.3">
      <c r="A141">
        <v>2012</v>
      </c>
      <c r="B141">
        <v>8</v>
      </c>
      <c r="C141" s="3">
        <v>2012.5833333333301</v>
      </c>
      <c r="D141">
        <v>29.9896404264593</v>
      </c>
    </row>
    <row r="142" spans="1:4" x14ac:dyDescent="0.3">
      <c r="A142">
        <v>2012</v>
      </c>
      <c r="B142">
        <v>9</v>
      </c>
      <c r="C142" s="3">
        <v>2012.6666666666599</v>
      </c>
      <c r="D142">
        <v>29.992801517155598</v>
      </c>
    </row>
    <row r="143" spans="1:4" x14ac:dyDescent="0.3">
      <c r="A143">
        <v>2012</v>
      </c>
      <c r="B143">
        <v>10</v>
      </c>
      <c r="C143" s="3">
        <v>2012.75</v>
      </c>
      <c r="D143">
        <v>29.318286283295901</v>
      </c>
    </row>
    <row r="144" spans="1:4" x14ac:dyDescent="0.3">
      <c r="A144">
        <v>2012</v>
      </c>
      <c r="B144">
        <v>11</v>
      </c>
      <c r="C144" s="3">
        <v>2012.8333333333301</v>
      </c>
      <c r="D144">
        <v>29.401699387354999</v>
      </c>
    </row>
    <row r="145" spans="1:4" x14ac:dyDescent="0.3">
      <c r="A145">
        <v>2012</v>
      </c>
      <c r="B145">
        <v>12</v>
      </c>
      <c r="C145" s="3">
        <v>2012.9166666666599</v>
      </c>
      <c r="D145">
        <v>28.747607822913</v>
      </c>
    </row>
    <row r="146" spans="1:4" x14ac:dyDescent="0.3">
      <c r="A146">
        <v>2013</v>
      </c>
      <c r="B146">
        <v>1</v>
      </c>
      <c r="C146" s="3">
        <v>2013</v>
      </c>
      <c r="D146">
        <v>27.463720547364399</v>
      </c>
    </row>
    <row r="147" spans="1:4" x14ac:dyDescent="0.3">
      <c r="A147">
        <v>2013</v>
      </c>
      <c r="B147">
        <v>2</v>
      </c>
      <c r="C147" s="3">
        <v>2013.0833333333301</v>
      </c>
      <c r="D147">
        <v>27.453062444289898</v>
      </c>
    </row>
    <row r="148" spans="1:4" x14ac:dyDescent="0.3">
      <c r="A148">
        <v>2013</v>
      </c>
      <c r="B148">
        <v>3</v>
      </c>
      <c r="C148" s="3">
        <v>2013.1666666666599</v>
      </c>
      <c r="D148">
        <v>27.204193619150299</v>
      </c>
    </row>
    <row r="149" spans="1:4" x14ac:dyDescent="0.3">
      <c r="A149">
        <v>2013</v>
      </c>
      <c r="B149">
        <v>4</v>
      </c>
      <c r="C149" s="3">
        <v>2013.25</v>
      </c>
      <c r="D149">
        <v>28.164004115258699</v>
      </c>
    </row>
    <row r="150" spans="1:4" x14ac:dyDescent="0.3">
      <c r="A150">
        <v>2013</v>
      </c>
      <c r="B150">
        <v>5</v>
      </c>
      <c r="C150" s="3">
        <v>2013.3333333333301</v>
      </c>
      <c r="D150">
        <v>29.402040631264899</v>
      </c>
    </row>
    <row r="151" spans="1:4" x14ac:dyDescent="0.3">
      <c r="A151">
        <v>2013</v>
      </c>
      <c r="B151">
        <v>6</v>
      </c>
      <c r="C151" s="3">
        <v>2013.4166666666599</v>
      </c>
      <c r="D151">
        <v>30.2138714744511</v>
      </c>
    </row>
    <row r="152" spans="1:4" x14ac:dyDescent="0.3">
      <c r="A152">
        <v>2013</v>
      </c>
      <c r="B152">
        <v>7</v>
      </c>
      <c r="C152" s="3">
        <v>2013.5</v>
      </c>
      <c r="D152">
        <v>29.909115211208601</v>
      </c>
    </row>
    <row r="153" spans="1:4" x14ac:dyDescent="0.3">
      <c r="A153">
        <v>2013</v>
      </c>
      <c r="B153">
        <v>8</v>
      </c>
      <c r="C153" s="3">
        <v>2013.5833333333301</v>
      </c>
      <c r="D153">
        <v>29.751219746170499</v>
      </c>
    </row>
    <row r="154" spans="1:4" x14ac:dyDescent="0.3">
      <c r="A154">
        <v>2013</v>
      </c>
      <c r="B154">
        <v>9</v>
      </c>
      <c r="C154" s="3">
        <v>2013.6666666666599</v>
      </c>
      <c r="D154">
        <v>29.966307446180998</v>
      </c>
    </row>
    <row r="155" spans="1:4" x14ac:dyDescent="0.3">
      <c r="A155">
        <v>2013</v>
      </c>
      <c r="B155">
        <v>10</v>
      </c>
      <c r="C155" s="3">
        <v>2013.75</v>
      </c>
      <c r="D155">
        <v>29.850707579603299</v>
      </c>
    </row>
    <row r="156" spans="1:4" x14ac:dyDescent="0.3">
      <c r="A156">
        <v>2013</v>
      </c>
      <c r="B156">
        <v>11</v>
      </c>
      <c r="C156" s="3">
        <v>2013.8333333333301</v>
      </c>
      <c r="D156">
        <v>29.498075262840398</v>
      </c>
    </row>
    <row r="157" spans="1:4" x14ac:dyDescent="0.3">
      <c r="A157">
        <v>2013</v>
      </c>
      <c r="B157">
        <v>12</v>
      </c>
      <c r="C157" s="3">
        <v>2013.9166666666599</v>
      </c>
      <c r="D157">
        <v>28.918491090467199</v>
      </c>
    </row>
    <row r="158" spans="1:4" x14ac:dyDescent="0.3">
      <c r="A158">
        <v>2014</v>
      </c>
      <c r="B158">
        <v>1</v>
      </c>
      <c r="C158" s="3">
        <v>2014</v>
      </c>
      <c r="D158">
        <v>28.031242328934599</v>
      </c>
    </row>
    <row r="159" spans="1:4" x14ac:dyDescent="0.3">
      <c r="A159">
        <v>2014</v>
      </c>
      <c r="B159">
        <v>2</v>
      </c>
      <c r="C159" s="3">
        <v>2014.0833333333333</v>
      </c>
      <c r="D159">
        <v>27.520678346389499</v>
      </c>
    </row>
    <row r="160" spans="1:4" x14ac:dyDescent="0.3">
      <c r="A160">
        <v>2014</v>
      </c>
      <c r="B160">
        <v>3</v>
      </c>
      <c r="C160" s="3">
        <v>2014.1666666666665</v>
      </c>
      <c r="D160">
        <v>27.210819191758802</v>
      </c>
    </row>
    <row r="161" spans="1:4" x14ac:dyDescent="0.3">
      <c r="A161">
        <v>2014</v>
      </c>
      <c r="B161">
        <v>4</v>
      </c>
      <c r="C161" s="3">
        <v>2014.25</v>
      </c>
      <c r="D161">
        <v>27.815077329176098</v>
      </c>
    </row>
    <row r="162" spans="1:4" x14ac:dyDescent="0.3">
      <c r="A162">
        <v>2014</v>
      </c>
      <c r="B162">
        <v>5</v>
      </c>
      <c r="C162" s="3">
        <v>2014.3333333333333</v>
      </c>
      <c r="D162">
        <v>29.318520489491998</v>
      </c>
    </row>
    <row r="163" spans="1:4" x14ac:dyDescent="0.3">
      <c r="A163">
        <v>2014</v>
      </c>
      <c r="B163">
        <v>6</v>
      </c>
      <c r="C163" s="3">
        <v>2014.4166666666665</v>
      </c>
      <c r="D163">
        <v>30.210219577663601</v>
      </c>
    </row>
    <row r="164" spans="1:4" x14ac:dyDescent="0.3">
      <c r="A164">
        <v>2014</v>
      </c>
      <c r="B164">
        <v>7</v>
      </c>
      <c r="C164" s="3">
        <v>2014.5</v>
      </c>
      <c r="D164">
        <v>29.9483234131079</v>
      </c>
    </row>
    <row r="165" spans="1:4" x14ac:dyDescent="0.3">
      <c r="A165">
        <v>2014</v>
      </c>
      <c r="B165">
        <v>8</v>
      </c>
      <c r="C165" s="3">
        <v>2014.5833333333333</v>
      </c>
      <c r="D165">
        <v>29.642242107512399</v>
      </c>
    </row>
    <row r="166" spans="1:4" x14ac:dyDescent="0.3">
      <c r="A166">
        <v>2014</v>
      </c>
      <c r="B166">
        <v>9</v>
      </c>
      <c r="C166" s="3">
        <v>2014.6666666666665</v>
      </c>
      <c r="D166">
        <v>30.4211307318884</v>
      </c>
    </row>
    <row r="167" spans="1:4" x14ac:dyDescent="0.3">
      <c r="A167">
        <v>2014</v>
      </c>
      <c r="B167">
        <v>10</v>
      </c>
      <c r="C167" s="3">
        <v>2014.75</v>
      </c>
      <c r="D167">
        <v>29.666539450236701</v>
      </c>
    </row>
    <row r="168" spans="1:4" x14ac:dyDescent="0.3">
      <c r="A168">
        <v>2014</v>
      </c>
      <c r="B168">
        <v>11</v>
      </c>
      <c r="C168" s="3">
        <v>2014.8333333333333</v>
      </c>
      <c r="D168">
        <v>29.615854790430902</v>
      </c>
    </row>
    <row r="169" spans="1:4" x14ac:dyDescent="0.3">
      <c r="A169">
        <v>2014</v>
      </c>
      <c r="B169">
        <v>12</v>
      </c>
      <c r="C169" s="3">
        <v>2014.9166666666665</v>
      </c>
      <c r="D169">
        <v>28.772785487574101</v>
      </c>
    </row>
    <row r="170" spans="1:4" x14ac:dyDescent="0.3">
      <c r="A170">
        <v>2015</v>
      </c>
      <c r="B170">
        <v>1</v>
      </c>
      <c r="C170" s="3">
        <v>2014.9999999999998</v>
      </c>
      <c r="D170">
        <v>27.465860769431099</v>
      </c>
    </row>
    <row r="171" spans="1:4" x14ac:dyDescent="0.3">
      <c r="A171">
        <v>2015</v>
      </c>
      <c r="B171">
        <v>2</v>
      </c>
      <c r="C171" s="3">
        <v>2015.083333333333</v>
      </c>
      <c r="D171">
        <v>27.694802446360899</v>
      </c>
    </row>
    <row r="172" spans="1:4" x14ac:dyDescent="0.3">
      <c r="A172">
        <v>2015</v>
      </c>
      <c r="B172">
        <v>3</v>
      </c>
      <c r="C172" s="3">
        <v>2015.1666666666665</v>
      </c>
      <c r="D172">
        <v>27.199650730196701</v>
      </c>
    </row>
    <row r="173" spans="1:4" x14ac:dyDescent="0.3">
      <c r="A173">
        <v>2015</v>
      </c>
      <c r="B173">
        <v>4</v>
      </c>
      <c r="C173" s="3">
        <v>2015.2499999999998</v>
      </c>
      <c r="D173">
        <v>27.5847849846648</v>
      </c>
    </row>
    <row r="174" spans="1:4" x14ac:dyDescent="0.3">
      <c r="A174">
        <v>2015</v>
      </c>
      <c r="B174">
        <v>5</v>
      </c>
      <c r="C174" s="3">
        <v>2015.3333333333333</v>
      </c>
      <c r="D174">
        <v>28.9473134232706</v>
      </c>
    </row>
    <row r="175" spans="1:4" x14ac:dyDescent="0.3">
      <c r="A175">
        <v>2015</v>
      </c>
      <c r="B175">
        <v>6</v>
      </c>
      <c r="C175" s="3">
        <v>2015.4166666666665</v>
      </c>
      <c r="D175">
        <v>29.5064424821527</v>
      </c>
    </row>
    <row r="176" spans="1:4" x14ac:dyDescent="0.3">
      <c r="A176">
        <v>2015</v>
      </c>
      <c r="B176">
        <v>7</v>
      </c>
      <c r="C176" s="3">
        <v>2015.4999999999998</v>
      </c>
      <c r="D176">
        <v>29.498891508930601</v>
      </c>
    </row>
    <row r="177" spans="1:4" x14ac:dyDescent="0.3">
      <c r="A177">
        <v>2015</v>
      </c>
      <c r="B177">
        <v>8</v>
      </c>
      <c r="C177" s="3">
        <v>2015.5833333333333</v>
      </c>
      <c r="D177">
        <v>29.766916929151201</v>
      </c>
    </row>
    <row r="178" spans="1:4" x14ac:dyDescent="0.3">
      <c r="A178">
        <v>2015</v>
      </c>
      <c r="B178">
        <v>9</v>
      </c>
      <c r="C178" s="3">
        <v>2015.6666666666665</v>
      </c>
      <c r="D178">
        <v>30.2527123695074</v>
      </c>
    </row>
    <row r="179" spans="1:4" x14ac:dyDescent="0.3">
      <c r="A179">
        <v>2015</v>
      </c>
      <c r="B179">
        <v>10</v>
      </c>
      <c r="C179" s="3">
        <v>2015.7499999999998</v>
      </c>
      <c r="D179">
        <v>30.028487247072</v>
      </c>
    </row>
    <row r="180" spans="1:4" x14ac:dyDescent="0.3">
      <c r="A180">
        <v>2015</v>
      </c>
      <c r="B180">
        <v>11</v>
      </c>
      <c r="C180" s="3">
        <v>2015.8333333333333</v>
      </c>
      <c r="D180">
        <v>29.5242127558904</v>
      </c>
    </row>
    <row r="181" spans="1:4" x14ac:dyDescent="0.3">
      <c r="A181">
        <v>2015</v>
      </c>
      <c r="B181">
        <v>12</v>
      </c>
      <c r="C181" s="3">
        <v>2015.9166666666665</v>
      </c>
      <c r="D181">
        <v>29.854555029179899</v>
      </c>
    </row>
    <row r="182" spans="1:4" x14ac:dyDescent="0.3">
      <c r="A182">
        <v>2016</v>
      </c>
      <c r="B182">
        <v>1</v>
      </c>
      <c r="C182" s="3">
        <v>2016</v>
      </c>
      <c r="D182">
        <v>28.4857115356062</v>
      </c>
    </row>
    <row r="183" spans="1:4" x14ac:dyDescent="0.3">
      <c r="A183">
        <v>2016</v>
      </c>
      <c r="B183">
        <v>2</v>
      </c>
      <c r="C183" s="3">
        <v>2016.0833333333301</v>
      </c>
      <c r="D183">
        <v>27.483570830186199</v>
      </c>
    </row>
    <row r="184" spans="1:4" x14ac:dyDescent="0.3">
      <c r="A184">
        <v>2016</v>
      </c>
      <c r="B184">
        <v>3</v>
      </c>
      <c r="C184" s="3">
        <v>2016.1666666666699</v>
      </c>
      <c r="D184">
        <v>27.115266228933098</v>
      </c>
    </row>
    <row r="185" spans="1:4" x14ac:dyDescent="0.3">
      <c r="A185">
        <v>2016</v>
      </c>
      <c r="B185">
        <v>4</v>
      </c>
      <c r="C185" s="3">
        <v>2016.25</v>
      </c>
      <c r="D185">
        <v>27.749833486467399</v>
      </c>
    </row>
    <row r="186" spans="1:4" x14ac:dyDescent="0.3">
      <c r="A186">
        <v>2016</v>
      </c>
      <c r="B186">
        <v>5</v>
      </c>
      <c r="C186" s="3">
        <v>2016.3333333333301</v>
      </c>
      <c r="D186">
        <v>30.110752952988499</v>
      </c>
    </row>
    <row r="187" spans="1:4" x14ac:dyDescent="0.3">
      <c r="A187">
        <v>2016</v>
      </c>
      <c r="B187">
        <v>6</v>
      </c>
      <c r="C187" s="3">
        <v>2016.4166666666699</v>
      </c>
      <c r="D187">
        <v>30.694787912754101</v>
      </c>
    </row>
    <row r="188" spans="1:4" x14ac:dyDescent="0.3">
      <c r="A188">
        <v>2016</v>
      </c>
      <c r="B188">
        <v>7</v>
      </c>
      <c r="C188" s="3">
        <v>2016.5</v>
      </c>
      <c r="D188">
        <v>30.190807101069101</v>
      </c>
    </row>
    <row r="189" spans="1:4" x14ac:dyDescent="0.3">
      <c r="A189">
        <v>2016</v>
      </c>
      <c r="B189">
        <v>8</v>
      </c>
      <c r="C189" s="3">
        <v>2016.5833333333301</v>
      </c>
      <c r="D189">
        <v>30.231444738186202</v>
      </c>
    </row>
    <row r="190" spans="1:4" x14ac:dyDescent="0.3">
      <c r="A190">
        <v>2016</v>
      </c>
      <c r="B190">
        <v>9</v>
      </c>
      <c r="C190" s="3">
        <v>2016.6666666666699</v>
      </c>
      <c r="D190">
        <v>30.068601552955801</v>
      </c>
    </row>
    <row r="191" spans="1:4" x14ac:dyDescent="0.3">
      <c r="A191">
        <v>2016</v>
      </c>
      <c r="B191">
        <v>10</v>
      </c>
      <c r="C191" s="3">
        <v>2016.75</v>
      </c>
      <c r="D191">
        <v>29.242142691844801</v>
      </c>
    </row>
    <row r="192" spans="1:4" x14ac:dyDescent="0.3">
      <c r="A192">
        <v>2016</v>
      </c>
      <c r="B192">
        <v>11</v>
      </c>
      <c r="C192" s="3">
        <v>2016.8333333333301</v>
      </c>
      <c r="D192">
        <v>29.219307698041799</v>
      </c>
    </row>
    <row r="193" spans="1:4" x14ac:dyDescent="0.3">
      <c r="A193">
        <v>2016</v>
      </c>
      <c r="B193">
        <v>12</v>
      </c>
      <c r="C193" s="3">
        <v>2016.9166666666699</v>
      </c>
      <c r="D193">
        <v>28.9677122090505</v>
      </c>
    </row>
    <row r="194" spans="1:4" x14ac:dyDescent="0.3">
      <c r="A194">
        <v>2017</v>
      </c>
      <c r="B194">
        <v>1</v>
      </c>
      <c r="C194" s="3">
        <v>2017</v>
      </c>
      <c r="D194">
        <v>27.712686754990202</v>
      </c>
    </row>
    <row r="195" spans="1:4" x14ac:dyDescent="0.3">
      <c r="A195">
        <v>2017</v>
      </c>
      <c r="B195">
        <v>2</v>
      </c>
      <c r="C195" s="3">
        <v>2017.0833333333301</v>
      </c>
      <c r="D195">
        <v>27.959440004378902</v>
      </c>
    </row>
    <row r="196" spans="1:4" x14ac:dyDescent="0.3">
      <c r="A196">
        <v>2017</v>
      </c>
      <c r="B196">
        <v>3</v>
      </c>
      <c r="C196" s="3">
        <v>2017.1666666666699</v>
      </c>
      <c r="D196">
        <v>27.633059571668799</v>
      </c>
    </row>
    <row r="197" spans="1:4" x14ac:dyDescent="0.3">
      <c r="A197">
        <v>2017</v>
      </c>
      <c r="B197">
        <v>4</v>
      </c>
      <c r="C197" s="3">
        <v>2017.25</v>
      </c>
      <c r="D197">
        <v>27.788824561983201</v>
      </c>
    </row>
    <row r="198" spans="1:4" x14ac:dyDescent="0.3">
      <c r="A198">
        <v>2017</v>
      </c>
      <c r="B198">
        <v>5</v>
      </c>
      <c r="C198" s="3">
        <v>2017.3333333333301</v>
      </c>
      <c r="D198">
        <v>29.826465082322901</v>
      </c>
    </row>
    <row r="199" spans="1:4" x14ac:dyDescent="0.3">
      <c r="A199">
        <v>2017</v>
      </c>
      <c r="B199">
        <v>6</v>
      </c>
      <c r="C199" s="3">
        <v>2017.4166666666699</v>
      </c>
      <c r="D199">
        <v>30.408015578279201</v>
      </c>
    </row>
    <row r="200" spans="1:4" x14ac:dyDescent="0.3">
      <c r="A200">
        <v>2017</v>
      </c>
      <c r="B200">
        <v>7</v>
      </c>
      <c r="C200" s="3">
        <v>2017.5</v>
      </c>
      <c r="D200">
        <v>30.430084313846201</v>
      </c>
    </row>
    <row r="201" spans="1:4" x14ac:dyDescent="0.3">
      <c r="A201">
        <v>2017</v>
      </c>
      <c r="B201">
        <v>8</v>
      </c>
      <c r="C201" s="3">
        <v>2017.5833333333301</v>
      </c>
      <c r="D201">
        <v>30.0896991748983</v>
      </c>
    </row>
    <row r="202" spans="1:4" x14ac:dyDescent="0.3">
      <c r="A202">
        <v>2017</v>
      </c>
      <c r="B202">
        <v>9</v>
      </c>
      <c r="C202" s="3">
        <v>2017.6666666666599</v>
      </c>
      <c r="D202">
        <v>30.293844966329399</v>
      </c>
    </row>
    <row r="203" spans="1:4" x14ac:dyDescent="0.3">
      <c r="A203">
        <v>2017</v>
      </c>
      <c r="B203">
        <v>10</v>
      </c>
      <c r="C203" s="3">
        <v>2017.75</v>
      </c>
      <c r="D203">
        <v>29.961795926588302</v>
      </c>
    </row>
    <row r="204" spans="1:4" x14ac:dyDescent="0.3">
      <c r="A204">
        <v>2017</v>
      </c>
      <c r="B204">
        <v>11</v>
      </c>
      <c r="C204" s="3">
        <v>2017.8333333333301</v>
      </c>
      <c r="D204">
        <v>29.4523784852862</v>
      </c>
    </row>
    <row r="205" spans="1:4" x14ac:dyDescent="0.3">
      <c r="A205">
        <v>2017</v>
      </c>
      <c r="B205">
        <v>12</v>
      </c>
      <c r="C205" s="3">
        <v>2017.9166666666599</v>
      </c>
      <c r="D205">
        <v>29.245263562885899</v>
      </c>
    </row>
  </sheetData>
  <autoFilter ref="A1:C1" xr:uid="{330C602E-D8B6-497B-9FB0-189D5F86A5B0}">
    <sortState xmlns:xlrd2="http://schemas.microsoft.com/office/spreadsheetml/2017/richdata2" ref="A2:C205">
      <sortCondition ref="A1"/>
    </sortState>
  </autoFilter>
  <mergeCells count="1">
    <mergeCell ref="F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D6E0-0CDD-46E3-B987-4612E3EB19E4}">
  <dimension ref="A1:AG794"/>
  <sheetViews>
    <sheetView workbookViewId="0">
      <selection activeCell="B7" sqref="B7"/>
    </sheetView>
  </sheetViews>
  <sheetFormatPr baseColWidth="10" defaultColWidth="11.44140625" defaultRowHeight="14.4" x14ac:dyDescent="0.3"/>
  <cols>
    <col min="3" max="3" width="6.6640625" customWidth="1"/>
    <col min="4" max="4" width="13.6640625" customWidth="1"/>
    <col min="6" max="6" width="7.44140625" customWidth="1"/>
    <col min="7" max="7" width="7.109375" customWidth="1"/>
    <col min="8" max="8" width="5.109375" customWidth="1"/>
    <col min="9" max="10" width="7.109375" customWidth="1"/>
    <col min="11" max="11" width="7.44140625" customWidth="1"/>
    <col min="12" max="12" width="7.33203125" customWidth="1"/>
    <col min="13" max="13" width="9.5546875" customWidth="1"/>
    <col min="14" max="14" width="6.6640625" customWidth="1"/>
    <col min="25" max="25" width="7.6640625" customWidth="1"/>
    <col min="26" max="26" width="8.44140625" customWidth="1"/>
    <col min="27" max="27" width="6.33203125" customWidth="1"/>
    <col min="28" max="28" width="6.21875" customWidth="1"/>
    <col min="29" max="29" width="5.109375" customWidth="1"/>
    <col min="30" max="30" width="7.5546875" customWidth="1"/>
    <col min="31" max="31" width="6" customWidth="1"/>
    <col min="32" max="32" width="5.5546875" customWidth="1"/>
    <col min="33" max="33" width="5.88671875" customWidth="1"/>
  </cols>
  <sheetData>
    <row r="1" spans="1:33" x14ac:dyDescent="0.3">
      <c r="D1" t="s">
        <v>55</v>
      </c>
      <c r="X1" t="s">
        <v>31</v>
      </c>
      <c r="Y1" t="s">
        <v>54</v>
      </c>
      <c r="Z1" t="s">
        <v>53</v>
      </c>
      <c r="AA1" t="s">
        <v>52</v>
      </c>
      <c r="AB1" t="s">
        <v>51</v>
      </c>
    </row>
    <row r="2" spans="1:33" x14ac:dyDescent="0.3">
      <c r="A2" t="s">
        <v>50</v>
      </c>
      <c r="B2" t="s">
        <v>49</v>
      </c>
      <c r="D2" t="s">
        <v>48</v>
      </c>
      <c r="E2" t="s">
        <v>47</v>
      </c>
      <c r="G2" t="s">
        <v>46</v>
      </c>
      <c r="H2" t="s">
        <v>45</v>
      </c>
      <c r="I2" t="s">
        <v>17</v>
      </c>
      <c r="J2" t="s">
        <v>44</v>
      </c>
      <c r="K2" t="s">
        <v>16</v>
      </c>
      <c r="L2" s="6" t="s">
        <v>18</v>
      </c>
      <c r="M2" s="6" t="s">
        <v>43</v>
      </c>
      <c r="N2" s="6" t="s">
        <v>42</v>
      </c>
      <c r="X2">
        <v>2015</v>
      </c>
      <c r="Y2" s="3">
        <v>28.392886867412198</v>
      </c>
      <c r="Z2" s="3">
        <v>28.355173833333328</v>
      </c>
      <c r="AA2" s="3">
        <v>28.943719222984026</v>
      </c>
      <c r="AB2" s="3">
        <v>30.315999999999999</v>
      </c>
      <c r="AC2" s="3"/>
      <c r="AD2" s="3">
        <f>AVERAGE(Y2:Y3)</f>
        <v>28.321323984205328</v>
      </c>
      <c r="AE2" s="3">
        <f>AVERAGE(Z2:Z3)</f>
        <v>28.324284083333332</v>
      </c>
      <c r="AF2" s="3">
        <f>AVERAGE(AA2:AA3)</f>
        <v>28.979085996665553</v>
      </c>
      <c r="AG2" s="3">
        <f>AVERAGE(AB2:AB3)</f>
        <v>30.165500000000002</v>
      </c>
    </row>
    <row r="3" spans="1:33" x14ac:dyDescent="0.3">
      <c r="A3">
        <v>2015</v>
      </c>
      <c r="B3">
        <f t="shared" ref="B3:B34" si="0">AVERAGEIF(G$3:G$782,A3,J$3:J$782)</f>
        <v>28.355173833333328</v>
      </c>
      <c r="D3" t="s">
        <v>41</v>
      </c>
      <c r="E3" t="s">
        <v>40</v>
      </c>
      <c r="G3">
        <v>2015</v>
      </c>
      <c r="H3">
        <v>12</v>
      </c>
      <c r="I3" s="3">
        <v>2015.9166666666665</v>
      </c>
      <c r="J3" s="2">
        <v>28.673012</v>
      </c>
      <c r="K3">
        <f>STANDARDIZE(J3,M$3,N$3)</f>
        <v>2.7387556877269978</v>
      </c>
      <c r="L3">
        <v>12</v>
      </c>
      <c r="M3" s="2">
        <f t="shared" ref="M3:M14" si="1">AVERAGEIF(H$3:H$794,L3,J$3:J$794)</f>
        <v>27.797772833333337</v>
      </c>
      <c r="N3" s="9">
        <f t="array" ref="N3">_xlfn.STDEV.S(IF(H$3:H$794=L3,J$3:J$794))</f>
        <v>0.31957548115328938</v>
      </c>
      <c r="W3" s="2">
        <v>0.56999999999999995</v>
      </c>
      <c r="X3">
        <v>2014</v>
      </c>
      <c r="Y3" s="3">
        <v>28.249761100998459</v>
      </c>
      <c r="Z3" s="3">
        <v>28.293394333333335</v>
      </c>
      <c r="AA3" s="3">
        <v>29.014452770347081</v>
      </c>
      <c r="AB3" s="3">
        <v>30.015000000000001</v>
      </c>
      <c r="AC3" s="3"/>
      <c r="AD3" s="3">
        <f>AVERAGE(Y2:Y4)</f>
        <v>28.278104878359105</v>
      </c>
      <c r="AE3" s="3">
        <f>AVERAGE(Z2:Z4)</f>
        <v>28.329505972222222</v>
      </c>
      <c r="AF3" s="3">
        <f>AVERAGE(AA2:AA4)</f>
        <v>28.980357585783992</v>
      </c>
      <c r="AG3" s="3">
        <f>AVERAGE(AB2:AB4)</f>
        <v>30.157333333333337</v>
      </c>
    </row>
    <row r="4" spans="1:33" x14ac:dyDescent="0.3">
      <c r="A4">
        <v>2014</v>
      </c>
      <c r="B4">
        <f t="shared" si="0"/>
        <v>28.293394333333335</v>
      </c>
      <c r="D4">
        <v>10.5</v>
      </c>
      <c r="E4">
        <v>-76.5</v>
      </c>
      <c r="G4">
        <v>2015</v>
      </c>
      <c r="H4">
        <v>11</v>
      </c>
      <c r="I4" s="3">
        <v>2015.8333333333333</v>
      </c>
      <c r="J4" s="2">
        <v>29.053927999999999</v>
      </c>
      <c r="K4">
        <f>STANDARDIZE(J4,M$4,N$4)</f>
        <v>1.1874241759200166</v>
      </c>
      <c r="L4">
        <v>11</v>
      </c>
      <c r="M4" s="2">
        <f t="shared" si="1"/>
        <v>28.679352166666664</v>
      </c>
      <c r="N4" s="9">
        <f t="array" ref="N4">_xlfn.STDEV.S(IF(H$3:H$794=L4,J$3:J$794))</f>
        <v>0.31545242292470038</v>
      </c>
      <c r="W4" s="3">
        <v>0.17</v>
      </c>
      <c r="X4">
        <v>2013</v>
      </c>
      <c r="Y4" s="3">
        <v>28.191666666666666</v>
      </c>
      <c r="Z4" s="3">
        <v>28.339949749999999</v>
      </c>
      <c r="AA4" s="3">
        <v>28.982900764020865</v>
      </c>
      <c r="AB4" s="3">
        <v>30.140999999999998</v>
      </c>
      <c r="AC4" s="3"/>
      <c r="AD4" s="3">
        <f t="shared" ref="AD4:AD35" si="2">AVERAGE(Y3:Y5)</f>
        <v>28.194201274406893</v>
      </c>
      <c r="AE4" s="3">
        <f>AVERAGE(Z4:Z5)</f>
        <v>28.302088208333334</v>
      </c>
      <c r="AF4" s="3">
        <f>AVERAGE(AA4:AA5)</f>
        <v>28.937619801542908</v>
      </c>
      <c r="AG4" s="3">
        <f>AVERAGE(AB4:AB5)</f>
        <v>30.096499999999999</v>
      </c>
    </row>
    <row r="5" spans="1:33" x14ac:dyDescent="0.3">
      <c r="A5">
        <v>2013</v>
      </c>
      <c r="B5">
        <f t="shared" si="0"/>
        <v>28.339949749999999</v>
      </c>
      <c r="D5">
        <v>10.5</v>
      </c>
      <c r="E5">
        <v>-75.5</v>
      </c>
      <c r="G5">
        <v>2015</v>
      </c>
      <c r="H5">
        <v>10</v>
      </c>
      <c r="I5" s="3">
        <v>2015.7499999999998</v>
      </c>
      <c r="J5" s="2">
        <v>29.775919999999999</v>
      </c>
      <c r="K5">
        <f>STANDARDIZE(J5,M$5,N$5)</f>
        <v>2.6942475858023927</v>
      </c>
      <c r="L5">
        <v>10</v>
      </c>
      <c r="M5" s="2">
        <f t="shared" si="1"/>
        <v>28.925387257575757</v>
      </c>
      <c r="N5" s="9">
        <f t="array" ref="N5">_xlfn.STDEV.S(IF(H$3:H$794=L5,J$3:J$794))</f>
        <v>0.31568470058438941</v>
      </c>
      <c r="W5" s="3">
        <v>0.1</v>
      </c>
      <c r="X5">
        <v>2012</v>
      </c>
      <c r="Y5" s="3">
        <v>28.141176055555551</v>
      </c>
      <c r="Z5" s="3">
        <v>28.264226666666669</v>
      </c>
      <c r="AA5" s="3">
        <v>28.892338839064948</v>
      </c>
      <c r="AB5" s="3">
        <v>30.052</v>
      </c>
      <c r="AC5" s="3"/>
      <c r="AD5" s="3">
        <f t="shared" si="2"/>
        <v>28.01511424074074</v>
      </c>
      <c r="AE5" s="3">
        <f>AVERAGE(Z4:Z6)</f>
        <v>28.344210777777779</v>
      </c>
      <c r="AF5" s="3">
        <f>AVERAGE(AA4:AA6)</f>
        <v>28.900281238697087</v>
      </c>
      <c r="AG5" s="3">
        <f>AVERAGE(AB4:AB6)</f>
        <v>30.099666666666668</v>
      </c>
    </row>
    <row r="6" spans="1:33" x14ac:dyDescent="0.3">
      <c r="A6">
        <v>2012</v>
      </c>
      <c r="B6">
        <f t="shared" si="0"/>
        <v>28.264226666666669</v>
      </c>
      <c r="D6">
        <v>9.5</v>
      </c>
      <c r="E6">
        <v>-76.5</v>
      </c>
      <c r="G6">
        <v>2015</v>
      </c>
      <c r="H6">
        <v>9</v>
      </c>
      <c r="I6" s="3">
        <v>2015.6666666666665</v>
      </c>
      <c r="J6" s="2">
        <v>29.478052000000002</v>
      </c>
      <c r="K6">
        <f>STANDARDIZE(J6,M$6,N$6)</f>
        <v>1.9489056012079469</v>
      </c>
      <c r="L6">
        <v>9</v>
      </c>
      <c r="M6" s="2">
        <f t="shared" si="1"/>
        <v>28.818721318181826</v>
      </c>
      <c r="N6" s="9">
        <f t="array" ref="N6">_xlfn.STDEV.S(IF(H$3:H$794=L6,J$3:J$794))</f>
        <v>0.33830816711159206</v>
      </c>
      <c r="X6">
        <v>2011</v>
      </c>
      <c r="Y6" s="3">
        <v>27.712500000000002</v>
      </c>
      <c r="Z6" s="3">
        <v>28.428455916666664</v>
      </c>
      <c r="AA6" s="3">
        <v>28.825604113005443</v>
      </c>
      <c r="AB6" s="3">
        <v>30.106000000000002</v>
      </c>
      <c r="AC6" s="3"/>
      <c r="AD6" s="3">
        <f t="shared" si="2"/>
        <v>27.995669796296294</v>
      </c>
      <c r="AE6" s="3">
        <f>AVERAGE(Z6:Z7)</f>
        <v>28.599115708333329</v>
      </c>
      <c r="AF6" s="3">
        <f>AVERAGE(AA6:AA7)</f>
        <v>28.934845880269833</v>
      </c>
      <c r="AG6" s="3">
        <f>AVERAGE(AB6:AB7)</f>
        <v>30.048000000000002</v>
      </c>
    </row>
    <row r="7" spans="1:33" x14ac:dyDescent="0.3">
      <c r="A7">
        <v>2011</v>
      </c>
      <c r="B7">
        <f t="shared" si="0"/>
        <v>28.428455916666664</v>
      </c>
      <c r="D7">
        <v>9.5</v>
      </c>
      <c r="E7">
        <v>-75.5</v>
      </c>
      <c r="G7">
        <v>2015</v>
      </c>
      <c r="H7">
        <v>8</v>
      </c>
      <c r="I7" s="3">
        <v>2015.5833333333333</v>
      </c>
      <c r="J7" s="2">
        <v>28.577988000000001</v>
      </c>
      <c r="K7">
        <f>STANDARDIZE(J7,M$7,N$7)</f>
        <v>0.2506281764520959</v>
      </c>
      <c r="L7">
        <v>8</v>
      </c>
      <c r="M7" s="2">
        <f t="shared" si="1"/>
        <v>28.493212333333329</v>
      </c>
      <c r="N7" s="9">
        <f t="array" ref="N7">_xlfn.STDEV.S(IF(H$3:H$794=L7,J$3:J$794))</f>
        <v>0.33825273704960412</v>
      </c>
      <c r="X7">
        <v>2010</v>
      </c>
      <c r="Y7" s="3">
        <v>28.133333333333329</v>
      </c>
      <c r="Z7" s="3">
        <v>28.769775499999994</v>
      </c>
      <c r="AA7" s="3">
        <v>29.044087647534226</v>
      </c>
      <c r="AB7" s="3">
        <v>29.99</v>
      </c>
      <c r="AC7" s="3"/>
      <c r="AD7" s="3">
        <f t="shared" si="2"/>
        <v>28.004166666666663</v>
      </c>
      <c r="AE7" s="3">
        <f>AVERAGE(Z6:Z8)</f>
        <v>28.428927833333329</v>
      </c>
      <c r="AF7" s="3">
        <f>AVERAGE(AA6:AA8)</f>
        <v>28.871927350889521</v>
      </c>
      <c r="AG7" s="3">
        <f>AVERAGE(AB6:AB8)</f>
        <v>29.988</v>
      </c>
    </row>
    <row r="8" spans="1:33" x14ac:dyDescent="0.3">
      <c r="A8">
        <v>2010</v>
      </c>
      <c r="B8">
        <f t="shared" si="0"/>
        <v>28.769775499999994</v>
      </c>
      <c r="G8">
        <v>2015</v>
      </c>
      <c r="H8">
        <v>7</v>
      </c>
      <c r="I8" s="3">
        <v>2015.4999999999998</v>
      </c>
      <c r="J8" s="2">
        <v>28.235472000000001</v>
      </c>
      <c r="K8">
        <f>STANDARDIZE(J8,M$8,N$8)</f>
        <v>-0.18676245527217525</v>
      </c>
      <c r="L8">
        <v>7</v>
      </c>
      <c r="M8" s="2">
        <f t="shared" si="1"/>
        <v>28.300005318181832</v>
      </c>
      <c r="N8" s="9">
        <f t="array" ref="N8">_xlfn.STDEV.S(IF(H$3:H$794=L8,J$3:J$794))</f>
        <v>0.34553689116896424</v>
      </c>
      <c r="X8">
        <v>2009</v>
      </c>
      <c r="Y8" s="3">
        <v>28.166666666666661</v>
      </c>
      <c r="Z8" s="3">
        <v>28.08855208333333</v>
      </c>
      <c r="AA8" s="3">
        <v>28.746090292128898</v>
      </c>
      <c r="AB8" s="3">
        <v>29.867999999999999</v>
      </c>
      <c r="AC8" s="3"/>
      <c r="AD8" s="3">
        <f t="shared" si="2"/>
        <v>27.977777777777774</v>
      </c>
      <c r="AE8" s="3">
        <f>AVERAGE(Z8:Z9)</f>
        <v>28.108081166666661</v>
      </c>
      <c r="AF8" s="3">
        <f>AVERAGE(AA8:AA9)</f>
        <v>28.716921764810884</v>
      </c>
      <c r="AG8" s="3">
        <f>AVERAGE(AB8:AB9)</f>
        <v>29.923499999999997</v>
      </c>
    </row>
    <row r="9" spans="1:33" x14ac:dyDescent="0.3">
      <c r="A9">
        <v>2009</v>
      </c>
      <c r="B9">
        <f t="shared" si="0"/>
        <v>28.08855208333333</v>
      </c>
      <c r="G9">
        <v>2015</v>
      </c>
      <c r="H9">
        <v>6</v>
      </c>
      <c r="I9" s="3">
        <v>2015.4166666666665</v>
      </c>
      <c r="J9" s="2">
        <v>28.563735999999999</v>
      </c>
      <c r="K9">
        <f>STANDARDIZE(J9,M$9,N$9)</f>
        <v>-0.22672432381425764</v>
      </c>
      <c r="L9">
        <v>6</v>
      </c>
      <c r="M9" s="2">
        <f t="shared" si="1"/>
        <v>28.648335863636365</v>
      </c>
      <c r="N9" s="9">
        <f t="array" ref="N9">_xlfn.STDEV.S(IF(H$3:H$794=L9,J$3:J$794))</f>
        <v>0.37313977703457435</v>
      </c>
      <c r="X9">
        <v>2008</v>
      </c>
      <c r="Y9" s="3">
        <v>27.633333333333329</v>
      </c>
      <c r="Z9" s="3">
        <v>28.127610249999993</v>
      </c>
      <c r="AA9" s="3">
        <v>28.687753237492867</v>
      </c>
      <c r="AB9" s="3">
        <v>29.978999999999999</v>
      </c>
      <c r="AC9" s="3"/>
      <c r="AD9" s="3">
        <f t="shared" si="2"/>
        <v>27.858333333333331</v>
      </c>
      <c r="AE9" s="3">
        <f>AVERAGE(Z8:Z10)</f>
        <v>28.141726027777775</v>
      </c>
      <c r="AF9" s="3">
        <f>AVERAGE(AA8:AA10)</f>
        <v>28.742111028781448</v>
      </c>
      <c r="AG9" s="3">
        <f>AVERAGE(AB8:AB10)</f>
        <v>30.00033333333333</v>
      </c>
    </row>
    <row r="10" spans="1:33" x14ac:dyDescent="0.3">
      <c r="A10">
        <v>2008</v>
      </c>
      <c r="B10">
        <f t="shared" si="0"/>
        <v>28.127610249999993</v>
      </c>
      <c r="G10">
        <v>2015</v>
      </c>
      <c r="H10">
        <v>5</v>
      </c>
      <c r="I10" s="3">
        <v>2015.3333333333333</v>
      </c>
      <c r="J10" s="2">
        <v>28.284054000000001</v>
      </c>
      <c r="K10">
        <f>STANDARDIZE(J10,M$10,N$10)</f>
        <v>-8.4973518372327334E-2</v>
      </c>
      <c r="L10">
        <v>5</v>
      </c>
      <c r="M10" s="2">
        <f t="shared" si="1"/>
        <v>28.318618681818187</v>
      </c>
      <c r="N10" s="9">
        <f t="array" ref="N10">_xlfn.STDEV.S(IF(H$3:H$794=L10,J$3:J$794))</f>
        <v>0.40677004412991236</v>
      </c>
      <c r="X10">
        <v>2007</v>
      </c>
      <c r="Y10" s="3">
        <v>27.775000000000002</v>
      </c>
      <c r="Z10" s="3">
        <v>28.209015749999995</v>
      </c>
      <c r="AA10" s="3">
        <v>28.792489556722568</v>
      </c>
      <c r="AB10" s="3">
        <v>30.154</v>
      </c>
      <c r="AC10" s="3"/>
      <c r="AD10" s="3">
        <f t="shared" si="2"/>
        <v>27.794444444444441</v>
      </c>
      <c r="AE10" s="3">
        <f>AVERAGE(Z10:Z11)</f>
        <v>28.285511249999999</v>
      </c>
      <c r="AF10" s="3">
        <f>AVERAGE(AA10:AA11)</f>
        <v>28.887022006980285</v>
      </c>
      <c r="AG10" s="3">
        <f>AVERAGE(AB10:AB11)</f>
        <v>30.327500000000001</v>
      </c>
    </row>
    <row r="11" spans="1:33" x14ac:dyDescent="0.3">
      <c r="A11">
        <v>2007</v>
      </c>
      <c r="B11">
        <f t="shared" si="0"/>
        <v>28.209015749999995</v>
      </c>
      <c r="G11">
        <v>2015</v>
      </c>
      <c r="H11">
        <v>4</v>
      </c>
      <c r="I11" s="3">
        <v>2015.2499999999998</v>
      </c>
      <c r="J11" s="2">
        <v>27.440892999999999</v>
      </c>
      <c r="K11">
        <f>STANDARDIZE(J11,M$11,N$11)</f>
        <v>-0.11476599942393409</v>
      </c>
      <c r="L11">
        <v>4</v>
      </c>
      <c r="M11" s="2">
        <f t="shared" si="1"/>
        <v>27.481424484848482</v>
      </c>
      <c r="N11" s="9">
        <f t="array" ref="N11">_xlfn.STDEV.S(IF(H$3:H$794=L11,J$3:J$794))</f>
        <v>0.35316631277494959</v>
      </c>
      <c r="X11">
        <v>2006</v>
      </c>
      <c r="Y11" s="3">
        <v>27.974999999999998</v>
      </c>
      <c r="Z11" s="3">
        <v>28.362006750000003</v>
      </c>
      <c r="AA11" s="3">
        <v>28.981554457238001</v>
      </c>
      <c r="AB11" s="3">
        <v>30.501000000000001</v>
      </c>
      <c r="AC11" s="3"/>
      <c r="AD11" s="3">
        <f t="shared" si="2"/>
        <v>27.961111111111112</v>
      </c>
      <c r="AE11" s="3">
        <f>AVERAGE(Z10:Z12)</f>
        <v>28.37463836111111</v>
      </c>
      <c r="AF11" s="3">
        <f>AVERAGE(AA10:AA12)</f>
        <v>28.939904735456604</v>
      </c>
      <c r="AG11" s="3">
        <f>AVERAGE(AB10:AB12)</f>
        <v>30.260999999999999</v>
      </c>
    </row>
    <row r="12" spans="1:33" x14ac:dyDescent="0.3">
      <c r="A12">
        <v>2006</v>
      </c>
      <c r="B12">
        <f t="shared" si="0"/>
        <v>28.362006750000003</v>
      </c>
      <c r="G12">
        <v>2015</v>
      </c>
      <c r="H12">
        <v>3</v>
      </c>
      <c r="I12" s="3">
        <v>2015.1666666666665</v>
      </c>
      <c r="J12" s="2">
        <v>27.113792</v>
      </c>
      <c r="K12">
        <f>STANDARDIZE(J12,M$12,N$12)</f>
        <v>0.33259595197688929</v>
      </c>
      <c r="L12">
        <v>3</v>
      </c>
      <c r="M12" s="2">
        <f t="shared" si="1"/>
        <v>26.979263060606051</v>
      </c>
      <c r="N12" s="9">
        <f t="array" ref="N12">_xlfn.STDEV.S(IF(H$3:H$794=L12,J$3:J$794))</f>
        <v>0.40448158973172554</v>
      </c>
      <c r="X12">
        <v>2005</v>
      </c>
      <c r="Y12" s="3">
        <v>28.133333333333336</v>
      </c>
      <c r="Z12" s="3">
        <v>28.552892583333328</v>
      </c>
      <c r="AA12" s="3">
        <v>29.045670192409247</v>
      </c>
      <c r="AB12" s="3">
        <v>30.128</v>
      </c>
      <c r="AC12" s="3"/>
      <c r="AD12" s="3">
        <f t="shared" si="2"/>
        <v>27.988888888888891</v>
      </c>
      <c r="AE12" s="3">
        <f>AVERAGE(Z12:Z13)</f>
        <v>28.409779791666665</v>
      </c>
      <c r="AF12" s="3">
        <f>AVERAGE(AA12:AA13)</f>
        <v>28.89908157923994</v>
      </c>
      <c r="AG12" s="3">
        <f>AVERAGE(AB12:AB13)</f>
        <v>30.087</v>
      </c>
    </row>
    <row r="13" spans="1:33" x14ac:dyDescent="0.3">
      <c r="A13">
        <v>2005</v>
      </c>
      <c r="B13">
        <f t="shared" si="0"/>
        <v>28.552892583333328</v>
      </c>
      <c r="G13">
        <v>2015</v>
      </c>
      <c r="H13">
        <v>2</v>
      </c>
      <c r="I13" s="3">
        <v>2015.083333333333</v>
      </c>
      <c r="J13" s="2">
        <v>27.458083999999999</v>
      </c>
      <c r="K13">
        <f>STANDARDIZE(J13,M$13,N$13)</f>
        <v>1.4826020699354048</v>
      </c>
      <c r="L13">
        <v>2</v>
      </c>
      <c r="M13" s="2">
        <f t="shared" si="1"/>
        <v>26.879908863636363</v>
      </c>
      <c r="N13" s="9">
        <f t="array" ref="N13">_xlfn.STDEV.S(IF(H$3:H$794=L13,J$3:J$794))</f>
        <v>0.38997324237435277</v>
      </c>
      <c r="X13">
        <v>2004</v>
      </c>
      <c r="Y13" s="3">
        <v>27.858333333333331</v>
      </c>
      <c r="Z13" s="3">
        <v>28.266666999999998</v>
      </c>
      <c r="AA13" s="3">
        <v>28.75249296607063</v>
      </c>
      <c r="AB13" s="3">
        <v>30.045999999999999</v>
      </c>
      <c r="AC13" s="3"/>
      <c r="AD13" s="3">
        <f t="shared" si="2"/>
        <v>28.005555555555556</v>
      </c>
      <c r="AE13" s="3">
        <f>AVERAGE(Z12:Z14)</f>
        <v>28.372809583333332</v>
      </c>
      <c r="AF13" s="3">
        <f>AVERAGE(AA12:AA14)</f>
        <v>28.974533306260813</v>
      </c>
      <c r="AG13" s="3">
        <f>AVERAGE(AB12:AB14)</f>
        <v>30.104666666666663</v>
      </c>
    </row>
    <row r="14" spans="1:33" x14ac:dyDescent="0.3">
      <c r="A14">
        <v>2004</v>
      </c>
      <c r="B14">
        <f t="shared" si="0"/>
        <v>28.266666999999998</v>
      </c>
      <c r="G14">
        <v>2015</v>
      </c>
      <c r="H14">
        <v>1</v>
      </c>
      <c r="I14" s="3">
        <v>2014.9999999999998</v>
      </c>
      <c r="J14" s="2">
        <v>27.607154999999999</v>
      </c>
      <c r="K14">
        <f>STANDARDIZE(J14,M$14,N$14)</f>
        <v>1.5966428331472937</v>
      </c>
      <c r="L14">
        <v>1</v>
      </c>
      <c r="M14" s="2">
        <f t="shared" si="1"/>
        <v>27.078581621212127</v>
      </c>
      <c r="N14" s="9">
        <f t="array" ref="N14">_xlfn.STDEV.S(IF(H$3:H$794=L14,J$3:J$794))</f>
        <v>0.33105298681355738</v>
      </c>
      <c r="X14">
        <v>2003</v>
      </c>
      <c r="Y14" s="3">
        <v>28.025000000000002</v>
      </c>
      <c r="Z14" s="3">
        <v>28.298869166666666</v>
      </c>
      <c r="AA14" s="3">
        <v>29.125436760302559</v>
      </c>
      <c r="AB14" s="3">
        <v>30.14</v>
      </c>
      <c r="AC14" s="3"/>
      <c r="AD14" s="3">
        <f t="shared" si="2"/>
        <v>27.977777777777778</v>
      </c>
      <c r="AE14" s="3">
        <f>AVERAGE(Z14:Z15)</f>
        <v>28.188156541666665</v>
      </c>
      <c r="AF14" s="3">
        <f>AVERAGE(AA14:AA15)</f>
        <v>29.083507417941743</v>
      </c>
      <c r="AG14" s="3">
        <f>AVERAGE(AB14:AB15)</f>
        <v>30.14</v>
      </c>
    </row>
    <row r="15" spans="1:33" x14ac:dyDescent="0.3">
      <c r="A15">
        <v>2003</v>
      </c>
      <c r="B15">
        <f t="shared" si="0"/>
        <v>28.298869166666666</v>
      </c>
      <c r="G15">
        <v>2014</v>
      </c>
      <c r="H15">
        <v>12</v>
      </c>
      <c r="I15" s="3">
        <v>2014.9166666666665</v>
      </c>
      <c r="J15" s="2">
        <v>28.251197999999999</v>
      </c>
      <c r="K15">
        <f>STANDARDIZE(J15,M$3,N$3)</f>
        <v>1.4188359039008049</v>
      </c>
      <c r="X15">
        <v>2002</v>
      </c>
      <c r="Y15" s="3">
        <v>28.049999999999997</v>
      </c>
      <c r="Z15" s="3">
        <v>28.077443916666667</v>
      </c>
      <c r="AA15" s="3">
        <v>29.041578075580926</v>
      </c>
      <c r="AB15" s="3"/>
      <c r="AC15" s="3"/>
      <c r="AD15" s="3">
        <f t="shared" si="2"/>
        <v>27.927777777777777</v>
      </c>
      <c r="AE15" s="3">
        <f>AVERAGE(Z14:Z16)</f>
        <v>28.133584249999998</v>
      </c>
      <c r="AF15" s="3">
        <f>AVERAGE(AA14:AA16)</f>
        <v>28.937259474869773</v>
      </c>
    </row>
    <row r="16" spans="1:33" x14ac:dyDescent="0.3">
      <c r="A16">
        <v>2002</v>
      </c>
      <c r="B16">
        <f t="shared" si="0"/>
        <v>28.077443916666667</v>
      </c>
      <c r="G16">
        <v>2014</v>
      </c>
      <c r="H16">
        <v>11</v>
      </c>
      <c r="I16" s="3">
        <v>2014.8333333333333</v>
      </c>
      <c r="J16" s="2">
        <v>28.932227999999999</v>
      </c>
      <c r="K16">
        <f>STANDARDIZE(J16,M$4,N$4)</f>
        <v>0.80162907290046925</v>
      </c>
      <c r="X16">
        <v>2001</v>
      </c>
      <c r="Y16" s="3">
        <v>27.708333333333332</v>
      </c>
      <c r="Z16" s="3">
        <v>28.024439666666662</v>
      </c>
      <c r="AA16" s="3">
        <v>28.644763588725834</v>
      </c>
      <c r="AB16" s="3"/>
      <c r="AC16" s="3"/>
      <c r="AD16" s="3">
        <f t="shared" si="2"/>
        <v>27.713888888888889</v>
      </c>
      <c r="AE16" s="3">
        <f>AVERAGE(Z16:Z17)</f>
        <v>27.978155708333333</v>
      </c>
      <c r="AF16" s="3">
        <f>AVERAGE(AA16:AA17)</f>
        <v>28.644763588725834</v>
      </c>
    </row>
    <row r="17" spans="1:31" x14ac:dyDescent="0.3">
      <c r="A17">
        <v>2001</v>
      </c>
      <c r="B17">
        <f t="shared" si="0"/>
        <v>28.024439666666662</v>
      </c>
      <c r="G17">
        <v>2014</v>
      </c>
      <c r="H17">
        <v>10</v>
      </c>
      <c r="I17" s="3">
        <v>2014.75</v>
      </c>
      <c r="J17" s="2">
        <v>29.426392</v>
      </c>
      <c r="K17">
        <f>STANDARDIZE(J17,M$5,N$5)</f>
        <v>1.5870415686816393</v>
      </c>
      <c r="X17">
        <v>2000</v>
      </c>
      <c r="Y17" s="3">
        <v>27.383333333333336</v>
      </c>
      <c r="Z17" s="3">
        <v>27.931871750000003</v>
      </c>
      <c r="AA17" s="3"/>
      <c r="AB17" s="3"/>
      <c r="AC17" s="3"/>
      <c r="AD17" s="3">
        <f t="shared" si="2"/>
        <v>27.5</v>
      </c>
      <c r="AE17" s="3">
        <f>AVERAGE(Z16:Z18)</f>
        <v>28.004978638888886</v>
      </c>
    </row>
    <row r="18" spans="1:31" x14ac:dyDescent="0.3">
      <c r="A18">
        <v>2000</v>
      </c>
      <c r="B18">
        <f t="shared" si="0"/>
        <v>27.931871750000003</v>
      </c>
      <c r="G18">
        <v>2014</v>
      </c>
      <c r="H18">
        <v>9</v>
      </c>
      <c r="I18" s="3">
        <v>2014.6666666666665</v>
      </c>
      <c r="J18" s="2">
        <v>29.139455999999999</v>
      </c>
      <c r="K18">
        <f>STANDARDIZE(J18,M$6,N$6)</f>
        <v>0.9480548003216781</v>
      </c>
      <c r="X18">
        <v>1999</v>
      </c>
      <c r="Y18" s="3">
        <v>27.408333333333335</v>
      </c>
      <c r="Z18" s="3">
        <v>28.058624499999993</v>
      </c>
      <c r="AA18" s="3"/>
      <c r="AB18" s="3"/>
      <c r="AC18" s="3"/>
      <c r="AD18" s="3">
        <f t="shared" si="2"/>
        <v>27.630555555555556</v>
      </c>
      <c r="AE18" s="3">
        <f>AVERAGE(Z18:Z19)</f>
        <v>28.284795416666661</v>
      </c>
    </row>
    <row r="19" spans="1:31" x14ac:dyDescent="0.3">
      <c r="A19">
        <v>1999</v>
      </c>
      <c r="B19">
        <f t="shared" si="0"/>
        <v>28.058624499999993</v>
      </c>
      <c r="G19">
        <v>2014</v>
      </c>
      <c r="H19">
        <v>8</v>
      </c>
      <c r="I19" s="3">
        <v>2014.5833333333333</v>
      </c>
      <c r="J19" s="2">
        <v>28.682107999999999</v>
      </c>
      <c r="K19">
        <f>STANDARDIZE(J19,M$7,N$7)</f>
        <v>0.55844534567349147</v>
      </c>
      <c r="X19">
        <v>1998</v>
      </c>
      <c r="Y19" s="3">
        <v>28.099999999999998</v>
      </c>
      <c r="Z19" s="3">
        <v>28.510966333333329</v>
      </c>
      <c r="AA19" s="3"/>
      <c r="AB19" s="3"/>
      <c r="AC19" s="3"/>
      <c r="AD19" s="3">
        <f t="shared" si="2"/>
        <v>27.758333333333336</v>
      </c>
      <c r="AE19" s="3">
        <f>AVERAGE(Z18:Z20)</f>
        <v>28.228216277777776</v>
      </c>
    </row>
    <row r="20" spans="1:31" x14ac:dyDescent="0.3">
      <c r="A20">
        <v>1998</v>
      </c>
      <c r="B20">
        <f t="shared" si="0"/>
        <v>28.510966333333329</v>
      </c>
      <c r="G20">
        <v>2014</v>
      </c>
      <c r="H20">
        <v>7</v>
      </c>
      <c r="I20" s="3">
        <v>2014.5</v>
      </c>
      <c r="J20" s="2">
        <v>28.297035000000001</v>
      </c>
      <c r="K20">
        <f>STANDARDIZE(J20,M$8,N$8)</f>
        <v>-8.5962403950034984E-3</v>
      </c>
      <c r="X20">
        <v>1997</v>
      </c>
      <c r="Y20" s="3">
        <v>27.766666666666666</v>
      </c>
      <c r="Z20" s="3">
        <v>28.115058000000001</v>
      </c>
      <c r="AA20" s="3"/>
      <c r="AB20" s="3"/>
      <c r="AC20" s="3"/>
      <c r="AD20" s="3">
        <f t="shared" si="2"/>
        <v>27.852777777777774</v>
      </c>
      <c r="AE20" s="3">
        <f>AVERAGE(Z20:Z21)</f>
        <v>28.117961375000004</v>
      </c>
    </row>
    <row r="21" spans="1:31" x14ac:dyDescent="0.3">
      <c r="A21">
        <v>1997</v>
      </c>
      <c r="B21">
        <f t="shared" si="0"/>
        <v>28.115058000000001</v>
      </c>
      <c r="G21">
        <v>2014</v>
      </c>
      <c r="H21">
        <v>6</v>
      </c>
      <c r="I21" s="3">
        <v>2014.4166666666665</v>
      </c>
      <c r="J21" s="2">
        <v>28.557255000000001</v>
      </c>
      <c r="K21">
        <f>STANDARDIZE(J21,M$9,N$9)</f>
        <v>-0.24409315018678554</v>
      </c>
      <c r="X21">
        <v>1996</v>
      </c>
      <c r="Y21" s="3">
        <v>27.691666666666666</v>
      </c>
      <c r="Z21" s="3">
        <v>28.120864750000006</v>
      </c>
      <c r="AA21" s="3"/>
      <c r="AB21" s="3"/>
      <c r="AC21" s="3"/>
      <c r="AD21" s="3">
        <f t="shared" si="2"/>
        <v>27.75</v>
      </c>
      <c r="AE21" s="3">
        <f>AVERAGE(Z20:Z22)</f>
        <v>28.184233527777781</v>
      </c>
    </row>
    <row r="22" spans="1:31" x14ac:dyDescent="0.3">
      <c r="A22">
        <v>1996</v>
      </c>
      <c r="B22">
        <f t="shared" si="0"/>
        <v>28.120864750000006</v>
      </c>
      <c r="G22">
        <v>2014</v>
      </c>
      <c r="H22">
        <v>5</v>
      </c>
      <c r="I22" s="3">
        <v>2014.3333333333333</v>
      </c>
      <c r="J22" s="2">
        <v>28.518550000000001</v>
      </c>
      <c r="K22">
        <f>STANDARDIZE(J22,M$10,N$10)</f>
        <v>0.49150944389100931</v>
      </c>
      <c r="X22">
        <v>1995</v>
      </c>
      <c r="Y22" s="3">
        <v>27.791666666666668</v>
      </c>
      <c r="Z22" s="3">
        <v>28.316777833333333</v>
      </c>
      <c r="AA22" s="3"/>
      <c r="AB22" s="3"/>
      <c r="AC22" s="3"/>
      <c r="AD22" s="3">
        <f t="shared" si="2"/>
        <v>27.661111111111111</v>
      </c>
      <c r="AE22" s="3">
        <f>AVERAGE(Z22:Z23)</f>
        <v>28.102767916666664</v>
      </c>
    </row>
    <row r="23" spans="1:31" x14ac:dyDescent="0.3">
      <c r="A23">
        <v>1995</v>
      </c>
      <c r="B23">
        <f t="shared" si="0"/>
        <v>28.316777833333333</v>
      </c>
      <c r="G23">
        <v>2014</v>
      </c>
      <c r="H23">
        <v>4</v>
      </c>
      <c r="I23" s="3">
        <v>2014.25</v>
      </c>
      <c r="J23" s="2">
        <v>27.790358000000001</v>
      </c>
      <c r="K23">
        <f>STANDARDIZE(J23,M$11,N$11)</f>
        <v>0.87475363299552023</v>
      </c>
      <c r="X23">
        <v>1994</v>
      </c>
      <c r="Y23" s="3">
        <v>27.5</v>
      </c>
      <c r="Z23" s="3">
        <v>27.888757999999999</v>
      </c>
      <c r="AA23" s="3"/>
      <c r="AB23" s="3"/>
      <c r="AC23" s="3"/>
      <c r="AD23" s="3">
        <f t="shared" si="2"/>
        <v>27.694444444444446</v>
      </c>
      <c r="AE23" s="3">
        <f>AVERAGE(Z22:Z24)</f>
        <v>28.104477138888885</v>
      </c>
    </row>
    <row r="24" spans="1:31" x14ac:dyDescent="0.3">
      <c r="A24">
        <v>1994</v>
      </c>
      <c r="B24">
        <f t="shared" si="0"/>
        <v>27.888757999999999</v>
      </c>
      <c r="G24">
        <v>2014</v>
      </c>
      <c r="H24">
        <v>3</v>
      </c>
      <c r="I24" s="3">
        <v>2014.1666666666665</v>
      </c>
      <c r="J24" s="2">
        <v>27.352672999999999</v>
      </c>
      <c r="K24">
        <f>STANDARDIZE(J24,M$12,N$12)</f>
        <v>0.92318154614061443</v>
      </c>
      <c r="X24">
        <v>1993</v>
      </c>
      <c r="Y24" s="3">
        <v>27.791666666666668</v>
      </c>
      <c r="Z24" s="3">
        <v>28.107895583333335</v>
      </c>
      <c r="AA24" s="3"/>
      <c r="AB24" s="3"/>
      <c r="AC24" s="3"/>
      <c r="AD24" s="3">
        <f t="shared" si="2"/>
        <v>27.688888888888894</v>
      </c>
      <c r="AE24" s="3">
        <f>AVERAGE(Z24:Z25)</f>
        <v>27.992924625000001</v>
      </c>
    </row>
    <row r="25" spans="1:31" x14ac:dyDescent="0.3">
      <c r="A25">
        <v>1993</v>
      </c>
      <c r="B25">
        <f t="shared" si="0"/>
        <v>28.107895583333335</v>
      </c>
      <c r="G25">
        <v>2014</v>
      </c>
      <c r="H25">
        <v>2</v>
      </c>
      <c r="I25" s="3">
        <v>2014.0833333333333</v>
      </c>
      <c r="J25" s="2">
        <v>27.098942000000001</v>
      </c>
      <c r="K25">
        <f>STANDARDIZE(J25,M$13,N$13)</f>
        <v>0.56166196180551919</v>
      </c>
      <c r="X25">
        <v>1992</v>
      </c>
      <c r="Y25" s="3">
        <v>27.775000000000002</v>
      </c>
      <c r="Z25" s="3">
        <v>27.87795366666667</v>
      </c>
      <c r="AA25" s="3"/>
      <c r="AB25" s="3"/>
      <c r="AC25" s="3"/>
      <c r="AD25" s="3">
        <f t="shared" si="2"/>
        <v>27.730555555555554</v>
      </c>
      <c r="AE25" s="3">
        <f>AVERAGE(Z24:Z26)</f>
        <v>27.915504444444448</v>
      </c>
    </row>
    <row r="26" spans="1:31" x14ac:dyDescent="0.3">
      <c r="A26">
        <v>1992</v>
      </c>
      <c r="B26">
        <f t="shared" si="0"/>
        <v>27.87795366666667</v>
      </c>
      <c r="G26">
        <v>2014</v>
      </c>
      <c r="H26">
        <v>1</v>
      </c>
      <c r="I26" s="3">
        <v>2014</v>
      </c>
      <c r="J26" s="2">
        <v>27.474537000000002</v>
      </c>
      <c r="K26">
        <f>STANDARDIZE(J26,M$14,N$14)</f>
        <v>1.1960483504438795</v>
      </c>
      <c r="X26">
        <v>1991</v>
      </c>
      <c r="Y26" s="3">
        <v>27.625</v>
      </c>
      <c r="Z26" s="3">
        <v>27.760664083333335</v>
      </c>
      <c r="AA26" s="3"/>
      <c r="AB26" s="3"/>
      <c r="AC26" s="3"/>
      <c r="AD26" s="3">
        <f t="shared" si="2"/>
        <v>27.625</v>
      </c>
      <c r="AE26" s="3">
        <f>AVERAGE(Z26:Z27)</f>
        <v>27.850290750000003</v>
      </c>
    </row>
    <row r="27" spans="1:31" x14ac:dyDescent="0.3">
      <c r="A27">
        <v>1991</v>
      </c>
      <c r="B27">
        <f t="shared" si="0"/>
        <v>27.760664083333335</v>
      </c>
      <c r="G27">
        <v>2013</v>
      </c>
      <c r="H27">
        <v>12</v>
      </c>
      <c r="I27" s="3">
        <v>2013.91666666678</v>
      </c>
      <c r="J27" s="2">
        <v>28.176974999999999</v>
      </c>
      <c r="K27">
        <f>STANDARDIZE(J27,M$3,N$3)</f>
        <v>1.1865809144624955</v>
      </c>
      <c r="X27">
        <v>1990</v>
      </c>
      <c r="Y27" s="3">
        <v>27.474999999999998</v>
      </c>
      <c r="Z27" s="3">
        <v>27.93991741666667</v>
      </c>
      <c r="AA27" s="3"/>
      <c r="AB27" s="3"/>
      <c r="AC27" s="3"/>
      <c r="AD27" s="3">
        <f t="shared" si="2"/>
        <v>27.558333333333334</v>
      </c>
      <c r="AE27" s="3">
        <f>AVERAGE(Z26:Z28)</f>
        <v>27.783423916666667</v>
      </c>
    </row>
    <row r="28" spans="1:31" x14ac:dyDescent="0.3">
      <c r="A28">
        <v>1990</v>
      </c>
      <c r="B28">
        <f t="shared" si="0"/>
        <v>27.93991741666667</v>
      </c>
      <c r="G28">
        <v>2013</v>
      </c>
      <c r="H28">
        <v>11</v>
      </c>
      <c r="I28" s="3">
        <v>2013.8333333334499</v>
      </c>
      <c r="J28" s="2">
        <v>29.361366</v>
      </c>
      <c r="K28">
        <f>STANDARDIZE(J28,M$4,N$4)</f>
        <v>2.1620180533409159</v>
      </c>
      <c r="X28">
        <v>1989</v>
      </c>
      <c r="Y28" s="3">
        <v>27.574999999999999</v>
      </c>
      <c r="Z28" s="3">
        <v>27.649690250000003</v>
      </c>
      <c r="AA28" s="3"/>
      <c r="AB28" s="3"/>
      <c r="AC28" s="3"/>
      <c r="AD28" s="3">
        <f t="shared" si="2"/>
        <v>27.519444444444446</v>
      </c>
      <c r="AE28" s="3">
        <f>AVERAGE(Z28:Z29)</f>
        <v>27.871197166666668</v>
      </c>
    </row>
    <row r="29" spans="1:31" x14ac:dyDescent="0.3">
      <c r="A29">
        <v>1989</v>
      </c>
      <c r="B29">
        <f t="shared" si="0"/>
        <v>27.649690250000003</v>
      </c>
      <c r="G29">
        <v>2013</v>
      </c>
      <c r="H29">
        <v>10</v>
      </c>
      <c r="I29" s="3">
        <v>2013.7500000001201</v>
      </c>
      <c r="J29" s="2">
        <v>29.281445999999999</v>
      </c>
      <c r="K29">
        <f>STANDARDIZE(J29,M$5,N$5)</f>
        <v>1.1278935652095683</v>
      </c>
      <c r="X29">
        <v>1988</v>
      </c>
      <c r="Y29" s="3">
        <v>27.508333333333336</v>
      </c>
      <c r="Z29" s="3">
        <v>28.092704083333334</v>
      </c>
      <c r="AA29" s="3"/>
      <c r="AB29" s="3"/>
      <c r="AC29" s="3"/>
      <c r="AD29" s="3">
        <f t="shared" si="2"/>
        <v>27.683333333333337</v>
      </c>
      <c r="AE29" s="3">
        <f>AVERAGE(Z28:Z30)</f>
        <v>27.996438472222223</v>
      </c>
    </row>
    <row r="30" spans="1:31" x14ac:dyDescent="0.3">
      <c r="A30">
        <v>1988</v>
      </c>
      <c r="B30">
        <f t="shared" si="0"/>
        <v>28.092704083333334</v>
      </c>
      <c r="G30">
        <v>2013</v>
      </c>
      <c r="H30">
        <v>9</v>
      </c>
      <c r="I30" s="3">
        <v>2013.66666666679</v>
      </c>
      <c r="J30" s="2">
        <v>29.336845</v>
      </c>
      <c r="K30">
        <f>STANDARDIZE(J30,M$6,N$6)</f>
        <v>1.5315139632655386</v>
      </c>
      <c r="X30">
        <v>1987</v>
      </c>
      <c r="Y30" s="3">
        <v>27.966666666666669</v>
      </c>
      <c r="Z30" s="3">
        <v>28.246921083333334</v>
      </c>
      <c r="AA30" s="3"/>
      <c r="AB30" s="3"/>
      <c r="AC30" s="3"/>
      <c r="AD30" s="3">
        <f t="shared" si="2"/>
        <v>27.713888888888892</v>
      </c>
      <c r="AE30" s="3">
        <f>AVERAGE(Z30:Z31)</f>
        <v>27.907211791666668</v>
      </c>
    </row>
    <row r="31" spans="1:31" x14ac:dyDescent="0.3">
      <c r="A31">
        <v>1987</v>
      </c>
      <c r="B31">
        <f t="shared" si="0"/>
        <v>28.246921083333334</v>
      </c>
      <c r="G31">
        <v>2013</v>
      </c>
      <c r="H31">
        <v>8</v>
      </c>
      <c r="I31" s="3">
        <v>2013.5833333334599</v>
      </c>
      <c r="J31" s="2">
        <v>28.892918000000002</v>
      </c>
      <c r="K31">
        <f>STANDARDIZE(J31,M$7,N$7)</f>
        <v>1.1816775531606618</v>
      </c>
      <c r="X31">
        <v>1986</v>
      </c>
      <c r="Y31" s="3">
        <v>27.666666666666668</v>
      </c>
      <c r="Z31" s="3">
        <v>27.5675025</v>
      </c>
      <c r="AA31" s="3"/>
      <c r="AB31" s="3"/>
      <c r="AC31" s="3"/>
      <c r="AD31" s="3">
        <f t="shared" si="2"/>
        <v>27.700000000000003</v>
      </c>
      <c r="AE31" s="3">
        <f>AVERAGE(Z30:Z32)</f>
        <v>27.762778611111113</v>
      </c>
    </row>
    <row r="32" spans="1:31" x14ac:dyDescent="0.3">
      <c r="A32">
        <v>1986</v>
      </c>
      <c r="B32">
        <f t="shared" si="0"/>
        <v>27.5675025</v>
      </c>
      <c r="G32">
        <v>2013</v>
      </c>
      <c r="H32">
        <v>7</v>
      </c>
      <c r="I32" s="3">
        <v>2013.5000000001301</v>
      </c>
      <c r="J32" s="2">
        <v>28.520949999999999</v>
      </c>
      <c r="K32">
        <f>STANDARDIZE(J32,M$8,N$8)</f>
        <v>0.63942429148651359</v>
      </c>
      <c r="X32">
        <v>1985</v>
      </c>
      <c r="Y32" s="3">
        <v>27.466666666666665</v>
      </c>
      <c r="Z32" s="3">
        <v>27.473912250000001</v>
      </c>
      <c r="AA32" s="3"/>
      <c r="AB32" s="3"/>
      <c r="AC32" s="3"/>
      <c r="AD32" s="3">
        <f t="shared" si="2"/>
        <v>27.508333333333336</v>
      </c>
      <c r="AE32" s="3">
        <f>AVERAGE(Z32:Z33)</f>
        <v>27.604997000000001</v>
      </c>
    </row>
    <row r="33" spans="1:31" x14ac:dyDescent="0.3">
      <c r="A33">
        <v>1985</v>
      </c>
      <c r="B33">
        <f t="shared" si="0"/>
        <v>27.473912250000001</v>
      </c>
      <c r="G33">
        <v>2013</v>
      </c>
      <c r="H33">
        <v>6</v>
      </c>
      <c r="I33" s="3">
        <v>2013.4166666668</v>
      </c>
      <c r="J33" s="2">
        <v>28.711212</v>
      </c>
      <c r="K33">
        <f>STANDARDIZE(J33,M$9,N$9)</f>
        <v>0.16850558485971423</v>
      </c>
      <c r="X33">
        <v>1984</v>
      </c>
      <c r="Y33" s="3">
        <v>27.391666666666666</v>
      </c>
      <c r="Z33" s="3">
        <v>27.73608175</v>
      </c>
      <c r="AA33" s="3"/>
      <c r="AB33" s="3"/>
      <c r="AC33" s="3"/>
      <c r="AD33" s="3">
        <f t="shared" si="2"/>
        <v>27.658333333333331</v>
      </c>
      <c r="AE33" s="3">
        <f>AVERAGE(Z32:Z34)</f>
        <v>27.789788722222223</v>
      </c>
    </row>
    <row r="34" spans="1:31" x14ac:dyDescent="0.3">
      <c r="A34">
        <v>1984</v>
      </c>
      <c r="B34">
        <f t="shared" si="0"/>
        <v>27.73608175</v>
      </c>
      <c r="G34">
        <v>2013</v>
      </c>
      <c r="H34">
        <v>5</v>
      </c>
      <c r="I34" s="3">
        <v>2013.3333333334699</v>
      </c>
      <c r="J34" s="2">
        <v>28.13054</v>
      </c>
      <c r="K34">
        <f>STANDARDIZE(J34,M$10,N$10)</f>
        <v>-0.46237102395406249</v>
      </c>
      <c r="X34">
        <v>1983</v>
      </c>
      <c r="Y34" s="3">
        <v>28.116666666666664</v>
      </c>
      <c r="Z34" s="3">
        <v>28.159372166666667</v>
      </c>
      <c r="AA34" s="3"/>
      <c r="AB34" s="3"/>
      <c r="AC34" s="3"/>
      <c r="AD34" s="3">
        <f t="shared" si="2"/>
        <v>27.7</v>
      </c>
      <c r="AE34" s="3">
        <f>AVERAGE(Z34:Z35)</f>
        <v>27.994616958333335</v>
      </c>
    </row>
    <row r="35" spans="1:31" x14ac:dyDescent="0.3">
      <c r="A35">
        <v>1983</v>
      </c>
      <c r="B35">
        <f t="shared" ref="B35:B66" si="3">AVERAGEIF(G$3:G$782,A35,J$3:J$782)</f>
        <v>28.159372166666667</v>
      </c>
      <c r="G35">
        <v>2013</v>
      </c>
      <c r="H35">
        <v>4</v>
      </c>
      <c r="I35" s="3">
        <v>2013.2500000001401</v>
      </c>
      <c r="J35" s="2">
        <v>27.87162</v>
      </c>
      <c r="K35">
        <f>STANDARDIZE(J35,M$11,N$11)</f>
        <v>1.1048491915483596</v>
      </c>
      <c r="X35">
        <v>1982</v>
      </c>
      <c r="Y35" s="3">
        <v>27.591666666666669</v>
      </c>
      <c r="Z35" s="3">
        <v>27.829861750000003</v>
      </c>
      <c r="AA35" s="3"/>
      <c r="AB35" s="3"/>
      <c r="AC35" s="3"/>
      <c r="AD35" s="3">
        <f t="shared" si="2"/>
        <v>27.855555555555554</v>
      </c>
      <c r="AE35" s="3">
        <f>AVERAGE(Z34:Z36)</f>
        <v>28.057426888888887</v>
      </c>
    </row>
    <row r="36" spans="1:31" x14ac:dyDescent="0.3">
      <c r="A36">
        <v>1982</v>
      </c>
      <c r="B36">
        <f t="shared" si="3"/>
        <v>27.829861750000003</v>
      </c>
      <c r="G36">
        <v>2013</v>
      </c>
      <c r="H36">
        <v>3</v>
      </c>
      <c r="I36" s="3">
        <v>2013.16666666681</v>
      </c>
      <c r="J36" s="2">
        <v>27.291796000000001</v>
      </c>
      <c r="K36">
        <f>STANDARDIZE(J36,M$12,N$12)</f>
        <v>0.77267531410079571</v>
      </c>
      <c r="X36">
        <v>1981</v>
      </c>
      <c r="Y36" s="3">
        <v>27.858333333333334</v>
      </c>
      <c r="Z36" s="3">
        <v>28.183046749999992</v>
      </c>
      <c r="AA36" s="3"/>
      <c r="AB36" s="3"/>
      <c r="AC36" s="3"/>
      <c r="AD36" s="3">
        <f t="shared" ref="AD36:AD63" si="4">AVERAGE(Y35:Y37)</f>
        <v>27.852777777777778</v>
      </c>
      <c r="AE36" s="3">
        <f>AVERAGE(Z36:Z37)</f>
        <v>28.113136041666664</v>
      </c>
    </row>
    <row r="37" spans="1:31" x14ac:dyDescent="0.3">
      <c r="A37">
        <v>1981</v>
      </c>
      <c r="B37">
        <f t="shared" si="3"/>
        <v>28.183046749999992</v>
      </c>
      <c r="G37">
        <v>2013</v>
      </c>
      <c r="H37">
        <v>2</v>
      </c>
      <c r="I37" s="3">
        <v>2013.0833333334799</v>
      </c>
      <c r="J37" s="2">
        <v>27.305792</v>
      </c>
      <c r="K37">
        <f>STANDARDIZE(J37,M$13,N$13)</f>
        <v>1.092082969002302</v>
      </c>
      <c r="X37">
        <v>1980</v>
      </c>
      <c r="Y37" s="3">
        <v>28.108333333333334</v>
      </c>
      <c r="Z37" s="3">
        <v>28.043225333333336</v>
      </c>
      <c r="AA37" s="3"/>
      <c r="AB37" s="3"/>
      <c r="AC37" s="3"/>
      <c r="AD37" s="3">
        <f t="shared" si="4"/>
        <v>28.022222222222222</v>
      </c>
      <c r="AE37" s="3">
        <f>AVERAGE(Z36:Z38)</f>
        <v>28.071015499999998</v>
      </c>
    </row>
    <row r="38" spans="1:31" x14ac:dyDescent="0.3">
      <c r="A38">
        <v>1980</v>
      </c>
      <c r="B38">
        <f t="shared" si="3"/>
        <v>28.043225333333336</v>
      </c>
      <c r="G38">
        <v>2013</v>
      </c>
      <c r="H38">
        <v>1</v>
      </c>
      <c r="I38" s="3">
        <v>2013.0000000001501</v>
      </c>
      <c r="J38" s="2">
        <v>27.197937</v>
      </c>
      <c r="K38">
        <f>STANDARDIZE(J38,M$14,N$14)</f>
        <v>0.36053255382677263</v>
      </c>
      <c r="X38">
        <v>1979</v>
      </c>
      <c r="Y38" s="3">
        <v>28.099999999999998</v>
      </c>
      <c r="Z38" s="3">
        <v>27.986774416666663</v>
      </c>
      <c r="AA38" s="3"/>
      <c r="AB38" s="3"/>
      <c r="AC38" s="3"/>
      <c r="AD38" s="3">
        <f t="shared" si="4"/>
        <v>28.113888888888891</v>
      </c>
      <c r="AE38" s="3">
        <f>AVERAGE(Z38:Z39)</f>
        <v>27.979588958333331</v>
      </c>
    </row>
    <row r="39" spans="1:31" x14ac:dyDescent="0.3">
      <c r="A39">
        <v>1979</v>
      </c>
      <c r="B39">
        <f t="shared" si="3"/>
        <v>27.986774416666663</v>
      </c>
      <c r="G39">
        <v>2012</v>
      </c>
      <c r="H39">
        <v>12</v>
      </c>
      <c r="I39" s="3">
        <v>2012.91666666682</v>
      </c>
      <c r="J39" s="2">
        <v>28.103085</v>
      </c>
      <c r="K39">
        <f>STANDARDIZE(J39,M$3,N$3)</f>
        <v>0.95536793237343398</v>
      </c>
      <c r="X39">
        <v>1978</v>
      </c>
      <c r="Y39" s="3">
        <v>28.133333333333336</v>
      </c>
      <c r="Z39" s="3">
        <v>27.972403500000002</v>
      </c>
      <c r="AA39" s="3"/>
      <c r="AB39" s="3"/>
      <c r="AC39" s="3"/>
      <c r="AD39" s="3">
        <f t="shared" si="4"/>
        <v>27.974999999999998</v>
      </c>
      <c r="AE39" s="3">
        <f>AVERAGE(Z38:Z40)</f>
        <v>27.911075916666665</v>
      </c>
    </row>
    <row r="40" spans="1:31" x14ac:dyDescent="0.3">
      <c r="A40">
        <v>1978</v>
      </c>
      <c r="B40">
        <f t="shared" si="3"/>
        <v>27.972403500000002</v>
      </c>
      <c r="G40">
        <v>2012</v>
      </c>
      <c r="H40">
        <v>11</v>
      </c>
      <c r="I40" s="3">
        <v>2012.8333333334899</v>
      </c>
      <c r="J40" s="2">
        <v>29.116371000000001</v>
      </c>
      <c r="K40">
        <f>STANDARDIZE(J40,M$4,N$4)</f>
        <v>1.3853716173156629</v>
      </c>
      <c r="X40">
        <v>1977</v>
      </c>
      <c r="Y40" s="3">
        <v>27.691666666666666</v>
      </c>
      <c r="Z40" s="3">
        <v>27.774049833333333</v>
      </c>
      <c r="AA40" s="3"/>
      <c r="AB40" s="3"/>
      <c r="AC40" s="3"/>
      <c r="AD40" s="3">
        <f t="shared" si="4"/>
        <v>27.683333333333337</v>
      </c>
      <c r="AE40" s="3">
        <f>AVERAGE(Z40:Z41)</f>
        <v>27.644258666666666</v>
      </c>
    </row>
    <row r="41" spans="1:31" x14ac:dyDescent="0.3">
      <c r="A41">
        <v>1977</v>
      </c>
      <c r="B41">
        <f t="shared" si="3"/>
        <v>27.774049833333333</v>
      </c>
      <c r="G41">
        <v>2012</v>
      </c>
      <c r="H41">
        <v>10</v>
      </c>
      <c r="I41" s="3">
        <v>2012.7500000001601</v>
      </c>
      <c r="J41" s="2">
        <v>29.136683999999999</v>
      </c>
      <c r="K41">
        <f>STANDARDIZE(J41,M$5,N$5)</f>
        <v>0.669328421786338</v>
      </c>
      <c r="X41">
        <v>1976</v>
      </c>
      <c r="Y41" s="3">
        <v>27.225000000000005</v>
      </c>
      <c r="Z41" s="3">
        <v>27.514467499999995</v>
      </c>
      <c r="AA41" s="3"/>
      <c r="AB41" s="3"/>
      <c r="AC41" s="3"/>
      <c r="AD41" s="3">
        <f t="shared" si="4"/>
        <v>27.325000000000003</v>
      </c>
      <c r="AE41" s="3">
        <f>AVERAGE(Z40:Z42)</f>
        <v>27.61582397222222</v>
      </c>
    </row>
    <row r="42" spans="1:31" x14ac:dyDescent="0.3">
      <c r="A42">
        <v>1976</v>
      </c>
      <c r="B42">
        <f t="shared" si="3"/>
        <v>27.514467499999995</v>
      </c>
      <c r="G42">
        <v>2012</v>
      </c>
      <c r="H42">
        <v>9</v>
      </c>
      <c r="I42" s="3">
        <v>2012.66666666683</v>
      </c>
      <c r="J42" s="2">
        <v>29.272096999999999</v>
      </c>
      <c r="K42">
        <f>STANDARDIZE(J42,M$6,N$6)</f>
        <v>1.340126328279345</v>
      </c>
      <c r="X42">
        <v>1975</v>
      </c>
      <c r="Y42" s="3">
        <v>27.058333333333334</v>
      </c>
      <c r="Z42" s="3">
        <v>27.558954583333335</v>
      </c>
      <c r="AA42" s="3"/>
      <c r="AB42" s="3"/>
      <c r="AC42" s="3"/>
      <c r="AD42" s="3">
        <f t="shared" si="4"/>
        <v>27.355555555555554</v>
      </c>
      <c r="AE42" s="3">
        <f>AVERAGE(Z42:Z43)</f>
        <v>27.575872666666669</v>
      </c>
    </row>
    <row r="43" spans="1:31" x14ac:dyDescent="0.3">
      <c r="A43">
        <v>1975</v>
      </c>
      <c r="B43">
        <f t="shared" si="3"/>
        <v>27.558954583333335</v>
      </c>
      <c r="G43">
        <v>2012</v>
      </c>
      <c r="H43">
        <v>8</v>
      </c>
      <c r="I43" s="3">
        <v>2012.5833333334999</v>
      </c>
      <c r="J43" s="2">
        <v>28.836069999999999</v>
      </c>
      <c r="K43">
        <f>STANDARDIZE(J43,M$7,N$7)</f>
        <v>1.0136138724470729</v>
      </c>
      <c r="X43">
        <v>1974</v>
      </c>
      <c r="Y43" s="3">
        <v>27.783333333333331</v>
      </c>
      <c r="Z43" s="3">
        <v>27.592790750000002</v>
      </c>
      <c r="AA43" s="3"/>
      <c r="AB43" s="3"/>
      <c r="AC43" s="3"/>
      <c r="AD43" s="3">
        <f t="shared" si="4"/>
        <v>27.591666666666669</v>
      </c>
      <c r="AE43" s="3">
        <f>AVERAGE(Z42:Z44)</f>
        <v>27.742795638888889</v>
      </c>
    </row>
    <row r="44" spans="1:31" x14ac:dyDescent="0.3">
      <c r="A44">
        <v>1974</v>
      </c>
      <c r="B44">
        <f t="shared" si="3"/>
        <v>27.592790750000002</v>
      </c>
      <c r="G44">
        <v>2012</v>
      </c>
      <c r="H44">
        <v>7</v>
      </c>
      <c r="I44" s="3">
        <v>2012.5000000001701</v>
      </c>
      <c r="J44" s="2">
        <v>28.560043</v>
      </c>
      <c r="K44">
        <f>STANDARDIZE(J44,M$8,N$8)</f>
        <v>0.75256127048678201</v>
      </c>
      <c r="X44">
        <v>1973</v>
      </c>
      <c r="Y44" s="3">
        <v>27.933333333333334</v>
      </c>
      <c r="Z44" s="3">
        <v>28.07664158333333</v>
      </c>
      <c r="AA44" s="3"/>
      <c r="AB44" s="3"/>
      <c r="AC44" s="3"/>
      <c r="AD44" s="3">
        <f t="shared" si="4"/>
        <v>28.044444444444441</v>
      </c>
      <c r="AE44" s="3">
        <f>AVERAGE(Z44:Z45)</f>
        <v>27.97301525</v>
      </c>
    </row>
    <row r="45" spans="1:31" x14ac:dyDescent="0.3">
      <c r="A45">
        <v>1973</v>
      </c>
      <c r="B45">
        <f t="shared" si="3"/>
        <v>28.07664158333333</v>
      </c>
      <c r="G45">
        <v>2012</v>
      </c>
      <c r="H45">
        <v>6</v>
      </c>
      <c r="I45" s="3">
        <v>2012.41666666684</v>
      </c>
      <c r="J45" s="2">
        <v>28.727872999999999</v>
      </c>
      <c r="K45">
        <f>STANDARDIZE(J45,M$9,N$9)</f>
        <v>0.21315641284811004</v>
      </c>
      <c r="X45">
        <v>1972</v>
      </c>
      <c r="Y45" s="3">
        <v>28.416666666666661</v>
      </c>
      <c r="Z45" s="3">
        <v>27.869388916666669</v>
      </c>
      <c r="AA45" s="3"/>
      <c r="AB45" s="3"/>
      <c r="AC45" s="3"/>
      <c r="AD45" s="3">
        <f t="shared" si="4"/>
        <v>28.072222222222223</v>
      </c>
      <c r="AE45" s="3">
        <f>AVERAGE(Z44:Z46)</f>
        <v>27.87640408333333</v>
      </c>
    </row>
    <row r="46" spans="1:31" x14ac:dyDescent="0.3">
      <c r="A46">
        <v>1972</v>
      </c>
      <c r="B46">
        <f t="shared" si="3"/>
        <v>27.869388916666669</v>
      </c>
      <c r="G46">
        <v>2012</v>
      </c>
      <c r="H46">
        <v>5</v>
      </c>
      <c r="I46" s="3">
        <v>2012.3333333335099</v>
      </c>
      <c r="J46" s="2">
        <v>28.609591999999999</v>
      </c>
      <c r="K46">
        <f>STANDARDIZE(J46,M$10,N$10)</f>
        <v>0.71532631859410689</v>
      </c>
      <c r="X46">
        <v>1971</v>
      </c>
      <c r="Y46" s="3">
        <v>27.866666666666671</v>
      </c>
      <c r="Z46" s="3">
        <v>27.683181750000003</v>
      </c>
      <c r="AA46" s="3"/>
      <c r="AB46" s="3"/>
      <c r="AC46" s="3"/>
      <c r="AD46" s="3">
        <f t="shared" si="4"/>
        <v>27.952777777777779</v>
      </c>
      <c r="AE46" s="3">
        <f>AVERAGE(Z46:Z47)</f>
        <v>27.860200083333332</v>
      </c>
    </row>
    <row r="47" spans="1:31" x14ac:dyDescent="0.3">
      <c r="A47">
        <v>1971</v>
      </c>
      <c r="B47">
        <f t="shared" si="3"/>
        <v>27.683181750000003</v>
      </c>
      <c r="G47">
        <v>2012</v>
      </c>
      <c r="H47">
        <v>4</v>
      </c>
      <c r="I47" s="3">
        <v>2012.2500000001801</v>
      </c>
      <c r="J47" s="2">
        <v>27.742134</v>
      </c>
      <c r="K47">
        <f>STANDARDIZE(J47,M$11,N$11)</f>
        <v>0.73820606813552958</v>
      </c>
      <c r="X47">
        <v>1970</v>
      </c>
      <c r="Y47" s="3">
        <v>27.575000000000003</v>
      </c>
      <c r="Z47" s="3">
        <v>28.037218416666665</v>
      </c>
      <c r="AA47" s="3"/>
      <c r="AB47" s="3"/>
      <c r="AC47" s="3"/>
      <c r="AD47" s="3">
        <f t="shared" si="4"/>
        <v>27.647222222222226</v>
      </c>
      <c r="AE47" s="3">
        <f>AVERAGE(Z46:Z48)</f>
        <v>28.065060527777778</v>
      </c>
    </row>
    <row r="48" spans="1:31" x14ac:dyDescent="0.3">
      <c r="A48">
        <v>1970</v>
      </c>
      <c r="B48">
        <f t="shared" si="3"/>
        <v>28.037218416666665</v>
      </c>
      <c r="G48">
        <v>2012</v>
      </c>
      <c r="H48">
        <v>3</v>
      </c>
      <c r="I48" s="3">
        <v>2012.16666666685</v>
      </c>
      <c r="J48" s="2">
        <v>26.82704</v>
      </c>
      <c r="K48">
        <f>STANDARDIZE(J48,M$12,N$12)</f>
        <v>-0.3763411350984201</v>
      </c>
      <c r="X48">
        <v>1969</v>
      </c>
      <c r="Y48" s="3">
        <v>27.500000000000004</v>
      </c>
      <c r="Z48" s="3">
        <v>28.474781416666669</v>
      </c>
      <c r="AA48" s="3"/>
      <c r="AB48" s="3"/>
      <c r="AC48" s="3"/>
      <c r="AD48" s="3">
        <f t="shared" si="4"/>
        <v>27.444444444444446</v>
      </c>
      <c r="AE48" s="3">
        <f>AVERAGE(Z48:Z49)</f>
        <v>28.123396375000002</v>
      </c>
    </row>
    <row r="49" spans="1:31" x14ac:dyDescent="0.3">
      <c r="A49">
        <v>1969</v>
      </c>
      <c r="B49">
        <f t="shared" si="3"/>
        <v>28.474781416666669</v>
      </c>
      <c r="G49">
        <v>2012</v>
      </c>
      <c r="H49">
        <v>2</v>
      </c>
      <c r="I49" s="3">
        <v>2012.0833333335199</v>
      </c>
      <c r="J49" s="2">
        <v>27.037662999999998</v>
      </c>
      <c r="K49">
        <f>STANDARDIZE(J49,M$13,N$13)</f>
        <v>0.40452553976049571</v>
      </c>
      <c r="X49">
        <v>1968</v>
      </c>
      <c r="Y49" s="3">
        <v>27.258333333333336</v>
      </c>
      <c r="Z49" s="3">
        <v>27.772011333333335</v>
      </c>
      <c r="AA49" s="3"/>
      <c r="AB49" s="3"/>
      <c r="AC49" s="3"/>
      <c r="AD49" s="3">
        <f t="shared" si="4"/>
        <v>27.483333333333334</v>
      </c>
      <c r="AE49" s="3">
        <f>AVERAGE(Z48:Z50)</f>
        <v>28.02084269444445</v>
      </c>
    </row>
    <row r="50" spans="1:31" x14ac:dyDescent="0.3">
      <c r="A50">
        <v>1968</v>
      </c>
      <c r="B50">
        <f t="shared" si="3"/>
        <v>27.772011333333335</v>
      </c>
      <c r="G50">
        <v>2012</v>
      </c>
      <c r="H50">
        <v>1</v>
      </c>
      <c r="I50" s="3">
        <v>2012.0000000001901</v>
      </c>
      <c r="J50" s="2">
        <v>27.202068000000001</v>
      </c>
      <c r="K50">
        <f>STANDARDIZE(J50,M$14,N$14)</f>
        <v>0.37301091881529785</v>
      </c>
      <c r="X50">
        <v>1967</v>
      </c>
      <c r="Y50" s="3">
        <v>27.691666666666663</v>
      </c>
      <c r="Z50" s="3">
        <v>27.815735333333336</v>
      </c>
      <c r="AA50" s="3"/>
      <c r="AB50" s="3"/>
      <c r="AC50" s="3"/>
      <c r="AD50" s="3">
        <f t="shared" si="4"/>
        <v>27.474999999999998</v>
      </c>
      <c r="AE50" s="3">
        <f>AVERAGE(Z50:Z51)</f>
        <v>27.946308708333333</v>
      </c>
    </row>
    <row r="51" spans="1:31" x14ac:dyDescent="0.3">
      <c r="A51">
        <v>1967</v>
      </c>
      <c r="B51">
        <f t="shared" si="3"/>
        <v>27.815735333333336</v>
      </c>
      <c r="G51">
        <v>2011</v>
      </c>
      <c r="H51">
        <v>12</v>
      </c>
      <c r="I51" s="3">
        <v>2011.91666666686</v>
      </c>
      <c r="J51" s="2">
        <v>28.073639</v>
      </c>
      <c r="K51">
        <f>STANDARDIZE(J51,M$3,N$3)</f>
        <v>0.86322694616968998</v>
      </c>
      <c r="X51">
        <v>1966</v>
      </c>
      <c r="Y51" s="3">
        <v>27.474999999999998</v>
      </c>
      <c r="Z51" s="3">
        <v>28.076882083333331</v>
      </c>
      <c r="AA51" s="3"/>
      <c r="AB51" s="3"/>
      <c r="AC51" s="3"/>
      <c r="AD51" s="3">
        <f t="shared" si="4"/>
        <v>27.602777777777774</v>
      </c>
      <c r="AE51" s="3">
        <f>AVERAGE(Z50:Z52)</f>
        <v>27.845928666666666</v>
      </c>
    </row>
    <row r="52" spans="1:31" x14ac:dyDescent="0.3">
      <c r="A52">
        <v>1966</v>
      </c>
      <c r="B52">
        <f t="shared" si="3"/>
        <v>28.076882083333331</v>
      </c>
      <c r="G52">
        <v>2011</v>
      </c>
      <c r="H52">
        <v>11</v>
      </c>
      <c r="I52" s="3">
        <v>2011.8333333335299</v>
      </c>
      <c r="J52" s="2">
        <v>29.308039999999998</v>
      </c>
      <c r="K52">
        <f>STANDARDIZE(J52,M$4,N$4)</f>
        <v>1.9929719591451802</v>
      </c>
      <c r="X52">
        <v>1965</v>
      </c>
      <c r="Y52" s="3">
        <v>27.641666666666666</v>
      </c>
      <c r="Z52" s="3">
        <v>27.645168583333334</v>
      </c>
      <c r="AA52" s="3"/>
      <c r="AB52" s="3"/>
      <c r="AC52" s="3"/>
      <c r="AD52" s="3">
        <f t="shared" si="4"/>
        <v>27.522222222222222</v>
      </c>
      <c r="AE52" s="3">
        <f>AVERAGE(Z52:Z53)</f>
        <v>27.765675708333333</v>
      </c>
    </row>
    <row r="53" spans="1:31" x14ac:dyDescent="0.3">
      <c r="A53">
        <v>1965</v>
      </c>
      <c r="B53">
        <f t="shared" si="3"/>
        <v>27.645168583333334</v>
      </c>
      <c r="G53">
        <v>2011</v>
      </c>
      <c r="H53">
        <v>10</v>
      </c>
      <c r="I53" s="3">
        <v>2011.7500000002001</v>
      </c>
      <c r="J53" s="2">
        <v>29.321407000000001</v>
      </c>
      <c r="K53">
        <f>STANDARDIZE(J53,M$5,N$5)</f>
        <v>1.2544787304900733</v>
      </c>
      <c r="X53">
        <v>1964</v>
      </c>
      <c r="Y53" s="3">
        <v>27.450000000000003</v>
      </c>
      <c r="Z53" s="3">
        <v>27.886182833333336</v>
      </c>
      <c r="AA53" s="3"/>
      <c r="AB53" s="3"/>
      <c r="AC53" s="3"/>
      <c r="AD53" s="3">
        <f t="shared" si="4"/>
        <v>27.644444444444446</v>
      </c>
      <c r="AE53" s="3">
        <f>AVERAGE(Z52:Z54)</f>
        <v>27.912169861111114</v>
      </c>
    </row>
    <row r="54" spans="1:31" x14ac:dyDescent="0.3">
      <c r="A54">
        <v>1964</v>
      </c>
      <c r="B54">
        <f t="shared" si="3"/>
        <v>27.886182833333336</v>
      </c>
      <c r="G54">
        <v>2011</v>
      </c>
      <c r="H54">
        <v>9</v>
      </c>
      <c r="I54" s="3">
        <v>2011.66666666687</v>
      </c>
      <c r="J54" s="2">
        <v>29.176784999999999</v>
      </c>
      <c r="K54">
        <f>STANDARDIZE(J54,M$6,N$6)</f>
        <v>1.0583950274545533</v>
      </c>
      <c r="X54">
        <v>1963</v>
      </c>
      <c r="Y54" s="3">
        <v>27.841666666666669</v>
      </c>
      <c r="Z54" s="3">
        <v>28.205158166666674</v>
      </c>
      <c r="AA54" s="3"/>
      <c r="AB54" s="3"/>
      <c r="AC54" s="3"/>
      <c r="AD54" s="3">
        <f t="shared" si="4"/>
        <v>27.716666666666669</v>
      </c>
      <c r="AE54" s="3">
        <f>AVERAGE(Z54:Z55)</f>
        <v>28.135592625000005</v>
      </c>
    </row>
    <row r="55" spans="1:31" x14ac:dyDescent="0.3">
      <c r="A55">
        <v>1963</v>
      </c>
      <c r="B55">
        <f t="shared" si="3"/>
        <v>28.205158166666674</v>
      </c>
      <c r="G55">
        <v>2011</v>
      </c>
      <c r="H55">
        <v>8</v>
      </c>
      <c r="I55" s="3">
        <v>2011.5833333335399</v>
      </c>
      <c r="J55" s="2">
        <v>28.852049000000001</v>
      </c>
      <c r="K55">
        <f>STANDARDIZE(J55,M$7,N$7)</f>
        <v>1.0608536971396318</v>
      </c>
      <c r="X55">
        <v>1962</v>
      </c>
      <c r="Y55" s="3">
        <v>27.858333333333331</v>
      </c>
      <c r="Z55" s="3">
        <v>28.066027083333335</v>
      </c>
      <c r="AA55" s="3"/>
      <c r="AB55" s="3"/>
      <c r="AC55" s="3"/>
      <c r="AD55" s="3">
        <f t="shared" si="4"/>
        <v>27.680555555555557</v>
      </c>
      <c r="AE55" s="3">
        <f>AVERAGE(Z54:Z56)</f>
        <v>28.110744166666667</v>
      </c>
    </row>
    <row r="56" spans="1:31" x14ac:dyDescent="0.3">
      <c r="A56">
        <v>1962</v>
      </c>
      <c r="B56">
        <f t="shared" si="3"/>
        <v>28.066027083333335</v>
      </c>
      <c r="G56">
        <v>2011</v>
      </c>
      <c r="H56">
        <v>7</v>
      </c>
      <c r="I56" s="3">
        <v>2011.5000000002101</v>
      </c>
      <c r="J56" s="2">
        <v>28.574192</v>
      </c>
      <c r="K56">
        <f>STANDARDIZE(J56,M$8,N$8)</f>
        <v>0.79350914135560058</v>
      </c>
      <c r="X56">
        <v>1961</v>
      </c>
      <c r="Y56" s="3">
        <v>27.341666666666665</v>
      </c>
      <c r="Z56" s="3">
        <v>28.061047249999998</v>
      </c>
      <c r="AA56" s="3"/>
      <c r="AB56" s="3"/>
      <c r="AC56" s="3"/>
      <c r="AD56" s="3">
        <f t="shared" si="4"/>
        <v>27.7</v>
      </c>
      <c r="AE56" s="3">
        <f>AVERAGE(Z56:Z57)</f>
        <v>28.190196541666666</v>
      </c>
    </row>
    <row r="57" spans="1:31" x14ac:dyDescent="0.3">
      <c r="A57">
        <v>1961</v>
      </c>
      <c r="B57">
        <f t="shared" si="3"/>
        <v>28.061047249999998</v>
      </c>
      <c r="G57">
        <v>2011</v>
      </c>
      <c r="H57">
        <v>6</v>
      </c>
      <c r="I57" s="3">
        <v>2011.41666666688</v>
      </c>
      <c r="J57" s="2">
        <v>29.025691999999999</v>
      </c>
      <c r="K57">
        <f>STANDARDIZE(J57,M$9,N$9)</f>
        <v>1.0112996779988668</v>
      </c>
      <c r="X57">
        <v>1960</v>
      </c>
      <c r="Y57" s="3">
        <v>27.900000000000006</v>
      </c>
      <c r="Z57" s="3">
        <v>28.31934583333333</v>
      </c>
      <c r="AA57" s="3"/>
      <c r="AB57" s="3"/>
      <c r="AC57" s="3"/>
      <c r="AD57" s="3">
        <f t="shared" si="4"/>
        <v>27.572222222222223</v>
      </c>
      <c r="AE57" s="3">
        <f>AVERAGE(Z56:Z58)</f>
        <v>28.095010944444443</v>
      </c>
    </row>
    <row r="58" spans="1:31" x14ac:dyDescent="0.3">
      <c r="A58">
        <v>1960</v>
      </c>
      <c r="B58">
        <f t="shared" si="3"/>
        <v>28.31934583333333</v>
      </c>
      <c r="G58">
        <v>2011</v>
      </c>
      <c r="H58">
        <v>5</v>
      </c>
      <c r="I58" s="3">
        <v>2011.3333333335499</v>
      </c>
      <c r="J58" s="2">
        <v>28.625941999999998</v>
      </c>
      <c r="K58">
        <f>STANDARDIZE(J58,M$10,N$10)</f>
        <v>0.75552101885767253</v>
      </c>
      <c r="X58">
        <v>1959</v>
      </c>
      <c r="Y58" s="3">
        <v>27.474999999999994</v>
      </c>
      <c r="Z58" s="3">
        <v>27.904639750000001</v>
      </c>
      <c r="AA58" s="3"/>
      <c r="AB58" s="3"/>
      <c r="AC58" s="3"/>
      <c r="AD58" s="3">
        <f t="shared" si="4"/>
        <v>27.902777777777775</v>
      </c>
      <c r="AE58" s="3">
        <f>AVERAGE(Z58:Z59)</f>
        <v>28.236562875000004</v>
      </c>
    </row>
    <row r="59" spans="1:31" x14ac:dyDescent="0.3">
      <c r="A59">
        <v>1959</v>
      </c>
      <c r="B59">
        <f t="shared" si="3"/>
        <v>27.904639750000001</v>
      </c>
      <c r="G59">
        <v>2011</v>
      </c>
      <c r="H59">
        <v>4</v>
      </c>
      <c r="I59" s="3">
        <v>2011.2500000002201</v>
      </c>
      <c r="J59" s="2">
        <v>27.722183000000001</v>
      </c>
      <c r="K59">
        <f>STANDARDIZE(J59,M$11,N$11)</f>
        <v>0.68171427014031016</v>
      </c>
      <c r="X59">
        <v>1958</v>
      </c>
      <c r="Y59" s="3">
        <v>28.333333333333329</v>
      </c>
      <c r="Z59" s="3">
        <v>28.568486000000004</v>
      </c>
      <c r="AA59" s="3"/>
      <c r="AB59" s="3"/>
      <c r="AC59" s="3"/>
      <c r="AD59" s="3">
        <f t="shared" si="4"/>
        <v>27.972222222222218</v>
      </c>
      <c r="AE59" s="3">
        <f>AVERAGE(Z58:Z60)</f>
        <v>28.109800527777782</v>
      </c>
    </row>
    <row r="60" spans="1:31" x14ac:dyDescent="0.3">
      <c r="A60">
        <v>1958</v>
      </c>
      <c r="B60">
        <f t="shared" si="3"/>
        <v>28.568486000000004</v>
      </c>
      <c r="G60">
        <v>2011</v>
      </c>
      <c r="H60">
        <v>3</v>
      </c>
      <c r="I60" s="3">
        <v>2011.16666666689</v>
      </c>
      <c r="J60" s="2">
        <v>27.348398</v>
      </c>
      <c r="K60">
        <f>STANDARDIZE(J60,M$12,N$12)</f>
        <v>0.9126124618892516</v>
      </c>
      <c r="X60">
        <v>1957</v>
      </c>
      <c r="Y60" s="3">
        <v>28.108333333333334</v>
      </c>
      <c r="Z60" s="3">
        <v>27.856275833333338</v>
      </c>
      <c r="AA60" s="3"/>
      <c r="AB60" s="3"/>
      <c r="AC60" s="3"/>
      <c r="AD60" s="3">
        <f t="shared" si="4"/>
        <v>27.913888888888888</v>
      </c>
      <c r="AE60" s="3">
        <f>AVERAGE(Z60:Z61)</f>
        <v>27.789856125000004</v>
      </c>
    </row>
    <row r="61" spans="1:31" x14ac:dyDescent="0.3">
      <c r="A61">
        <v>1957</v>
      </c>
      <c r="B61">
        <f t="shared" si="3"/>
        <v>27.856275833333338</v>
      </c>
      <c r="G61">
        <v>2011</v>
      </c>
      <c r="H61">
        <v>2</v>
      </c>
      <c r="I61" s="3">
        <v>2011.0833333335499</v>
      </c>
      <c r="J61" s="2">
        <v>27.516311999999999</v>
      </c>
      <c r="K61">
        <f>STANDARDIZE(J61,M$13,N$13)</f>
        <v>1.6319148782847122</v>
      </c>
      <c r="X61">
        <v>1956</v>
      </c>
      <c r="Y61" s="3">
        <v>27.299999999999997</v>
      </c>
      <c r="Z61" s="3">
        <v>27.723436416666669</v>
      </c>
      <c r="AA61" s="3"/>
      <c r="AB61" s="3"/>
      <c r="AC61" s="3"/>
      <c r="AD61" s="3">
        <f t="shared" si="4"/>
        <v>27.683333333333334</v>
      </c>
      <c r="AE61" s="3">
        <f>AVERAGE(Z60:Z62)</f>
        <v>27.809208166666668</v>
      </c>
    </row>
    <row r="62" spans="1:31" x14ac:dyDescent="0.3">
      <c r="A62">
        <v>1956</v>
      </c>
      <c r="B62">
        <f t="shared" si="3"/>
        <v>27.723436416666669</v>
      </c>
      <c r="G62">
        <v>2011</v>
      </c>
      <c r="H62">
        <v>1</v>
      </c>
      <c r="I62" s="3">
        <v>2011.0000000002201</v>
      </c>
      <c r="J62" s="2">
        <v>27.596831999999999</v>
      </c>
      <c r="K62">
        <f>STANDARDIZE(J62,M$14,N$14)</f>
        <v>1.5654605136661728</v>
      </c>
      <c r="X62">
        <v>1955</v>
      </c>
      <c r="Y62" s="3">
        <v>27.641666666666666</v>
      </c>
      <c r="Z62" s="3">
        <v>27.847912249999997</v>
      </c>
      <c r="AA62" s="3"/>
      <c r="AB62" s="3"/>
      <c r="AC62" s="3"/>
      <c r="AD62" s="3">
        <f t="shared" si="4"/>
        <v>27.591666666666669</v>
      </c>
      <c r="AE62" s="3">
        <f>AVERAGE(Z62:Z63)</f>
        <v>27.904809666666662</v>
      </c>
    </row>
    <row r="63" spans="1:31" x14ac:dyDescent="0.3">
      <c r="A63">
        <v>1955</v>
      </c>
      <c r="B63">
        <f t="shared" si="3"/>
        <v>27.847912249999997</v>
      </c>
      <c r="G63">
        <v>2010</v>
      </c>
      <c r="H63">
        <v>12</v>
      </c>
      <c r="I63" s="3">
        <v>2010.91666666689</v>
      </c>
      <c r="J63" s="2">
        <v>27.950785</v>
      </c>
      <c r="K63">
        <f>STANDARDIZE(J63,M$3,N$3)</f>
        <v>0.47879820477613044</v>
      </c>
      <c r="X63">
        <v>1954</v>
      </c>
      <c r="Y63" s="3">
        <v>27.833333333333339</v>
      </c>
      <c r="Z63" s="3">
        <v>27.961707083333327</v>
      </c>
      <c r="AA63" s="3"/>
      <c r="AB63" s="3"/>
      <c r="AC63" s="3"/>
      <c r="AD63" s="3">
        <f t="shared" si="4"/>
        <v>27.737500000000004</v>
      </c>
      <c r="AE63" s="3">
        <f>AVERAGE(Z62:Z64)</f>
        <v>27.904809666666662</v>
      </c>
    </row>
    <row r="64" spans="1:31" x14ac:dyDescent="0.3">
      <c r="A64">
        <v>1954</v>
      </c>
      <c r="B64">
        <f t="shared" si="3"/>
        <v>27.961707083333327</v>
      </c>
      <c r="G64">
        <v>2010</v>
      </c>
      <c r="H64">
        <v>11</v>
      </c>
      <c r="I64" s="3">
        <v>2010.8333333335599</v>
      </c>
      <c r="J64" s="2">
        <v>29.055800000000001</v>
      </c>
      <c r="K64">
        <f>STANDARDIZE(J64,M$4,N$4)</f>
        <v>1.1933585097972021</v>
      </c>
    </row>
    <row r="65" spans="1:11" x14ac:dyDescent="0.3">
      <c r="A65">
        <v>1953</v>
      </c>
      <c r="B65">
        <f t="shared" si="3"/>
        <v>28.018068</v>
      </c>
      <c r="G65">
        <v>2010</v>
      </c>
      <c r="H65">
        <v>10</v>
      </c>
      <c r="I65" s="3">
        <v>2010.7500000002301</v>
      </c>
      <c r="J65" s="2">
        <v>29.50854</v>
      </c>
      <c r="K65">
        <f>STANDARDIZE(J65,M$5,N$5)</f>
        <v>1.8472632387465151</v>
      </c>
    </row>
    <row r="66" spans="1:11" x14ac:dyDescent="0.3">
      <c r="A66">
        <v>1952</v>
      </c>
      <c r="B66">
        <f t="shared" si="3"/>
        <v>28.178450916666662</v>
      </c>
      <c r="G66">
        <v>2010</v>
      </c>
      <c r="H66">
        <v>9</v>
      </c>
      <c r="I66" s="3">
        <v>2010.6666666669</v>
      </c>
      <c r="J66" s="2">
        <v>29.393719999999998</v>
      </c>
      <c r="K66">
        <f>STANDARDIZE(J66,M$6,N$6)</f>
        <v>1.6996299164971305</v>
      </c>
    </row>
    <row r="67" spans="1:11" x14ac:dyDescent="0.3">
      <c r="A67">
        <v>1951</v>
      </c>
      <c r="B67">
        <f t="shared" ref="B67:B98" si="5">AVERAGEIF(G$3:G$782,A67,J$3:J$782)</f>
        <v>28.075387000000003</v>
      </c>
      <c r="G67">
        <v>2010</v>
      </c>
      <c r="H67">
        <v>8</v>
      </c>
      <c r="I67" s="3">
        <v>2010.58333333357</v>
      </c>
      <c r="J67" s="2">
        <v>29.337439</v>
      </c>
      <c r="K67">
        <f>STANDARDIZE(J67,M$7,N$7)</f>
        <v>2.4958457809695918</v>
      </c>
    </row>
    <row r="68" spans="1:11" x14ac:dyDescent="0.3">
      <c r="G68">
        <v>2010</v>
      </c>
      <c r="H68">
        <v>7</v>
      </c>
      <c r="I68" s="3">
        <v>2010.5000000002401</v>
      </c>
      <c r="J68" s="2">
        <v>29.273273</v>
      </c>
      <c r="K68">
        <f>STANDARDIZE(J68,M$8,N$8)</f>
        <v>2.8166824055329287</v>
      </c>
    </row>
    <row r="69" spans="1:11" x14ac:dyDescent="0.3">
      <c r="G69">
        <v>2010</v>
      </c>
      <c r="H69">
        <v>6</v>
      </c>
      <c r="I69" s="3">
        <v>2010.41666666691</v>
      </c>
      <c r="J69" s="2">
        <v>29.24973</v>
      </c>
      <c r="K69">
        <f>STANDARDIZE(J69,M$9,N$9)</f>
        <v>1.6117127504954001</v>
      </c>
    </row>
    <row r="70" spans="1:11" x14ac:dyDescent="0.3">
      <c r="G70">
        <v>2010</v>
      </c>
      <c r="H70">
        <v>5</v>
      </c>
      <c r="I70" s="3">
        <v>2010.33333333358</v>
      </c>
      <c r="J70" s="2">
        <v>29.356506</v>
      </c>
      <c r="K70">
        <f>STANDARDIZE(J70,M$10,N$10)</f>
        <v>2.5515333126407342</v>
      </c>
    </row>
    <row r="71" spans="1:11" x14ac:dyDescent="0.3">
      <c r="G71">
        <v>2010</v>
      </c>
      <c r="H71">
        <v>4</v>
      </c>
      <c r="I71" s="3">
        <v>2010.2500000002501</v>
      </c>
      <c r="J71" s="2">
        <v>28.180336</v>
      </c>
      <c r="K71">
        <f>STANDARDIZE(J71,M$11,N$11)</f>
        <v>1.9789869244887195</v>
      </c>
    </row>
    <row r="72" spans="1:11" x14ac:dyDescent="0.3">
      <c r="G72">
        <v>2010</v>
      </c>
      <c r="H72">
        <v>3</v>
      </c>
      <c r="I72" s="3">
        <v>2010.16666666692</v>
      </c>
      <c r="J72" s="2">
        <v>28.356617</v>
      </c>
      <c r="K72">
        <f>STANDARDIZE(J72,M$12,N$12)</f>
        <v>3.4052327086320187</v>
      </c>
    </row>
    <row r="73" spans="1:11" x14ac:dyDescent="0.3">
      <c r="G73">
        <v>2010</v>
      </c>
      <c r="H73">
        <v>2</v>
      </c>
      <c r="I73" s="3">
        <v>2010.08333333359</v>
      </c>
      <c r="J73" s="2">
        <v>27.98096</v>
      </c>
      <c r="K73">
        <f>STANDARDIZE(J73,M$13,N$13)</f>
        <v>2.8234017535661806</v>
      </c>
    </row>
    <row r="74" spans="1:11" x14ac:dyDescent="0.3">
      <c r="G74">
        <v>2010</v>
      </c>
      <c r="H74">
        <v>1</v>
      </c>
      <c r="I74" s="3">
        <v>2010.0000000002599</v>
      </c>
      <c r="J74" s="2">
        <v>27.593599999999999</v>
      </c>
      <c r="K74">
        <f>STANDARDIZE(J74,M$14,N$14)</f>
        <v>1.5556977260498788</v>
      </c>
    </row>
    <row r="75" spans="1:11" x14ac:dyDescent="0.3">
      <c r="G75">
        <v>2009</v>
      </c>
      <c r="H75">
        <v>12</v>
      </c>
      <c r="I75" s="3">
        <v>2009.91666666693</v>
      </c>
      <c r="J75" s="2">
        <v>28.329805</v>
      </c>
      <c r="K75">
        <f>STANDARDIZE(J75,M$3,N$3)</f>
        <v>1.6648090921952365</v>
      </c>
    </row>
    <row r="76" spans="1:11" x14ac:dyDescent="0.3">
      <c r="G76">
        <v>2009</v>
      </c>
      <c r="H76">
        <v>11</v>
      </c>
      <c r="I76" s="3">
        <v>2009.8333333336</v>
      </c>
      <c r="J76" s="2">
        <v>29.162089999999999</v>
      </c>
      <c r="K76">
        <f>STANDARDIZE(J76,M$4,N$4)</f>
        <v>1.5303031400350544</v>
      </c>
    </row>
    <row r="77" spans="1:11" x14ac:dyDescent="0.3">
      <c r="G77">
        <v>2009</v>
      </c>
      <c r="H77">
        <v>10</v>
      </c>
      <c r="I77" s="3">
        <v>2009.7500000002699</v>
      </c>
      <c r="J77" s="2">
        <v>29.089919999999999</v>
      </c>
      <c r="K77">
        <f>STANDARDIZE(J77,M$5,N$5)</f>
        <v>0.5211932732871204</v>
      </c>
    </row>
    <row r="78" spans="1:11" x14ac:dyDescent="0.3">
      <c r="G78">
        <v>2009</v>
      </c>
      <c r="H78">
        <v>9</v>
      </c>
      <c r="I78" s="3">
        <v>2009.66666666694</v>
      </c>
      <c r="J78" s="2">
        <v>29.004158</v>
      </c>
      <c r="K78">
        <f>STANDARDIZE(J78,M$6,N$6)</f>
        <v>0.54812948620601176</v>
      </c>
    </row>
    <row r="79" spans="1:11" x14ac:dyDescent="0.3">
      <c r="G79">
        <v>2009</v>
      </c>
      <c r="H79">
        <v>8</v>
      </c>
      <c r="I79" s="3">
        <v>2009.58333333361</v>
      </c>
      <c r="J79" s="2">
        <v>28.690538</v>
      </c>
      <c r="K79">
        <f>STANDARDIZE(J79,M$7,N$7)</f>
        <v>0.58336753868671276</v>
      </c>
    </row>
    <row r="80" spans="1:11" x14ac:dyDescent="0.3">
      <c r="G80">
        <v>2009</v>
      </c>
      <c r="H80">
        <v>7</v>
      </c>
      <c r="I80" s="3">
        <v>2009.5000000002799</v>
      </c>
      <c r="J80" s="2">
        <v>28.544537999999999</v>
      </c>
      <c r="K80">
        <f>STANDARDIZE(J80,M$8,N$8)</f>
        <v>0.70768907189881936</v>
      </c>
    </row>
    <row r="81" spans="7:11" x14ac:dyDescent="0.3">
      <c r="G81">
        <v>2009</v>
      </c>
      <c r="H81">
        <v>6</v>
      </c>
      <c r="I81" s="3">
        <v>2009.4166666669501</v>
      </c>
      <c r="J81" s="2">
        <v>29.064436000000001</v>
      </c>
      <c r="K81">
        <f>STANDARDIZE(J81,M$9,N$9)</f>
        <v>1.1151320817911092</v>
      </c>
    </row>
    <row r="82" spans="7:11" x14ac:dyDescent="0.3">
      <c r="G82">
        <v>2009</v>
      </c>
      <c r="H82">
        <v>5</v>
      </c>
      <c r="I82" s="3">
        <v>2009.33333333362</v>
      </c>
      <c r="J82" s="2">
        <v>27.956102000000001</v>
      </c>
      <c r="K82">
        <f>STANDARDIZE(J82,M$10,N$10)</f>
        <v>-0.89120791230734386</v>
      </c>
    </row>
    <row r="83" spans="7:11" x14ac:dyDescent="0.3">
      <c r="G83">
        <v>2009</v>
      </c>
      <c r="H83">
        <v>4</v>
      </c>
      <c r="I83" s="3">
        <v>2009.2500000002899</v>
      </c>
      <c r="J83" s="2">
        <v>27.107899</v>
      </c>
      <c r="K83">
        <f>STANDARDIZE(J83,M$11,N$11)</f>
        <v>-1.0576475482997332</v>
      </c>
    </row>
    <row r="84" spans="7:11" x14ac:dyDescent="0.3">
      <c r="G84">
        <v>2009</v>
      </c>
      <c r="H84">
        <v>3</v>
      </c>
      <c r="I84" s="3">
        <v>2009.1666666669601</v>
      </c>
      <c r="J84" s="2">
        <v>26.465076</v>
      </c>
      <c r="K84">
        <f>STANDARDIZE(J84,M$12,N$12)</f>
        <v>-1.2712248805862552</v>
      </c>
    </row>
    <row r="85" spans="7:11" x14ac:dyDescent="0.3">
      <c r="G85">
        <v>2009</v>
      </c>
      <c r="H85">
        <v>2</v>
      </c>
      <c r="I85" s="3">
        <v>2009.08333333363</v>
      </c>
      <c r="J85" s="2">
        <v>26.613071000000001</v>
      </c>
      <c r="K85">
        <f>STANDARDIZE(J85,M$13,N$13)</f>
        <v>-0.6842465960272518</v>
      </c>
    </row>
    <row r="86" spans="7:11" x14ac:dyDescent="0.3">
      <c r="G86">
        <v>2009</v>
      </c>
      <c r="H86">
        <v>1</v>
      </c>
      <c r="I86" s="3">
        <v>2009.0000000002999</v>
      </c>
      <c r="J86" s="2">
        <v>27.034991999999999</v>
      </c>
      <c r="K86">
        <f>STANDARDIZE(J86,M$14,N$14)</f>
        <v>-0.1316696207204941</v>
      </c>
    </row>
    <row r="87" spans="7:11" x14ac:dyDescent="0.3">
      <c r="G87">
        <v>2008</v>
      </c>
      <c r="H87">
        <v>12</v>
      </c>
      <c r="I87" s="3">
        <v>2008.9166666669701</v>
      </c>
      <c r="J87" s="2">
        <v>27.704483</v>
      </c>
      <c r="K87">
        <f>STANDARDIZE(J87,M$3,N$3)</f>
        <v>-0.29191799382315264</v>
      </c>
    </row>
    <row r="88" spans="7:11" x14ac:dyDescent="0.3">
      <c r="G88">
        <v>2008</v>
      </c>
      <c r="H88">
        <v>11</v>
      </c>
      <c r="I88" s="3">
        <v>2008.83333333364</v>
      </c>
      <c r="J88" s="2">
        <v>28.880538999999999</v>
      </c>
      <c r="K88">
        <f>STANDARDIZE(J88,M$4,N$4)</f>
        <v>0.63777235079712369</v>
      </c>
    </row>
    <row r="89" spans="7:11" x14ac:dyDescent="0.3">
      <c r="G89">
        <v>2008</v>
      </c>
      <c r="H89">
        <v>10</v>
      </c>
      <c r="I89" s="3">
        <v>2008.7500000003099</v>
      </c>
      <c r="J89" s="2">
        <v>29.35286</v>
      </c>
      <c r="K89">
        <f>STANDARDIZE(J89,M$5,N$5)</f>
        <v>1.3541129539471299</v>
      </c>
    </row>
    <row r="90" spans="7:11" x14ac:dyDescent="0.3">
      <c r="G90">
        <v>2008</v>
      </c>
      <c r="H90">
        <v>9</v>
      </c>
      <c r="I90" s="3">
        <v>2008.6666666669801</v>
      </c>
      <c r="J90" s="2">
        <v>29.244125</v>
      </c>
      <c r="K90">
        <f>STANDARDIZE(J90,M$6,N$6)</f>
        <v>1.2574443160807696</v>
      </c>
    </row>
    <row r="91" spans="7:11" x14ac:dyDescent="0.3">
      <c r="G91">
        <v>2008</v>
      </c>
      <c r="H91">
        <v>8</v>
      </c>
      <c r="I91" s="3">
        <v>2008.58333333365</v>
      </c>
      <c r="J91" s="2">
        <v>28.858027</v>
      </c>
      <c r="K91">
        <f>STANDARDIZE(J91,M$7,N$7)</f>
        <v>1.0785268726832853</v>
      </c>
    </row>
    <row r="92" spans="7:11" x14ac:dyDescent="0.3">
      <c r="G92">
        <v>2008</v>
      </c>
      <c r="H92">
        <v>7</v>
      </c>
      <c r="I92" s="3">
        <v>2008.5000000003199</v>
      </c>
      <c r="J92" s="2">
        <v>28.503761000000001</v>
      </c>
      <c r="K92">
        <f>STANDARDIZE(J92,M$8,N$8)</f>
        <v>0.58967851776652869</v>
      </c>
    </row>
    <row r="93" spans="7:11" x14ac:dyDescent="0.3">
      <c r="G93">
        <v>2008</v>
      </c>
      <c r="H93">
        <v>6</v>
      </c>
      <c r="I93" s="3">
        <v>2008.4166666669901</v>
      </c>
      <c r="J93" s="2">
        <v>28.670237</v>
      </c>
      <c r="K93">
        <f>STANDARDIZE(J93,M$9,N$9)</f>
        <v>5.8694188375434074E-2</v>
      </c>
    </row>
    <row r="94" spans="7:11" x14ac:dyDescent="0.3">
      <c r="G94">
        <v>2008</v>
      </c>
      <c r="H94">
        <v>5</v>
      </c>
      <c r="I94" s="3">
        <v>2008.33333333366</v>
      </c>
      <c r="J94" s="2">
        <v>28.076474999999999</v>
      </c>
      <c r="K94">
        <f>STANDARDIZE(J94,M$10,N$10)</f>
        <v>-0.59528395788371624</v>
      </c>
    </row>
    <row r="95" spans="7:11" x14ac:dyDescent="0.3">
      <c r="G95">
        <v>2008</v>
      </c>
      <c r="H95">
        <v>4</v>
      </c>
      <c r="I95" s="3">
        <v>2008.2500000003299</v>
      </c>
      <c r="J95" s="2">
        <v>27.526384</v>
      </c>
      <c r="K95">
        <f>STANDARDIZE(J95,M$11,N$11)</f>
        <v>0.1273040874092885</v>
      </c>
    </row>
    <row r="96" spans="7:11" x14ac:dyDescent="0.3">
      <c r="G96">
        <v>2008</v>
      </c>
      <c r="H96">
        <v>3</v>
      </c>
      <c r="I96" s="3">
        <v>2008.1666666670001</v>
      </c>
      <c r="J96" s="2">
        <v>26.876124999999998</v>
      </c>
      <c r="K96">
        <f>STANDARDIZE(J96,M$12,N$12)</f>
        <v>-0.25498826948949604</v>
      </c>
    </row>
    <row r="97" spans="7:11" x14ac:dyDescent="0.3">
      <c r="G97">
        <v>2008</v>
      </c>
      <c r="H97">
        <v>2</v>
      </c>
      <c r="I97" s="3">
        <v>2008.08333333367</v>
      </c>
      <c r="J97" s="2">
        <v>26.865704000000001</v>
      </c>
      <c r="K97">
        <f>STANDARDIZE(J97,M$13,N$13)</f>
        <v>-3.6425226381880782E-2</v>
      </c>
    </row>
    <row r="98" spans="7:11" x14ac:dyDescent="0.3">
      <c r="G98">
        <v>2008</v>
      </c>
      <c r="H98">
        <v>1</v>
      </c>
      <c r="I98" s="3">
        <v>2008.0000000003399</v>
      </c>
      <c r="J98" s="2">
        <v>26.972602999999999</v>
      </c>
      <c r="K98">
        <f>STANDARDIZE(J98,M$14,N$14)</f>
        <v>-0.32012585729006737</v>
      </c>
    </row>
    <row r="99" spans="7:11" x14ac:dyDescent="0.3">
      <c r="G99">
        <v>2007</v>
      </c>
      <c r="H99">
        <v>12</v>
      </c>
      <c r="I99" s="3">
        <v>2007.9166666670101</v>
      </c>
      <c r="J99" s="2">
        <v>27.852543000000001</v>
      </c>
      <c r="K99">
        <f>STANDARDIZE(J99,M$3,N$3)</f>
        <v>0.17138413269068237</v>
      </c>
    </row>
    <row r="100" spans="7:11" x14ac:dyDescent="0.3">
      <c r="G100">
        <v>2007</v>
      </c>
      <c r="H100">
        <v>11</v>
      </c>
      <c r="I100" s="3">
        <v>2007.83333333368</v>
      </c>
      <c r="J100" s="2">
        <v>28.80339</v>
      </c>
      <c r="K100">
        <f>STANDARDIZE(J100,M$4,N$4)</f>
        <v>0.3932061519240394</v>
      </c>
    </row>
    <row r="101" spans="7:11" x14ac:dyDescent="0.3">
      <c r="G101">
        <v>2007</v>
      </c>
      <c r="H101">
        <v>10</v>
      </c>
      <c r="I101" s="3">
        <v>2007.7500000003499</v>
      </c>
      <c r="J101" s="2">
        <v>29.111529999999998</v>
      </c>
      <c r="K101">
        <f>STANDARDIZE(J101,M$5,N$5)</f>
        <v>0.58964765184900503</v>
      </c>
    </row>
    <row r="102" spans="7:11" x14ac:dyDescent="0.3">
      <c r="G102">
        <v>2007</v>
      </c>
      <c r="H102">
        <v>9</v>
      </c>
      <c r="I102" s="3">
        <v>2007.6666666670201</v>
      </c>
      <c r="J102" s="2">
        <v>29.03689</v>
      </c>
      <c r="K102">
        <f>STANDARDIZE(J102,M$6,N$6)</f>
        <v>0.64488151049043452</v>
      </c>
    </row>
    <row r="103" spans="7:11" x14ac:dyDescent="0.3">
      <c r="G103">
        <v>2007</v>
      </c>
      <c r="H103">
        <v>8</v>
      </c>
      <c r="I103" s="3">
        <v>2007.58333333369</v>
      </c>
      <c r="J103" s="2">
        <v>28.627700000000001</v>
      </c>
      <c r="K103">
        <f>STANDARDIZE(J103,M$7,N$7)</f>
        <v>0.39759520599814024</v>
      </c>
    </row>
    <row r="104" spans="7:11" x14ac:dyDescent="0.3">
      <c r="G104">
        <v>2007</v>
      </c>
      <c r="H104">
        <v>7</v>
      </c>
      <c r="I104" s="3">
        <v>2007.5000000003599</v>
      </c>
      <c r="J104" s="2">
        <v>28.413506000000002</v>
      </c>
      <c r="K104">
        <f>STANDARDIZE(J104,M$8,N$8)</f>
        <v>0.32847630663745636</v>
      </c>
    </row>
    <row r="105" spans="7:11" x14ac:dyDescent="0.3">
      <c r="G105">
        <v>2007</v>
      </c>
      <c r="H105">
        <v>6</v>
      </c>
      <c r="I105" s="3">
        <v>2007.4166666670301</v>
      </c>
      <c r="J105" s="2">
        <v>28.711490000000001</v>
      </c>
      <c r="K105">
        <f>STANDARDIZE(J105,M$9,N$9)</f>
        <v>0.16925061398046592</v>
      </c>
    </row>
    <row r="106" spans="7:11" x14ac:dyDescent="0.3">
      <c r="G106">
        <v>2007</v>
      </c>
      <c r="H106">
        <v>5</v>
      </c>
      <c r="I106" s="3">
        <v>2007.3333333337</v>
      </c>
      <c r="J106" s="2">
        <v>28.571280000000002</v>
      </c>
      <c r="K106">
        <f>STANDARDIZE(J106,M$10,N$10)</f>
        <v>0.62114042523033264</v>
      </c>
    </row>
    <row r="107" spans="7:11" x14ac:dyDescent="0.3">
      <c r="G107">
        <v>2007</v>
      </c>
      <c r="H107">
        <v>4</v>
      </c>
      <c r="I107" s="3">
        <v>2007.2500000003699</v>
      </c>
      <c r="J107" s="2">
        <v>27.767769000000001</v>
      </c>
      <c r="K107">
        <f>STANDARDIZE(J107,M$11,N$11)</f>
        <v>0.81079226640166135</v>
      </c>
    </row>
    <row r="108" spans="7:11" x14ac:dyDescent="0.3">
      <c r="G108">
        <v>2007</v>
      </c>
      <c r="H108">
        <v>3</v>
      </c>
      <c r="I108" s="3">
        <v>2007.1666666670401</v>
      </c>
      <c r="J108" s="2">
        <v>27.194614000000001</v>
      </c>
      <c r="K108">
        <f>STANDARDIZE(J108,M$12,N$12)</f>
        <v>0.53241221568769725</v>
      </c>
    </row>
    <row r="109" spans="7:11" x14ac:dyDescent="0.3">
      <c r="G109">
        <v>2007</v>
      </c>
      <c r="H109">
        <v>2</v>
      </c>
      <c r="I109" s="3">
        <v>2007.08333333371</v>
      </c>
      <c r="J109" s="2">
        <v>27.185345000000002</v>
      </c>
      <c r="K109">
        <f>STANDARDIZE(J109,M$13,N$13)</f>
        <v>0.78322331682038082</v>
      </c>
    </row>
    <row r="110" spans="7:11" x14ac:dyDescent="0.3">
      <c r="G110">
        <v>2007</v>
      </c>
      <c r="H110">
        <v>1</v>
      </c>
      <c r="I110" s="3">
        <v>2007.0000000003799</v>
      </c>
      <c r="J110" s="2">
        <v>27.232132</v>
      </c>
      <c r="K110">
        <f>STANDARDIZE(J110,M$14,N$14)</f>
        <v>0.46382417589952069</v>
      </c>
    </row>
    <row r="111" spans="7:11" x14ac:dyDescent="0.3">
      <c r="G111">
        <v>2006</v>
      </c>
      <c r="H111">
        <v>12</v>
      </c>
      <c r="I111" s="3">
        <v>2006.9166666670501</v>
      </c>
      <c r="J111" s="2">
        <v>28.172557999999999</v>
      </c>
      <c r="K111">
        <f>STANDARDIZE(J111,M$3,N$3)</f>
        <v>1.1727594536168136</v>
      </c>
    </row>
    <row r="112" spans="7:11" x14ac:dyDescent="0.3">
      <c r="G112">
        <v>2006</v>
      </c>
      <c r="H112">
        <v>11</v>
      </c>
      <c r="I112" s="3">
        <v>2006.83333333372</v>
      </c>
      <c r="J112" s="2">
        <v>29.271367999999999</v>
      </c>
      <c r="K112">
        <f>STANDARDIZE(J112,M$4,N$4)</f>
        <v>1.8767198801153322</v>
      </c>
    </row>
    <row r="113" spans="7:11" x14ac:dyDescent="0.3">
      <c r="G113">
        <v>2006</v>
      </c>
      <c r="H113">
        <v>10</v>
      </c>
      <c r="I113" s="3">
        <v>2006.7500000003899</v>
      </c>
      <c r="J113" s="2">
        <v>29.268916999999998</v>
      </c>
      <c r="K113">
        <f>STANDARDIZE(J113,M$5,N$5)</f>
        <v>1.0882052306884236</v>
      </c>
    </row>
    <row r="114" spans="7:11" x14ac:dyDescent="0.3">
      <c r="G114">
        <v>2006</v>
      </c>
      <c r="H114">
        <v>9</v>
      </c>
      <c r="I114" s="3">
        <v>2006.6666666670601</v>
      </c>
      <c r="J114" s="2">
        <v>29.190449000000001</v>
      </c>
      <c r="K114">
        <f>STANDARDIZE(J114,M$6,N$6)</f>
        <v>1.0987842386186306</v>
      </c>
    </row>
    <row r="115" spans="7:11" x14ac:dyDescent="0.3">
      <c r="G115">
        <v>2006</v>
      </c>
      <c r="H115">
        <v>8</v>
      </c>
      <c r="I115" s="3">
        <v>2006.58333333373</v>
      </c>
      <c r="J115" s="2">
        <v>28.920438999999998</v>
      </c>
      <c r="K115">
        <f>STANDARDIZE(J115,M$7,N$7)</f>
        <v>1.2630397920594432</v>
      </c>
    </row>
    <row r="116" spans="7:11" x14ac:dyDescent="0.3">
      <c r="G116">
        <v>2006</v>
      </c>
      <c r="H116">
        <v>7</v>
      </c>
      <c r="I116" s="3">
        <v>2006.5000000004</v>
      </c>
      <c r="J116" s="2">
        <v>28.700240999999998</v>
      </c>
      <c r="K116">
        <f>STANDARDIZE(J116,M$8,N$8)</f>
        <v>1.1583008704632214</v>
      </c>
    </row>
    <row r="117" spans="7:11" x14ac:dyDescent="0.3">
      <c r="G117">
        <v>2006</v>
      </c>
      <c r="H117">
        <v>6</v>
      </c>
      <c r="I117" s="3">
        <v>2006.4166666670701</v>
      </c>
      <c r="J117" s="2">
        <v>29.124960000000002</v>
      </c>
      <c r="K117">
        <f>STANDARDIZE(J117,M$9,N$9)</f>
        <v>1.2773340332447942</v>
      </c>
    </row>
    <row r="118" spans="7:11" x14ac:dyDescent="0.3">
      <c r="G118">
        <v>2006</v>
      </c>
      <c r="H118">
        <v>5</v>
      </c>
      <c r="I118" s="3">
        <v>2006.33333333374</v>
      </c>
      <c r="J118" s="2">
        <v>28.656092000000001</v>
      </c>
      <c r="K118">
        <f>STANDARDIZE(J118,M$10,N$10)</f>
        <v>0.8296415211785696</v>
      </c>
    </row>
    <row r="119" spans="7:11" x14ac:dyDescent="0.3">
      <c r="G119">
        <v>2006</v>
      </c>
      <c r="H119">
        <v>4</v>
      </c>
      <c r="I119" s="3">
        <v>2006.25000000041</v>
      </c>
      <c r="J119" s="2">
        <v>27.712506999999999</v>
      </c>
      <c r="K119">
        <f>STANDARDIZE(J119,M$11,N$11)</f>
        <v>0.6543164135214985</v>
      </c>
    </row>
    <row r="120" spans="7:11" x14ac:dyDescent="0.3">
      <c r="G120">
        <v>2006</v>
      </c>
      <c r="H120">
        <v>3</v>
      </c>
      <c r="I120" s="3">
        <v>2006.1666666670801</v>
      </c>
      <c r="J120" s="2">
        <v>27.057026</v>
      </c>
      <c r="K120">
        <f>STANDARDIZE(J120,M$12,N$12)</f>
        <v>0.19225334692124268</v>
      </c>
    </row>
    <row r="121" spans="7:11" x14ac:dyDescent="0.3">
      <c r="G121">
        <v>2006</v>
      </c>
      <c r="H121">
        <v>2</v>
      </c>
      <c r="I121" s="3">
        <v>2006.08333333375</v>
      </c>
      <c r="J121" s="2">
        <v>26.998588999999999</v>
      </c>
      <c r="K121">
        <f>STANDARDIZE(J121,M$13,N$13)</f>
        <v>0.30432892175127724</v>
      </c>
    </row>
    <row r="122" spans="7:11" x14ac:dyDescent="0.3">
      <c r="G122">
        <v>2006</v>
      </c>
      <c r="H122">
        <v>1</v>
      </c>
      <c r="I122" s="3">
        <v>2006.00000000042</v>
      </c>
      <c r="J122" s="2">
        <v>27.270935000000001</v>
      </c>
      <c r="K122">
        <f>STANDARDIZE(J122,M$14,N$14)</f>
        <v>0.58103501992025319</v>
      </c>
    </row>
    <row r="123" spans="7:11" x14ac:dyDescent="0.3">
      <c r="G123">
        <v>2005</v>
      </c>
      <c r="H123">
        <v>12</v>
      </c>
      <c r="I123" s="3">
        <v>2005.9166666670901</v>
      </c>
      <c r="J123" s="2">
        <v>28.159420000000001</v>
      </c>
      <c r="K123">
        <f>STANDARDIZE(J123,M$3,N$3)</f>
        <v>1.1316486651652551</v>
      </c>
    </row>
    <row r="124" spans="7:11" x14ac:dyDescent="0.3">
      <c r="G124">
        <v>2005</v>
      </c>
      <c r="H124">
        <v>11</v>
      </c>
      <c r="I124" s="3">
        <v>2005.83333333376</v>
      </c>
      <c r="J124" s="2">
        <v>28.921579999999999</v>
      </c>
      <c r="K124">
        <f>STANDARDIZE(J124,M$4,N$4)</f>
        <v>0.76787437892387078</v>
      </c>
    </row>
    <row r="125" spans="7:11" x14ac:dyDescent="0.3">
      <c r="G125">
        <v>2005</v>
      </c>
      <c r="H125">
        <v>10</v>
      </c>
      <c r="I125" s="3">
        <v>2005.75000000043</v>
      </c>
      <c r="J125" s="2">
        <v>29.280418000000001</v>
      </c>
      <c r="K125">
        <f>STANDARDIZE(J125,M$5,N$5)</f>
        <v>1.1246371514584583</v>
      </c>
    </row>
    <row r="126" spans="7:11" x14ac:dyDescent="0.3">
      <c r="G126">
        <v>2005</v>
      </c>
      <c r="H126">
        <v>9</v>
      </c>
      <c r="I126" s="3">
        <v>2005.6666666670999</v>
      </c>
      <c r="J126" s="2">
        <v>29.377977000000001</v>
      </c>
      <c r="K126">
        <f>STANDARDIZE(J126,M$6,N$6)</f>
        <v>1.6530954206426332</v>
      </c>
    </row>
    <row r="127" spans="7:11" x14ac:dyDescent="0.3">
      <c r="G127">
        <v>2005</v>
      </c>
      <c r="H127">
        <v>8</v>
      </c>
      <c r="I127" s="3">
        <v>2005.58333333377</v>
      </c>
      <c r="J127" s="2">
        <v>29.166789999999999</v>
      </c>
      <c r="K127">
        <f>STANDARDIZE(J127,M$7,N$7)</f>
        <v>1.9913443200546557</v>
      </c>
    </row>
    <row r="128" spans="7:11" x14ac:dyDescent="0.3">
      <c r="G128">
        <v>2005</v>
      </c>
      <c r="H128">
        <v>7</v>
      </c>
      <c r="I128" s="3">
        <v>2005.50000000044</v>
      </c>
      <c r="J128" s="2">
        <v>28.986820000000002</v>
      </c>
      <c r="K128">
        <f>STANDARDIZE(J128,M$8,N$8)</f>
        <v>1.9876739629584852</v>
      </c>
    </row>
    <row r="129" spans="7:11" x14ac:dyDescent="0.3">
      <c r="G129">
        <v>2005</v>
      </c>
      <c r="H129">
        <v>6</v>
      </c>
      <c r="I129" s="3">
        <v>2005.4166666671099</v>
      </c>
      <c r="J129" s="2">
        <v>29.407322000000001</v>
      </c>
      <c r="K129">
        <f>STANDARDIZE(J129,M$9,N$9)</f>
        <v>2.0340531432898112</v>
      </c>
    </row>
    <row r="130" spans="7:11" x14ac:dyDescent="0.3">
      <c r="G130">
        <v>2005</v>
      </c>
      <c r="H130">
        <v>5</v>
      </c>
      <c r="I130" s="3">
        <v>2005.33333333378</v>
      </c>
      <c r="J130" s="2">
        <v>29.238060000000001</v>
      </c>
      <c r="K130">
        <f>STANDARDIZE(J130,M$10,N$10)</f>
        <v>2.2603466785478608</v>
      </c>
    </row>
    <row r="131" spans="7:11" x14ac:dyDescent="0.3">
      <c r="G131">
        <v>2005</v>
      </c>
      <c r="H131">
        <v>4</v>
      </c>
      <c r="I131" s="3">
        <v>2005.25000000045</v>
      </c>
      <c r="J131" s="2">
        <v>28.38344</v>
      </c>
      <c r="K131">
        <f>STANDARDIZE(J131,M$11,N$11)</f>
        <v>2.5540814129866214</v>
      </c>
    </row>
    <row r="132" spans="7:11" x14ac:dyDescent="0.3">
      <c r="G132">
        <v>2005</v>
      </c>
      <c r="H132">
        <v>3</v>
      </c>
      <c r="I132" s="3">
        <v>2005.1666666671199</v>
      </c>
      <c r="J132" s="2">
        <v>27.556049999999999</v>
      </c>
      <c r="K132">
        <f>STANDARDIZE(J132,M$12,N$12)</f>
        <v>1.4259905865592166</v>
      </c>
    </row>
    <row r="133" spans="7:11" x14ac:dyDescent="0.3">
      <c r="G133">
        <v>2005</v>
      </c>
      <c r="H133">
        <v>2</v>
      </c>
      <c r="I133" s="3">
        <v>2005.0833333337901</v>
      </c>
      <c r="J133" s="2">
        <v>26.825703000000001</v>
      </c>
      <c r="K133">
        <f>STANDARDIZE(J133,M$13,N$13)</f>
        <v>-0.13899893055823406</v>
      </c>
    </row>
    <row r="134" spans="7:11" x14ac:dyDescent="0.3">
      <c r="G134">
        <v>2005</v>
      </c>
      <c r="H134">
        <v>1</v>
      </c>
      <c r="I134" s="3">
        <v>2005.00000000046</v>
      </c>
      <c r="J134" s="2">
        <v>27.331130999999999</v>
      </c>
      <c r="K134">
        <f>STANDARDIZE(J134,M$14,N$14)</f>
        <v>0.76286693927369165</v>
      </c>
    </row>
    <row r="135" spans="7:11" x14ac:dyDescent="0.3">
      <c r="G135">
        <v>2004</v>
      </c>
      <c r="H135">
        <v>12</v>
      </c>
      <c r="I135" s="3">
        <v>2004.9166666671299</v>
      </c>
      <c r="J135" s="2">
        <v>28.138020999999998</v>
      </c>
      <c r="K135">
        <f>STANDARDIZE(J135,M$3,N$3)</f>
        <v>1.0646879586593077</v>
      </c>
    </row>
    <row r="136" spans="7:11" x14ac:dyDescent="0.3">
      <c r="G136">
        <v>2004</v>
      </c>
      <c r="H136">
        <v>11</v>
      </c>
      <c r="I136" s="3">
        <v>2004.8333333338001</v>
      </c>
      <c r="J136" s="2">
        <v>28.907586999999999</v>
      </c>
      <c r="K136">
        <f>STANDARDIZE(J136,M$4,N$4)</f>
        <v>0.72351586720199557</v>
      </c>
    </row>
    <row r="137" spans="7:11" x14ac:dyDescent="0.3">
      <c r="G137">
        <v>2004</v>
      </c>
      <c r="H137">
        <v>10</v>
      </c>
      <c r="I137" s="3">
        <v>2004.75000000047</v>
      </c>
      <c r="J137" s="2">
        <v>29.338363999999999</v>
      </c>
      <c r="K137">
        <f>STANDARDIZE(J137,M$5,N$5)</f>
        <v>1.3081937187952</v>
      </c>
    </row>
    <row r="138" spans="7:11" x14ac:dyDescent="0.3">
      <c r="G138">
        <v>2004</v>
      </c>
      <c r="H138">
        <v>9</v>
      </c>
      <c r="I138" s="3">
        <v>2004.6666666671399</v>
      </c>
      <c r="J138" s="2">
        <v>29.209610000000001</v>
      </c>
      <c r="K138">
        <f>STANDARDIZE(J138,M$6,N$6)</f>
        <v>1.1554219490339401</v>
      </c>
    </row>
    <row r="139" spans="7:11" x14ac:dyDescent="0.3">
      <c r="G139">
        <v>2004</v>
      </c>
      <c r="H139">
        <v>8</v>
      </c>
      <c r="I139" s="3">
        <v>2004.5833333338101</v>
      </c>
      <c r="J139" s="2">
        <v>28.810718999999999</v>
      </c>
      <c r="K139">
        <f>STANDARDIZE(J139,M$7,N$7)</f>
        <v>0.93866695488145724</v>
      </c>
    </row>
    <row r="140" spans="7:11" x14ac:dyDescent="0.3">
      <c r="G140">
        <v>2004</v>
      </c>
      <c r="H140">
        <v>7</v>
      </c>
      <c r="I140" s="3">
        <v>2004.50000000048</v>
      </c>
      <c r="J140" s="2">
        <v>28.47953</v>
      </c>
      <c r="K140">
        <f>STANDARDIZE(J140,M$8,N$8)</f>
        <v>0.5195528651393202</v>
      </c>
    </row>
    <row r="141" spans="7:11" x14ac:dyDescent="0.3">
      <c r="G141">
        <v>2004</v>
      </c>
      <c r="H141">
        <v>6</v>
      </c>
      <c r="I141" s="3">
        <v>2004.4166666671499</v>
      </c>
      <c r="J141" s="2">
        <v>28.625893000000001</v>
      </c>
      <c r="K141">
        <f>STANDARDIZE(J141,M$9,N$9)</f>
        <v>-6.0145996266392533E-2</v>
      </c>
    </row>
    <row r="142" spans="7:11" x14ac:dyDescent="0.3">
      <c r="G142">
        <v>2004</v>
      </c>
      <c r="H142">
        <v>5</v>
      </c>
      <c r="I142" s="3">
        <v>2004.3333333338201</v>
      </c>
      <c r="J142" s="2">
        <v>28.419525</v>
      </c>
      <c r="K142">
        <f>STANDARDIZE(J142,M$10,N$10)</f>
        <v>0.24806723021517904</v>
      </c>
    </row>
    <row r="143" spans="7:11" x14ac:dyDescent="0.3">
      <c r="G143">
        <v>2004</v>
      </c>
      <c r="H143">
        <v>4</v>
      </c>
      <c r="I143" s="3">
        <v>2004.25000000049</v>
      </c>
      <c r="J143" s="2">
        <v>27.874420000000001</v>
      </c>
      <c r="K143">
        <f>STANDARDIZE(J143,M$11,N$11)</f>
        <v>1.1127774675438815</v>
      </c>
    </row>
    <row r="144" spans="7:11" x14ac:dyDescent="0.3">
      <c r="G144">
        <v>2004</v>
      </c>
      <c r="H144">
        <v>3</v>
      </c>
      <c r="I144" s="3">
        <v>2004.1666666671599</v>
      </c>
      <c r="J144" s="2">
        <v>27.052551000000001</v>
      </c>
      <c r="K144">
        <f>STANDARDIZE(J144,M$12,N$12)</f>
        <v>0.18118980258794581</v>
      </c>
    </row>
    <row r="145" spans="7:11" x14ac:dyDescent="0.3">
      <c r="G145">
        <v>2004</v>
      </c>
      <c r="H145">
        <v>2</v>
      </c>
      <c r="I145" s="3">
        <v>2004.0833333338301</v>
      </c>
      <c r="J145" s="2">
        <v>27.071808000000001</v>
      </c>
      <c r="K145">
        <f>STANDARDIZE(J145,M$13,N$13)</f>
        <v>0.49208282905580841</v>
      </c>
    </row>
    <row r="146" spans="7:11" x14ac:dyDescent="0.3">
      <c r="G146">
        <v>2004</v>
      </c>
      <c r="H146">
        <v>1</v>
      </c>
      <c r="I146" s="3">
        <v>2004.0000000005</v>
      </c>
      <c r="J146" s="2">
        <v>27.271975999999999</v>
      </c>
      <c r="K146">
        <f>STANDARDIZE(J146,M$14,N$14)</f>
        <v>0.58417953164937841</v>
      </c>
    </row>
    <row r="147" spans="7:11" x14ac:dyDescent="0.3">
      <c r="G147">
        <v>2003</v>
      </c>
      <c r="H147">
        <v>12</v>
      </c>
      <c r="I147" s="3">
        <v>2003.9166666671699</v>
      </c>
      <c r="J147" s="2">
        <v>28.002147999999998</v>
      </c>
      <c r="K147">
        <f>STANDARDIZE(J147,M$3,N$3)</f>
        <v>0.63952079780685622</v>
      </c>
    </row>
    <row r="148" spans="7:11" x14ac:dyDescent="0.3">
      <c r="G148">
        <v>2003</v>
      </c>
      <c r="H148">
        <v>11</v>
      </c>
      <c r="I148" s="3">
        <v>2003.8333333338401</v>
      </c>
      <c r="J148" s="2">
        <v>29.012756</v>
      </c>
      <c r="K148">
        <f>STANDARDIZE(J148,M$4,N$4)</f>
        <v>1.0569068712238741</v>
      </c>
    </row>
    <row r="149" spans="7:11" x14ac:dyDescent="0.3">
      <c r="G149">
        <v>2003</v>
      </c>
      <c r="H149">
        <v>10</v>
      </c>
      <c r="I149" s="3">
        <v>2003.75000000051</v>
      </c>
      <c r="J149" s="2">
        <v>29.477181999999999</v>
      </c>
      <c r="K149">
        <f>STANDARDIZE(J149,M$5,N$5)</f>
        <v>1.747929948466842</v>
      </c>
    </row>
    <row r="150" spans="7:11" x14ac:dyDescent="0.3">
      <c r="G150">
        <v>2003</v>
      </c>
      <c r="H150">
        <v>9</v>
      </c>
      <c r="I150" s="3">
        <v>2003.6666666671799</v>
      </c>
      <c r="J150" s="2">
        <v>29.224972000000001</v>
      </c>
      <c r="K150">
        <f>STANDARDIZE(J150,M$6,N$6)</f>
        <v>1.2008302527445993</v>
      </c>
    </row>
    <row r="151" spans="7:11" x14ac:dyDescent="0.3">
      <c r="G151">
        <v>2003</v>
      </c>
      <c r="H151">
        <v>8</v>
      </c>
      <c r="I151" s="3">
        <v>2003.5833333338501</v>
      </c>
      <c r="J151" s="2">
        <v>28.791232999999998</v>
      </c>
      <c r="K151">
        <f>STANDARDIZE(J151,M$7,N$7)</f>
        <v>0.88105914313108846</v>
      </c>
    </row>
    <row r="152" spans="7:11" x14ac:dyDescent="0.3">
      <c r="G152">
        <v>2003</v>
      </c>
      <c r="H152">
        <v>7</v>
      </c>
      <c r="I152" s="3">
        <v>2003.50000000052</v>
      </c>
      <c r="J152" s="2">
        <v>28.433136000000001</v>
      </c>
      <c r="K152">
        <f>STANDARDIZE(J152,M$8,N$8)</f>
        <v>0.38528644906129522</v>
      </c>
    </row>
    <row r="153" spans="7:11" x14ac:dyDescent="0.3">
      <c r="G153">
        <v>2003</v>
      </c>
      <c r="H153">
        <v>6</v>
      </c>
      <c r="I153" s="3">
        <v>2003.4166666671899</v>
      </c>
      <c r="J153" s="2">
        <v>28.6553</v>
      </c>
      <c r="K153">
        <f>STANDARDIZE(J153,M$9,N$9)</f>
        <v>1.8663612920017739E-2</v>
      </c>
    </row>
    <row r="154" spans="7:11" x14ac:dyDescent="0.3">
      <c r="G154">
        <v>2003</v>
      </c>
      <c r="H154">
        <v>5</v>
      </c>
      <c r="I154" s="3">
        <v>2003.3333333338601</v>
      </c>
      <c r="J154" s="2">
        <v>28.372574</v>
      </c>
      <c r="K154">
        <f>STANDARDIZE(J154,M$10,N$10)</f>
        <v>0.13264329308522418</v>
      </c>
    </row>
    <row r="155" spans="7:11" x14ac:dyDescent="0.3">
      <c r="G155">
        <v>2003</v>
      </c>
      <c r="H155">
        <v>4</v>
      </c>
      <c r="I155" s="3">
        <v>2003.25000000053</v>
      </c>
      <c r="J155" s="2">
        <v>28.064848000000001</v>
      </c>
      <c r="K155">
        <f>STANDARDIZE(J155,M$11,N$11)</f>
        <v>1.6519795179992101</v>
      </c>
    </row>
    <row r="156" spans="7:11" x14ac:dyDescent="0.3">
      <c r="G156">
        <v>2003</v>
      </c>
      <c r="H156">
        <v>3</v>
      </c>
      <c r="I156" s="3">
        <v>2003.1666666671999</v>
      </c>
      <c r="J156" s="2">
        <v>27.146273000000001</v>
      </c>
      <c r="K156">
        <f>STANDARDIZE(J156,M$12,N$12)</f>
        <v>0.41289874158356543</v>
      </c>
    </row>
    <row r="157" spans="7:11" x14ac:dyDescent="0.3">
      <c r="G157">
        <v>2003</v>
      </c>
      <c r="H157">
        <v>2</v>
      </c>
      <c r="I157" s="3">
        <v>2003.0833333338701</v>
      </c>
      <c r="J157" s="2">
        <v>27.115856000000001</v>
      </c>
      <c r="K157">
        <f>STANDARDIZE(J157,M$13,N$13)</f>
        <v>0.60503416831132695</v>
      </c>
    </row>
    <row r="158" spans="7:11" x14ac:dyDescent="0.3">
      <c r="G158">
        <v>2003</v>
      </c>
      <c r="H158">
        <v>1</v>
      </c>
      <c r="I158" s="3">
        <v>2003.00000000054</v>
      </c>
      <c r="J158" s="2">
        <v>27.290151999999999</v>
      </c>
      <c r="K158">
        <f>STANDARDIZE(J158,M$14,N$14)</f>
        <v>0.63908312933308331</v>
      </c>
    </row>
    <row r="159" spans="7:11" x14ac:dyDescent="0.3">
      <c r="G159">
        <v>2002</v>
      </c>
      <c r="H159">
        <v>12</v>
      </c>
      <c r="I159" s="3">
        <v>2002.9166666672099</v>
      </c>
      <c r="J159" s="2">
        <v>27.961327000000001</v>
      </c>
      <c r="K159">
        <f>STANDARDIZE(J159,M$3,N$3)</f>
        <v>0.51178571671527173</v>
      </c>
    </row>
    <row r="160" spans="7:11" x14ac:dyDescent="0.3">
      <c r="G160">
        <v>2002</v>
      </c>
      <c r="H160">
        <v>11</v>
      </c>
      <c r="I160" s="3">
        <v>2002.8333333338801</v>
      </c>
      <c r="J160" s="2">
        <v>28.888596</v>
      </c>
      <c r="K160">
        <f>STANDARDIZE(J160,M$4,N$4)</f>
        <v>0.66331344484008847</v>
      </c>
    </row>
    <row r="161" spans="7:11" x14ac:dyDescent="0.3">
      <c r="G161">
        <v>2002</v>
      </c>
      <c r="H161">
        <v>10</v>
      </c>
      <c r="I161" s="3">
        <v>2002.75000000055</v>
      </c>
      <c r="J161" s="2">
        <v>29.102944999999998</v>
      </c>
      <c r="K161">
        <f>STANDARDIZE(J161,M$5,N$5)</f>
        <v>0.5624527957659966</v>
      </c>
    </row>
    <row r="162" spans="7:11" x14ac:dyDescent="0.3">
      <c r="G162">
        <v>2002</v>
      </c>
      <c r="H162">
        <v>9</v>
      </c>
      <c r="I162" s="3">
        <v>2002.6666666672199</v>
      </c>
      <c r="J162" s="2">
        <v>28.773917999999998</v>
      </c>
      <c r="K162">
        <f>STANDARDIZE(J162,M$6,N$6)</f>
        <v>-0.13243345132442208</v>
      </c>
    </row>
    <row r="163" spans="7:11" x14ac:dyDescent="0.3">
      <c r="G163">
        <v>2002</v>
      </c>
      <c r="H163">
        <v>8</v>
      </c>
      <c r="I163" s="3">
        <v>2002.5833333338901</v>
      </c>
      <c r="J163" s="2">
        <v>28.328240000000001</v>
      </c>
      <c r="K163">
        <f>STANDARDIZE(J163,M$7,N$7)</f>
        <v>-0.48771913798035238</v>
      </c>
    </row>
    <row r="164" spans="7:11" x14ac:dyDescent="0.3">
      <c r="G164">
        <v>2002</v>
      </c>
      <c r="H164">
        <v>7</v>
      </c>
      <c r="I164" s="3">
        <v>2002.50000000056</v>
      </c>
      <c r="J164" s="2">
        <v>28.217649999999999</v>
      </c>
      <c r="K164">
        <f>STANDARDIZE(J164,M$8,N$8)</f>
        <v>-0.23834016073716902</v>
      </c>
    </row>
    <row r="165" spans="7:11" x14ac:dyDescent="0.3">
      <c r="G165">
        <v>2002</v>
      </c>
      <c r="H165">
        <v>6</v>
      </c>
      <c r="I165" s="3">
        <v>2002.4166666672299</v>
      </c>
      <c r="J165" s="2">
        <v>28.497033999999999</v>
      </c>
      <c r="K165">
        <f>STANDARDIZE(J165,M$9,N$9)</f>
        <v>-0.40548307349807627</v>
      </c>
    </row>
    <row r="166" spans="7:11" x14ac:dyDescent="0.3">
      <c r="G166">
        <v>2002</v>
      </c>
      <c r="H166">
        <v>5</v>
      </c>
      <c r="I166" s="3">
        <v>2002.3333333339001</v>
      </c>
      <c r="J166" s="2">
        <v>28.155992999999999</v>
      </c>
      <c r="K166">
        <f>STANDARDIZE(J166,M$10,N$10)</f>
        <v>-0.39979758628993162</v>
      </c>
    </row>
    <row r="167" spans="7:11" x14ac:dyDescent="0.3">
      <c r="G167">
        <v>2002</v>
      </c>
      <c r="H167">
        <v>4</v>
      </c>
      <c r="I167" s="3">
        <v>2002.25000000057</v>
      </c>
      <c r="J167" s="2">
        <v>27.583283999999999</v>
      </c>
      <c r="K167">
        <f>STANDARDIZE(J167,M$11,N$11)</f>
        <v>0.28841798174682004</v>
      </c>
    </row>
    <row r="168" spans="7:11" x14ac:dyDescent="0.3">
      <c r="G168">
        <v>2002</v>
      </c>
      <c r="H168">
        <v>3</v>
      </c>
      <c r="I168" s="3">
        <v>2002.16666666724</v>
      </c>
      <c r="J168" s="2">
        <v>27.082336000000002</v>
      </c>
      <c r="K168">
        <f>STANDARDIZE(J168,M$12,N$12)</f>
        <v>0.2548272702901358</v>
      </c>
    </row>
    <row r="169" spans="7:11" x14ac:dyDescent="0.3">
      <c r="G169">
        <v>2002</v>
      </c>
      <c r="H169">
        <v>2</v>
      </c>
      <c r="I169" s="3">
        <v>2002.0833333339101</v>
      </c>
      <c r="J169" s="2">
        <v>27.000133999999999</v>
      </c>
      <c r="K169">
        <f>STANDARDIZE(J169,M$13,N$13)</f>
        <v>0.30829073202983226</v>
      </c>
    </row>
    <row r="170" spans="7:11" x14ac:dyDescent="0.3">
      <c r="G170">
        <v>2002</v>
      </c>
      <c r="H170">
        <v>1</v>
      </c>
      <c r="I170" s="3">
        <v>2002.00000000058</v>
      </c>
      <c r="J170" s="2">
        <v>27.337869999999999</v>
      </c>
      <c r="K170">
        <f>STANDARDIZE(J170,M$14,N$14)</f>
        <v>0.7832231972397159</v>
      </c>
    </row>
    <row r="171" spans="7:11" x14ac:dyDescent="0.3">
      <c r="G171">
        <v>2001</v>
      </c>
      <c r="H171">
        <v>12</v>
      </c>
      <c r="I171" s="3">
        <v>2001.91666666725</v>
      </c>
      <c r="J171" s="2">
        <v>28.049526</v>
      </c>
      <c r="K171">
        <f>STANDARDIZE(J171,M$3,N$3)</f>
        <v>0.78777372330984974</v>
      </c>
    </row>
    <row r="172" spans="7:11" x14ac:dyDescent="0.3">
      <c r="G172">
        <v>2001</v>
      </c>
      <c r="H172">
        <v>11</v>
      </c>
      <c r="I172" s="3">
        <v>2001.8333333339201</v>
      </c>
      <c r="J172" s="2">
        <v>28.679912999999999</v>
      </c>
      <c r="K172">
        <f>STANDARDIZE(J172,M$4,N$4)</f>
        <v>1.7778697913782421E-3</v>
      </c>
    </row>
    <row r="173" spans="7:11" x14ac:dyDescent="0.3">
      <c r="G173">
        <v>2001</v>
      </c>
      <c r="H173">
        <v>10</v>
      </c>
      <c r="I173" s="3">
        <v>2001.75000000059</v>
      </c>
      <c r="J173" s="2">
        <v>29.12182</v>
      </c>
      <c r="K173">
        <f>STANDARDIZE(J173,M$5,N$5)</f>
        <v>0.62224346653673812</v>
      </c>
    </row>
    <row r="174" spans="7:11" x14ac:dyDescent="0.3">
      <c r="G174">
        <v>2001</v>
      </c>
      <c r="H174">
        <v>9</v>
      </c>
      <c r="I174" s="3">
        <v>2001.66666666726</v>
      </c>
      <c r="J174" s="2">
        <v>29.025096999999999</v>
      </c>
      <c r="K174">
        <f>STANDARDIZE(J174,M$6,N$6)</f>
        <v>0.61002275995926314</v>
      </c>
    </row>
    <row r="175" spans="7:11" x14ac:dyDescent="0.3">
      <c r="G175">
        <v>2001</v>
      </c>
      <c r="H175">
        <v>8</v>
      </c>
      <c r="I175" s="3">
        <v>2001.5833333339301</v>
      </c>
      <c r="J175" s="2">
        <v>28.618646999999999</v>
      </c>
      <c r="K175">
        <f>STANDARDIZE(J175,M$7,N$7)</f>
        <v>0.37083119492474592</v>
      </c>
    </row>
    <row r="176" spans="7:11" x14ac:dyDescent="0.3">
      <c r="G176">
        <v>2001</v>
      </c>
      <c r="H176">
        <v>7</v>
      </c>
      <c r="I176" s="3">
        <v>2001.5000000006</v>
      </c>
      <c r="J176" s="2">
        <v>28.398060000000001</v>
      </c>
      <c r="K176">
        <f>STANDARDIZE(J176,M$8,N$8)</f>
        <v>0.28377485682193493</v>
      </c>
    </row>
    <row r="177" spans="7:11" x14ac:dyDescent="0.3">
      <c r="G177">
        <v>2001</v>
      </c>
      <c r="H177">
        <v>6</v>
      </c>
      <c r="I177" s="3">
        <v>2001.41666666727</v>
      </c>
      <c r="J177" s="2">
        <v>28.822624000000001</v>
      </c>
      <c r="K177">
        <f>STANDARDIZE(J177,M$9,N$9)</f>
        <v>0.46708538486232343</v>
      </c>
    </row>
    <row r="178" spans="7:11" x14ac:dyDescent="0.3">
      <c r="G178">
        <v>2001</v>
      </c>
      <c r="H178">
        <v>5</v>
      </c>
      <c r="I178" s="3">
        <v>2001.3333333339399</v>
      </c>
      <c r="J178" s="2">
        <v>28.235503999999999</v>
      </c>
      <c r="K178">
        <f>STANDARDIZE(J178,M$10,N$10)</f>
        <v>-0.20432842343632127</v>
      </c>
    </row>
    <row r="179" spans="7:11" x14ac:dyDescent="0.3">
      <c r="G179">
        <v>2001</v>
      </c>
      <c r="H179">
        <v>4</v>
      </c>
      <c r="I179" s="3">
        <v>2001.25000000061</v>
      </c>
      <c r="J179" s="2">
        <v>27.255444000000001</v>
      </c>
      <c r="K179">
        <f>STANDARDIZE(J179,M$11,N$11)</f>
        <v>-0.63986987624293656</v>
      </c>
    </row>
    <row r="180" spans="7:11" x14ac:dyDescent="0.3">
      <c r="G180">
        <v>2001</v>
      </c>
      <c r="H180">
        <v>3</v>
      </c>
      <c r="I180" s="3">
        <v>2001.16666666728</v>
      </c>
      <c r="J180" s="2">
        <v>26.661549999999998</v>
      </c>
      <c r="K180">
        <f>STANDARDIZE(J180,M$12,N$12)</f>
        <v>-0.78548212989564681</v>
      </c>
    </row>
    <row r="181" spans="7:11" x14ac:dyDescent="0.3">
      <c r="G181">
        <v>2001</v>
      </c>
      <c r="H181">
        <v>2</v>
      </c>
      <c r="I181" s="3">
        <v>2001.0833333339499</v>
      </c>
      <c r="J181" s="2">
        <v>26.538681</v>
      </c>
      <c r="K181">
        <f>STANDARDIZE(J181,M$13,N$13)</f>
        <v>-0.87500327345229101</v>
      </c>
    </row>
    <row r="182" spans="7:11" x14ac:dyDescent="0.3">
      <c r="G182">
        <v>2001</v>
      </c>
      <c r="H182">
        <v>1</v>
      </c>
      <c r="I182" s="3">
        <v>2001.00000000062</v>
      </c>
      <c r="J182" s="2">
        <v>26.886410000000001</v>
      </c>
      <c r="K182">
        <f>STANDARDIZE(J182,M$14,N$14)</f>
        <v>-0.58048599126626432</v>
      </c>
    </row>
    <row r="183" spans="7:11" x14ac:dyDescent="0.3">
      <c r="G183">
        <v>2000</v>
      </c>
      <c r="H183">
        <v>12</v>
      </c>
      <c r="I183" s="3">
        <v>2000.91666666729</v>
      </c>
      <c r="J183" s="2">
        <v>27.563030000000001</v>
      </c>
      <c r="K183">
        <f>STANDARDIZE(J183,M$3,N$3)</f>
        <v>-0.73454581836563793</v>
      </c>
    </row>
    <row r="184" spans="7:11" x14ac:dyDescent="0.3">
      <c r="G184">
        <v>2000</v>
      </c>
      <c r="H184">
        <v>11</v>
      </c>
      <c r="I184" s="3">
        <v>2000.8333333339599</v>
      </c>
      <c r="J184" s="2">
        <v>28.679812999999999</v>
      </c>
      <c r="K184">
        <f>STANDARDIZE(J184,M$4,N$4)</f>
        <v>1.460864776572452E-3</v>
      </c>
    </row>
    <row r="185" spans="7:11" x14ac:dyDescent="0.3">
      <c r="G185">
        <v>2000</v>
      </c>
      <c r="H185">
        <v>10</v>
      </c>
      <c r="I185" s="3">
        <v>2000.7500000006301</v>
      </c>
      <c r="J185" s="2">
        <v>28.932037000000001</v>
      </c>
      <c r="K185">
        <f>STANDARDIZE(J185,M$5,N$5)</f>
        <v>2.1064506489970325E-2</v>
      </c>
    </row>
    <row r="186" spans="7:11" x14ac:dyDescent="0.3">
      <c r="G186">
        <v>2000</v>
      </c>
      <c r="H186">
        <v>9</v>
      </c>
      <c r="I186" s="3">
        <v>2000.6666666673</v>
      </c>
      <c r="J186" s="2">
        <v>28.852404</v>
      </c>
      <c r="K186">
        <f>STANDARDIZE(J186,M$6,N$6)</f>
        <v>9.9562130307849731E-2</v>
      </c>
    </row>
    <row r="187" spans="7:11" x14ac:dyDescent="0.3">
      <c r="G187">
        <v>2000</v>
      </c>
      <c r="H187">
        <v>8</v>
      </c>
      <c r="I187" s="3">
        <v>2000.5833333339699</v>
      </c>
      <c r="J187" s="2">
        <v>28.584655999999999</v>
      </c>
      <c r="K187">
        <f>STANDARDIZE(J187,M$7,N$7)</f>
        <v>0.27034124679753946</v>
      </c>
    </row>
    <row r="188" spans="7:11" x14ac:dyDescent="0.3">
      <c r="G188">
        <v>2000</v>
      </c>
      <c r="H188">
        <v>7</v>
      </c>
      <c r="I188" s="3">
        <v>2000.5000000006401</v>
      </c>
      <c r="J188" s="2">
        <v>28.283096</v>
      </c>
      <c r="K188">
        <f>STANDARDIZE(J188,M$8,N$8)</f>
        <v>-4.8936361395815975E-2</v>
      </c>
    </row>
    <row r="189" spans="7:11" x14ac:dyDescent="0.3">
      <c r="G189">
        <v>2000</v>
      </c>
      <c r="H189">
        <v>6</v>
      </c>
      <c r="I189" s="3">
        <v>2000.41666666731</v>
      </c>
      <c r="J189" s="2">
        <v>28.437287999999999</v>
      </c>
      <c r="K189">
        <f>STANDARDIZE(J189,M$9,N$9)</f>
        <v>-0.56560001539801363</v>
      </c>
    </row>
    <row r="190" spans="7:11" x14ac:dyDescent="0.3">
      <c r="G190">
        <v>2000</v>
      </c>
      <c r="H190">
        <v>5</v>
      </c>
      <c r="I190" s="3">
        <v>2000.3333333339799</v>
      </c>
      <c r="J190" s="2">
        <v>28.207857000000001</v>
      </c>
      <c r="K190">
        <f>STANDARDIZE(J190,M$10,N$10)</f>
        <v>-0.27229557194927428</v>
      </c>
    </row>
    <row r="191" spans="7:11" x14ac:dyDescent="0.3">
      <c r="G191">
        <v>2000</v>
      </c>
      <c r="H191">
        <v>4</v>
      </c>
      <c r="I191" s="3">
        <v>2000.2500000006501</v>
      </c>
      <c r="J191" s="2">
        <v>27.356756000000001</v>
      </c>
      <c r="K191">
        <f>STANDARDIZE(J191,M$11,N$11)</f>
        <v>-0.35300219850788667</v>
      </c>
    </row>
    <row r="192" spans="7:11" x14ac:dyDescent="0.3">
      <c r="G192">
        <v>2000</v>
      </c>
      <c r="H192">
        <v>3</v>
      </c>
      <c r="I192" s="3">
        <v>2000.16666666732</v>
      </c>
      <c r="J192" s="2">
        <v>26.734048999999999</v>
      </c>
      <c r="K192">
        <f>STANDARDIZE(J192,M$12,N$12)</f>
        <v>-0.60624282249457118</v>
      </c>
    </row>
    <row r="193" spans="7:11" x14ac:dyDescent="0.3">
      <c r="G193">
        <v>2000</v>
      </c>
      <c r="H193">
        <v>2</v>
      </c>
      <c r="I193" s="3">
        <v>2000.0833333339899</v>
      </c>
      <c r="J193" s="2">
        <v>26.750644999999999</v>
      </c>
      <c r="K193">
        <f>STANDARDIZE(J193,M$13,N$13)</f>
        <v>-0.3314685460195701</v>
      </c>
    </row>
    <row r="194" spans="7:11" x14ac:dyDescent="0.3">
      <c r="G194">
        <v>2000</v>
      </c>
      <c r="H194">
        <v>1</v>
      </c>
      <c r="I194" s="3">
        <v>2000.0000000006601</v>
      </c>
      <c r="J194" s="2">
        <v>26.800830000000001</v>
      </c>
      <c r="K194">
        <f>STANDARDIZE(J194,M$14,N$14)</f>
        <v>-0.83899445791301652</v>
      </c>
    </row>
    <row r="195" spans="7:11" x14ac:dyDescent="0.3">
      <c r="G195">
        <v>1999</v>
      </c>
      <c r="H195">
        <v>12</v>
      </c>
      <c r="I195" s="3">
        <v>1999.91666666732</v>
      </c>
      <c r="J195" s="2">
        <v>27.89828</v>
      </c>
      <c r="K195">
        <f>STANDARDIZE(J195,M$3,N$3)</f>
        <v>0.31450212107621989</v>
      </c>
    </row>
    <row r="196" spans="7:11" x14ac:dyDescent="0.3">
      <c r="G196">
        <v>1999</v>
      </c>
      <c r="H196">
        <v>11</v>
      </c>
      <c r="I196" s="3">
        <v>1999.8333333339899</v>
      </c>
      <c r="J196" s="2">
        <v>28.303477999999998</v>
      </c>
      <c r="K196">
        <f>STANDARDIZE(J196,M$4,N$4)</f>
        <v>-1.1915399576955805</v>
      </c>
    </row>
    <row r="197" spans="7:11" x14ac:dyDescent="0.3">
      <c r="G197">
        <v>1999</v>
      </c>
      <c r="H197">
        <v>10</v>
      </c>
      <c r="I197" s="3">
        <v>1999.7500000006601</v>
      </c>
      <c r="J197" s="2">
        <v>28.966629000000001</v>
      </c>
      <c r="K197">
        <f>STANDARDIZE(J197,M$5,N$5)</f>
        <v>0.13064219567149835</v>
      </c>
    </row>
    <row r="198" spans="7:11" x14ac:dyDescent="0.3">
      <c r="G198">
        <v>1999</v>
      </c>
      <c r="H198">
        <v>9</v>
      </c>
      <c r="I198" s="3">
        <v>1999.66666666733</v>
      </c>
      <c r="J198" s="2">
        <v>28.978497999999998</v>
      </c>
      <c r="K198">
        <f>STANDARDIZE(J198,M$6,N$6)</f>
        <v>0.47228147987769281</v>
      </c>
    </row>
    <row r="199" spans="7:11" x14ac:dyDescent="0.3">
      <c r="G199">
        <v>1999</v>
      </c>
      <c r="H199">
        <v>8</v>
      </c>
      <c r="I199" s="3">
        <v>1999.5833333339999</v>
      </c>
      <c r="J199" s="2">
        <v>28.797606999999999</v>
      </c>
      <c r="K199">
        <f>STANDARDIZE(J199,M$7,N$7)</f>
        <v>0.89990304090882101</v>
      </c>
    </row>
    <row r="200" spans="7:11" x14ac:dyDescent="0.3">
      <c r="G200">
        <v>1999</v>
      </c>
      <c r="H200">
        <v>7</v>
      </c>
      <c r="I200" s="3">
        <v>1999.5000000006701</v>
      </c>
      <c r="J200" s="2">
        <v>28.540585</v>
      </c>
      <c r="K200">
        <f>STANDARDIZE(J200,M$8,N$8)</f>
        <v>0.6962489041453096</v>
      </c>
    </row>
    <row r="201" spans="7:11" x14ac:dyDescent="0.3">
      <c r="G201">
        <v>1999</v>
      </c>
      <c r="H201">
        <v>6</v>
      </c>
      <c r="I201" s="3">
        <v>1999.41666666734</v>
      </c>
      <c r="J201" s="2">
        <v>28.782764</v>
      </c>
      <c r="K201">
        <f>STANDARDIZE(J201,M$9,N$9)</f>
        <v>0.36026214474362778</v>
      </c>
    </row>
    <row r="202" spans="7:11" x14ac:dyDescent="0.3">
      <c r="G202">
        <v>1999</v>
      </c>
      <c r="H202">
        <v>5</v>
      </c>
      <c r="I202" s="3">
        <v>1999.3333333340099</v>
      </c>
      <c r="J202" s="2">
        <v>28.198405999999999</v>
      </c>
      <c r="K202">
        <f>STANDARDIZE(J202,M$10,N$10)</f>
        <v>-0.29552982957563889</v>
      </c>
    </row>
    <row r="203" spans="7:11" x14ac:dyDescent="0.3">
      <c r="G203">
        <v>1999</v>
      </c>
      <c r="H203">
        <v>4</v>
      </c>
      <c r="I203" s="3">
        <v>1999.2500000006801</v>
      </c>
      <c r="J203" s="2">
        <v>27.552143000000001</v>
      </c>
      <c r="K203">
        <f>STANDARDIZE(J203,M$11,N$11)</f>
        <v>0.20024139504093491</v>
      </c>
    </row>
    <row r="204" spans="7:11" x14ac:dyDescent="0.3">
      <c r="G204">
        <v>1999</v>
      </c>
      <c r="H204">
        <v>3</v>
      </c>
      <c r="I204" s="3">
        <v>1999.16666666735</v>
      </c>
      <c r="J204" s="2">
        <v>26.935252999999999</v>
      </c>
      <c r="K204">
        <f>STANDARDIZE(J204,M$12,N$12)</f>
        <v>-0.10880609086619179</v>
      </c>
    </row>
    <row r="205" spans="7:11" x14ac:dyDescent="0.3">
      <c r="G205">
        <v>1999</v>
      </c>
      <c r="H205">
        <v>2</v>
      </c>
      <c r="I205" s="3">
        <v>1999.0833333340199</v>
      </c>
      <c r="J205" s="2">
        <v>26.596931000000001</v>
      </c>
      <c r="K205">
        <f>STANDARDIZE(J205,M$13,N$13)</f>
        <v>-0.7256340509760365</v>
      </c>
    </row>
    <row r="206" spans="7:11" x14ac:dyDescent="0.3">
      <c r="G206">
        <v>1999</v>
      </c>
      <c r="H206">
        <v>1</v>
      </c>
      <c r="I206" s="3">
        <v>1999.0000000006901</v>
      </c>
      <c r="J206" s="2">
        <v>27.152920000000002</v>
      </c>
      <c r="K206">
        <f>STANDARDIZE(J206,M$14,N$14)</f>
        <v>0.22455130069477605</v>
      </c>
    </row>
    <row r="207" spans="7:11" x14ac:dyDescent="0.3">
      <c r="G207">
        <v>1998</v>
      </c>
      <c r="H207">
        <v>12</v>
      </c>
      <c r="I207" s="3">
        <v>1998.91666666736</v>
      </c>
      <c r="J207" s="2">
        <v>28.066917</v>
      </c>
      <c r="K207">
        <f>STANDARDIZE(J207,M$3,N$3)</f>
        <v>0.84219279181047124</v>
      </c>
    </row>
    <row r="208" spans="7:11" x14ac:dyDescent="0.3">
      <c r="G208">
        <v>1998</v>
      </c>
      <c r="H208">
        <v>11</v>
      </c>
      <c r="I208" s="3">
        <v>1998.8333333340299</v>
      </c>
      <c r="J208" s="2">
        <v>28.998287000000001</v>
      </c>
      <c r="K208">
        <f>STANDARDIZE(J208,M$4,N$4)</f>
        <v>1.0110394156315228</v>
      </c>
    </row>
    <row r="209" spans="7:11" x14ac:dyDescent="0.3">
      <c r="G209">
        <v>1998</v>
      </c>
      <c r="H209">
        <v>10</v>
      </c>
      <c r="I209" s="3">
        <v>1998.7500000007001</v>
      </c>
      <c r="J209" s="2">
        <v>29.101966999999998</v>
      </c>
      <c r="K209">
        <f>STANDARDIZE(J209,M$5,N$5)</f>
        <v>0.5593547678977171</v>
      </c>
    </row>
    <row r="210" spans="7:11" x14ac:dyDescent="0.3">
      <c r="G210">
        <v>1998</v>
      </c>
      <c r="H210">
        <v>9</v>
      </c>
      <c r="I210" s="3">
        <v>1998.66666666737</v>
      </c>
      <c r="J210" s="2">
        <v>29.418707000000001</v>
      </c>
      <c r="K210">
        <f>STANDARDIZE(J210,M$6,N$6)</f>
        <v>1.773488612293147</v>
      </c>
    </row>
    <row r="211" spans="7:11" x14ac:dyDescent="0.3">
      <c r="G211">
        <v>1998</v>
      </c>
      <c r="H211">
        <v>8</v>
      </c>
      <c r="I211" s="3">
        <v>1998.5833333340399</v>
      </c>
      <c r="J211" s="2">
        <v>29.319911999999999</v>
      </c>
      <c r="K211">
        <f>STANDARDIZE(J211,M$7,N$7)</f>
        <v>2.4440294966347484</v>
      </c>
    </row>
    <row r="212" spans="7:11" x14ac:dyDescent="0.3">
      <c r="G212">
        <v>1998</v>
      </c>
      <c r="H212">
        <v>7</v>
      </c>
      <c r="I212" s="3">
        <v>1998.5000000007101</v>
      </c>
      <c r="J212" s="2">
        <v>28.865658</v>
      </c>
      <c r="K212">
        <f>STANDARDIZE(J212,M$8,N$8)</f>
        <v>1.6370254414935088</v>
      </c>
    </row>
    <row r="213" spans="7:11" x14ac:dyDescent="0.3">
      <c r="G213">
        <v>1998</v>
      </c>
      <c r="H213">
        <v>6</v>
      </c>
      <c r="I213" s="3">
        <v>1998.41666666738</v>
      </c>
      <c r="J213" s="2">
        <v>29.120782999999999</v>
      </c>
      <c r="K213">
        <f>STANDARDIZE(J213,M$9,N$9)</f>
        <v>1.2661398367075136</v>
      </c>
    </row>
    <row r="214" spans="7:11" x14ac:dyDescent="0.3">
      <c r="G214">
        <v>1998</v>
      </c>
      <c r="H214">
        <v>5</v>
      </c>
      <c r="I214" s="3">
        <v>1998.3333333340499</v>
      </c>
      <c r="J214" s="2">
        <v>28.859881999999999</v>
      </c>
      <c r="K214">
        <f>STANDARDIZE(J214,M$10,N$10)</f>
        <v>1.3306371154729035</v>
      </c>
    </row>
    <row r="215" spans="7:11" x14ac:dyDescent="0.3">
      <c r="G215">
        <v>1998</v>
      </c>
      <c r="H215">
        <v>4</v>
      </c>
      <c r="I215" s="3">
        <v>1998.2500000007201</v>
      </c>
      <c r="J215" s="2">
        <v>27.934906000000002</v>
      </c>
      <c r="K215">
        <f>STANDARDIZE(J215,M$11,N$11)</f>
        <v>1.2840452182099673</v>
      </c>
    </row>
    <row r="216" spans="7:11" x14ac:dyDescent="0.3">
      <c r="G216">
        <v>1998</v>
      </c>
      <c r="H216">
        <v>3</v>
      </c>
      <c r="I216" s="3">
        <v>1998.16666666739</v>
      </c>
      <c r="J216" s="2">
        <v>27.566013000000002</v>
      </c>
      <c r="K216">
        <f>STANDARDIZE(J216,M$12,N$12)</f>
        <v>1.4506221155408217</v>
      </c>
    </row>
    <row r="217" spans="7:11" x14ac:dyDescent="0.3">
      <c r="G217">
        <v>1998</v>
      </c>
      <c r="H217">
        <v>2</v>
      </c>
      <c r="I217" s="3">
        <v>1998.0833333340599</v>
      </c>
      <c r="J217" s="2">
        <v>27.492370000000001</v>
      </c>
      <c r="K217">
        <f>STANDARDIZE(J217,M$13,N$13)</f>
        <v>1.5705209224988557</v>
      </c>
    </row>
    <row r="218" spans="7:11" x14ac:dyDescent="0.3">
      <c r="G218">
        <v>1998</v>
      </c>
      <c r="H218">
        <v>1</v>
      </c>
      <c r="I218" s="3">
        <v>1998.0000000007301</v>
      </c>
      <c r="J218" s="2">
        <v>27.386194</v>
      </c>
      <c r="K218">
        <f>STANDARDIZE(J218,M$14,N$14)</f>
        <v>0.92919378782440698</v>
      </c>
    </row>
    <row r="219" spans="7:11" x14ac:dyDescent="0.3">
      <c r="G219">
        <v>1997</v>
      </c>
      <c r="H219">
        <v>12</v>
      </c>
      <c r="I219" s="3">
        <v>1997.9166666674</v>
      </c>
      <c r="J219" s="2">
        <v>28.053778000000001</v>
      </c>
      <c r="K219">
        <f>STANDARDIZE(J219,M$3,N$3)</f>
        <v>0.80107887420771062</v>
      </c>
    </row>
    <row r="220" spans="7:11" x14ac:dyDescent="0.3">
      <c r="G220">
        <v>1997</v>
      </c>
      <c r="H220">
        <v>11</v>
      </c>
      <c r="I220" s="3">
        <v>1997.8333333340699</v>
      </c>
      <c r="J220" s="2">
        <v>28.978885999999999</v>
      </c>
      <c r="K220">
        <f>STANDARDIZE(J220,M$4,N$4)</f>
        <v>0.94953727270890176</v>
      </c>
    </row>
    <row r="221" spans="7:11" x14ac:dyDescent="0.3">
      <c r="G221">
        <v>1997</v>
      </c>
      <c r="H221">
        <v>10</v>
      </c>
      <c r="I221" s="3">
        <v>1997.7500000007401</v>
      </c>
      <c r="J221" s="2">
        <v>29.191174</v>
      </c>
      <c r="K221">
        <f>STANDARDIZE(J221,M$5,N$5)</f>
        <v>0.84193735690143989</v>
      </c>
    </row>
    <row r="222" spans="7:11" x14ac:dyDescent="0.3">
      <c r="G222">
        <v>1997</v>
      </c>
      <c r="H222">
        <v>9</v>
      </c>
      <c r="I222" s="3">
        <v>1997.66666666741</v>
      </c>
      <c r="J222" s="2">
        <v>28.914299</v>
      </c>
      <c r="K222">
        <f>STANDARDIZE(J222,M$6,N$6)</f>
        <v>0.28251662569720737</v>
      </c>
    </row>
    <row r="223" spans="7:11" x14ac:dyDescent="0.3">
      <c r="G223">
        <v>1997</v>
      </c>
      <c r="H223">
        <v>8</v>
      </c>
      <c r="I223" s="3">
        <v>1997.58333333408</v>
      </c>
      <c r="J223" s="2">
        <v>28.438068000000001</v>
      </c>
      <c r="K223">
        <f>STANDARDIZE(J223,M$7,N$7)</f>
        <v>-0.1630270129203438</v>
      </c>
    </row>
    <row r="224" spans="7:11" x14ac:dyDescent="0.3">
      <c r="G224">
        <v>1997</v>
      </c>
      <c r="H224">
        <v>7</v>
      </c>
      <c r="I224" s="3">
        <v>1997.5000000007501</v>
      </c>
      <c r="J224" s="2">
        <v>28.393802999999998</v>
      </c>
      <c r="K224">
        <f>STANDARDIZE(J224,M$8,N$8)</f>
        <v>0.2714548987832982</v>
      </c>
    </row>
    <row r="225" spans="7:11" x14ac:dyDescent="0.3">
      <c r="G225">
        <v>1997</v>
      </c>
      <c r="H225">
        <v>6</v>
      </c>
      <c r="I225" s="3">
        <v>1997.41666666742</v>
      </c>
      <c r="J225" s="2">
        <v>28.73631</v>
      </c>
      <c r="K225">
        <f>STANDARDIZE(J225,M$9,N$9)</f>
        <v>0.2357672426745398</v>
      </c>
    </row>
    <row r="226" spans="7:11" x14ac:dyDescent="0.3">
      <c r="G226">
        <v>1997</v>
      </c>
      <c r="H226">
        <v>5</v>
      </c>
      <c r="I226" s="3">
        <v>1997.33333333409</v>
      </c>
      <c r="J226" s="2">
        <v>28.317820000000001</v>
      </c>
      <c r="K226">
        <f>STANDARDIZE(J226,M$10,N$10)</f>
        <v>-1.9634725558366419E-3</v>
      </c>
    </row>
    <row r="227" spans="7:11" x14ac:dyDescent="0.3">
      <c r="G227">
        <v>1997</v>
      </c>
      <c r="H227">
        <v>4</v>
      </c>
      <c r="I227" s="3">
        <v>1997.2500000007601</v>
      </c>
      <c r="J227" s="2">
        <v>27.389868</v>
      </c>
      <c r="K227">
        <f>STANDARDIZE(J227,M$11,N$11)</f>
        <v>-0.25924467180658062</v>
      </c>
    </row>
    <row r="228" spans="7:11" x14ac:dyDescent="0.3">
      <c r="G228">
        <v>1997</v>
      </c>
      <c r="H228">
        <v>3</v>
      </c>
      <c r="I228" s="3">
        <v>1997.16666666743</v>
      </c>
      <c r="J228" s="2">
        <v>26.858093</v>
      </c>
      <c r="K228">
        <f>STANDARDIZE(J228,M$12,N$12)</f>
        <v>-0.29956879047676244</v>
      </c>
    </row>
    <row r="229" spans="7:11" x14ac:dyDescent="0.3">
      <c r="G229">
        <v>1997</v>
      </c>
      <c r="H229">
        <v>2</v>
      </c>
      <c r="I229" s="3">
        <v>1997.0833333341</v>
      </c>
      <c r="J229" s="2">
        <v>26.930568999999998</v>
      </c>
      <c r="K229">
        <f>STANDARDIZE(J229,M$13,N$13)</f>
        <v>0.12990669835497254</v>
      </c>
    </row>
    <row r="230" spans="7:11" x14ac:dyDescent="0.3">
      <c r="G230">
        <v>1997</v>
      </c>
      <c r="H230">
        <v>1</v>
      </c>
      <c r="I230" s="3">
        <v>1997.0000000007699</v>
      </c>
      <c r="J230" s="2">
        <v>27.178028000000001</v>
      </c>
      <c r="K230">
        <f>STANDARDIZE(J230,M$14,N$14)</f>
        <v>0.30039414459015468</v>
      </c>
    </row>
    <row r="231" spans="7:11" x14ac:dyDescent="0.3">
      <c r="G231">
        <v>1996</v>
      </c>
      <c r="H231">
        <v>12</v>
      </c>
      <c r="I231" s="3">
        <v>1996.91666666744</v>
      </c>
      <c r="J231" s="2">
        <v>27.653341000000001</v>
      </c>
      <c r="K231">
        <f>STANDARDIZE(J231,M$3,N$3)</f>
        <v>-0.45194904443891509</v>
      </c>
    </row>
    <row r="232" spans="7:11" x14ac:dyDescent="0.3">
      <c r="G232">
        <v>1996</v>
      </c>
      <c r="H232">
        <v>11</v>
      </c>
      <c r="I232" s="3">
        <v>1996.83333333411</v>
      </c>
      <c r="J232" s="2">
        <v>28.459136999999998</v>
      </c>
      <c r="K232">
        <f>STANDARDIZE(J232,M$4,N$4)</f>
        <v>-0.69809312169788595</v>
      </c>
    </row>
    <row r="233" spans="7:11" x14ac:dyDescent="0.3">
      <c r="G233">
        <v>1996</v>
      </c>
      <c r="H233">
        <v>10</v>
      </c>
      <c r="I233" s="3">
        <v>1996.7500000007799</v>
      </c>
      <c r="J233" s="2">
        <v>28.765609999999999</v>
      </c>
      <c r="K233">
        <f>STANDARDIZE(J233,M$5,N$5)</f>
        <v>-0.50612923996627501</v>
      </c>
    </row>
    <row r="234" spans="7:11" x14ac:dyDescent="0.3">
      <c r="G234">
        <v>1996</v>
      </c>
      <c r="H234">
        <v>9</v>
      </c>
      <c r="I234" s="3">
        <v>1996.66666666745</v>
      </c>
      <c r="J234" s="2">
        <v>28.809937000000001</v>
      </c>
      <c r="K234">
        <f>STANDARDIZE(J234,M$6,N$6)</f>
        <v>-2.5965433400036157E-2</v>
      </c>
    </row>
    <row r="235" spans="7:11" x14ac:dyDescent="0.3">
      <c r="G235">
        <v>1996</v>
      </c>
      <c r="H235">
        <v>8</v>
      </c>
      <c r="I235" s="3">
        <v>1996.58333333412</v>
      </c>
      <c r="J235" s="2">
        <v>28.405017999999998</v>
      </c>
      <c r="K235">
        <f>STANDARDIZE(J235,M$7,N$7)</f>
        <v>-0.26073501755699569</v>
      </c>
    </row>
    <row r="236" spans="7:11" x14ac:dyDescent="0.3">
      <c r="G236">
        <v>1996</v>
      </c>
      <c r="H236">
        <v>7</v>
      </c>
      <c r="I236" s="3">
        <v>1996.5000000007899</v>
      </c>
      <c r="J236" s="2">
        <v>28.343678000000001</v>
      </c>
      <c r="K236">
        <f>STANDARDIZE(J236,M$8,N$8)</f>
        <v>0.12639079338366058</v>
      </c>
    </row>
    <row r="237" spans="7:11" x14ac:dyDescent="0.3">
      <c r="G237">
        <v>1996</v>
      </c>
      <c r="H237">
        <v>6</v>
      </c>
      <c r="I237" s="3">
        <v>1996.41666666746</v>
      </c>
      <c r="J237" s="2">
        <v>28.796707000000001</v>
      </c>
      <c r="K237">
        <f>STANDARDIZE(J237,M$9,N$9)</f>
        <v>0.39762883909824553</v>
      </c>
    </row>
    <row r="238" spans="7:11" x14ac:dyDescent="0.3">
      <c r="G238">
        <v>1996</v>
      </c>
      <c r="H238">
        <v>5</v>
      </c>
      <c r="I238" s="3">
        <v>1996.33333333413</v>
      </c>
      <c r="J238" s="2">
        <v>28.376728</v>
      </c>
      <c r="K238">
        <f>STANDARDIZE(J238,M$10,N$10)</f>
        <v>0.14285545118276857</v>
      </c>
    </row>
    <row r="239" spans="7:11" x14ac:dyDescent="0.3">
      <c r="G239">
        <v>1996</v>
      </c>
      <c r="H239">
        <v>4</v>
      </c>
      <c r="I239" s="3">
        <v>1996.2500000007999</v>
      </c>
      <c r="J239" s="2">
        <v>27.657910000000001</v>
      </c>
      <c r="K239">
        <f>STANDARDIZE(J239,M$11,N$11)</f>
        <v>0.49972352619028593</v>
      </c>
    </row>
    <row r="240" spans="7:11" x14ac:dyDescent="0.3">
      <c r="G240">
        <v>1996</v>
      </c>
      <c r="H240">
        <v>3</v>
      </c>
      <c r="I240" s="3">
        <v>1996.1666666674701</v>
      </c>
      <c r="J240" s="2">
        <v>27.268969999999999</v>
      </c>
      <c r="K240">
        <f>STANDARDIZE(J240,M$12,N$12)</f>
        <v>0.71624258494953452</v>
      </c>
    </row>
    <row r="241" spans="7:11" x14ac:dyDescent="0.3">
      <c r="G241">
        <v>1996</v>
      </c>
      <c r="H241">
        <v>2</v>
      </c>
      <c r="I241" s="3">
        <v>1996.08333333414</v>
      </c>
      <c r="J241" s="2">
        <v>27.209606000000001</v>
      </c>
      <c r="K241">
        <f>STANDARDIZE(J241,M$13,N$13)</f>
        <v>0.84543527744692548</v>
      </c>
    </row>
    <row r="242" spans="7:11" x14ac:dyDescent="0.3">
      <c r="G242">
        <v>1996</v>
      </c>
      <c r="H242">
        <v>1</v>
      </c>
      <c r="I242" s="3">
        <v>1996.0000000008099</v>
      </c>
      <c r="J242" s="2">
        <v>27.703735000000002</v>
      </c>
      <c r="K242">
        <f>STANDARDIZE(J242,M$14,N$14)</f>
        <v>1.8883786091316832</v>
      </c>
    </row>
    <row r="243" spans="7:11" x14ac:dyDescent="0.3">
      <c r="G243">
        <v>1995</v>
      </c>
      <c r="H243">
        <v>12</v>
      </c>
      <c r="I243" s="3">
        <v>1995.9166666674801</v>
      </c>
      <c r="J243" s="2">
        <v>28.104153</v>
      </c>
      <c r="K243">
        <f>STANDARDIZE(J243,M$3,N$3)</f>
        <v>0.95870986585389328</v>
      </c>
    </row>
    <row r="244" spans="7:11" x14ac:dyDescent="0.3">
      <c r="G244">
        <v>1995</v>
      </c>
      <c r="H244">
        <v>11</v>
      </c>
      <c r="I244" s="3">
        <v>1995.83333333415</v>
      </c>
      <c r="J244" s="2">
        <v>28.912303999999999</v>
      </c>
      <c r="K244">
        <f>STANDARDIZE(J244,M$4,N$4)</f>
        <v>0.73846899375041775</v>
      </c>
    </row>
    <row r="245" spans="7:11" x14ac:dyDescent="0.3">
      <c r="G245">
        <v>1995</v>
      </c>
      <c r="H245">
        <v>10</v>
      </c>
      <c r="I245" s="3">
        <v>1995.7500000008199</v>
      </c>
      <c r="J245" s="2">
        <v>29.092924</v>
      </c>
      <c r="K245">
        <f>STANDARDIZE(J245,M$5,N$5)</f>
        <v>0.53070909712793279</v>
      </c>
    </row>
    <row r="246" spans="7:11" x14ac:dyDescent="0.3">
      <c r="G246">
        <v>1995</v>
      </c>
      <c r="H246">
        <v>9</v>
      </c>
      <c r="I246" s="3">
        <v>1995.6666666674901</v>
      </c>
      <c r="J246" s="2">
        <v>28.932924</v>
      </c>
      <c r="K246">
        <f>STANDARDIZE(J246,M$6,N$6)</f>
        <v>0.33756998181041231</v>
      </c>
    </row>
    <row r="247" spans="7:11" x14ac:dyDescent="0.3">
      <c r="G247">
        <v>1995</v>
      </c>
      <c r="H247">
        <v>8</v>
      </c>
      <c r="I247" s="3">
        <v>1995.58333333416</v>
      </c>
      <c r="J247" s="2">
        <v>28.871324999999999</v>
      </c>
      <c r="K247">
        <f>STANDARDIZE(J247,M$7,N$7)</f>
        <v>1.1178406713416205</v>
      </c>
    </row>
    <row r="248" spans="7:11" x14ac:dyDescent="0.3">
      <c r="G248">
        <v>1995</v>
      </c>
      <c r="H248">
        <v>7</v>
      </c>
      <c r="I248" s="3">
        <v>1995.5000000008299</v>
      </c>
      <c r="J248" s="2">
        <v>28.697051999999999</v>
      </c>
      <c r="K248">
        <f>STANDARDIZE(J248,M$8,N$8)</f>
        <v>1.149071754610467</v>
      </c>
    </row>
    <row r="249" spans="7:11" x14ac:dyDescent="0.3">
      <c r="G249">
        <v>1995</v>
      </c>
      <c r="H249">
        <v>6</v>
      </c>
      <c r="I249" s="3">
        <v>1995.4166666675001</v>
      </c>
      <c r="J249" s="2">
        <v>29.007117999999998</v>
      </c>
      <c r="K249">
        <f>STANDARDIZE(J249,M$9,N$9)</f>
        <v>0.96152208487381119</v>
      </c>
    </row>
    <row r="250" spans="7:11" x14ac:dyDescent="0.3">
      <c r="G250">
        <v>1995</v>
      </c>
      <c r="H250">
        <v>5</v>
      </c>
      <c r="I250" s="3">
        <v>1995.33333333417</v>
      </c>
      <c r="J250" s="2">
        <v>28.602460000000001</v>
      </c>
      <c r="K250">
        <f>STANDARDIZE(J250,M$10,N$10)</f>
        <v>0.69779307074825325</v>
      </c>
    </row>
    <row r="251" spans="7:11" x14ac:dyDescent="0.3">
      <c r="G251">
        <v>1995</v>
      </c>
      <c r="H251">
        <v>4</v>
      </c>
      <c r="I251" s="3">
        <v>1995.2500000008399</v>
      </c>
      <c r="J251" s="2">
        <v>27.807023999999998</v>
      </c>
      <c r="K251">
        <f>STANDARDIZE(J251,M$11,N$11)</f>
        <v>0.92194386433170472</v>
      </c>
    </row>
    <row r="252" spans="7:11" x14ac:dyDescent="0.3">
      <c r="G252">
        <v>1995</v>
      </c>
      <c r="H252">
        <v>3</v>
      </c>
      <c r="I252" s="3">
        <v>1995.1666666675101</v>
      </c>
      <c r="J252" s="2">
        <v>27.377182000000001</v>
      </c>
      <c r="K252">
        <f>STANDARDIZE(J252,M$12,N$12)</f>
        <v>0.98377515688135941</v>
      </c>
    </row>
    <row r="253" spans="7:11" x14ac:dyDescent="0.3">
      <c r="G253">
        <v>1995</v>
      </c>
      <c r="H253">
        <v>2</v>
      </c>
      <c r="I253" s="3">
        <v>1995.08333333418</v>
      </c>
      <c r="J253" s="2">
        <v>27.112738</v>
      </c>
      <c r="K253">
        <f>STANDARDIZE(J253,M$13,N$13)</f>
        <v>0.59703874795628753</v>
      </c>
    </row>
    <row r="254" spans="7:11" x14ac:dyDescent="0.3">
      <c r="G254">
        <v>1995</v>
      </c>
      <c r="H254">
        <v>1</v>
      </c>
      <c r="I254" s="3">
        <v>1995.0000000008499</v>
      </c>
      <c r="J254" s="2">
        <v>27.284130000000001</v>
      </c>
      <c r="K254">
        <f>STANDARDIZE(J254,M$14,N$14)</f>
        <v>0.62089268780298035</v>
      </c>
    </row>
    <row r="255" spans="7:11" x14ac:dyDescent="0.3">
      <c r="G255">
        <v>1994</v>
      </c>
      <c r="H255">
        <v>12</v>
      </c>
      <c r="I255" s="3">
        <v>1994.9166666675201</v>
      </c>
      <c r="J255" s="2">
        <v>27.805050000000001</v>
      </c>
      <c r="K255">
        <f>STANDARDIZE(J255,M$3,N$3)</f>
        <v>2.2771354799819774E-2</v>
      </c>
    </row>
    <row r="256" spans="7:11" x14ac:dyDescent="0.3">
      <c r="G256">
        <v>1994</v>
      </c>
      <c r="H256">
        <v>11</v>
      </c>
      <c r="I256" s="3">
        <v>1994.83333333419</v>
      </c>
      <c r="J256" s="2">
        <v>28.612185</v>
      </c>
      <c r="K256">
        <f>STANDARDIZE(J256,M$4,N$4)</f>
        <v>-0.21292328663678403</v>
      </c>
    </row>
    <row r="257" spans="7:11" x14ac:dyDescent="0.3">
      <c r="G257">
        <v>1994</v>
      </c>
      <c r="H257">
        <v>10</v>
      </c>
      <c r="I257" s="3">
        <v>1994.7500000008599</v>
      </c>
      <c r="J257" s="2">
        <v>28.904247000000002</v>
      </c>
      <c r="K257">
        <f>STANDARDIZE(J257,M$5,N$5)</f>
        <v>-6.6966367190493842E-2</v>
      </c>
    </row>
    <row r="258" spans="7:11" x14ac:dyDescent="0.3">
      <c r="G258">
        <v>1994</v>
      </c>
      <c r="H258">
        <v>9</v>
      </c>
      <c r="I258" s="3">
        <v>1994.6666666675301</v>
      </c>
      <c r="J258" s="2">
        <v>28.571362000000001</v>
      </c>
      <c r="K258">
        <f>STANDARDIZE(J258,M$6,N$6)</f>
        <v>-0.73116567150515444</v>
      </c>
    </row>
    <row r="259" spans="7:11" x14ac:dyDescent="0.3">
      <c r="G259">
        <v>1994</v>
      </c>
      <c r="H259">
        <v>8</v>
      </c>
      <c r="I259" s="3">
        <v>1994.5833333342</v>
      </c>
      <c r="J259" s="2">
        <v>28.235440000000001</v>
      </c>
      <c r="K259">
        <f>STANDARDIZE(J259,M$7,N$7)</f>
        <v>-0.76207020697522498</v>
      </c>
    </row>
    <row r="260" spans="7:11" x14ac:dyDescent="0.3">
      <c r="G260">
        <v>1994</v>
      </c>
      <c r="H260">
        <v>7</v>
      </c>
      <c r="I260" s="3">
        <v>1994.5000000008699</v>
      </c>
      <c r="J260" s="2">
        <v>27.998660999999998</v>
      </c>
      <c r="K260">
        <f>STANDARDIZE(J260,M$8,N$8)</f>
        <v>-0.87210461714340848</v>
      </c>
    </row>
    <row r="261" spans="7:11" x14ac:dyDescent="0.3">
      <c r="G261">
        <v>1994</v>
      </c>
      <c r="H261">
        <v>6</v>
      </c>
      <c r="I261" s="3">
        <v>1994.4166666675401</v>
      </c>
      <c r="J261" s="2">
        <v>28.462057000000001</v>
      </c>
      <c r="K261">
        <f>STANDARDIZE(J261,M$9,N$9)</f>
        <v>-0.49922006470809388</v>
      </c>
    </row>
    <row r="262" spans="7:11" x14ac:dyDescent="0.3">
      <c r="G262">
        <v>1994</v>
      </c>
      <c r="H262">
        <v>5</v>
      </c>
      <c r="I262" s="3">
        <v>1994.33333333421</v>
      </c>
      <c r="J262" s="2">
        <v>28.216442000000001</v>
      </c>
      <c r="K262">
        <f>STANDARDIZE(J262,M$10,N$10)</f>
        <v>-0.25119028132158433</v>
      </c>
    </row>
    <row r="263" spans="7:11" x14ac:dyDescent="0.3">
      <c r="G263">
        <v>1994</v>
      </c>
      <c r="H263">
        <v>4</v>
      </c>
      <c r="I263" s="3">
        <v>1994.2500000008799</v>
      </c>
      <c r="J263" s="2">
        <v>27.414017000000001</v>
      </c>
      <c r="K263">
        <f>STANDARDIZE(J263,M$11,N$11)</f>
        <v>-0.19086612287235671</v>
      </c>
    </row>
    <row r="264" spans="7:11" x14ac:dyDescent="0.3">
      <c r="G264">
        <v>1994</v>
      </c>
      <c r="H264">
        <v>3</v>
      </c>
      <c r="I264" s="3">
        <v>1994.1666666675501</v>
      </c>
      <c r="J264" s="2">
        <v>26.864509999999999</v>
      </c>
      <c r="K264">
        <f>STANDARDIZE(J264,M$12,N$12)</f>
        <v>-0.28370403874787625</v>
      </c>
    </row>
    <row r="265" spans="7:11" x14ac:dyDescent="0.3">
      <c r="G265">
        <v>1994</v>
      </c>
      <c r="H265">
        <v>2</v>
      </c>
      <c r="I265" s="3">
        <v>1994.08333333422</v>
      </c>
      <c r="J265" s="2">
        <v>26.582369</v>
      </c>
      <c r="K265">
        <f>STANDARDIZE(J265,M$13,N$13)</f>
        <v>-0.76297507445585466</v>
      </c>
    </row>
    <row r="266" spans="7:11" x14ac:dyDescent="0.3">
      <c r="G266">
        <v>1994</v>
      </c>
      <c r="H266">
        <v>1</v>
      </c>
      <c r="I266" s="3">
        <v>1994.0000000008899</v>
      </c>
      <c r="J266" s="2">
        <v>26.998756</v>
      </c>
      <c r="K266">
        <f>STANDARDIZE(J266,M$14,N$14)</f>
        <v>-0.24112641900761012</v>
      </c>
    </row>
    <row r="267" spans="7:11" x14ac:dyDescent="0.3">
      <c r="G267">
        <v>1993</v>
      </c>
      <c r="H267">
        <v>12</v>
      </c>
      <c r="I267" s="3">
        <v>1993.9166666675601</v>
      </c>
      <c r="J267" s="2">
        <v>27.675215000000001</v>
      </c>
      <c r="K267">
        <f>STANDARDIZE(J267,M$3,N$3)</f>
        <v>-0.38350199111348116</v>
      </c>
    </row>
    <row r="268" spans="7:11" x14ac:dyDescent="0.3">
      <c r="G268">
        <v>1993</v>
      </c>
      <c r="H268">
        <v>11</v>
      </c>
      <c r="I268" s="3">
        <v>1993.83333333423</v>
      </c>
      <c r="J268" s="2">
        <v>28.551247</v>
      </c>
      <c r="K268">
        <f>STANDARDIZE(J268,M$4,N$4)</f>
        <v>-0.406099802559587</v>
      </c>
    </row>
    <row r="269" spans="7:11" x14ac:dyDescent="0.3">
      <c r="G269">
        <v>1993</v>
      </c>
      <c r="H269">
        <v>10</v>
      </c>
      <c r="I269" s="3">
        <v>1993.7500000008999</v>
      </c>
      <c r="J269" s="2">
        <v>28.845434000000001</v>
      </c>
      <c r="K269">
        <f>STANDARDIZE(J269,M$5,N$5)</f>
        <v>-0.2532693457356282</v>
      </c>
    </row>
    <row r="270" spans="7:11" x14ac:dyDescent="0.3">
      <c r="G270">
        <v>1993</v>
      </c>
      <c r="H270">
        <v>9</v>
      </c>
      <c r="I270" s="3">
        <v>1993.6666666675701</v>
      </c>
      <c r="J270" s="2">
        <v>28.745933999999998</v>
      </c>
      <c r="K270">
        <f>STANDARDIZE(J270,M$6,N$6)</f>
        <v>-0.21515093414170622</v>
      </c>
    </row>
    <row r="271" spans="7:11" x14ac:dyDescent="0.3">
      <c r="G271">
        <v>1993</v>
      </c>
      <c r="H271">
        <v>8</v>
      </c>
      <c r="I271" s="3">
        <v>1993.58333333424</v>
      </c>
      <c r="J271" s="2">
        <v>28.524956</v>
      </c>
      <c r="K271">
        <f>STANDARDIZE(J271,M$7,N$7)</f>
        <v>9.3846000903211269E-2</v>
      </c>
    </row>
    <row r="272" spans="7:11" x14ac:dyDescent="0.3">
      <c r="G272">
        <v>1993</v>
      </c>
      <c r="H272">
        <v>7</v>
      </c>
      <c r="I272" s="3">
        <v>1993.5000000009099</v>
      </c>
      <c r="J272" s="2">
        <v>28.247907999999999</v>
      </c>
      <c r="K272">
        <f>STANDARDIZE(J272,M$8,N$8)</f>
        <v>-0.1507720868981183</v>
      </c>
    </row>
    <row r="273" spans="7:11" x14ac:dyDescent="0.3">
      <c r="G273">
        <v>1993</v>
      </c>
      <c r="H273">
        <v>6</v>
      </c>
      <c r="I273" s="3">
        <v>1993.4166666675801</v>
      </c>
      <c r="J273" s="2">
        <v>29.062488999999999</v>
      </c>
      <c r="K273">
        <f>STANDARDIZE(J273,M$9,N$9)</f>
        <v>1.1099141979850071</v>
      </c>
    </row>
    <row r="274" spans="7:11" x14ac:dyDescent="0.3">
      <c r="G274">
        <v>1993</v>
      </c>
      <c r="H274">
        <v>5</v>
      </c>
      <c r="I274" s="3">
        <v>1993.33333333425</v>
      </c>
      <c r="J274" s="2">
        <v>28.787512</v>
      </c>
      <c r="K274">
        <f>STANDARDIZE(J274,M$10,N$10)</f>
        <v>1.152723325988233</v>
      </c>
    </row>
    <row r="275" spans="7:11" x14ac:dyDescent="0.3">
      <c r="G275">
        <v>1993</v>
      </c>
      <c r="H275">
        <v>4</v>
      </c>
      <c r="I275" s="3">
        <v>1993.25000000092</v>
      </c>
      <c r="J275" s="2">
        <v>27.950142</v>
      </c>
      <c r="K275">
        <f>STANDARDIZE(J275,M$11,N$11)</f>
        <v>1.3271863657341565</v>
      </c>
    </row>
    <row r="276" spans="7:11" x14ac:dyDescent="0.3">
      <c r="G276">
        <v>1993</v>
      </c>
      <c r="H276">
        <v>3</v>
      </c>
      <c r="I276" s="3">
        <v>1993.1666666675901</v>
      </c>
      <c r="J276" s="2">
        <v>26.927567</v>
      </c>
      <c r="K276">
        <f>STANDARDIZE(J276,M$12,N$12)</f>
        <v>-0.12780819181495787</v>
      </c>
    </row>
    <row r="277" spans="7:11" x14ac:dyDescent="0.3">
      <c r="G277">
        <v>1993</v>
      </c>
      <c r="H277">
        <v>2</v>
      </c>
      <c r="I277" s="3">
        <v>1993.08333333426</v>
      </c>
      <c r="J277" s="2">
        <v>26.868487999999999</v>
      </c>
      <c r="K277">
        <f>STANDARDIZE(J277,M$13,N$13)</f>
        <v>-2.92862750449943E-2</v>
      </c>
    </row>
    <row r="278" spans="7:11" x14ac:dyDescent="0.3">
      <c r="G278">
        <v>1993</v>
      </c>
      <c r="H278">
        <v>1</v>
      </c>
      <c r="I278" s="3">
        <v>1993.00000000093</v>
      </c>
      <c r="J278" s="2">
        <v>27.107855000000001</v>
      </c>
      <c r="K278">
        <f>STANDARDIZE(J278,M$14,N$14)</f>
        <v>8.8425055667478505E-2</v>
      </c>
    </row>
    <row r="279" spans="7:11" x14ac:dyDescent="0.3">
      <c r="G279">
        <v>1992</v>
      </c>
      <c r="H279">
        <v>12</v>
      </c>
      <c r="I279" s="3">
        <v>1992.9166666676001</v>
      </c>
      <c r="J279" s="2">
        <v>27.694216000000001</v>
      </c>
      <c r="K279">
        <f>STANDARDIZE(J279,M$3,N$3)</f>
        <v>-0.32404498918258129</v>
      </c>
    </row>
    <row r="280" spans="7:11" x14ac:dyDescent="0.3">
      <c r="G280">
        <v>1992</v>
      </c>
      <c r="H280">
        <v>11</v>
      </c>
      <c r="I280" s="3">
        <v>1992.83333333427</v>
      </c>
      <c r="J280" s="2">
        <v>28.560661</v>
      </c>
      <c r="K280">
        <f>STANDARDIZE(J280,M$4,N$4)</f>
        <v>-0.37625695046570168</v>
      </c>
    </row>
    <row r="281" spans="7:11" x14ac:dyDescent="0.3">
      <c r="G281">
        <v>1992</v>
      </c>
      <c r="H281">
        <v>10</v>
      </c>
      <c r="I281" s="3">
        <v>1992.75000000094</v>
      </c>
      <c r="J281" s="2">
        <v>28.799296999999999</v>
      </c>
      <c r="K281">
        <f>STANDARDIZE(J281,M$5,N$5)</f>
        <v>-0.3994183352640841</v>
      </c>
    </row>
    <row r="282" spans="7:11" x14ac:dyDescent="0.3">
      <c r="G282">
        <v>1992</v>
      </c>
      <c r="H282">
        <v>9</v>
      </c>
      <c r="I282" s="3">
        <v>1992.6666666676099</v>
      </c>
      <c r="J282" s="2">
        <v>28.676563000000002</v>
      </c>
      <c r="K282">
        <f>STANDARDIZE(J282,M$6,N$6)</f>
        <v>-0.4202036249835282</v>
      </c>
    </row>
    <row r="283" spans="7:11" x14ac:dyDescent="0.3">
      <c r="G283">
        <v>1992</v>
      </c>
      <c r="H283">
        <v>8</v>
      </c>
      <c r="I283" s="3">
        <v>1992.58333333428</v>
      </c>
      <c r="J283" s="2">
        <v>28.267208</v>
      </c>
      <c r="K283">
        <f>STANDARDIZE(J283,M$7,N$7)</f>
        <v>-0.66815226775293024</v>
      </c>
    </row>
    <row r="284" spans="7:11" x14ac:dyDescent="0.3">
      <c r="G284">
        <v>1992</v>
      </c>
      <c r="H284">
        <v>7</v>
      </c>
      <c r="I284" s="3">
        <v>1992.50000000095</v>
      </c>
      <c r="J284" s="2">
        <v>27.974834000000001</v>
      </c>
      <c r="K284">
        <f>STANDARDIZE(J284,M$8,N$8)</f>
        <v>-0.94106107478643908</v>
      </c>
    </row>
    <row r="285" spans="7:11" x14ac:dyDescent="0.3">
      <c r="G285">
        <v>1992</v>
      </c>
      <c r="H285">
        <v>6</v>
      </c>
      <c r="I285" s="3">
        <v>1992.4166666676199</v>
      </c>
      <c r="J285" s="2">
        <v>28.596867</v>
      </c>
      <c r="K285">
        <f>STANDARDIZE(J285,M$9,N$9)</f>
        <v>-0.13793454036286468</v>
      </c>
    </row>
    <row r="286" spans="7:11" x14ac:dyDescent="0.3">
      <c r="G286">
        <v>1992</v>
      </c>
      <c r="H286">
        <v>5</v>
      </c>
      <c r="I286" s="3">
        <v>1992.33333333429</v>
      </c>
      <c r="J286" s="2">
        <v>28.337070000000001</v>
      </c>
      <c r="K286">
        <f>STANDARDIZE(J286,M$10,N$10)</f>
        <v>4.5360562922674576E-2</v>
      </c>
    </row>
    <row r="287" spans="7:11" x14ac:dyDescent="0.3">
      <c r="G287">
        <v>1992</v>
      </c>
      <c r="H287">
        <v>4</v>
      </c>
      <c r="I287" s="3">
        <v>1992.25000000096</v>
      </c>
      <c r="J287" s="2">
        <v>27.414646000000001</v>
      </c>
      <c r="K287">
        <f>STANDARDIZE(J287,M$11,N$11)</f>
        <v>-0.18908509230050596</v>
      </c>
    </row>
    <row r="288" spans="7:11" x14ac:dyDescent="0.3">
      <c r="G288">
        <v>1992</v>
      </c>
      <c r="H288">
        <v>3</v>
      </c>
      <c r="I288" s="3">
        <v>1992.1666666676299</v>
      </c>
      <c r="J288" s="2">
        <v>26.734273999999999</v>
      </c>
      <c r="K288">
        <f>STANDARDIZE(J288,M$12,N$12)</f>
        <v>-0.6056865549023932</v>
      </c>
    </row>
    <row r="289" spans="7:11" x14ac:dyDescent="0.3">
      <c r="G289">
        <v>1992</v>
      </c>
      <c r="H289">
        <v>2</v>
      </c>
      <c r="I289" s="3">
        <v>1992.0833333343001</v>
      </c>
      <c r="J289" s="2">
        <v>26.744986999999998</v>
      </c>
      <c r="K289">
        <f>STANDARDIZE(J289,M$13,N$13)</f>
        <v>-0.34597723375812273</v>
      </c>
    </row>
    <row r="290" spans="7:11" x14ac:dyDescent="0.3">
      <c r="G290">
        <v>1992</v>
      </c>
      <c r="H290">
        <v>1</v>
      </c>
      <c r="I290" s="3">
        <v>1992.00000000097</v>
      </c>
      <c r="J290" s="2">
        <v>26.734821</v>
      </c>
      <c r="K290">
        <f>STANDARDIZE(J290,M$14,N$14)</f>
        <v>-1.0383854999191595</v>
      </c>
    </row>
    <row r="291" spans="7:11" x14ac:dyDescent="0.3">
      <c r="G291">
        <v>1991</v>
      </c>
      <c r="H291">
        <v>12</v>
      </c>
      <c r="I291" s="3">
        <v>1991.9166666676399</v>
      </c>
      <c r="J291" s="2">
        <v>27.356276999999999</v>
      </c>
      <c r="K291">
        <f>STANDARDIZE(J291,M$3,N$3)</f>
        <v>-1.3815072161983781</v>
      </c>
    </row>
    <row r="292" spans="7:11" x14ac:dyDescent="0.3">
      <c r="G292">
        <v>1991</v>
      </c>
      <c r="H292">
        <v>11</v>
      </c>
      <c r="I292" s="3">
        <v>1991.8333333343101</v>
      </c>
      <c r="J292" s="2">
        <v>28.525556999999999</v>
      </c>
      <c r="K292">
        <f>STANDARDIZE(J292,M$4,N$4)</f>
        <v>-0.48753839086338702</v>
      </c>
    </row>
    <row r="293" spans="7:11" x14ac:dyDescent="0.3">
      <c r="G293">
        <v>1991</v>
      </c>
      <c r="H293">
        <v>10</v>
      </c>
      <c r="I293" s="3">
        <v>1991.75000000098</v>
      </c>
      <c r="J293" s="2">
        <v>28.660633000000001</v>
      </c>
      <c r="K293">
        <f>STANDARDIZE(J293,M$5,N$5)</f>
        <v>-0.83866673641658351</v>
      </c>
    </row>
    <row r="294" spans="7:11" x14ac:dyDescent="0.3">
      <c r="G294">
        <v>1991</v>
      </c>
      <c r="H294">
        <v>9</v>
      </c>
      <c r="I294" s="3">
        <v>1991.6666666676499</v>
      </c>
      <c r="J294" s="2">
        <v>28.425203</v>
      </c>
      <c r="K294">
        <f>STANDARDIZE(J294,M$6,N$6)</f>
        <v>-1.1631948514326664</v>
      </c>
    </row>
    <row r="295" spans="7:11" x14ac:dyDescent="0.3">
      <c r="G295">
        <v>1991</v>
      </c>
      <c r="H295">
        <v>8</v>
      </c>
      <c r="I295" s="3">
        <v>1991.5833333343201</v>
      </c>
      <c r="J295" s="2">
        <v>28.10549</v>
      </c>
      <c r="K295">
        <f>STANDARDIZE(J295,M$7,N$7)</f>
        <v>-1.1462503946463862</v>
      </c>
    </row>
    <row r="296" spans="7:11" x14ac:dyDescent="0.3">
      <c r="G296">
        <v>1991</v>
      </c>
      <c r="H296">
        <v>7</v>
      </c>
      <c r="I296" s="3">
        <v>1991.50000000099</v>
      </c>
      <c r="J296" s="2">
        <v>27.819365999999999</v>
      </c>
      <c r="K296">
        <f>STANDARDIZE(J296,M$8,N$8)</f>
        <v>-1.3909927723080802</v>
      </c>
    </row>
    <row r="297" spans="7:11" x14ac:dyDescent="0.3">
      <c r="G297">
        <v>1991</v>
      </c>
      <c r="H297">
        <v>6</v>
      </c>
      <c r="I297" s="3">
        <v>1991.4166666676599</v>
      </c>
      <c r="J297" s="2">
        <v>28.352810000000002</v>
      </c>
      <c r="K297">
        <f>STANDARDIZE(J297,M$9,N$9)</f>
        <v>-0.79199774943581258</v>
      </c>
    </row>
    <row r="298" spans="7:11" x14ac:dyDescent="0.3">
      <c r="G298">
        <v>1991</v>
      </c>
      <c r="H298">
        <v>5</v>
      </c>
      <c r="I298" s="3">
        <v>1991.3333333343301</v>
      </c>
      <c r="J298" s="2">
        <v>28.061271999999999</v>
      </c>
      <c r="K298">
        <f>STANDARDIZE(J298,M$10,N$10)</f>
        <v>-0.63265888315019958</v>
      </c>
    </row>
    <row r="299" spans="7:11" x14ac:dyDescent="0.3">
      <c r="G299">
        <v>1991</v>
      </c>
      <c r="H299">
        <v>4</v>
      </c>
      <c r="I299" s="3">
        <v>1991.250000001</v>
      </c>
      <c r="J299" s="2">
        <v>27.43328</v>
      </c>
      <c r="K299">
        <f>STANDARDIZE(J299,M$11,N$11)</f>
        <v>-0.13632241555032293</v>
      </c>
    </row>
    <row r="300" spans="7:11" x14ac:dyDescent="0.3">
      <c r="G300">
        <v>1991</v>
      </c>
      <c r="H300">
        <v>3</v>
      </c>
      <c r="I300" s="3">
        <v>1991.1666666676699</v>
      </c>
      <c r="J300" s="2">
        <v>26.861784</v>
      </c>
      <c r="K300">
        <f>STANDARDIZE(J300,M$12,N$12)</f>
        <v>-0.29044352966464992</v>
      </c>
    </row>
    <row r="301" spans="7:11" x14ac:dyDescent="0.3">
      <c r="G301">
        <v>1991</v>
      </c>
      <c r="H301">
        <v>2</v>
      </c>
      <c r="I301" s="3">
        <v>1991.0833333343401</v>
      </c>
      <c r="J301" s="2">
        <v>26.800629000000001</v>
      </c>
      <c r="K301">
        <f>STANDARDIZE(J301,M$13,N$13)</f>
        <v>-0.20329564960320481</v>
      </c>
    </row>
    <row r="302" spans="7:11" x14ac:dyDescent="0.3">
      <c r="G302">
        <v>1991</v>
      </c>
      <c r="H302">
        <v>1</v>
      </c>
      <c r="I302" s="3">
        <v>1991.00000000101</v>
      </c>
      <c r="J302" s="2">
        <v>26.725667999999999</v>
      </c>
      <c r="K302">
        <f>STANDARDIZE(J302,M$14,N$14)</f>
        <v>-1.0660336419525558</v>
      </c>
    </row>
    <row r="303" spans="7:11" x14ac:dyDescent="0.3">
      <c r="G303">
        <v>1990</v>
      </c>
      <c r="H303">
        <v>12</v>
      </c>
      <c r="I303" s="3">
        <v>1990.9166666676799</v>
      </c>
      <c r="J303" s="2">
        <v>27.638186999999999</v>
      </c>
      <c r="K303">
        <f>STANDARDIZE(J303,M$3,N$3)</f>
        <v>-0.49936820170753449</v>
      </c>
    </row>
    <row r="304" spans="7:11" x14ac:dyDescent="0.3">
      <c r="G304">
        <v>1990</v>
      </c>
      <c r="H304">
        <v>11</v>
      </c>
      <c r="I304" s="3">
        <v>1990.8333333343501</v>
      </c>
      <c r="J304" s="2">
        <v>28.699667000000002</v>
      </c>
      <c r="K304">
        <f>STANDARDIZE(J304,M$4,N$4)</f>
        <v>6.4399040416267817E-2</v>
      </c>
    </row>
    <row r="305" spans="7:11" x14ac:dyDescent="0.3">
      <c r="G305">
        <v>1990</v>
      </c>
      <c r="H305">
        <v>10</v>
      </c>
      <c r="I305" s="3">
        <v>1990.75000000102</v>
      </c>
      <c r="J305" s="2">
        <v>28.929722000000002</v>
      </c>
      <c r="K305">
        <f>STANDARDIZE(J305,M$5,N$5)</f>
        <v>1.373124011464736E-2</v>
      </c>
    </row>
    <row r="306" spans="7:11" x14ac:dyDescent="0.3">
      <c r="G306">
        <v>1990</v>
      </c>
      <c r="H306">
        <v>9</v>
      </c>
      <c r="I306" s="3">
        <v>1990.6666666676899</v>
      </c>
      <c r="J306" s="2">
        <v>28.873536999999999</v>
      </c>
      <c r="K306">
        <f>STANDARDIZE(J306,M$6,N$6)</f>
        <v>0.16202884573014745</v>
      </c>
    </row>
    <row r="307" spans="7:11" x14ac:dyDescent="0.3">
      <c r="G307">
        <v>1990</v>
      </c>
      <c r="H307">
        <v>8</v>
      </c>
      <c r="I307" s="3">
        <v>1990.5833333343601</v>
      </c>
      <c r="J307" s="2">
        <v>28.511348999999999</v>
      </c>
      <c r="K307">
        <f>STANDARDIZE(J307,M$7,N$7)</f>
        <v>5.3618684137981584E-2</v>
      </c>
    </row>
    <row r="308" spans="7:11" x14ac:dyDescent="0.3">
      <c r="G308">
        <v>1990</v>
      </c>
      <c r="H308">
        <v>7</v>
      </c>
      <c r="I308" s="3">
        <v>1990.50000000103</v>
      </c>
      <c r="J308" s="2">
        <v>28.185023999999999</v>
      </c>
      <c r="K308">
        <f>STANDARDIZE(J308,M$8,N$8)</f>
        <v>-0.33276133784976475</v>
      </c>
    </row>
    <row r="309" spans="7:11" x14ac:dyDescent="0.3">
      <c r="G309">
        <v>1990</v>
      </c>
      <c r="H309">
        <v>6</v>
      </c>
      <c r="I309" s="3">
        <v>1990.4166666676999</v>
      </c>
      <c r="J309" s="2">
        <v>28.557456999999999</v>
      </c>
      <c r="K309">
        <f>STANDARDIZE(J309,M$9,N$9)</f>
        <v>-0.24355179809185915</v>
      </c>
    </row>
    <row r="310" spans="7:11" x14ac:dyDescent="0.3">
      <c r="G310">
        <v>1990</v>
      </c>
      <c r="H310">
        <v>5</v>
      </c>
      <c r="I310" s="3">
        <v>1990.3333333343701</v>
      </c>
      <c r="J310" s="2">
        <v>28.14134</v>
      </c>
      <c r="K310">
        <f>STANDARDIZE(J310,M$10,N$10)</f>
        <v>-0.43582039625702773</v>
      </c>
    </row>
    <row r="311" spans="7:11" x14ac:dyDescent="0.3">
      <c r="G311">
        <v>1990</v>
      </c>
      <c r="H311">
        <v>4</v>
      </c>
      <c r="I311" s="3">
        <v>1990.25000000104</v>
      </c>
      <c r="J311" s="2">
        <v>27.372534000000002</v>
      </c>
      <c r="K311">
        <f>STANDARDIZE(J311,M$11,N$11)</f>
        <v>-0.30832636327312779</v>
      </c>
    </row>
    <row r="312" spans="7:11" x14ac:dyDescent="0.3">
      <c r="G312">
        <v>1990</v>
      </c>
      <c r="H312">
        <v>3</v>
      </c>
      <c r="I312" s="3">
        <v>1990.1666666677099</v>
      </c>
      <c r="J312" s="2">
        <v>26.766666000000001</v>
      </c>
      <c r="K312">
        <f>STANDARDIZE(J312,M$12,N$12)</f>
        <v>-0.52560380003217611</v>
      </c>
    </row>
    <row r="313" spans="7:11" x14ac:dyDescent="0.3">
      <c r="G313">
        <v>1990</v>
      </c>
      <c r="H313">
        <v>2</v>
      </c>
      <c r="I313" s="3">
        <v>1990.0833333343801</v>
      </c>
      <c r="J313" s="2">
        <v>26.502728000000001</v>
      </c>
      <c r="K313">
        <f>STANDARDIZE(J313,M$13,N$13)</f>
        <v>-0.96719677827097894</v>
      </c>
    </row>
    <row r="314" spans="7:11" x14ac:dyDescent="0.3">
      <c r="G314">
        <v>1990</v>
      </c>
      <c r="H314">
        <v>1</v>
      </c>
      <c r="I314" s="3">
        <v>1990.00000000105</v>
      </c>
      <c r="J314" s="2">
        <v>27.100798000000001</v>
      </c>
      <c r="K314">
        <f>STANDARDIZE(J314,M$14,N$14)</f>
        <v>6.7108226395148116E-2</v>
      </c>
    </row>
    <row r="315" spans="7:11" x14ac:dyDescent="0.3">
      <c r="G315">
        <v>1989</v>
      </c>
      <c r="H315">
        <v>12</v>
      </c>
      <c r="I315" s="3">
        <v>1989.9166666677199</v>
      </c>
      <c r="J315" s="2">
        <v>27.523340000000001</v>
      </c>
      <c r="K315">
        <f>STANDARDIZE(J315,M$3,N$3)</f>
        <v>-0.858741829451239</v>
      </c>
    </row>
    <row r="316" spans="7:11" x14ac:dyDescent="0.3">
      <c r="G316">
        <v>1989</v>
      </c>
      <c r="H316">
        <v>11</v>
      </c>
      <c r="I316" s="3">
        <v>1989.8333333343901</v>
      </c>
      <c r="J316" s="2">
        <v>28.517444999999999</v>
      </c>
      <c r="K316">
        <f>STANDARDIZE(J316,M$4,N$4)</f>
        <v>-0.51325383766449439</v>
      </c>
    </row>
    <row r="317" spans="7:11" x14ac:dyDescent="0.3">
      <c r="G317">
        <v>1989</v>
      </c>
      <c r="H317">
        <v>10</v>
      </c>
      <c r="I317" s="3">
        <v>1989.75000000106</v>
      </c>
      <c r="J317" s="2">
        <v>28.470669000000001</v>
      </c>
      <c r="K317">
        <f>STANDARDIZE(J317,M$5,N$5)</f>
        <v>-1.4404190533592232</v>
      </c>
    </row>
    <row r="318" spans="7:11" x14ac:dyDescent="0.3">
      <c r="G318">
        <v>1989</v>
      </c>
      <c r="H318">
        <v>9</v>
      </c>
      <c r="I318" s="3">
        <v>1989.6666666677299</v>
      </c>
      <c r="J318" s="2">
        <v>28.668156</v>
      </c>
      <c r="K318">
        <f>STANDARDIZE(J318,M$6,N$6)</f>
        <v>-0.44505374927044428</v>
      </c>
    </row>
    <row r="319" spans="7:11" x14ac:dyDescent="0.3">
      <c r="G319">
        <v>1989</v>
      </c>
      <c r="H319">
        <v>8</v>
      </c>
      <c r="I319" s="3">
        <v>1989.5833333344001</v>
      </c>
      <c r="J319" s="2">
        <v>28.569210000000002</v>
      </c>
      <c r="K319">
        <f>STANDARDIZE(J319,M$7,N$7)</f>
        <v>0.22467716693014714</v>
      </c>
    </row>
    <row r="320" spans="7:11" x14ac:dyDescent="0.3">
      <c r="G320">
        <v>1989</v>
      </c>
      <c r="H320">
        <v>7</v>
      </c>
      <c r="I320" s="3">
        <v>1989.50000000107</v>
      </c>
      <c r="J320" s="2">
        <v>27.92024</v>
      </c>
      <c r="K320">
        <f>STANDARDIZE(J320,M$8,N$8)</f>
        <v>-1.0990586761867065</v>
      </c>
    </row>
    <row r="321" spans="7:11" x14ac:dyDescent="0.3">
      <c r="G321">
        <v>1989</v>
      </c>
      <c r="H321">
        <v>6</v>
      </c>
      <c r="I321" s="3">
        <v>1989.4166666677399</v>
      </c>
      <c r="J321" s="2">
        <v>28.129704</v>
      </c>
      <c r="K321">
        <f>STANDARDIZE(J321,M$9,N$9)</f>
        <v>-1.3899130984052386</v>
      </c>
    </row>
    <row r="322" spans="7:11" x14ac:dyDescent="0.3">
      <c r="G322">
        <v>1989</v>
      </c>
      <c r="H322">
        <v>5</v>
      </c>
      <c r="I322" s="3">
        <v>1989.3333333344101</v>
      </c>
      <c r="J322" s="2">
        <v>27.854078000000001</v>
      </c>
      <c r="K322">
        <f>STANDARDIZE(J322,M$10,N$10)</f>
        <v>-1.142022841952006</v>
      </c>
    </row>
    <row r="323" spans="7:11" x14ac:dyDescent="0.3">
      <c r="G323">
        <v>1989</v>
      </c>
      <c r="H323">
        <v>4</v>
      </c>
      <c r="I323" s="3">
        <v>1989.25000000108</v>
      </c>
      <c r="J323" s="2">
        <v>26.806018999999999</v>
      </c>
      <c r="K323">
        <f>STANDARDIZE(J323,M$11,N$11)</f>
        <v>-1.912428961702459</v>
      </c>
    </row>
    <row r="324" spans="7:11" x14ac:dyDescent="0.3">
      <c r="G324">
        <v>1989</v>
      </c>
      <c r="H324">
        <v>3</v>
      </c>
      <c r="I324" s="3">
        <v>1989.16666666775</v>
      </c>
      <c r="J324" s="2">
        <v>26.214655</v>
      </c>
      <c r="K324">
        <f>STANDARDIZE(J324,M$12,N$12)</f>
        <v>-1.8903408214776374</v>
      </c>
    </row>
    <row r="325" spans="7:11" x14ac:dyDescent="0.3">
      <c r="G325">
        <v>1989</v>
      </c>
      <c r="H325">
        <v>2</v>
      </c>
      <c r="I325" s="3">
        <v>1989.0833333344201</v>
      </c>
      <c r="J325" s="2">
        <v>26.394656999999999</v>
      </c>
      <c r="K325">
        <f>STANDARDIZE(J325,M$13,N$13)</f>
        <v>-1.2443209197685134</v>
      </c>
    </row>
    <row r="326" spans="7:11" x14ac:dyDescent="0.3">
      <c r="G326">
        <v>1989</v>
      </c>
      <c r="H326">
        <v>1</v>
      </c>
      <c r="I326" s="3">
        <v>1989.00000000109</v>
      </c>
      <c r="J326" s="2">
        <v>26.728110000000001</v>
      </c>
      <c r="K326">
        <f>STANDARDIZE(J326,M$14,N$14)</f>
        <v>-1.058657179279596</v>
      </c>
    </row>
    <row r="327" spans="7:11" x14ac:dyDescent="0.3">
      <c r="G327">
        <v>1988</v>
      </c>
      <c r="H327">
        <v>12</v>
      </c>
      <c r="I327" s="3">
        <v>1988.91666666776</v>
      </c>
      <c r="J327" s="2">
        <v>27.266145999999999</v>
      </c>
      <c r="K327">
        <f>STANDARDIZE(J327,M$3,N$3)</f>
        <v>-1.6635407429092925</v>
      </c>
    </row>
    <row r="328" spans="7:11" x14ac:dyDescent="0.3">
      <c r="G328">
        <v>1988</v>
      </c>
      <c r="H328">
        <v>11</v>
      </c>
      <c r="I328" s="3">
        <v>1988.8333333344301</v>
      </c>
      <c r="J328" s="2">
        <v>28.411228000000001</v>
      </c>
      <c r="K328">
        <f>STANDARDIZE(J328,M$4,N$4)</f>
        <v>-0.84996705424153662</v>
      </c>
    </row>
    <row r="329" spans="7:11" x14ac:dyDescent="0.3">
      <c r="G329">
        <v>1988</v>
      </c>
      <c r="H329">
        <v>10</v>
      </c>
      <c r="I329" s="3">
        <v>1988.7500000011</v>
      </c>
      <c r="J329" s="2">
        <v>28.717724</v>
      </c>
      <c r="K329">
        <f>STANDARDIZE(J329,M$5,N$5)</f>
        <v>-0.65781856767633728</v>
      </c>
    </row>
    <row r="330" spans="7:11" x14ac:dyDescent="0.3">
      <c r="G330">
        <v>1988</v>
      </c>
      <c r="H330">
        <v>9</v>
      </c>
      <c r="I330" s="3">
        <v>1988.66666666776</v>
      </c>
      <c r="J330" s="2">
        <v>28.857769000000001</v>
      </c>
      <c r="K330">
        <f>STANDARDIZE(J330,M$6,N$6)</f>
        <v>0.1154204527533481</v>
      </c>
    </row>
    <row r="331" spans="7:11" x14ac:dyDescent="0.3">
      <c r="G331">
        <v>1988</v>
      </c>
      <c r="H331">
        <v>8</v>
      </c>
      <c r="I331" s="3">
        <v>1988.5833333344301</v>
      </c>
      <c r="J331" s="2">
        <v>28.689496999999999</v>
      </c>
      <c r="K331">
        <f>STANDARDIZE(J331,M$7,N$7)</f>
        <v>0.58028995826835217</v>
      </c>
    </row>
    <row r="332" spans="7:11" x14ac:dyDescent="0.3">
      <c r="G332">
        <v>1988</v>
      </c>
      <c r="H332">
        <v>7</v>
      </c>
      <c r="I332" s="3">
        <v>1988.5000000011</v>
      </c>
      <c r="J332" s="2">
        <v>28.588062000000001</v>
      </c>
      <c r="K332">
        <f>STANDARDIZE(J332,M$8,N$8)</f>
        <v>0.83364957311406773</v>
      </c>
    </row>
    <row r="333" spans="7:11" x14ac:dyDescent="0.3">
      <c r="G333">
        <v>1988</v>
      </c>
      <c r="H333">
        <v>6</v>
      </c>
      <c r="I333" s="3">
        <v>1988.41666666777</v>
      </c>
      <c r="J333" s="2">
        <v>28.977024</v>
      </c>
      <c r="K333">
        <f>STANDARDIZE(J333,M$9,N$9)</f>
        <v>0.88087134257246213</v>
      </c>
    </row>
    <row r="334" spans="7:11" x14ac:dyDescent="0.3">
      <c r="G334">
        <v>1988</v>
      </c>
      <c r="H334">
        <v>5</v>
      </c>
      <c r="I334" s="3">
        <v>1988.3333333344401</v>
      </c>
      <c r="J334" s="2">
        <v>28.653555000000001</v>
      </c>
      <c r="K334">
        <f>STANDARDIZE(J334,M$10,N$10)</f>
        <v>0.82340458206121914</v>
      </c>
    </row>
    <row r="335" spans="7:11" x14ac:dyDescent="0.3">
      <c r="G335">
        <v>1988</v>
      </c>
      <c r="H335">
        <v>4</v>
      </c>
      <c r="I335" s="3">
        <v>1988.25000000111</v>
      </c>
      <c r="J335" s="2">
        <v>27.590651999999999</v>
      </c>
      <c r="K335">
        <f>STANDARDIZE(J335,M$11,N$11)</f>
        <v>0.30928067372360196</v>
      </c>
    </row>
    <row r="336" spans="7:11" x14ac:dyDescent="0.3">
      <c r="G336">
        <v>1988</v>
      </c>
      <c r="H336">
        <v>3</v>
      </c>
      <c r="I336" s="3">
        <v>1988.16666666778</v>
      </c>
      <c r="J336" s="2">
        <v>27.139492000000001</v>
      </c>
      <c r="K336">
        <f>STANDARDIZE(J336,M$12,N$12)</f>
        <v>0.39613407250555455</v>
      </c>
    </row>
    <row r="337" spans="7:11" x14ac:dyDescent="0.3">
      <c r="G337">
        <v>1988</v>
      </c>
      <c r="H337">
        <v>2</v>
      </c>
      <c r="I337" s="3">
        <v>1988.0833333344499</v>
      </c>
      <c r="J337" s="2">
        <v>27.052219999999998</v>
      </c>
      <c r="K337">
        <f>STANDARDIZE(J337,M$13,N$13)</f>
        <v>0.44185374184782256</v>
      </c>
    </row>
    <row r="338" spans="7:11" x14ac:dyDescent="0.3">
      <c r="G338">
        <v>1988</v>
      </c>
      <c r="H338">
        <v>1</v>
      </c>
      <c r="I338" s="3">
        <v>1988.00000000112</v>
      </c>
      <c r="J338" s="2">
        <v>27.169080000000001</v>
      </c>
      <c r="K338">
        <f>STANDARDIZE(J338,M$14,N$14)</f>
        <v>0.27336523877623575</v>
      </c>
    </row>
    <row r="339" spans="7:11" x14ac:dyDescent="0.3">
      <c r="G339">
        <v>1987</v>
      </c>
      <c r="H339">
        <v>12</v>
      </c>
      <c r="I339" s="3">
        <v>1987.91666666779</v>
      </c>
      <c r="J339" s="2">
        <v>28.097216</v>
      </c>
      <c r="K339">
        <f>STANDARDIZE(J339,M$3,N$3)</f>
        <v>0.93700294398690187</v>
      </c>
    </row>
    <row r="340" spans="7:11" x14ac:dyDescent="0.3">
      <c r="G340">
        <v>1987</v>
      </c>
      <c r="H340">
        <v>11</v>
      </c>
      <c r="I340" s="3">
        <v>1987.8333333344599</v>
      </c>
      <c r="J340" s="2">
        <v>28.763072999999999</v>
      </c>
      <c r="K340">
        <f>STANDARDIZE(J340,M$4,N$4)</f>
        <v>0.26539924010448579</v>
      </c>
    </row>
    <row r="341" spans="7:11" x14ac:dyDescent="0.3">
      <c r="G341">
        <v>1987</v>
      </c>
      <c r="H341">
        <v>10</v>
      </c>
      <c r="I341" s="3">
        <v>1987.75000000113</v>
      </c>
      <c r="J341" s="2">
        <v>29.300514</v>
      </c>
      <c r="K341">
        <f>STANDARDIZE(J341,M$5,N$5)</f>
        <v>1.1882956054880565</v>
      </c>
    </row>
    <row r="342" spans="7:11" x14ac:dyDescent="0.3">
      <c r="G342">
        <v>1987</v>
      </c>
      <c r="H342">
        <v>9</v>
      </c>
      <c r="I342" s="3">
        <v>1987.6666666678</v>
      </c>
      <c r="J342" s="2">
        <v>29.046396000000001</v>
      </c>
      <c r="K342">
        <f>STANDARDIZE(J342,M$6,N$6)</f>
        <v>0.67298015227364105</v>
      </c>
    </row>
    <row r="343" spans="7:11" x14ac:dyDescent="0.3">
      <c r="G343">
        <v>1987</v>
      </c>
      <c r="H343">
        <v>8</v>
      </c>
      <c r="I343" s="3">
        <v>1987.5833333344699</v>
      </c>
      <c r="J343" s="2">
        <v>28.876339999999999</v>
      </c>
      <c r="K343">
        <f>STANDARDIZE(J343,M$7,N$7)</f>
        <v>1.1326668632706005</v>
      </c>
    </row>
    <row r="344" spans="7:11" x14ac:dyDescent="0.3">
      <c r="G344">
        <v>1987</v>
      </c>
      <c r="H344">
        <v>7</v>
      </c>
      <c r="I344" s="3">
        <v>1987.5000000011401</v>
      </c>
      <c r="J344" s="2">
        <v>28.532698</v>
      </c>
      <c r="K344">
        <f>STANDARDIZE(J344,M$8,N$8)</f>
        <v>0.67342355553110467</v>
      </c>
    </row>
    <row r="345" spans="7:11" x14ac:dyDescent="0.3">
      <c r="G345">
        <v>1987</v>
      </c>
      <c r="H345">
        <v>6</v>
      </c>
      <c r="I345" s="3">
        <v>1987.41666666781</v>
      </c>
      <c r="J345" s="2">
        <v>29.119105999999999</v>
      </c>
      <c r="K345">
        <f>STANDARDIZE(J345,M$9,N$9)</f>
        <v>1.2616455423352322</v>
      </c>
    </row>
    <row r="346" spans="7:11" x14ac:dyDescent="0.3">
      <c r="G346">
        <v>1987</v>
      </c>
      <c r="H346">
        <v>5</v>
      </c>
      <c r="I346" s="3">
        <v>1987.3333333344799</v>
      </c>
      <c r="J346" s="2">
        <v>28.794291999999999</v>
      </c>
      <c r="K346">
        <f>STANDARDIZE(J346,M$10,N$10)</f>
        <v>1.169391220042481</v>
      </c>
    </row>
    <row r="347" spans="7:11" x14ac:dyDescent="0.3">
      <c r="G347">
        <v>1987</v>
      </c>
      <c r="H347">
        <v>4</v>
      </c>
      <c r="I347" s="3">
        <v>1987.2500000011501</v>
      </c>
      <c r="J347" s="2">
        <v>27.661086999999998</v>
      </c>
      <c r="K347">
        <f>STANDARDIZE(J347,M$11,N$11)</f>
        <v>0.50871928791805243</v>
      </c>
    </row>
    <row r="348" spans="7:11" x14ac:dyDescent="0.3">
      <c r="G348">
        <v>1987</v>
      </c>
      <c r="H348">
        <v>3</v>
      </c>
      <c r="I348" s="3">
        <v>1987.16666666782</v>
      </c>
      <c r="J348" s="2">
        <v>27.103563000000001</v>
      </c>
      <c r="K348">
        <f>STANDARDIZE(J348,M$12,N$12)</f>
        <v>0.30730679108631981</v>
      </c>
    </row>
    <row r="349" spans="7:11" x14ac:dyDescent="0.3">
      <c r="G349">
        <v>1987</v>
      </c>
      <c r="H349">
        <v>2</v>
      </c>
      <c r="I349" s="3">
        <v>1987.0833333344899</v>
      </c>
      <c r="J349" s="2">
        <v>26.76116</v>
      </c>
      <c r="K349">
        <f>STANDARDIZE(J349,M$13,N$13)</f>
        <v>-0.30450515761891722</v>
      </c>
    </row>
    <row r="350" spans="7:11" x14ac:dyDescent="0.3">
      <c r="G350">
        <v>1987</v>
      </c>
      <c r="H350">
        <v>1</v>
      </c>
      <c r="I350" s="3">
        <v>1987.0000000011601</v>
      </c>
      <c r="J350" s="2">
        <v>26.907608</v>
      </c>
      <c r="K350">
        <f>STANDARDIZE(J350,M$14,N$14)</f>
        <v>-0.5164539455081737</v>
      </c>
    </row>
    <row r="351" spans="7:11" x14ac:dyDescent="0.3">
      <c r="G351">
        <v>1986</v>
      </c>
      <c r="H351">
        <v>12</v>
      </c>
      <c r="I351" s="3">
        <v>1986.91666666783</v>
      </c>
      <c r="J351" s="2">
        <v>27.205338000000001</v>
      </c>
      <c r="K351">
        <f>STANDARDIZE(J351,M$3,N$3)</f>
        <v>-1.8538181690139268</v>
      </c>
    </row>
    <row r="352" spans="7:11" x14ac:dyDescent="0.3">
      <c r="G352">
        <v>1986</v>
      </c>
      <c r="H352">
        <v>11</v>
      </c>
      <c r="I352" s="3">
        <v>1986.8333333344999</v>
      </c>
      <c r="J352" s="2">
        <v>28.061070000000001</v>
      </c>
      <c r="K352">
        <f>STANDARDIZE(J352,M$4,N$4)</f>
        <v>-1.9599854739877827</v>
      </c>
    </row>
    <row r="353" spans="7:11" x14ac:dyDescent="0.3">
      <c r="G353">
        <v>1986</v>
      </c>
      <c r="H353">
        <v>10</v>
      </c>
      <c r="I353" s="3">
        <v>1986.7500000011701</v>
      </c>
      <c r="J353" s="2">
        <v>28.503032999999999</v>
      </c>
      <c r="K353">
        <f>STANDARDIZE(J353,M$5,N$5)</f>
        <v>-1.3378990391168921</v>
      </c>
    </row>
    <row r="354" spans="7:11" x14ac:dyDescent="0.3">
      <c r="G354">
        <v>1986</v>
      </c>
      <c r="H354">
        <v>9</v>
      </c>
      <c r="I354" s="3">
        <v>1986.66666666784</v>
      </c>
      <c r="J354" s="2">
        <v>28.452005</v>
      </c>
      <c r="K354">
        <f>STANDARDIZE(J354,M$6,N$6)</f>
        <v>-1.0839712245577076</v>
      </c>
    </row>
    <row r="355" spans="7:11" x14ac:dyDescent="0.3">
      <c r="G355">
        <v>1986</v>
      </c>
      <c r="H355">
        <v>8</v>
      </c>
      <c r="I355" s="3">
        <v>1986.5833333345099</v>
      </c>
      <c r="J355" s="2">
        <v>28.042576</v>
      </c>
      <c r="K355">
        <f>STANDARDIZE(J355,M$7,N$7)</f>
        <v>-1.3322474114000837</v>
      </c>
    </row>
    <row r="356" spans="7:11" x14ac:dyDescent="0.3">
      <c r="G356">
        <v>1986</v>
      </c>
      <c r="H356">
        <v>7</v>
      </c>
      <c r="I356" s="3">
        <v>1986.5000000011801</v>
      </c>
      <c r="J356" s="2">
        <v>27.797011999999999</v>
      </c>
      <c r="K356">
        <f>STANDARDIZE(J356,M$8,N$8)</f>
        <v>-1.4556862987340879</v>
      </c>
    </row>
    <row r="357" spans="7:11" x14ac:dyDescent="0.3">
      <c r="G357">
        <v>1986</v>
      </c>
      <c r="H357">
        <v>6</v>
      </c>
      <c r="I357" s="3">
        <v>1986.41666666785</v>
      </c>
      <c r="J357" s="2">
        <v>28.42773</v>
      </c>
      <c r="K357">
        <f>STANDARDIZE(J357,M$9,N$9)</f>
        <v>-0.59121508135522138</v>
      </c>
    </row>
    <row r="358" spans="7:11" x14ac:dyDescent="0.3">
      <c r="G358">
        <v>1986</v>
      </c>
      <c r="H358">
        <v>5</v>
      </c>
      <c r="I358" s="3">
        <v>1986.3333333345199</v>
      </c>
      <c r="J358" s="2">
        <v>28.080646999999999</v>
      </c>
      <c r="K358">
        <f>STANDARDIZE(J358,M$10,N$10)</f>
        <v>-0.58502754874000829</v>
      </c>
    </row>
    <row r="359" spans="7:11" x14ac:dyDescent="0.3">
      <c r="G359">
        <v>1986</v>
      </c>
      <c r="H359">
        <v>4</v>
      </c>
      <c r="I359" s="3">
        <v>1986.2500000011901</v>
      </c>
      <c r="J359" s="2">
        <v>27.155024999999998</v>
      </c>
      <c r="K359">
        <f>STANDARDIZE(J359,M$11,N$11)</f>
        <v>-0.92420900024084995</v>
      </c>
    </row>
    <row r="360" spans="7:11" x14ac:dyDescent="0.3">
      <c r="G360">
        <v>1986</v>
      </c>
      <c r="H360">
        <v>3</v>
      </c>
      <c r="I360" s="3">
        <v>1986.16666666786</v>
      </c>
      <c r="J360" s="2">
        <v>26.381073000000001</v>
      </c>
      <c r="K360">
        <f>STANDARDIZE(J360,M$12,N$12)</f>
        <v>-1.478905531900236</v>
      </c>
    </row>
    <row r="361" spans="7:11" x14ac:dyDescent="0.3">
      <c r="G361">
        <v>1986</v>
      </c>
      <c r="H361">
        <v>2</v>
      </c>
      <c r="I361" s="3">
        <v>1986.0833333345299</v>
      </c>
      <c r="J361" s="2">
        <v>26.251438</v>
      </c>
      <c r="K361">
        <f>STANDARDIZE(J361,M$13,N$13)</f>
        <v>-1.6115743218942833</v>
      </c>
    </row>
    <row r="362" spans="7:11" x14ac:dyDescent="0.3">
      <c r="G362">
        <v>1986</v>
      </c>
      <c r="H362">
        <v>1</v>
      </c>
      <c r="I362" s="3">
        <v>1986.0000000012001</v>
      </c>
      <c r="J362" s="2">
        <v>26.453082999999999</v>
      </c>
      <c r="K362">
        <f>STANDARDIZE(J362,M$14,N$14)</f>
        <v>-1.8894214706614203</v>
      </c>
    </row>
    <row r="363" spans="7:11" x14ac:dyDescent="0.3">
      <c r="G363">
        <v>1985</v>
      </c>
      <c r="H363">
        <v>12</v>
      </c>
      <c r="I363" s="3">
        <v>1985.91666666787</v>
      </c>
      <c r="J363" s="2">
        <v>27.245971999999998</v>
      </c>
      <c r="K363">
        <f>STANDARDIZE(J363,M$3,N$3)</f>
        <v>-1.7266682391965438</v>
      </c>
    </row>
    <row r="364" spans="7:11" x14ac:dyDescent="0.3">
      <c r="G364">
        <v>1985</v>
      </c>
      <c r="H364">
        <v>11</v>
      </c>
      <c r="I364" s="3">
        <v>1985.8333333345399</v>
      </c>
      <c r="J364" s="2">
        <v>27.878197</v>
      </c>
      <c r="K364">
        <f>STANDARDIZE(J364,M$4,N$4)</f>
        <v>-2.5397020547149283</v>
      </c>
    </row>
    <row r="365" spans="7:11" x14ac:dyDescent="0.3">
      <c r="G365">
        <v>1985</v>
      </c>
      <c r="H365">
        <v>10</v>
      </c>
      <c r="I365" s="3">
        <v>1985.7500000012101</v>
      </c>
      <c r="J365" s="2">
        <v>28.344597</v>
      </c>
      <c r="K365">
        <f>STANDARDIZE(J365,M$5,N$5)</f>
        <v>-1.8397795537782127</v>
      </c>
    </row>
    <row r="366" spans="7:11" x14ac:dyDescent="0.3">
      <c r="G366">
        <v>1985</v>
      </c>
      <c r="H366">
        <v>9</v>
      </c>
      <c r="I366" s="3">
        <v>1985.66666666788</v>
      </c>
      <c r="J366" s="2">
        <v>28.385859</v>
      </c>
      <c r="K366">
        <f>STANDARDIZE(J366,M$6,N$6)</f>
        <v>-1.27949118662289</v>
      </c>
    </row>
    <row r="367" spans="7:11" x14ac:dyDescent="0.3">
      <c r="G367">
        <v>1985</v>
      </c>
      <c r="H367">
        <v>8</v>
      </c>
      <c r="I367" s="3">
        <v>1985.5833333345499</v>
      </c>
      <c r="J367" s="2">
        <v>28.068059999999999</v>
      </c>
      <c r="K367">
        <f>STANDARDIZE(J367,M$7,N$7)</f>
        <v>-1.2569072967205046</v>
      </c>
    </row>
    <row r="368" spans="7:11" x14ac:dyDescent="0.3">
      <c r="G368">
        <v>1985</v>
      </c>
      <c r="H368">
        <v>7</v>
      </c>
      <c r="I368" s="3">
        <v>1985.5000000012201</v>
      </c>
      <c r="J368" s="2">
        <v>28.003826</v>
      </c>
      <c r="K368">
        <f>STANDARDIZE(J368,M$8,N$8)</f>
        <v>-0.85715686443738548</v>
      </c>
    </row>
    <row r="369" spans="7:11" x14ac:dyDescent="0.3">
      <c r="G369">
        <v>1985</v>
      </c>
      <c r="H369">
        <v>6</v>
      </c>
      <c r="I369" s="3">
        <v>1985.41666666789</v>
      </c>
      <c r="J369" s="2">
        <v>28.208447</v>
      </c>
      <c r="K369">
        <f>STANDARDIZE(J369,M$9,N$9)</f>
        <v>-1.1788849399339343</v>
      </c>
    </row>
    <row r="370" spans="7:11" x14ac:dyDescent="0.3">
      <c r="G370">
        <v>1985</v>
      </c>
      <c r="H370">
        <v>5</v>
      </c>
      <c r="I370" s="3">
        <v>1985.3333333345599</v>
      </c>
      <c r="J370" s="2">
        <v>27.899887</v>
      </c>
      <c r="K370">
        <f>STANDARDIZE(J370,M$10,N$10)</f>
        <v>-1.0294063878618711</v>
      </c>
    </row>
    <row r="371" spans="7:11" x14ac:dyDescent="0.3">
      <c r="G371">
        <v>1985</v>
      </c>
      <c r="H371">
        <v>4</v>
      </c>
      <c r="I371" s="3">
        <v>1985.2500000012301</v>
      </c>
      <c r="J371" s="2">
        <v>26.904177000000001</v>
      </c>
      <c r="K371">
        <f>STANDARDIZE(J371,M$11,N$11)</f>
        <v>-1.6344919205709303</v>
      </c>
    </row>
    <row r="372" spans="7:11" x14ac:dyDescent="0.3">
      <c r="G372">
        <v>1985</v>
      </c>
      <c r="H372">
        <v>3</v>
      </c>
      <c r="I372" s="3">
        <v>1985.1666666679</v>
      </c>
      <c r="J372" s="2">
        <v>26.229607000000001</v>
      </c>
      <c r="K372">
        <f>STANDARDIZE(J372,M$12,N$12)</f>
        <v>-1.8533749857521649</v>
      </c>
    </row>
    <row r="373" spans="7:11" x14ac:dyDescent="0.3">
      <c r="G373">
        <v>1985</v>
      </c>
      <c r="H373">
        <v>2</v>
      </c>
      <c r="I373" s="3">
        <v>1985.0833333345699</v>
      </c>
      <c r="J373" s="2">
        <v>26.421638000000002</v>
      </c>
      <c r="K373">
        <f>STANDARDIZE(J373,M$13,N$13)</f>
        <v>-1.1751341216289053</v>
      </c>
    </row>
    <row r="374" spans="7:11" x14ac:dyDescent="0.3">
      <c r="G374">
        <v>1985</v>
      </c>
      <c r="H374">
        <v>1</v>
      </c>
      <c r="I374" s="3">
        <v>1985.0000000012401</v>
      </c>
      <c r="J374" s="2">
        <v>26.096679999999999</v>
      </c>
      <c r="K374">
        <f>STANDARDIZE(J374,M$14,N$14)</f>
        <v>-2.9659953551940479</v>
      </c>
    </row>
    <row r="375" spans="7:11" x14ac:dyDescent="0.3">
      <c r="G375">
        <v>1984</v>
      </c>
      <c r="H375">
        <v>12</v>
      </c>
      <c r="I375" s="3">
        <v>1984.91666666791</v>
      </c>
      <c r="J375" s="2">
        <v>27.029693999999999</v>
      </c>
      <c r="K375">
        <f>STANDARDIZE(J375,M$3,N$3)</f>
        <v>-2.4034348021990977</v>
      </c>
    </row>
    <row r="376" spans="7:11" x14ac:dyDescent="0.3">
      <c r="G376">
        <v>1984</v>
      </c>
      <c r="H376">
        <v>11</v>
      </c>
      <c r="I376" s="3">
        <v>1984.8333333345799</v>
      </c>
      <c r="J376" s="2">
        <v>27.987850000000002</v>
      </c>
      <c r="K376">
        <f>STANDARDIZE(J376,M$4,N$4)</f>
        <v>-2.1920965458291204</v>
      </c>
    </row>
    <row r="377" spans="7:11" x14ac:dyDescent="0.3">
      <c r="G377">
        <v>1984</v>
      </c>
      <c r="H377">
        <v>10</v>
      </c>
      <c r="I377" s="3">
        <v>1984.7500000012501</v>
      </c>
      <c r="J377" s="2">
        <v>28.159077</v>
      </c>
      <c r="K377">
        <f>STANDARDIZE(J377,M$5,N$5)</f>
        <v>-2.4274545334543558</v>
      </c>
    </row>
    <row r="378" spans="7:11" x14ac:dyDescent="0.3">
      <c r="G378">
        <v>1984</v>
      </c>
      <c r="H378">
        <v>9</v>
      </c>
      <c r="I378" s="3">
        <v>1984.66666666792</v>
      </c>
      <c r="J378" s="2">
        <v>28.300379</v>
      </c>
      <c r="K378">
        <f>STANDARDIZE(J378,M$6,N$6)</f>
        <v>-1.5321602271896952</v>
      </c>
    </row>
    <row r="379" spans="7:11" x14ac:dyDescent="0.3">
      <c r="G379">
        <v>1984</v>
      </c>
      <c r="H379">
        <v>8</v>
      </c>
      <c r="I379" s="3">
        <v>1984.58333333459</v>
      </c>
      <c r="J379" s="2">
        <v>28.109867000000001</v>
      </c>
      <c r="K379">
        <f>STANDARDIZE(J379,M$7,N$7)</f>
        <v>-1.1333103663167419</v>
      </c>
    </row>
    <row r="380" spans="7:11" x14ac:dyDescent="0.3">
      <c r="G380">
        <v>1984</v>
      </c>
      <c r="H380">
        <v>7</v>
      </c>
      <c r="I380" s="3">
        <v>1984.5000000012601</v>
      </c>
      <c r="J380" s="2">
        <v>27.933865000000001</v>
      </c>
      <c r="K380">
        <f>STANDARDIZE(J380,M$8,N$8)</f>
        <v>-1.0596272859409146</v>
      </c>
    </row>
    <row r="381" spans="7:11" x14ac:dyDescent="0.3">
      <c r="G381">
        <v>1984</v>
      </c>
      <c r="H381">
        <v>6</v>
      </c>
      <c r="I381" s="3">
        <v>1984.41666666793</v>
      </c>
      <c r="J381" s="2">
        <v>28.069008</v>
      </c>
      <c r="K381">
        <f>STANDARDIZE(J381,M$9,N$9)</f>
        <v>-1.5525760031278732</v>
      </c>
    </row>
    <row r="382" spans="7:11" x14ac:dyDescent="0.3">
      <c r="G382">
        <v>1984</v>
      </c>
      <c r="H382">
        <v>5</v>
      </c>
      <c r="I382" s="3">
        <v>1984.3333333346</v>
      </c>
      <c r="J382" s="2">
        <v>28.131042000000001</v>
      </c>
      <c r="K382">
        <f>STANDARDIZE(J382,M$10,N$10)</f>
        <v>-0.46113691144443886</v>
      </c>
    </row>
    <row r="383" spans="7:11" x14ac:dyDescent="0.3">
      <c r="G383">
        <v>1984</v>
      </c>
      <c r="H383">
        <v>4</v>
      </c>
      <c r="I383" s="3">
        <v>1984.2500000012701</v>
      </c>
      <c r="J383" s="2">
        <v>27.550076000000001</v>
      </c>
      <c r="K383">
        <f>STANDARDIZE(J383,M$11,N$11)</f>
        <v>0.19438862843995552</v>
      </c>
    </row>
    <row r="384" spans="7:11" x14ac:dyDescent="0.3">
      <c r="G384">
        <v>1984</v>
      </c>
      <c r="H384">
        <v>3</v>
      </c>
      <c r="I384" s="3">
        <v>1984.16666666794</v>
      </c>
      <c r="J384" s="2">
        <v>27.135601000000001</v>
      </c>
      <c r="K384">
        <f>STANDARDIZE(J384,M$12,N$12)</f>
        <v>0.38651435161150804</v>
      </c>
    </row>
    <row r="385" spans="7:11" x14ac:dyDescent="0.3">
      <c r="G385">
        <v>1984</v>
      </c>
      <c r="H385">
        <v>2</v>
      </c>
      <c r="I385" s="3">
        <v>1984.08333333461</v>
      </c>
      <c r="J385" s="2">
        <v>27.060241999999999</v>
      </c>
      <c r="K385">
        <f>STANDARDIZE(J385,M$13,N$13)</f>
        <v>0.46242438395433849</v>
      </c>
    </row>
    <row r="386" spans="7:11" x14ac:dyDescent="0.3">
      <c r="G386">
        <v>1984</v>
      </c>
      <c r="H386">
        <v>1</v>
      </c>
      <c r="I386" s="3">
        <v>1984.0000000012799</v>
      </c>
      <c r="J386" s="2">
        <v>27.36628</v>
      </c>
      <c r="K386">
        <f>STANDARDIZE(J386,M$14,N$14)</f>
        <v>0.8690402752653581</v>
      </c>
    </row>
    <row r="387" spans="7:11" x14ac:dyDescent="0.3">
      <c r="G387">
        <v>1983</v>
      </c>
      <c r="H387">
        <v>12</v>
      </c>
      <c r="I387" s="3">
        <v>1983.91666666795</v>
      </c>
      <c r="J387" s="2">
        <v>27.767216000000001</v>
      </c>
      <c r="K387">
        <f>STANDARDIZE(J387,M$3,N$3)</f>
        <v>-9.5616951660563762E-2</v>
      </c>
    </row>
    <row r="388" spans="7:11" x14ac:dyDescent="0.3">
      <c r="G388">
        <v>1983</v>
      </c>
      <c r="H388">
        <v>11</v>
      </c>
      <c r="I388" s="3">
        <v>1983.83333333462</v>
      </c>
      <c r="J388" s="2">
        <v>28.718912</v>
      </c>
      <c r="K388">
        <f>STANDARDIZE(J388,M$4,N$4)</f>
        <v>0.12540665551577779</v>
      </c>
    </row>
    <row r="389" spans="7:11" x14ac:dyDescent="0.3">
      <c r="G389">
        <v>1983</v>
      </c>
      <c r="H389">
        <v>10</v>
      </c>
      <c r="I389" s="3">
        <v>1983.7500000012899</v>
      </c>
      <c r="J389" s="2">
        <v>28.807379999999998</v>
      </c>
      <c r="K389">
        <f>STANDARDIZE(J389,M$5,N$5)</f>
        <v>-0.37381367344475586</v>
      </c>
    </row>
    <row r="390" spans="7:11" x14ac:dyDescent="0.3">
      <c r="G390">
        <v>1983</v>
      </c>
      <c r="H390">
        <v>9</v>
      </c>
      <c r="I390" s="3">
        <v>1983.66666666796</v>
      </c>
      <c r="J390" s="2">
        <v>28.658867000000001</v>
      </c>
      <c r="K390">
        <f>STANDARDIZE(J390,M$6,N$6)</f>
        <v>-0.47251096403208198</v>
      </c>
    </row>
    <row r="391" spans="7:11" x14ac:dyDescent="0.3">
      <c r="G391">
        <v>1983</v>
      </c>
      <c r="H391">
        <v>8</v>
      </c>
      <c r="I391" s="3">
        <v>1983.58333333463</v>
      </c>
      <c r="J391" s="2">
        <v>28.514420000000001</v>
      </c>
      <c r="K391">
        <f>STANDARDIZE(J391,M$7,N$7)</f>
        <v>6.269769419060886E-2</v>
      </c>
    </row>
    <row r="392" spans="7:11" x14ac:dyDescent="0.3">
      <c r="G392">
        <v>1983</v>
      </c>
      <c r="H392">
        <v>7</v>
      </c>
      <c r="I392" s="3">
        <v>1983.5000000012999</v>
      </c>
      <c r="J392" s="2">
        <v>28.50544</v>
      </c>
      <c r="K392">
        <f>STANDARDIZE(J392,M$8,N$8)</f>
        <v>0.5945376226636041</v>
      </c>
    </row>
    <row r="393" spans="7:11" x14ac:dyDescent="0.3">
      <c r="G393">
        <v>1983</v>
      </c>
      <c r="H393">
        <v>6</v>
      </c>
      <c r="I393" s="3">
        <v>1983.41666666797</v>
      </c>
      <c r="J393" s="2">
        <v>29.250540000000001</v>
      </c>
      <c r="K393">
        <f>STANDARDIZE(J393,M$9,N$9)</f>
        <v>1.6138835187968623</v>
      </c>
    </row>
    <row r="394" spans="7:11" x14ac:dyDescent="0.3">
      <c r="G394">
        <v>1983</v>
      </c>
      <c r="H394">
        <v>5</v>
      </c>
      <c r="I394" s="3">
        <v>1983.33333333464</v>
      </c>
      <c r="J394" s="2">
        <v>28.765336999999999</v>
      </c>
      <c r="K394">
        <f>STANDARDIZE(J394,M$10,N$10)</f>
        <v>1.0982084955084386</v>
      </c>
    </row>
    <row r="395" spans="7:11" x14ac:dyDescent="0.3">
      <c r="G395">
        <v>1983</v>
      </c>
      <c r="H395">
        <v>4</v>
      </c>
      <c r="I395" s="3">
        <v>1983.2500000013099</v>
      </c>
      <c r="J395" s="2">
        <v>27.905666</v>
      </c>
      <c r="K395">
        <f>STANDARDIZE(J395,M$11,N$11)</f>
        <v>1.2012513645996024</v>
      </c>
    </row>
    <row r="396" spans="7:11" x14ac:dyDescent="0.3">
      <c r="G396">
        <v>1983</v>
      </c>
      <c r="H396">
        <v>3</v>
      </c>
      <c r="I396" s="3">
        <v>1983.1666666679801</v>
      </c>
      <c r="J396" s="2">
        <v>27.299713000000001</v>
      </c>
      <c r="K396">
        <f>STANDARDIZE(J396,M$12,N$12)</f>
        <v>0.79224851644419547</v>
      </c>
    </row>
    <row r="397" spans="7:11" x14ac:dyDescent="0.3">
      <c r="G397">
        <v>1983</v>
      </c>
      <c r="H397">
        <v>2</v>
      </c>
      <c r="I397" s="3">
        <v>1983.08333333465</v>
      </c>
      <c r="J397" s="2">
        <v>26.744598</v>
      </c>
      <c r="K397">
        <f>STANDARDIZE(J397,M$13,N$13)</f>
        <v>-0.34697473809362528</v>
      </c>
    </row>
    <row r="398" spans="7:11" x14ac:dyDescent="0.3">
      <c r="G398">
        <v>1983</v>
      </c>
      <c r="H398">
        <v>1</v>
      </c>
      <c r="I398" s="3">
        <v>1983.0000000013199</v>
      </c>
      <c r="J398" s="2">
        <v>26.974377</v>
      </c>
      <c r="K398">
        <f>STANDARDIZE(J398,M$14,N$14)</f>
        <v>-0.31476719849325024</v>
      </c>
    </row>
    <row r="399" spans="7:11" x14ac:dyDescent="0.3">
      <c r="G399">
        <v>1982</v>
      </c>
      <c r="H399">
        <v>12</v>
      </c>
      <c r="I399" s="3">
        <v>1982.9166666679901</v>
      </c>
      <c r="J399" s="2">
        <v>27.314194000000001</v>
      </c>
      <c r="K399">
        <f>STANDARDIZE(J399,M$3,N$3)</f>
        <v>-1.5131912861030163</v>
      </c>
    </row>
    <row r="400" spans="7:11" x14ac:dyDescent="0.3">
      <c r="G400">
        <v>1982</v>
      </c>
      <c r="H400">
        <v>11</v>
      </c>
      <c r="I400" s="3">
        <v>1982.83333333466</v>
      </c>
      <c r="J400" s="2">
        <v>28.297533000000001</v>
      </c>
      <c r="K400">
        <f>STANDARDIZE(J400,M$4,N$4)</f>
        <v>-1.2103859058258191</v>
      </c>
    </row>
    <row r="401" spans="7:11" x14ac:dyDescent="0.3">
      <c r="G401">
        <v>1982</v>
      </c>
      <c r="H401">
        <v>10</v>
      </c>
      <c r="I401" s="3">
        <v>1982.7500000013299</v>
      </c>
      <c r="J401" s="2">
        <v>28.556156000000001</v>
      </c>
      <c r="K401">
        <f>STANDARDIZE(J401,M$5,N$5)</f>
        <v>-1.1696203740385318</v>
      </c>
    </row>
    <row r="402" spans="7:11" x14ac:dyDescent="0.3">
      <c r="G402">
        <v>1982</v>
      </c>
      <c r="H402">
        <v>9</v>
      </c>
      <c r="I402" s="3">
        <v>1982.6666666680001</v>
      </c>
      <c r="J402" s="2">
        <v>28.399704</v>
      </c>
      <c r="K402">
        <f>STANDARDIZE(J402,M$6,N$6)</f>
        <v>-1.2385669602933698</v>
      </c>
    </row>
    <row r="403" spans="7:11" x14ac:dyDescent="0.3">
      <c r="G403">
        <v>1982</v>
      </c>
      <c r="H403">
        <v>8</v>
      </c>
      <c r="I403" s="3">
        <v>1982.58333333467</v>
      </c>
      <c r="J403" s="2">
        <v>27.933047999999999</v>
      </c>
      <c r="K403">
        <f>STANDARDIZE(J403,M$7,N$7)</f>
        <v>-1.6560526256767059</v>
      </c>
    </row>
    <row r="404" spans="7:11" x14ac:dyDescent="0.3">
      <c r="G404">
        <v>1982</v>
      </c>
      <c r="H404">
        <v>7</v>
      </c>
      <c r="I404" s="3">
        <v>1982.5000000013399</v>
      </c>
      <c r="J404" s="2">
        <v>27.928457000000002</v>
      </c>
      <c r="K404">
        <f>STANDARDIZE(J404,M$8,N$8)</f>
        <v>-1.0752782920656261</v>
      </c>
    </row>
    <row r="405" spans="7:11" x14ac:dyDescent="0.3">
      <c r="G405">
        <v>1982</v>
      </c>
      <c r="H405">
        <v>6</v>
      </c>
      <c r="I405" s="3">
        <v>1982.4166666680101</v>
      </c>
      <c r="J405" s="2">
        <v>28.584976000000001</v>
      </c>
      <c r="K405">
        <f>STANDARDIZE(J405,M$9,N$9)</f>
        <v>-0.16980195502044687</v>
      </c>
    </row>
    <row r="406" spans="7:11" x14ac:dyDescent="0.3">
      <c r="G406">
        <v>1982</v>
      </c>
      <c r="H406">
        <v>5</v>
      </c>
      <c r="I406" s="3">
        <v>1982.33333333468</v>
      </c>
      <c r="J406" s="2">
        <v>28.335847999999999</v>
      </c>
      <c r="K406">
        <f>STANDARDIZE(J406,M$10,N$10)</f>
        <v>4.2356408566579025E-2</v>
      </c>
    </row>
    <row r="407" spans="7:11" x14ac:dyDescent="0.3">
      <c r="G407">
        <v>1982</v>
      </c>
      <c r="H407">
        <v>4</v>
      </c>
      <c r="I407" s="3">
        <v>1982.2500000013499</v>
      </c>
      <c r="J407" s="2">
        <v>27.535212999999999</v>
      </c>
      <c r="K407">
        <f>STANDARDIZE(J407,M$11,N$11)</f>
        <v>0.15230364053944451</v>
      </c>
    </row>
    <row r="408" spans="7:11" x14ac:dyDescent="0.3">
      <c r="G408">
        <v>1982</v>
      </c>
      <c r="H408">
        <v>3</v>
      </c>
      <c r="I408" s="3">
        <v>1982.1666666680201</v>
      </c>
      <c r="J408" s="2">
        <v>26.834885</v>
      </c>
      <c r="K408">
        <f>STANDARDIZE(J408,M$12,N$12)</f>
        <v>-0.35694593838451555</v>
      </c>
    </row>
    <row r="409" spans="7:11" x14ac:dyDescent="0.3">
      <c r="G409">
        <v>1982</v>
      </c>
      <c r="H409">
        <v>2</v>
      </c>
      <c r="I409" s="3">
        <v>1982.08333333469</v>
      </c>
      <c r="J409" s="2">
        <v>27.009761999999998</v>
      </c>
      <c r="K409">
        <f>STANDARDIZE(J409,M$13,N$13)</f>
        <v>0.33297960540324423</v>
      </c>
    </row>
    <row r="410" spans="7:11" x14ac:dyDescent="0.3">
      <c r="G410">
        <v>1982</v>
      </c>
      <c r="H410">
        <v>1</v>
      </c>
      <c r="I410" s="3">
        <v>1982.0000000013599</v>
      </c>
      <c r="J410" s="2">
        <v>27.228565</v>
      </c>
      <c r="K410">
        <f>STANDARDIZE(J410,M$14,N$14)</f>
        <v>0.45304946568067228</v>
      </c>
    </row>
    <row r="411" spans="7:11" x14ac:dyDescent="0.3">
      <c r="G411">
        <v>1981</v>
      </c>
      <c r="H411">
        <v>12</v>
      </c>
      <c r="I411" s="3">
        <v>1981.9166666680301</v>
      </c>
      <c r="J411" s="2">
        <v>27.829985000000001</v>
      </c>
      <c r="K411">
        <f>STANDARDIZE(J411,M$3,N$3)</f>
        <v>0.10079673994518017</v>
      </c>
    </row>
    <row r="412" spans="7:11" x14ac:dyDescent="0.3">
      <c r="G412">
        <v>1981</v>
      </c>
      <c r="H412">
        <v>11</v>
      </c>
      <c r="I412" s="3">
        <v>1981.8333333347</v>
      </c>
      <c r="J412" s="2">
        <v>28.377061999999999</v>
      </c>
      <c r="K412">
        <f>STANDARDIZE(J412,M$4,N$4)</f>
        <v>-0.95827498760034335</v>
      </c>
    </row>
    <row r="413" spans="7:11" x14ac:dyDescent="0.3">
      <c r="G413">
        <v>1981</v>
      </c>
      <c r="H413">
        <v>10</v>
      </c>
      <c r="I413" s="3">
        <v>1981.7500000013699</v>
      </c>
      <c r="J413" s="2">
        <v>28.780743000000001</v>
      </c>
      <c r="K413">
        <f>STANDARDIZE(J413,M$5,N$5)</f>
        <v>-0.45819216866700596</v>
      </c>
    </row>
    <row r="414" spans="7:11" x14ac:dyDescent="0.3">
      <c r="G414">
        <v>1981</v>
      </c>
      <c r="H414">
        <v>9</v>
      </c>
      <c r="I414" s="3">
        <v>1981.6666666680401</v>
      </c>
      <c r="J414" s="2">
        <v>28.831500999999999</v>
      </c>
      <c r="K414">
        <f>STANDARDIZE(J414,M$6,N$6)</f>
        <v>3.7775268410703638E-2</v>
      </c>
    </row>
    <row r="415" spans="7:11" x14ac:dyDescent="0.3">
      <c r="G415">
        <v>1981</v>
      </c>
      <c r="H415">
        <v>8</v>
      </c>
      <c r="I415" s="3">
        <v>1981.58333333471</v>
      </c>
      <c r="J415" s="2">
        <v>28.467770000000002</v>
      </c>
      <c r="K415">
        <f>STANDARDIZE(J415,M$7,N$7)</f>
        <v>-7.5216932626316207E-2</v>
      </c>
    </row>
    <row r="416" spans="7:11" x14ac:dyDescent="0.3">
      <c r="G416">
        <v>1981</v>
      </c>
      <c r="H416">
        <v>7</v>
      </c>
      <c r="I416" s="3">
        <v>1981.5000000013799</v>
      </c>
      <c r="J416" s="2">
        <v>28.536498999999999</v>
      </c>
      <c r="K416">
        <f>STANDARDIZE(J416,M$8,N$8)</f>
        <v>0.68442382814205616</v>
      </c>
    </row>
    <row r="417" spans="7:11" x14ac:dyDescent="0.3">
      <c r="G417">
        <v>1981</v>
      </c>
      <c r="H417">
        <v>6</v>
      </c>
      <c r="I417" s="3">
        <v>1981.4166666680501</v>
      </c>
      <c r="J417" s="2">
        <v>28.902926999999998</v>
      </c>
      <c r="K417">
        <f>STANDARDIZE(J417,M$9,N$9)</f>
        <v>0.68229428228457922</v>
      </c>
    </row>
    <row r="418" spans="7:11" x14ac:dyDescent="0.3">
      <c r="G418">
        <v>1981</v>
      </c>
      <c r="H418">
        <v>5</v>
      </c>
      <c r="I418" s="3">
        <v>1981.33333333472</v>
      </c>
      <c r="J418" s="2">
        <v>28.898409999999998</v>
      </c>
      <c r="K418">
        <f>STANDARDIZE(J418,M$10,N$10)</f>
        <v>1.4253540213906228</v>
      </c>
    </row>
    <row r="419" spans="7:11" x14ac:dyDescent="0.3">
      <c r="G419">
        <v>1981</v>
      </c>
      <c r="H419">
        <v>4</v>
      </c>
      <c r="I419" s="3">
        <v>1981.2500000013899</v>
      </c>
      <c r="J419" s="2">
        <v>27.56223</v>
      </c>
      <c r="K419">
        <f>STANDARDIZE(J419,M$11,N$11)</f>
        <v>0.22880300931479242</v>
      </c>
    </row>
    <row r="420" spans="7:11" x14ac:dyDescent="0.3">
      <c r="G420">
        <v>1981</v>
      </c>
      <c r="H420">
        <v>3</v>
      </c>
      <c r="I420" s="3">
        <v>1981.1666666680601</v>
      </c>
      <c r="J420" s="2">
        <v>27.641193000000001</v>
      </c>
      <c r="K420">
        <f>STANDARDIZE(J420,M$12,N$12)</f>
        <v>1.6364896603402352</v>
      </c>
    </row>
    <row r="421" spans="7:11" x14ac:dyDescent="0.3">
      <c r="G421">
        <v>1981</v>
      </c>
      <c r="H421">
        <v>2</v>
      </c>
      <c r="I421" s="3">
        <v>1981.08333333473</v>
      </c>
      <c r="J421" s="2">
        <v>27.065819000000001</v>
      </c>
      <c r="K421">
        <f>STANDARDIZE(J421,M$13,N$13)</f>
        <v>0.47672536513460312</v>
      </c>
    </row>
    <row r="422" spans="7:11" x14ac:dyDescent="0.3">
      <c r="G422">
        <v>1981</v>
      </c>
      <c r="H422">
        <v>1</v>
      </c>
      <c r="I422" s="3">
        <v>1981.0000000013999</v>
      </c>
      <c r="J422" s="2">
        <v>27.302422</v>
      </c>
      <c r="K422">
        <f>STANDARDIZE(J422,M$14,N$14)</f>
        <v>0.67614668256696819</v>
      </c>
    </row>
    <row r="423" spans="7:11" x14ac:dyDescent="0.3">
      <c r="G423">
        <v>1980</v>
      </c>
      <c r="H423">
        <v>12</v>
      </c>
      <c r="I423" s="3">
        <v>1980.9166666680701</v>
      </c>
      <c r="J423" s="2">
        <v>27.690110000000001</v>
      </c>
      <c r="K423">
        <f>STANDARDIZE(J423,M$3,N$3)</f>
        <v>-0.33689328400539553</v>
      </c>
    </row>
    <row r="424" spans="7:11" x14ac:dyDescent="0.3">
      <c r="G424">
        <v>1980</v>
      </c>
      <c r="H424">
        <v>11</v>
      </c>
      <c r="I424" s="3">
        <v>1980.83333333474</v>
      </c>
      <c r="J424" s="2">
        <v>28.681742</v>
      </c>
      <c r="K424">
        <f>STANDARDIZE(J424,M$4,N$4)</f>
        <v>7.5758915121920192E-3</v>
      </c>
    </row>
    <row r="425" spans="7:11" x14ac:dyDescent="0.3">
      <c r="G425">
        <v>1980</v>
      </c>
      <c r="H425">
        <v>10</v>
      </c>
      <c r="I425" s="3">
        <v>1980.7500000014099</v>
      </c>
      <c r="J425" s="2">
        <v>28.700056</v>
      </c>
      <c r="K425">
        <f>STANDARDIZE(J425,M$5,N$5)</f>
        <v>-0.71378580323540552</v>
      </c>
    </row>
    <row r="426" spans="7:11" x14ac:dyDescent="0.3">
      <c r="G426">
        <v>1980</v>
      </c>
      <c r="H426">
        <v>9</v>
      </c>
      <c r="I426" s="3">
        <v>1980.6666666680801</v>
      </c>
      <c r="J426" s="2">
        <v>28.820509999999999</v>
      </c>
      <c r="K426">
        <f>STANDARDIZE(J426,M$6,N$6)</f>
        <v>5.2871375629040904E-3</v>
      </c>
    </row>
    <row r="427" spans="7:11" x14ac:dyDescent="0.3">
      <c r="G427">
        <v>1980</v>
      </c>
      <c r="H427">
        <v>8</v>
      </c>
      <c r="I427" s="3">
        <v>1980.58333333475</v>
      </c>
      <c r="J427" s="2">
        <v>28.55077</v>
      </c>
      <c r="K427">
        <f>STANDARDIZE(J427,M$7,N$7)</f>
        <v>0.17016171744452302</v>
      </c>
    </row>
    <row r="428" spans="7:11" x14ac:dyDescent="0.3">
      <c r="G428">
        <v>1980</v>
      </c>
      <c r="H428">
        <v>7</v>
      </c>
      <c r="I428" s="3">
        <v>1980.5000000014199</v>
      </c>
      <c r="J428" s="2">
        <v>28.581654</v>
      </c>
      <c r="K428">
        <f>STANDARDIZE(J428,M$8,N$8)</f>
        <v>0.81510451999883626</v>
      </c>
    </row>
    <row r="429" spans="7:11" x14ac:dyDescent="0.3">
      <c r="G429">
        <v>1980</v>
      </c>
      <c r="H429">
        <v>6</v>
      </c>
      <c r="I429" s="3">
        <v>1980.4166666680901</v>
      </c>
      <c r="J429" s="2">
        <v>28.870646000000001</v>
      </c>
      <c r="K429">
        <f>STANDARDIZE(J429,M$9,N$9)</f>
        <v>0.59578246556929382</v>
      </c>
    </row>
    <row r="430" spans="7:11" x14ac:dyDescent="0.3">
      <c r="G430">
        <v>1980</v>
      </c>
      <c r="H430">
        <v>5</v>
      </c>
      <c r="I430" s="3">
        <v>1980.33333333476</v>
      </c>
      <c r="J430" s="2">
        <v>28.698509999999999</v>
      </c>
      <c r="K430">
        <f>STANDARDIZE(J430,M$10,N$10)</f>
        <v>0.93392156985012464</v>
      </c>
    </row>
    <row r="431" spans="7:11" x14ac:dyDescent="0.3">
      <c r="G431">
        <v>1980</v>
      </c>
      <c r="H431">
        <v>4</v>
      </c>
      <c r="I431" s="3">
        <v>1980.25000000143</v>
      </c>
      <c r="J431" s="2">
        <v>27.172215000000001</v>
      </c>
      <c r="K431">
        <f>STANDARDIZE(J431,M$11,N$11)</f>
        <v>-0.87553504868263032</v>
      </c>
    </row>
    <row r="432" spans="7:11" x14ac:dyDescent="0.3">
      <c r="G432">
        <v>1980</v>
      </c>
      <c r="H432">
        <v>3</v>
      </c>
      <c r="I432" s="3">
        <v>1980.1666666681001</v>
      </c>
      <c r="J432" s="2">
        <v>26.592037000000001</v>
      </c>
      <c r="K432">
        <f>STANDARDIZE(J432,M$12,N$12)</f>
        <v>-0.95733914827342248</v>
      </c>
    </row>
    <row r="433" spans="7:11" x14ac:dyDescent="0.3">
      <c r="G433">
        <v>1980</v>
      </c>
      <c r="H433">
        <v>2</v>
      </c>
      <c r="I433" s="3">
        <v>1980.08333333477</v>
      </c>
      <c r="J433" s="2">
        <v>26.906555000000001</v>
      </c>
      <c r="K433">
        <f>STANDARDIZE(J433,M$13,N$13)</f>
        <v>6.8328114517301392E-2</v>
      </c>
    </row>
    <row r="434" spans="7:11" x14ac:dyDescent="0.3">
      <c r="G434">
        <v>1980</v>
      </c>
      <c r="H434">
        <v>1</v>
      </c>
      <c r="I434" s="3">
        <v>1980.00000000144</v>
      </c>
      <c r="J434" s="2">
        <v>27.253899000000001</v>
      </c>
      <c r="K434">
        <f>STANDARDIZE(J434,M$14,N$14)</f>
        <v>0.52957497974971912</v>
      </c>
    </row>
    <row r="435" spans="7:11" x14ac:dyDescent="0.3">
      <c r="G435">
        <v>1979</v>
      </c>
      <c r="H435">
        <v>12</v>
      </c>
      <c r="I435" s="3">
        <v>1979.9166666681101</v>
      </c>
      <c r="J435" s="2">
        <v>27.990691999999999</v>
      </c>
      <c r="K435">
        <f>STANDARDIZE(J435,M$3,N$3)</f>
        <v>0.6036732416718974</v>
      </c>
    </row>
    <row r="436" spans="7:11" x14ac:dyDescent="0.3">
      <c r="G436">
        <v>1979</v>
      </c>
      <c r="H436">
        <v>11</v>
      </c>
      <c r="I436" s="3">
        <v>1979.83333333478</v>
      </c>
      <c r="J436" s="2">
        <v>28.791801</v>
      </c>
      <c r="K436">
        <f>STANDARDIZE(J436,M$4,N$4)</f>
        <v>0.35646844075810846</v>
      </c>
    </row>
    <row r="437" spans="7:11" x14ac:dyDescent="0.3">
      <c r="G437">
        <v>1979</v>
      </c>
      <c r="H437">
        <v>10</v>
      </c>
      <c r="I437" s="3">
        <v>1979.75000000145</v>
      </c>
      <c r="J437" s="2">
        <v>28.743378</v>
      </c>
      <c r="K437">
        <f>STANDARDIZE(J437,M$5,N$5)</f>
        <v>-0.5765539389106441</v>
      </c>
    </row>
    <row r="438" spans="7:11" x14ac:dyDescent="0.3">
      <c r="G438">
        <v>1979</v>
      </c>
      <c r="H438">
        <v>9</v>
      </c>
      <c r="I438" s="3">
        <v>1979.6666666681199</v>
      </c>
      <c r="J438" s="2">
        <v>28.731574999999999</v>
      </c>
      <c r="K438">
        <f>STANDARDIZE(J438,M$6,N$6)</f>
        <v>-0.25759448530570322</v>
      </c>
    </row>
    <row r="439" spans="7:11" x14ac:dyDescent="0.3">
      <c r="G439">
        <v>1979</v>
      </c>
      <c r="H439">
        <v>8</v>
      </c>
      <c r="I439" s="3">
        <v>1979.58333333479</v>
      </c>
      <c r="J439" s="2">
        <v>28.296282000000001</v>
      </c>
      <c r="K439">
        <f>STANDARDIZE(J439,M$7,N$7)</f>
        <v>-0.58219878736545971</v>
      </c>
    </row>
    <row r="440" spans="7:11" x14ac:dyDescent="0.3">
      <c r="G440">
        <v>1979</v>
      </c>
      <c r="H440">
        <v>7</v>
      </c>
      <c r="I440" s="3">
        <v>1979.50000000146</v>
      </c>
      <c r="J440" s="2">
        <v>28.579032999999999</v>
      </c>
      <c r="K440">
        <f>STANDARDIZE(J440,M$8,N$8)</f>
        <v>0.80751922283668842</v>
      </c>
    </row>
    <row r="441" spans="7:11" x14ac:dyDescent="0.3">
      <c r="G441">
        <v>1979</v>
      </c>
      <c r="H441">
        <v>6</v>
      </c>
      <c r="I441" s="3">
        <v>1979.4166666681299</v>
      </c>
      <c r="J441" s="2">
        <v>28.622676999999999</v>
      </c>
      <c r="K441">
        <f>STANDARDIZE(J441,M$9,N$9)</f>
        <v>-6.8764750411448194E-2</v>
      </c>
    </row>
    <row r="442" spans="7:11" x14ac:dyDescent="0.3">
      <c r="G442">
        <v>1979</v>
      </c>
      <c r="H442">
        <v>5</v>
      </c>
      <c r="I442" s="3">
        <v>1979.3333333348</v>
      </c>
      <c r="J442" s="2">
        <v>28.291654999999999</v>
      </c>
      <c r="K442">
        <f>STANDARDIZE(J442,M$10,N$10)</f>
        <v>-6.6287284934817961E-2</v>
      </c>
    </row>
    <row r="443" spans="7:11" x14ac:dyDescent="0.3">
      <c r="G443">
        <v>1979</v>
      </c>
      <c r="H443">
        <v>4</v>
      </c>
      <c r="I443" s="3">
        <v>1979.25000000147</v>
      </c>
      <c r="J443" s="2">
        <v>27.118216</v>
      </c>
      <c r="K443">
        <f>STANDARDIZE(J443,M$11,N$11)</f>
        <v>-1.0284346827833808</v>
      </c>
    </row>
    <row r="444" spans="7:11" x14ac:dyDescent="0.3">
      <c r="G444">
        <v>1979</v>
      </c>
      <c r="H444">
        <v>3</v>
      </c>
      <c r="I444" s="3">
        <v>1979.1666666681399</v>
      </c>
      <c r="J444" s="2">
        <v>26.905308000000002</v>
      </c>
      <c r="K444">
        <f>STANDARDIZE(J444,M$12,N$12)</f>
        <v>-0.18283912663392368</v>
      </c>
    </row>
    <row r="445" spans="7:11" x14ac:dyDescent="0.3">
      <c r="G445">
        <v>1979</v>
      </c>
      <c r="H445">
        <v>2</v>
      </c>
      <c r="I445" s="3">
        <v>1979.08333333481</v>
      </c>
      <c r="J445" s="2">
        <v>26.909672</v>
      </c>
      <c r="K445">
        <f>STANDARDIZE(J445,M$13,N$13)</f>
        <v>7.6320970593840728E-2</v>
      </c>
    </row>
    <row r="446" spans="7:11" x14ac:dyDescent="0.3">
      <c r="G446">
        <v>1979</v>
      </c>
      <c r="H446">
        <v>1</v>
      </c>
      <c r="I446" s="3">
        <v>1979.00000000148</v>
      </c>
      <c r="J446" s="2">
        <v>26.861004000000001</v>
      </c>
      <c r="K446">
        <f>STANDARDIZE(J446,M$14,N$14)</f>
        <v>-0.65722899317824657</v>
      </c>
    </row>
    <row r="447" spans="7:11" x14ac:dyDescent="0.3">
      <c r="G447">
        <v>1978</v>
      </c>
      <c r="H447">
        <v>12</v>
      </c>
      <c r="I447" s="3">
        <v>1978.9166666681499</v>
      </c>
      <c r="J447" s="2">
        <v>27.561254999999999</v>
      </c>
      <c r="K447">
        <f>STANDARDIZE(J447,M$3,N$3)</f>
        <v>-0.74010006174374832</v>
      </c>
    </row>
    <row r="448" spans="7:11" x14ac:dyDescent="0.3">
      <c r="G448">
        <v>1978</v>
      </c>
      <c r="H448">
        <v>11</v>
      </c>
      <c r="I448" s="3">
        <v>1978.8333333348201</v>
      </c>
      <c r="J448" s="2">
        <v>28.622420999999999</v>
      </c>
      <c r="K448">
        <f>STANDARDIZE(J448,M$4,N$4)</f>
        <v>-0.18047465332119084</v>
      </c>
    </row>
    <row r="449" spans="7:11" x14ac:dyDescent="0.3">
      <c r="G449">
        <v>1978</v>
      </c>
      <c r="H449">
        <v>10</v>
      </c>
      <c r="I449" s="3">
        <v>1978.75000000149</v>
      </c>
      <c r="J449" s="2">
        <v>28.525145999999999</v>
      </c>
      <c r="K449">
        <f>STANDARDIZE(J449,M$5,N$5)</f>
        <v>-1.2678512985736672</v>
      </c>
    </row>
    <row r="450" spans="7:11" x14ac:dyDescent="0.3">
      <c r="G450">
        <v>1978</v>
      </c>
      <c r="H450">
        <v>9</v>
      </c>
      <c r="I450" s="3">
        <v>1978.6666666681599</v>
      </c>
      <c r="J450" s="2">
        <v>28.158617</v>
      </c>
      <c r="K450">
        <f>STANDARDIZE(J450,M$6,N$6)</f>
        <v>-1.9511923812471506</v>
      </c>
    </row>
    <row r="451" spans="7:11" x14ac:dyDescent="0.3">
      <c r="G451">
        <v>1978</v>
      </c>
      <c r="H451">
        <v>8</v>
      </c>
      <c r="I451" s="3">
        <v>1978.5833333348301</v>
      </c>
      <c r="J451" s="2">
        <v>28.211459999999999</v>
      </c>
      <c r="K451">
        <f>STANDARDIZE(J451,M$7,N$7)</f>
        <v>-0.83296394226075809</v>
      </c>
    </row>
    <row r="452" spans="7:11" x14ac:dyDescent="0.3">
      <c r="G452">
        <v>1978</v>
      </c>
      <c r="H452">
        <v>7</v>
      </c>
      <c r="I452" s="3">
        <v>1978.5000000015</v>
      </c>
      <c r="J452" s="2">
        <v>28.089182000000001</v>
      </c>
      <c r="K452">
        <f>STANDARDIZE(J452,M$8,N$8)</f>
        <v>-0.61013258951484883</v>
      </c>
    </row>
    <row r="453" spans="7:11" x14ac:dyDescent="0.3">
      <c r="G453">
        <v>1978</v>
      </c>
      <c r="H453">
        <v>6</v>
      </c>
      <c r="I453" s="3">
        <v>1978.4166666681699</v>
      </c>
      <c r="J453" s="2">
        <v>28.353933000000001</v>
      </c>
      <c r="K453">
        <f>STANDARDIZE(J453,M$9,N$9)</f>
        <v>-0.78898815338329709</v>
      </c>
    </row>
    <row r="454" spans="7:11" x14ac:dyDescent="0.3">
      <c r="G454">
        <v>1978</v>
      </c>
      <c r="H454">
        <v>5</v>
      </c>
      <c r="I454" s="3">
        <v>1978.3333333348401</v>
      </c>
      <c r="J454" s="2">
        <v>28.672716000000001</v>
      </c>
      <c r="K454">
        <f>STANDARDIZE(J454,M$10,N$10)</f>
        <v>0.8705098207003773</v>
      </c>
    </row>
    <row r="455" spans="7:11" x14ac:dyDescent="0.3">
      <c r="G455">
        <v>1978</v>
      </c>
      <c r="H455">
        <v>4</v>
      </c>
      <c r="I455" s="3">
        <v>1978.25000000151</v>
      </c>
      <c r="J455" s="2">
        <v>27.622406000000002</v>
      </c>
      <c r="K455">
        <f>STANDARDIZE(J455,M$11,N$11)</f>
        <v>0.39919298656709151</v>
      </c>
    </row>
    <row r="456" spans="7:11" x14ac:dyDescent="0.3">
      <c r="G456">
        <v>1978</v>
      </c>
      <c r="H456">
        <v>3</v>
      </c>
      <c r="I456" s="3">
        <v>1978.1666666681799</v>
      </c>
      <c r="J456" s="2">
        <v>27.325665000000001</v>
      </c>
      <c r="K456">
        <f>STANDARDIZE(J456,M$12,N$12)</f>
        <v>0.85640965667609814</v>
      </c>
    </row>
    <row r="457" spans="7:11" x14ac:dyDescent="0.3">
      <c r="G457">
        <v>1978</v>
      </c>
      <c r="H457">
        <v>2</v>
      </c>
      <c r="I457" s="3">
        <v>1978.0833333348501</v>
      </c>
      <c r="J457" s="2">
        <v>27.261524000000001</v>
      </c>
      <c r="K457">
        <f>STANDARDIZE(J457,M$13,N$13)</f>
        <v>0.97856748847734842</v>
      </c>
    </row>
    <row r="458" spans="7:11" x14ac:dyDescent="0.3">
      <c r="G458">
        <v>1978</v>
      </c>
      <c r="H458">
        <v>1</v>
      </c>
      <c r="I458" s="3">
        <v>1978.00000000152</v>
      </c>
      <c r="J458" s="2">
        <v>27.264517000000001</v>
      </c>
      <c r="K458">
        <f>STANDARDIZE(J458,M$14,N$14)</f>
        <v>0.56164839525398935</v>
      </c>
    </row>
    <row r="459" spans="7:11" x14ac:dyDescent="0.3">
      <c r="G459">
        <v>1977</v>
      </c>
      <c r="H459">
        <v>12</v>
      </c>
      <c r="I459" s="3">
        <v>1977.9166666681899</v>
      </c>
      <c r="J459" s="2">
        <v>27.712969999999999</v>
      </c>
      <c r="K459">
        <f>STANDARDIZE(J459,M$3,N$3)</f>
        <v>-0.26536088759782278</v>
      </c>
    </row>
    <row r="460" spans="7:11" x14ac:dyDescent="0.3">
      <c r="G460">
        <v>1977</v>
      </c>
      <c r="H460">
        <v>11</v>
      </c>
      <c r="I460" s="3">
        <v>1977.8333333348601</v>
      </c>
      <c r="J460" s="2">
        <v>28.646356999999998</v>
      </c>
      <c r="K460">
        <f>STANDARDIZE(J460,M$4,N$4)</f>
        <v>-0.10459633297710309</v>
      </c>
    </row>
    <row r="461" spans="7:11" x14ac:dyDescent="0.3">
      <c r="G461">
        <v>1977</v>
      </c>
      <c r="H461">
        <v>10</v>
      </c>
      <c r="I461" s="3">
        <v>1977.75000000153</v>
      </c>
      <c r="J461" s="2">
        <v>28.592316</v>
      </c>
      <c r="K461">
        <f>STANDARDIZE(J461,M$5,N$5)</f>
        <v>-1.0550757035712581</v>
      </c>
    </row>
    <row r="462" spans="7:11" x14ac:dyDescent="0.3">
      <c r="G462">
        <v>1977</v>
      </c>
      <c r="H462">
        <v>9</v>
      </c>
      <c r="I462" s="3">
        <v>1977.6666666681999</v>
      </c>
      <c r="J462" s="2">
        <v>28.333176000000002</v>
      </c>
      <c r="K462">
        <f>STANDARDIZE(J462,M$6,N$6)</f>
        <v>-1.4352160703872852</v>
      </c>
    </row>
    <row r="463" spans="7:11" x14ac:dyDescent="0.3">
      <c r="G463">
        <v>1977</v>
      </c>
      <c r="H463">
        <v>8</v>
      </c>
      <c r="I463" s="3">
        <v>1977.5833333348701</v>
      </c>
      <c r="J463" s="2">
        <v>28.015353999999999</v>
      </c>
      <c r="K463">
        <f>STANDARDIZE(J463,M$7,N$7)</f>
        <v>-1.4127256958847703</v>
      </c>
    </row>
    <row r="464" spans="7:11" x14ac:dyDescent="0.3">
      <c r="G464">
        <v>1977</v>
      </c>
      <c r="H464">
        <v>7</v>
      </c>
      <c r="I464" s="3">
        <v>1977.50000000153</v>
      </c>
      <c r="J464" s="2">
        <v>27.756536000000001</v>
      </c>
      <c r="K464">
        <f>STANDARDIZE(J464,M$8,N$8)</f>
        <v>-1.5728257447222322</v>
      </c>
    </row>
    <row r="465" spans="7:11" x14ac:dyDescent="0.3">
      <c r="G465">
        <v>1977</v>
      </c>
      <c r="H465">
        <v>6</v>
      </c>
      <c r="I465" s="3">
        <v>1977.4166666681999</v>
      </c>
      <c r="J465" s="2">
        <v>28.432835000000001</v>
      </c>
      <c r="K465">
        <f>STANDARDIZE(J465,M$9,N$9)</f>
        <v>-0.57753388113429893</v>
      </c>
    </row>
    <row r="466" spans="7:11" x14ac:dyDescent="0.3">
      <c r="G466">
        <v>1977</v>
      </c>
      <c r="H466">
        <v>5</v>
      </c>
      <c r="I466" s="3">
        <v>1977.3333333348701</v>
      </c>
      <c r="J466" s="2">
        <v>28.009426000000001</v>
      </c>
      <c r="K466">
        <f>STANDARDIZE(J466,M$10,N$10)</f>
        <v>-0.76011664644468468</v>
      </c>
    </row>
    <row r="467" spans="7:11" x14ac:dyDescent="0.3">
      <c r="G467">
        <v>1977</v>
      </c>
      <c r="H467">
        <v>4</v>
      </c>
      <c r="I467" s="3">
        <v>1977.25000000154</v>
      </c>
      <c r="J467" s="2">
        <v>27.167826000000002</v>
      </c>
      <c r="K467">
        <f>STANDARDIZE(J467,M$11,N$11)</f>
        <v>-0.88796262130560755</v>
      </c>
    </row>
    <row r="468" spans="7:11" x14ac:dyDescent="0.3">
      <c r="G468">
        <v>1977</v>
      </c>
      <c r="H468">
        <v>3</v>
      </c>
      <c r="I468" s="3">
        <v>1977.1666666682099</v>
      </c>
      <c r="J468" s="2">
        <v>26.811250000000001</v>
      </c>
      <c r="K468">
        <f>STANDARDIZE(J468,M$12,N$12)</f>
        <v>-0.41537875856719625</v>
      </c>
    </row>
    <row r="469" spans="7:11" x14ac:dyDescent="0.3">
      <c r="G469">
        <v>1977</v>
      </c>
      <c r="H469">
        <v>2</v>
      </c>
      <c r="I469" s="3">
        <v>1977.0833333348801</v>
      </c>
      <c r="J469" s="2">
        <v>26.911798000000001</v>
      </c>
      <c r="K469">
        <f>STANDARDIZE(J469,M$13,N$13)</f>
        <v>8.1772626679413055E-2</v>
      </c>
    </row>
    <row r="470" spans="7:11" x14ac:dyDescent="0.3">
      <c r="G470">
        <v>1977</v>
      </c>
      <c r="H470">
        <v>1</v>
      </c>
      <c r="I470" s="3">
        <v>1977.00000000155</v>
      </c>
      <c r="J470" s="2">
        <v>26.898754</v>
      </c>
      <c r="K470">
        <f>STANDARDIZE(J470,M$14,N$14)</f>
        <v>-0.54319890886047806</v>
      </c>
    </row>
    <row r="471" spans="7:11" x14ac:dyDescent="0.3">
      <c r="G471">
        <v>1976</v>
      </c>
      <c r="H471">
        <v>12</v>
      </c>
      <c r="I471" s="3">
        <v>1976.9166666682199</v>
      </c>
      <c r="J471" s="2">
        <v>27.608066999999998</v>
      </c>
      <c r="K471">
        <f>STANDARDIZE(J471,M$3,N$3)</f>
        <v>-0.59361823581935869</v>
      </c>
    </row>
    <row r="472" spans="7:11" x14ac:dyDescent="0.3">
      <c r="G472">
        <v>1976</v>
      </c>
      <c r="H472">
        <v>11</v>
      </c>
      <c r="I472" s="3">
        <v>1976.8333333348901</v>
      </c>
      <c r="J472" s="2">
        <v>28.710121000000001</v>
      </c>
      <c r="K472">
        <f>STANDARDIZE(J472,M$4,N$4)</f>
        <v>9.7538744664140101E-2</v>
      </c>
    </row>
    <row r="473" spans="7:11" x14ac:dyDescent="0.3">
      <c r="G473">
        <v>1976</v>
      </c>
      <c r="H473">
        <v>10</v>
      </c>
      <c r="I473" s="3">
        <v>1976.75000000156</v>
      </c>
      <c r="J473" s="2">
        <v>28.782544999999999</v>
      </c>
      <c r="K473">
        <f>STANDARDIZE(J473,M$5,N$5)</f>
        <v>-0.45248394144958926</v>
      </c>
    </row>
    <row r="474" spans="7:11" x14ac:dyDescent="0.3">
      <c r="G474">
        <v>1976</v>
      </c>
      <c r="H474">
        <v>9</v>
      </c>
      <c r="I474" s="3">
        <v>1976.6666666682299</v>
      </c>
      <c r="J474" s="2">
        <v>28.188393000000001</v>
      </c>
      <c r="K474">
        <f>STANDARDIZE(J474,M$6,N$6)</f>
        <v>-1.8631779527034256</v>
      </c>
    </row>
    <row r="475" spans="7:11" x14ac:dyDescent="0.3">
      <c r="G475">
        <v>1976</v>
      </c>
      <c r="H475">
        <v>8</v>
      </c>
      <c r="I475" s="3">
        <v>1976.5833333349001</v>
      </c>
      <c r="J475" s="2">
        <v>27.991972000000001</v>
      </c>
      <c r="K475">
        <f>STANDARDIZE(J475,M$7,N$7)</f>
        <v>-1.4818515223420712</v>
      </c>
    </row>
    <row r="476" spans="7:11" x14ac:dyDescent="0.3">
      <c r="G476">
        <v>1976</v>
      </c>
      <c r="H476">
        <v>7</v>
      </c>
      <c r="I476" s="3">
        <v>1976.50000000157</v>
      </c>
      <c r="J476" s="2">
        <v>27.422272</v>
      </c>
      <c r="K476">
        <f>STANDARDIZE(J476,M$8,N$8)</f>
        <v>-2.5402014679602729</v>
      </c>
    </row>
    <row r="477" spans="7:11" x14ac:dyDescent="0.3">
      <c r="G477">
        <v>1976</v>
      </c>
      <c r="H477">
        <v>6</v>
      </c>
      <c r="I477" s="3">
        <v>1976.4166666682399</v>
      </c>
      <c r="J477" s="2">
        <v>27.915295</v>
      </c>
      <c r="K477">
        <f>STANDARDIZE(J477,M$9,N$9)</f>
        <v>-1.9645208277230732</v>
      </c>
    </row>
    <row r="478" spans="7:11" x14ac:dyDescent="0.3">
      <c r="G478">
        <v>1976</v>
      </c>
      <c r="H478">
        <v>5</v>
      </c>
      <c r="I478" s="3">
        <v>1976.3333333349101</v>
      </c>
      <c r="J478" s="2">
        <v>27.661669</v>
      </c>
      <c r="K478">
        <f>STANDARDIZE(J478,M$10,N$10)</f>
        <v>-1.6150394831148707</v>
      </c>
    </row>
    <row r="479" spans="7:11" x14ac:dyDescent="0.3">
      <c r="G479">
        <v>1976</v>
      </c>
      <c r="H479">
        <v>4</v>
      </c>
      <c r="I479" s="3">
        <v>1976.25000000158</v>
      </c>
      <c r="J479" s="2">
        <v>26.772110000000001</v>
      </c>
      <c r="K479">
        <f>STANDARDIZE(J479,M$11,N$11)</f>
        <v>-2.0084432155353431</v>
      </c>
    </row>
    <row r="480" spans="7:11" x14ac:dyDescent="0.3">
      <c r="G480">
        <v>1976</v>
      </c>
      <c r="H480">
        <v>3</v>
      </c>
      <c r="I480" s="3">
        <v>1976.1666666682499</v>
      </c>
      <c r="J480" s="2">
        <v>26.217545000000001</v>
      </c>
      <c r="K480">
        <f>STANDARDIZE(J480,M$12,N$12)</f>
        <v>-1.8831958732936731</v>
      </c>
    </row>
    <row r="481" spans="7:11" x14ac:dyDescent="0.3">
      <c r="G481">
        <v>1976</v>
      </c>
      <c r="H481">
        <v>2</v>
      </c>
      <c r="I481" s="3">
        <v>1976.0833333349201</v>
      </c>
      <c r="J481" s="2">
        <v>26.242004000000001</v>
      </c>
      <c r="K481">
        <f>STANDARDIZE(J481,M$13,N$13)</f>
        <v>-1.6357657252391893</v>
      </c>
    </row>
    <row r="482" spans="7:11" x14ac:dyDescent="0.3">
      <c r="G482">
        <v>1976</v>
      </c>
      <c r="H482">
        <v>1</v>
      </c>
      <c r="I482" s="3">
        <v>1976.00000000159</v>
      </c>
      <c r="J482" s="2">
        <v>26.661617</v>
      </c>
      <c r="K482">
        <f>STANDARDIZE(J482,M$14,N$14)</f>
        <v>-1.2595102228965951</v>
      </c>
    </row>
    <row r="483" spans="7:11" x14ac:dyDescent="0.3">
      <c r="G483">
        <v>1975</v>
      </c>
      <c r="H483">
        <v>12</v>
      </c>
      <c r="I483" s="3">
        <v>1975.9166666682599</v>
      </c>
      <c r="J483" s="2">
        <v>27.156631000000001</v>
      </c>
      <c r="K483">
        <f>STANDARDIZE(J483,M$3,N$3)</f>
        <v>-2.0062297364602952</v>
      </c>
    </row>
    <row r="484" spans="7:11" x14ac:dyDescent="0.3">
      <c r="G484">
        <v>1975</v>
      </c>
      <c r="H484">
        <v>11</v>
      </c>
      <c r="I484" s="3">
        <v>1975.8333333349301</v>
      </c>
      <c r="J484" s="2">
        <v>28.09085</v>
      </c>
      <c r="K484">
        <f>STANDARDIZE(J484,M$4,N$4)</f>
        <v>-1.8655813805784023</v>
      </c>
    </row>
    <row r="485" spans="7:11" x14ac:dyDescent="0.3">
      <c r="G485">
        <v>1975</v>
      </c>
      <c r="H485">
        <v>10</v>
      </c>
      <c r="I485" s="3">
        <v>1975.7500000016</v>
      </c>
      <c r="J485" s="2">
        <v>28.397797000000001</v>
      </c>
      <c r="K485">
        <f>STANDARDIZE(J485,M$5,N$5)</f>
        <v>-1.6712569744402925</v>
      </c>
    </row>
    <row r="486" spans="7:11" x14ac:dyDescent="0.3">
      <c r="G486">
        <v>1975</v>
      </c>
      <c r="H486">
        <v>9</v>
      </c>
      <c r="I486" s="3">
        <v>1975.66666666827</v>
      </c>
      <c r="J486" s="2">
        <v>28.43291</v>
      </c>
      <c r="K486">
        <f>STANDARDIZE(J486,M$6,N$6)</f>
        <v>-1.140413846570145</v>
      </c>
    </row>
    <row r="487" spans="7:11" x14ac:dyDescent="0.3">
      <c r="G487">
        <v>1975</v>
      </c>
      <c r="H487">
        <v>8</v>
      </c>
      <c r="I487" s="3">
        <v>1975.5833333349401</v>
      </c>
      <c r="J487" s="2">
        <v>28.081810000000001</v>
      </c>
      <c r="K487">
        <f>STANDARDIZE(J487,M$7,N$7)</f>
        <v>-1.2162572191485224</v>
      </c>
    </row>
    <row r="488" spans="7:11" x14ac:dyDescent="0.3">
      <c r="G488">
        <v>1975</v>
      </c>
      <c r="H488">
        <v>7</v>
      </c>
      <c r="I488" s="3">
        <v>1975.50000000161</v>
      </c>
      <c r="J488" s="2">
        <v>27.851398</v>
      </c>
      <c r="K488">
        <f>STANDARDIZE(J488,M$8,N$8)</f>
        <v>-1.2982906591078498</v>
      </c>
    </row>
    <row r="489" spans="7:11" x14ac:dyDescent="0.3">
      <c r="G489">
        <v>1975</v>
      </c>
      <c r="H489">
        <v>6</v>
      </c>
      <c r="I489" s="3">
        <v>1975.41666666828</v>
      </c>
      <c r="J489" s="2">
        <v>28.298615999999999</v>
      </c>
      <c r="K489">
        <f>STANDARDIZE(J489,M$9,N$9)</f>
        <v>-0.93723554860773262</v>
      </c>
    </row>
    <row r="490" spans="7:11" x14ac:dyDescent="0.3">
      <c r="G490">
        <v>1975</v>
      </c>
      <c r="H490">
        <v>5</v>
      </c>
      <c r="I490" s="3">
        <v>1975.3333333349501</v>
      </c>
      <c r="J490" s="2">
        <v>27.607254000000001</v>
      </c>
      <c r="K490">
        <f>STANDARDIZE(J490,M$10,N$10)</f>
        <v>-1.7488128540532182</v>
      </c>
    </row>
    <row r="491" spans="7:11" x14ac:dyDescent="0.3">
      <c r="G491">
        <v>1975</v>
      </c>
      <c r="H491">
        <v>4</v>
      </c>
      <c r="I491" s="3">
        <v>1975.25000000162</v>
      </c>
      <c r="J491" s="2">
        <v>26.936104</v>
      </c>
      <c r="K491">
        <f>STANDARDIZE(J491,M$11,N$11)</f>
        <v>-1.5440897535320126</v>
      </c>
    </row>
    <row r="492" spans="7:11" x14ac:dyDescent="0.3">
      <c r="G492">
        <v>1975</v>
      </c>
      <c r="H492">
        <v>3</v>
      </c>
      <c r="I492" s="3">
        <v>1975.16666666829</v>
      </c>
      <c r="J492" s="2">
        <v>26.691276999999999</v>
      </c>
      <c r="K492">
        <f>STANDARDIZE(J492,M$12,N$12)</f>
        <v>-0.71198805561721612</v>
      </c>
    </row>
    <row r="493" spans="7:11" x14ac:dyDescent="0.3">
      <c r="G493">
        <v>1975</v>
      </c>
      <c r="H493">
        <v>2</v>
      </c>
      <c r="I493" s="3">
        <v>1975.0833333349599</v>
      </c>
      <c r="J493" s="2">
        <v>26.369834999999998</v>
      </c>
      <c r="K493">
        <f>STANDARDIZE(J493,M$13,N$13)</f>
        <v>-1.3079714406321286</v>
      </c>
    </row>
    <row r="494" spans="7:11" x14ac:dyDescent="0.3">
      <c r="G494">
        <v>1975</v>
      </c>
      <c r="H494">
        <v>1</v>
      </c>
      <c r="I494" s="3">
        <v>1975.00000000163</v>
      </c>
      <c r="J494" s="2">
        <v>26.792973</v>
      </c>
      <c r="K494">
        <f>STANDARDIZE(J494,M$14,N$14)</f>
        <v>-0.86272781877354321</v>
      </c>
    </row>
    <row r="495" spans="7:11" x14ac:dyDescent="0.3">
      <c r="G495">
        <v>1974</v>
      </c>
      <c r="H495">
        <v>12</v>
      </c>
      <c r="I495" s="3">
        <v>1974.9166666683</v>
      </c>
      <c r="J495" s="2">
        <v>27.50441</v>
      </c>
      <c r="K495">
        <f>STANDARDIZE(J495,M$3,N$3)</f>
        <v>-0.91797666164701985</v>
      </c>
    </row>
    <row r="496" spans="7:11" x14ac:dyDescent="0.3">
      <c r="G496">
        <v>1974</v>
      </c>
      <c r="H496">
        <v>11</v>
      </c>
      <c r="I496" s="3">
        <v>1974.8333333349699</v>
      </c>
      <c r="J496" s="2">
        <v>28.037071000000001</v>
      </c>
      <c r="K496">
        <f>STANDARDIZE(J496,M$4,N$4)</f>
        <v>-2.036063507491201</v>
      </c>
    </row>
    <row r="497" spans="7:11" x14ac:dyDescent="0.3">
      <c r="G497">
        <v>1974</v>
      </c>
      <c r="H497">
        <v>10</v>
      </c>
      <c r="I497" s="3">
        <v>1974.75000000164</v>
      </c>
      <c r="J497" s="2">
        <v>28.439436000000001</v>
      </c>
      <c r="K497">
        <f>STANDARDIZE(J497,M$5,N$5)</f>
        <v>-1.5393563789318037</v>
      </c>
    </row>
    <row r="498" spans="7:11" x14ac:dyDescent="0.3">
      <c r="G498">
        <v>1974</v>
      </c>
      <c r="H498">
        <v>9</v>
      </c>
      <c r="I498" s="3">
        <v>1974.66666666831</v>
      </c>
      <c r="J498" s="2">
        <v>28.6206</v>
      </c>
      <c r="K498">
        <f>STANDARDIZE(J498,M$6,N$6)</f>
        <v>-0.58562381119364237</v>
      </c>
    </row>
    <row r="499" spans="7:11" x14ac:dyDescent="0.3">
      <c r="G499">
        <v>1974</v>
      </c>
      <c r="H499">
        <v>8</v>
      </c>
      <c r="I499" s="3">
        <v>1974.5833333349799</v>
      </c>
      <c r="J499" s="2">
        <v>27.987347</v>
      </c>
      <c r="K499">
        <f>STANDARDIZE(J499,M$7,N$7)</f>
        <v>-1.4955247302526475</v>
      </c>
    </row>
    <row r="500" spans="7:11" x14ac:dyDescent="0.3">
      <c r="G500">
        <v>1974</v>
      </c>
      <c r="H500">
        <v>7</v>
      </c>
      <c r="I500" s="3">
        <v>1974.5000000016501</v>
      </c>
      <c r="J500" s="2">
        <v>27.660734000000001</v>
      </c>
      <c r="K500">
        <f>STANDARDIZE(J500,M$8,N$8)</f>
        <v>-1.8500812345077</v>
      </c>
    </row>
    <row r="501" spans="7:11" x14ac:dyDescent="0.3">
      <c r="G501">
        <v>1974</v>
      </c>
      <c r="H501">
        <v>6</v>
      </c>
      <c r="I501" s="3">
        <v>1974.41666666832</v>
      </c>
      <c r="J501" s="2">
        <v>28.115410000000001</v>
      </c>
      <c r="K501">
        <f>STANDARDIZE(J501,M$9,N$9)</f>
        <v>-1.4282204590238177</v>
      </c>
    </row>
    <row r="502" spans="7:11" x14ac:dyDescent="0.3">
      <c r="G502">
        <v>1974</v>
      </c>
      <c r="H502">
        <v>5</v>
      </c>
      <c r="I502" s="3">
        <v>1974.3333333349899</v>
      </c>
      <c r="J502" s="2">
        <v>27.794540000000001</v>
      </c>
      <c r="K502">
        <f>STANDARDIZE(J502,M$10,N$10)</f>
        <v>-1.2883905523062742</v>
      </c>
    </row>
    <row r="503" spans="7:11" x14ac:dyDescent="0.3">
      <c r="G503">
        <v>1974</v>
      </c>
      <c r="H503">
        <v>4</v>
      </c>
      <c r="I503" s="3">
        <v>1974.2500000016601</v>
      </c>
      <c r="J503" s="2">
        <v>26.859853999999999</v>
      </c>
      <c r="K503">
        <f>STANDARDIZE(J503,M$11,N$11)</f>
        <v>-1.7599936980528792</v>
      </c>
    </row>
    <row r="504" spans="7:11" x14ac:dyDescent="0.3">
      <c r="G504">
        <v>1974</v>
      </c>
      <c r="H504">
        <v>3</v>
      </c>
      <c r="I504" s="3">
        <v>1974.16666666833</v>
      </c>
      <c r="J504" s="2">
        <v>26.782803000000001</v>
      </c>
      <c r="K504">
        <f>STANDARDIZE(J504,M$12,N$12)</f>
        <v>-0.48570828832123897</v>
      </c>
    </row>
    <row r="505" spans="7:11" x14ac:dyDescent="0.3">
      <c r="G505">
        <v>1974</v>
      </c>
      <c r="H505">
        <v>2</v>
      </c>
      <c r="I505" s="3">
        <v>1974.0833333349999</v>
      </c>
      <c r="J505" s="2">
        <v>26.545544</v>
      </c>
      <c r="K505">
        <f>STANDARDIZE(J505,M$13,N$13)</f>
        <v>-0.85740463012431867</v>
      </c>
    </row>
    <row r="506" spans="7:11" x14ac:dyDescent="0.3">
      <c r="G506">
        <v>1974</v>
      </c>
      <c r="H506">
        <v>1</v>
      </c>
      <c r="I506" s="3">
        <v>1974.0000000016701</v>
      </c>
      <c r="J506" s="2">
        <v>26.765740000000001</v>
      </c>
      <c r="K506">
        <f>STANDARDIZE(J506,M$14,N$14)</f>
        <v>-0.94498957470005318</v>
      </c>
    </row>
    <row r="507" spans="7:11" x14ac:dyDescent="0.3">
      <c r="G507">
        <v>1973</v>
      </c>
      <c r="H507">
        <v>12</v>
      </c>
      <c r="I507" s="3">
        <v>1973.91666666834</v>
      </c>
      <c r="J507" s="2">
        <v>27.546516</v>
      </c>
      <c r="K507">
        <f>STANDARDIZE(J507,M$3,N$3)</f>
        <v>-0.78622062126479908</v>
      </c>
    </row>
    <row r="508" spans="7:11" x14ac:dyDescent="0.3">
      <c r="G508">
        <v>1973</v>
      </c>
      <c r="H508">
        <v>11</v>
      </c>
      <c r="I508" s="3">
        <v>1973.8333333350099</v>
      </c>
      <c r="J508" s="2">
        <v>28.506117</v>
      </c>
      <c r="K508">
        <f>STANDARDIZE(J508,M$4,N$4)</f>
        <v>-0.54916416574177451</v>
      </c>
    </row>
    <row r="509" spans="7:11" x14ac:dyDescent="0.3">
      <c r="G509">
        <v>1973</v>
      </c>
      <c r="H509">
        <v>10</v>
      </c>
      <c r="I509" s="3">
        <v>1973.7500000016801</v>
      </c>
      <c r="J509" s="2">
        <v>28.846651000000001</v>
      </c>
      <c r="K509">
        <f>STANDARDIZE(J509,M$5,N$5)</f>
        <v>-0.24941423334738899</v>
      </c>
    </row>
    <row r="510" spans="7:11" x14ac:dyDescent="0.3">
      <c r="G510">
        <v>1973</v>
      </c>
      <c r="H510">
        <v>9</v>
      </c>
      <c r="I510" s="3">
        <v>1973.66666666835</v>
      </c>
      <c r="J510" s="2">
        <v>28.641044999999998</v>
      </c>
      <c r="K510">
        <f>STANDARDIZE(J510,M$6,N$6)</f>
        <v>-0.52519074457703052</v>
      </c>
    </row>
    <row r="511" spans="7:11" x14ac:dyDescent="0.3">
      <c r="G511">
        <v>1973</v>
      </c>
      <c r="H511">
        <v>8</v>
      </c>
      <c r="I511" s="3">
        <v>1973.5833333350199</v>
      </c>
      <c r="J511" s="2">
        <v>28.635414000000001</v>
      </c>
      <c r="K511">
        <f>STANDARDIZE(J511,M$7,N$7)</f>
        <v>0.42040063860833893</v>
      </c>
    </row>
    <row r="512" spans="7:11" x14ac:dyDescent="0.3">
      <c r="G512">
        <v>1973</v>
      </c>
      <c r="H512">
        <v>7</v>
      </c>
      <c r="I512" s="3">
        <v>1973.5000000016901</v>
      </c>
      <c r="J512" s="2">
        <v>28.377106000000001</v>
      </c>
      <c r="K512">
        <f>STANDARDIZE(J512,M$8,N$8)</f>
        <v>0.22313299618265114</v>
      </c>
    </row>
    <row r="513" spans="7:11" x14ac:dyDescent="0.3">
      <c r="G513">
        <v>1973</v>
      </c>
      <c r="H513">
        <v>6</v>
      </c>
      <c r="I513" s="3">
        <v>1973.41666666836</v>
      </c>
      <c r="J513" s="2">
        <v>28.478480000000001</v>
      </c>
      <c r="K513">
        <f>STANDARDIZE(J513,M$9,N$9)</f>
        <v>-0.45520706740580436</v>
      </c>
    </row>
    <row r="514" spans="7:11" x14ac:dyDescent="0.3">
      <c r="G514">
        <v>1973</v>
      </c>
      <c r="H514">
        <v>5</v>
      </c>
      <c r="I514" s="3">
        <v>1973.3333333350299</v>
      </c>
      <c r="J514" s="2">
        <v>28.593658000000001</v>
      </c>
      <c r="K514">
        <f>STANDARDIZE(J514,M$10,N$10)</f>
        <v>0.67615430917517094</v>
      </c>
    </row>
    <row r="515" spans="7:11" x14ac:dyDescent="0.3">
      <c r="G515">
        <v>1973</v>
      </c>
      <c r="H515">
        <v>4</v>
      </c>
      <c r="I515" s="3">
        <v>1973.2500000017001</v>
      </c>
      <c r="J515" s="2">
        <v>27.473057000000001</v>
      </c>
      <c r="K515">
        <f>STANDARDIZE(J515,M$11,N$11)</f>
        <v>-2.36927604525328E-2</v>
      </c>
    </row>
    <row r="516" spans="7:11" x14ac:dyDescent="0.3">
      <c r="G516">
        <v>1973</v>
      </c>
      <c r="H516">
        <v>3</v>
      </c>
      <c r="I516" s="3">
        <v>1973.16666666837</v>
      </c>
      <c r="J516" s="2">
        <v>27.305336</v>
      </c>
      <c r="K516">
        <f>STANDARDIZE(J516,M$12,N$12)</f>
        <v>0.80615026164780146</v>
      </c>
    </row>
    <row r="517" spans="7:11" x14ac:dyDescent="0.3">
      <c r="G517">
        <v>1973</v>
      </c>
      <c r="H517">
        <v>2</v>
      </c>
      <c r="I517" s="3">
        <v>1973.0833333350399</v>
      </c>
      <c r="J517" s="2">
        <v>27.183261999999999</v>
      </c>
      <c r="K517">
        <f>STANDARDIZE(J517,M$13,N$13)</f>
        <v>0.77788192471019357</v>
      </c>
    </row>
    <row r="518" spans="7:11" x14ac:dyDescent="0.3">
      <c r="G518">
        <v>1973</v>
      </c>
      <c r="H518">
        <v>1</v>
      </c>
      <c r="I518" s="3">
        <v>1973.0000000017101</v>
      </c>
      <c r="J518" s="2">
        <v>27.333057</v>
      </c>
      <c r="K518">
        <f>STANDARDIZE(J518,M$14,N$14)</f>
        <v>0.76868473907226487</v>
      </c>
    </row>
    <row r="519" spans="7:11" x14ac:dyDescent="0.3">
      <c r="G519">
        <v>1972</v>
      </c>
      <c r="H519">
        <v>12</v>
      </c>
      <c r="I519" s="3">
        <v>1972.91666666838</v>
      </c>
      <c r="J519" s="2">
        <v>27.867424</v>
      </c>
      <c r="K519">
        <f>STANDARDIZE(J519,M$3,N$3)</f>
        <v>0.21794903168198243</v>
      </c>
    </row>
    <row r="520" spans="7:11" x14ac:dyDescent="0.3">
      <c r="G520">
        <v>1972</v>
      </c>
      <c r="H520">
        <v>11</v>
      </c>
      <c r="I520" s="3">
        <v>1972.8333333350499</v>
      </c>
      <c r="J520" s="2">
        <v>28.886209999999998</v>
      </c>
      <c r="K520">
        <f>STANDARDIZE(J520,M$4,N$4)</f>
        <v>0.65574970518680054</v>
      </c>
    </row>
    <row r="521" spans="7:11" x14ac:dyDescent="0.3">
      <c r="G521">
        <v>1972</v>
      </c>
      <c r="H521">
        <v>10</v>
      </c>
      <c r="I521" s="3">
        <v>1972.7500000017201</v>
      </c>
      <c r="J521" s="2">
        <v>28.893898</v>
      </c>
      <c r="K521">
        <f>STANDARDIZE(J521,M$5,N$5)</f>
        <v>-9.9749077219974613E-2</v>
      </c>
    </row>
    <row r="522" spans="7:11" x14ac:dyDescent="0.3">
      <c r="G522">
        <v>1972</v>
      </c>
      <c r="H522">
        <v>9</v>
      </c>
      <c r="I522" s="3">
        <v>1972.66666666839</v>
      </c>
      <c r="J522" s="2">
        <v>27.955736000000002</v>
      </c>
      <c r="K522">
        <f>STANDARDIZE(J522,M$6,N$6)</f>
        <v>-2.5508852640177779</v>
      </c>
    </row>
    <row r="523" spans="7:11" x14ac:dyDescent="0.3">
      <c r="G523">
        <v>1972</v>
      </c>
      <c r="H523">
        <v>8</v>
      </c>
      <c r="I523" s="3">
        <v>1972.5833333350599</v>
      </c>
      <c r="J523" s="2">
        <v>28.078385999999998</v>
      </c>
      <c r="K523">
        <f>STANDARDIZE(J523,M$7,N$7)</f>
        <v>-1.2263798275562716</v>
      </c>
    </row>
    <row r="524" spans="7:11" x14ac:dyDescent="0.3">
      <c r="G524">
        <v>1972</v>
      </c>
      <c r="H524">
        <v>7</v>
      </c>
      <c r="I524" s="3">
        <v>1972.5000000017301</v>
      </c>
      <c r="J524" s="2">
        <v>28.057511999999999</v>
      </c>
      <c r="K524">
        <f>STANDARDIZE(J524,M$8,N$8)</f>
        <v>-0.70178705770451466</v>
      </c>
    </row>
    <row r="525" spans="7:11" x14ac:dyDescent="0.3">
      <c r="G525">
        <v>1972</v>
      </c>
      <c r="H525">
        <v>6</v>
      </c>
      <c r="I525" s="3">
        <v>1972.4166666684</v>
      </c>
      <c r="J525" s="2">
        <v>28.570872999999999</v>
      </c>
      <c r="K525">
        <f>STANDARDIZE(J525,M$9,N$9)</f>
        <v>-0.20759744311362713</v>
      </c>
    </row>
    <row r="526" spans="7:11" x14ac:dyDescent="0.3">
      <c r="G526">
        <v>1972</v>
      </c>
      <c r="H526">
        <v>5</v>
      </c>
      <c r="I526" s="3">
        <v>1972.3333333350699</v>
      </c>
      <c r="J526" s="2">
        <v>28.175564000000001</v>
      </c>
      <c r="K526">
        <f>STANDARDIZE(J526,M$10,N$10)</f>
        <v>-0.35168440715486193</v>
      </c>
    </row>
    <row r="527" spans="7:11" x14ac:dyDescent="0.3">
      <c r="G527">
        <v>1972</v>
      </c>
      <c r="H527">
        <v>4</v>
      </c>
      <c r="I527" s="3">
        <v>1972.2500000017401</v>
      </c>
      <c r="J527" s="2">
        <v>27.422367000000001</v>
      </c>
      <c r="K527">
        <f>STANDARDIZE(J527,M$11,N$11)</f>
        <v>-0.16722287124285887</v>
      </c>
    </row>
    <row r="528" spans="7:11" x14ac:dyDescent="0.3">
      <c r="G528">
        <v>1972</v>
      </c>
      <c r="H528">
        <v>3</v>
      </c>
      <c r="I528" s="3">
        <v>1972.16666666841</v>
      </c>
      <c r="J528" s="2">
        <v>27.04945</v>
      </c>
      <c r="K528">
        <f>STANDARDIZE(J528,M$12,N$12)</f>
        <v>0.1735231990175394</v>
      </c>
    </row>
    <row r="529" spans="7:11" x14ac:dyDescent="0.3">
      <c r="G529">
        <v>1972</v>
      </c>
      <c r="H529">
        <v>2</v>
      </c>
      <c r="I529" s="3">
        <v>1972.0833333350799</v>
      </c>
      <c r="J529" s="2">
        <v>26.78661</v>
      </c>
      <c r="K529">
        <f>STANDARDIZE(J529,M$13,N$13)</f>
        <v>-0.23924426985890851</v>
      </c>
    </row>
    <row r="530" spans="7:11" x14ac:dyDescent="0.3">
      <c r="G530">
        <v>1972</v>
      </c>
      <c r="H530">
        <v>1</v>
      </c>
      <c r="I530" s="3">
        <v>1972.0000000017501</v>
      </c>
      <c r="J530" s="2">
        <v>26.688637</v>
      </c>
      <c r="K530">
        <f>STANDARDIZE(J530,M$14,N$14)</f>
        <v>-1.1778918685054371</v>
      </c>
    </row>
    <row r="531" spans="7:11" x14ac:dyDescent="0.3">
      <c r="G531">
        <v>1971</v>
      </c>
      <c r="H531">
        <v>12</v>
      </c>
      <c r="I531" s="3">
        <v>1971.91666666842</v>
      </c>
      <c r="J531" s="2">
        <v>27.388817</v>
      </c>
      <c r="K531">
        <f>STANDARDIZE(J531,M$3,N$3)</f>
        <v>-1.2796846361851368</v>
      </c>
    </row>
    <row r="532" spans="7:11" x14ac:dyDescent="0.3">
      <c r="G532">
        <v>1971</v>
      </c>
      <c r="H532">
        <v>11</v>
      </c>
      <c r="I532" s="3">
        <v>1971.8333333350899</v>
      </c>
      <c r="J532" s="2">
        <v>28.486238</v>
      </c>
      <c r="K532">
        <f>STANDARDIZE(J532,M$4,N$4)</f>
        <v>-0.61218159263516281</v>
      </c>
    </row>
    <row r="533" spans="7:11" x14ac:dyDescent="0.3">
      <c r="G533">
        <v>1971</v>
      </c>
      <c r="H533">
        <v>10</v>
      </c>
      <c r="I533" s="3">
        <v>1971.7500000017601</v>
      </c>
      <c r="J533" s="2">
        <v>28.564919</v>
      </c>
      <c r="K533">
        <f>STANDARDIZE(J533,M$5,N$5)</f>
        <v>-1.1418616642126316</v>
      </c>
    </row>
    <row r="534" spans="7:11" x14ac:dyDescent="0.3">
      <c r="G534">
        <v>1971</v>
      </c>
      <c r="H534">
        <v>9</v>
      </c>
      <c r="I534" s="3">
        <v>1971.66666666843</v>
      </c>
      <c r="J534" s="2">
        <v>28.280259999999998</v>
      </c>
      <c r="K534">
        <f>STANDARDIZE(J534,M$6,N$6)</f>
        <v>-1.5916296753315275</v>
      </c>
    </row>
    <row r="535" spans="7:11" x14ac:dyDescent="0.3">
      <c r="G535">
        <v>1971</v>
      </c>
      <c r="H535">
        <v>8</v>
      </c>
      <c r="I535" s="3">
        <v>1971.5833333351</v>
      </c>
      <c r="J535" s="2">
        <v>27.995933999999998</v>
      </c>
      <c r="K535">
        <f>STANDARDIZE(J535,M$7,N$7)</f>
        <v>-1.4701383872627924</v>
      </c>
    </row>
    <row r="536" spans="7:11" x14ac:dyDescent="0.3">
      <c r="G536">
        <v>1971</v>
      </c>
      <c r="H536">
        <v>7</v>
      </c>
      <c r="I536" s="3">
        <v>1971.5000000017701</v>
      </c>
      <c r="J536" s="2">
        <v>27.815002</v>
      </c>
      <c r="K536">
        <f>STANDARDIZE(J536,M$8,N$8)</f>
        <v>-1.4036223933746914</v>
      </c>
    </row>
    <row r="537" spans="7:11" x14ac:dyDescent="0.3">
      <c r="G537">
        <v>1971</v>
      </c>
      <c r="H537">
        <v>6</v>
      </c>
      <c r="I537" s="3">
        <v>1971.41666666844</v>
      </c>
      <c r="J537" s="2">
        <v>28.179216</v>
      </c>
      <c r="K537">
        <f>STANDARDIZE(J537,M$9,N$9)</f>
        <v>-1.2572228760079296</v>
      </c>
    </row>
    <row r="538" spans="7:11" x14ac:dyDescent="0.3">
      <c r="G538">
        <v>1971</v>
      </c>
      <c r="H538">
        <v>5</v>
      </c>
      <c r="I538" s="3">
        <v>1971.33333333511</v>
      </c>
      <c r="J538" s="2">
        <v>28.035247999999999</v>
      </c>
      <c r="K538">
        <f>STANDARDIZE(J538,M$10,N$10)</f>
        <v>-0.69663606233424047</v>
      </c>
    </row>
    <row r="539" spans="7:11" x14ac:dyDescent="0.3">
      <c r="G539">
        <v>1971</v>
      </c>
      <c r="H539">
        <v>4</v>
      </c>
      <c r="I539" s="3">
        <v>1971.2500000017801</v>
      </c>
      <c r="J539" s="2">
        <v>27.209002999999999</v>
      </c>
      <c r="K539">
        <f>STANDARDIZE(J539,M$11,N$11)</f>
        <v>-0.77136882821006658</v>
      </c>
    </row>
    <row r="540" spans="7:11" x14ac:dyDescent="0.3">
      <c r="G540">
        <v>1971</v>
      </c>
      <c r="H540">
        <v>3</v>
      </c>
      <c r="I540" s="3">
        <v>1971.16666666845</v>
      </c>
      <c r="J540" s="2">
        <v>26.792303</v>
      </c>
      <c r="K540">
        <f>STANDARDIZE(J540,M$12,N$12)</f>
        <v>-0.4622214344293224</v>
      </c>
    </row>
    <row r="541" spans="7:11" x14ac:dyDescent="0.3">
      <c r="G541">
        <v>1971</v>
      </c>
      <c r="H541">
        <v>2</v>
      </c>
      <c r="I541" s="3">
        <v>1971.08333333512</v>
      </c>
      <c r="J541" s="2">
        <v>26.599415</v>
      </c>
      <c r="K541">
        <f>STANDARDIZE(J541,M$13,N$13)</f>
        <v>-0.71926438318838215</v>
      </c>
    </row>
    <row r="542" spans="7:11" x14ac:dyDescent="0.3">
      <c r="G542">
        <v>1971</v>
      </c>
      <c r="H542">
        <v>1</v>
      </c>
      <c r="I542" s="3">
        <v>1971.0000000017901</v>
      </c>
      <c r="J542" s="2">
        <v>26.851825999999999</v>
      </c>
      <c r="K542">
        <f>STANDARDIZE(J542,M$14,N$14)</f>
        <v>-0.68495265182377629</v>
      </c>
    </row>
    <row r="543" spans="7:11" x14ac:dyDescent="0.3">
      <c r="G543">
        <v>1970</v>
      </c>
      <c r="H543">
        <v>12</v>
      </c>
      <c r="I543" s="3">
        <v>1970.91666666846</v>
      </c>
      <c r="J543" s="2">
        <v>27.653873000000001</v>
      </c>
      <c r="K543">
        <f>STANDARDIZE(J543,M$3,N$3)</f>
        <v>-0.45028433600108414</v>
      </c>
    </row>
    <row r="544" spans="7:11" x14ac:dyDescent="0.3">
      <c r="G544">
        <v>1970</v>
      </c>
      <c r="H544">
        <v>11</v>
      </c>
      <c r="I544" s="3">
        <v>1970.83333333513</v>
      </c>
      <c r="J544" s="2">
        <v>28.610082999999999</v>
      </c>
      <c r="K544">
        <f>STANDARDIZE(J544,M$4,N$4)</f>
        <v>-0.21958673204801954</v>
      </c>
    </row>
    <row r="545" spans="7:11" x14ac:dyDescent="0.3">
      <c r="G545">
        <v>1970</v>
      </c>
      <c r="H545">
        <v>10</v>
      </c>
      <c r="I545" s="3">
        <v>1970.7500000017999</v>
      </c>
      <c r="J545" s="2">
        <v>28.728401000000002</v>
      </c>
      <c r="K545">
        <f>STANDARDIZE(J545,M$5,N$5)</f>
        <v>-0.62399684625545082</v>
      </c>
    </row>
    <row r="546" spans="7:11" x14ac:dyDescent="0.3">
      <c r="G546">
        <v>1970</v>
      </c>
      <c r="H546">
        <v>9</v>
      </c>
      <c r="I546" s="3">
        <v>1970.66666666847</v>
      </c>
      <c r="J546" s="2">
        <v>28.482664</v>
      </c>
      <c r="K546">
        <f>STANDARDIZE(J546,M$6,N$6)</f>
        <v>-0.99334674965436598</v>
      </c>
    </row>
    <row r="547" spans="7:11" x14ac:dyDescent="0.3">
      <c r="G547">
        <v>1970</v>
      </c>
      <c r="H547">
        <v>8</v>
      </c>
      <c r="I547" s="3">
        <v>1970.58333333514</v>
      </c>
      <c r="J547" s="2">
        <v>28.439274000000001</v>
      </c>
      <c r="K547">
        <f>STANDARDIZE(J547,M$7,N$7)</f>
        <v>-0.1594616315711222</v>
      </c>
    </row>
    <row r="548" spans="7:11" x14ac:dyDescent="0.3">
      <c r="G548">
        <v>1970</v>
      </c>
      <c r="H548">
        <v>7</v>
      </c>
      <c r="I548" s="3">
        <v>1970.5000000018099</v>
      </c>
      <c r="J548" s="2">
        <v>28.321027999999998</v>
      </c>
      <c r="K548">
        <f>STANDARDIZE(J548,M$8,N$8)</f>
        <v>6.0840629048453172E-2</v>
      </c>
    </row>
    <row r="549" spans="7:11" x14ac:dyDescent="0.3">
      <c r="G549">
        <v>1970</v>
      </c>
      <c r="H549">
        <v>6</v>
      </c>
      <c r="I549" s="3">
        <v>1970.41666666848</v>
      </c>
      <c r="J549" s="2">
        <v>28.517997999999999</v>
      </c>
      <c r="K549">
        <f>STANDARDIZE(J549,M$9,N$9)</f>
        <v>-0.34930037390328922</v>
      </c>
    </row>
    <row r="550" spans="7:11" x14ac:dyDescent="0.3">
      <c r="G550">
        <v>1970</v>
      </c>
      <c r="H550">
        <v>5</v>
      </c>
      <c r="I550" s="3">
        <v>1970.33333333515</v>
      </c>
      <c r="J550" s="2">
        <v>28.204163000000001</v>
      </c>
      <c r="K550">
        <f>STANDARDIZE(J550,M$10,N$10)</f>
        <v>-0.28137686997824035</v>
      </c>
    </row>
    <row r="551" spans="7:11" x14ac:dyDescent="0.3">
      <c r="G551">
        <v>1970</v>
      </c>
      <c r="H551">
        <v>4</v>
      </c>
      <c r="I551" s="3">
        <v>1970.2500000018199</v>
      </c>
      <c r="J551" s="2">
        <v>27.628278999999999</v>
      </c>
      <c r="K551">
        <f>STANDARDIZE(J551,M$11,N$11)</f>
        <v>0.41582254546768821</v>
      </c>
    </row>
    <row r="552" spans="7:11" x14ac:dyDescent="0.3">
      <c r="G552">
        <v>1970</v>
      </c>
      <c r="H552">
        <v>3</v>
      </c>
      <c r="I552" s="3">
        <v>1970.1666666684901</v>
      </c>
      <c r="J552" s="2">
        <v>27.160647999999998</v>
      </c>
      <c r="K552">
        <f>STANDARDIZE(J552,M$12,N$12)</f>
        <v>0.4484380599726468</v>
      </c>
    </row>
    <row r="553" spans="7:11" x14ac:dyDescent="0.3">
      <c r="G553">
        <v>1970</v>
      </c>
      <c r="H553">
        <v>2</v>
      </c>
      <c r="I553" s="3">
        <v>1970.08333333516</v>
      </c>
      <c r="J553" s="2">
        <v>27.354984000000002</v>
      </c>
      <c r="K553">
        <f>STANDARDIZE(J553,M$13,N$13)</f>
        <v>1.2182249568486883</v>
      </c>
    </row>
    <row r="554" spans="7:11" x14ac:dyDescent="0.3">
      <c r="G554">
        <v>1970</v>
      </c>
      <c r="H554">
        <v>1</v>
      </c>
      <c r="I554" s="3">
        <v>1970.0000000018299</v>
      </c>
      <c r="J554" s="2">
        <v>27.345226</v>
      </c>
      <c r="K554">
        <f>STANDARDIZE(J554,M$14,N$14)</f>
        <v>0.80544320519313828</v>
      </c>
    </row>
    <row r="555" spans="7:11" x14ac:dyDescent="0.3">
      <c r="G555">
        <v>1969</v>
      </c>
      <c r="H555">
        <v>12</v>
      </c>
      <c r="I555" s="3">
        <v>1969.9166666685001</v>
      </c>
      <c r="J555" s="2">
        <v>28.121445000000001</v>
      </c>
      <c r="K555">
        <f>STANDARDIZE(J555,M$3,N$3)</f>
        <v>1.0128191483858244</v>
      </c>
    </row>
    <row r="556" spans="7:11" x14ac:dyDescent="0.3">
      <c r="G556">
        <v>1969</v>
      </c>
      <c r="H556">
        <v>11</v>
      </c>
      <c r="I556" s="3">
        <v>1969.83333333517</v>
      </c>
      <c r="J556" s="2">
        <v>29.107073</v>
      </c>
      <c r="K556">
        <f>STANDARDIZE(J556,M$4,N$4)</f>
        <v>1.3558964910389484</v>
      </c>
    </row>
    <row r="557" spans="7:11" x14ac:dyDescent="0.3">
      <c r="G557">
        <v>1969</v>
      </c>
      <c r="H557">
        <v>10</v>
      </c>
      <c r="I557" s="3">
        <v>1969.7500000018399</v>
      </c>
      <c r="J557" s="2">
        <v>29.149667999999998</v>
      </c>
      <c r="K557">
        <f>STANDARDIZE(J557,M$5,N$5)</f>
        <v>0.71045806784128995</v>
      </c>
    </row>
    <row r="558" spans="7:11" x14ac:dyDescent="0.3">
      <c r="G558">
        <v>1969</v>
      </c>
      <c r="H558">
        <v>9</v>
      </c>
      <c r="I558" s="3">
        <v>1969.6666666685101</v>
      </c>
      <c r="J558" s="2">
        <v>29.296275999999999</v>
      </c>
      <c r="K558">
        <f>STANDARDIZE(J558,M$6,N$6)</f>
        <v>1.4115966690826298</v>
      </c>
    </row>
    <row r="559" spans="7:11" x14ac:dyDescent="0.3">
      <c r="G559">
        <v>1969</v>
      </c>
      <c r="H559">
        <v>8</v>
      </c>
      <c r="I559" s="3">
        <v>1969.58333333518</v>
      </c>
      <c r="J559" s="2">
        <v>28.812961999999999</v>
      </c>
      <c r="K559">
        <f>STANDARDIZE(J559,M$7,N$7)</f>
        <v>0.94529809117192587</v>
      </c>
    </row>
    <row r="560" spans="7:11" x14ac:dyDescent="0.3">
      <c r="G560">
        <v>1969</v>
      </c>
      <c r="H560">
        <v>7</v>
      </c>
      <c r="I560" s="3">
        <v>1969.5000000018499</v>
      </c>
      <c r="J560" s="2">
        <v>28.970848</v>
      </c>
      <c r="K560">
        <f>STANDARDIZE(J560,M$8,N$8)</f>
        <v>1.94145024442595</v>
      </c>
    </row>
    <row r="561" spans="7:11" x14ac:dyDescent="0.3">
      <c r="G561">
        <v>1969</v>
      </c>
      <c r="H561">
        <v>6</v>
      </c>
      <c r="I561" s="3">
        <v>1969.4166666685201</v>
      </c>
      <c r="J561" s="2">
        <v>29.614554999999999</v>
      </c>
      <c r="K561">
        <f>STANDARDIZE(J561,M$9,N$9)</f>
        <v>2.5894294734332384</v>
      </c>
    </row>
    <row r="562" spans="7:11" x14ac:dyDescent="0.3">
      <c r="G562">
        <v>1969</v>
      </c>
      <c r="H562">
        <v>5</v>
      </c>
      <c r="I562" s="3">
        <v>1969.33333333519</v>
      </c>
      <c r="J562" s="2">
        <v>29.221077000000001</v>
      </c>
      <c r="K562">
        <f>STANDARDIZE(J562,M$10,N$10)</f>
        <v>2.2185958164942732</v>
      </c>
    </row>
    <row r="563" spans="7:11" x14ac:dyDescent="0.3">
      <c r="G563">
        <v>1969</v>
      </c>
      <c r="H563">
        <v>4</v>
      </c>
      <c r="I563" s="3">
        <v>1969.2500000018599</v>
      </c>
      <c r="J563" s="2">
        <v>27.785419999999998</v>
      </c>
      <c r="K563">
        <f>STANDARDIZE(J563,M$11,N$11)</f>
        <v>0.86077155197198429</v>
      </c>
    </row>
    <row r="564" spans="7:11" x14ac:dyDescent="0.3">
      <c r="G564">
        <v>1969</v>
      </c>
      <c r="H564">
        <v>3</v>
      </c>
      <c r="I564" s="3">
        <v>1969.1666666685301</v>
      </c>
      <c r="J564" s="2">
        <v>27.636641999999998</v>
      </c>
      <c r="K564">
        <f>STANDARDIZE(J564,M$12,N$12)</f>
        <v>1.6252382211757943</v>
      </c>
    </row>
    <row r="565" spans="7:11" x14ac:dyDescent="0.3">
      <c r="G565">
        <v>1969</v>
      </c>
      <c r="H565">
        <v>2</v>
      </c>
      <c r="I565" s="3">
        <v>1969.0833333352</v>
      </c>
      <c r="J565" s="2">
        <v>27.026426000000001</v>
      </c>
      <c r="K565">
        <f>STANDARDIZE(J565,M$13,N$13)</f>
        <v>0.37571074228469653</v>
      </c>
    </row>
    <row r="566" spans="7:11" x14ac:dyDescent="0.3">
      <c r="G566">
        <v>1969</v>
      </c>
      <c r="H566">
        <v>1</v>
      </c>
      <c r="I566" s="3">
        <v>1969.0000000018699</v>
      </c>
      <c r="J566" s="2">
        <v>26.954985000000001</v>
      </c>
      <c r="K566">
        <f>STANDARDIZE(J566,M$14,N$14)</f>
        <v>-0.37334392419100404</v>
      </c>
    </row>
    <row r="567" spans="7:11" x14ac:dyDescent="0.3">
      <c r="G567">
        <v>1968</v>
      </c>
      <c r="H567">
        <v>12</v>
      </c>
      <c r="I567" s="3">
        <v>1968.9166666685401</v>
      </c>
      <c r="J567" s="2">
        <v>27.947528999999999</v>
      </c>
      <c r="K567">
        <f>STANDARDIZE(J567,M$3,N$3)</f>
        <v>0.46860968847240758</v>
      </c>
    </row>
    <row r="568" spans="7:11" x14ac:dyDescent="0.3">
      <c r="G568">
        <v>1968</v>
      </c>
      <c r="H568">
        <v>11</v>
      </c>
      <c r="I568" s="3">
        <v>1968.83333333521</v>
      </c>
      <c r="J568" s="2">
        <v>28.499127999999999</v>
      </c>
      <c r="K568">
        <f>STANDARDIZE(J568,M$4,N$4)</f>
        <v>-0.57131964622660525</v>
      </c>
    </row>
    <row r="569" spans="7:11" x14ac:dyDescent="0.3">
      <c r="G569">
        <v>1968</v>
      </c>
      <c r="H569">
        <v>10</v>
      </c>
      <c r="I569" s="3">
        <v>1968.7500000018799</v>
      </c>
      <c r="J569" s="2">
        <v>28.789324000000001</v>
      </c>
      <c r="K569">
        <f>STANDARDIZE(J569,M$5,N$5)</f>
        <v>-0.43100998345462627</v>
      </c>
    </row>
    <row r="570" spans="7:11" x14ac:dyDescent="0.3">
      <c r="G570">
        <v>1968</v>
      </c>
      <c r="H570">
        <v>9</v>
      </c>
      <c r="I570" s="3">
        <v>1968.6666666685501</v>
      </c>
      <c r="J570" s="2">
        <v>28.667757000000002</v>
      </c>
      <c r="K570">
        <f>STANDARDIZE(J570,M$6,N$6)</f>
        <v>-0.44623314734234015</v>
      </c>
    </row>
    <row r="571" spans="7:11" x14ac:dyDescent="0.3">
      <c r="G571">
        <v>1968</v>
      </c>
      <c r="H571">
        <v>8</v>
      </c>
      <c r="I571" s="3">
        <v>1968.58333333522</v>
      </c>
      <c r="J571" s="2">
        <v>28.172905</v>
      </c>
      <c r="K571">
        <f>STANDARDIZE(J571,M$7,N$7)</f>
        <v>-0.94694675977257847</v>
      </c>
    </row>
    <row r="572" spans="7:11" x14ac:dyDescent="0.3">
      <c r="G572">
        <v>1968</v>
      </c>
      <c r="H572">
        <v>7</v>
      </c>
      <c r="I572" s="3">
        <v>1968.5000000018899</v>
      </c>
      <c r="J572" s="2">
        <v>28.113530000000001</v>
      </c>
      <c r="K572">
        <f>STANDARDIZE(J572,M$8,N$8)</f>
        <v>-0.5396683333897514</v>
      </c>
    </row>
    <row r="573" spans="7:11" x14ac:dyDescent="0.3">
      <c r="G573">
        <v>1968</v>
      </c>
      <c r="H573">
        <v>6</v>
      </c>
      <c r="I573" s="3">
        <v>1968.4166666685601</v>
      </c>
      <c r="J573" s="2">
        <v>28.377869</v>
      </c>
      <c r="K573">
        <f>STANDARDIZE(J573,M$9,N$9)</f>
        <v>-0.72484061009476364</v>
      </c>
    </row>
    <row r="574" spans="7:11" x14ac:dyDescent="0.3">
      <c r="G574">
        <v>1968</v>
      </c>
      <c r="H574">
        <v>5</v>
      </c>
      <c r="I574" s="3">
        <v>1968.33333333523</v>
      </c>
      <c r="J574" s="2">
        <v>27.917501000000001</v>
      </c>
      <c r="K574">
        <f>STANDARDIZE(J574,M$10,N$10)</f>
        <v>-0.98610428080116452</v>
      </c>
    </row>
    <row r="575" spans="7:11" x14ac:dyDescent="0.3">
      <c r="G575">
        <v>1968</v>
      </c>
      <c r="H575">
        <v>4</v>
      </c>
      <c r="I575" s="3">
        <v>1968.2500000018999</v>
      </c>
      <c r="J575" s="2">
        <v>27.068860000000001</v>
      </c>
      <c r="K575">
        <f>STANDARDIZE(J575,M$11,N$11)</f>
        <v>-1.16818753636727</v>
      </c>
    </row>
    <row r="576" spans="7:11" x14ac:dyDescent="0.3">
      <c r="G576">
        <v>1968</v>
      </c>
      <c r="H576">
        <v>3</v>
      </c>
      <c r="I576" s="3">
        <v>1968.1666666685701</v>
      </c>
      <c r="J576" s="2">
        <v>26.664639000000001</v>
      </c>
      <c r="K576">
        <f>STANDARDIZE(J576,M$12,N$12)</f>
        <v>-0.77784519393015195</v>
      </c>
    </row>
    <row r="577" spans="7:11" x14ac:dyDescent="0.3">
      <c r="G577">
        <v>1968</v>
      </c>
      <c r="H577">
        <v>2</v>
      </c>
      <c r="I577" s="3">
        <v>1968.08333333524</v>
      </c>
      <c r="J577" s="2">
        <v>26.416347999999999</v>
      </c>
      <c r="K577">
        <f>STANDARDIZE(J577,M$13,N$13)</f>
        <v>-1.1886991548804025</v>
      </c>
    </row>
    <row r="578" spans="7:11" x14ac:dyDescent="0.3">
      <c r="G578">
        <v>1968</v>
      </c>
      <c r="H578">
        <v>1</v>
      </c>
      <c r="I578" s="3">
        <v>1968.0000000019099</v>
      </c>
      <c r="J578" s="2">
        <v>26.628746</v>
      </c>
      <c r="K578">
        <f>STANDARDIZE(J578,M$14,N$14)</f>
        <v>-1.3588024851908858</v>
      </c>
    </row>
    <row r="579" spans="7:11" x14ac:dyDescent="0.3">
      <c r="G579">
        <v>1967</v>
      </c>
      <c r="H579">
        <v>12</v>
      </c>
      <c r="I579" s="3">
        <v>1967.9166666685801</v>
      </c>
      <c r="J579" s="2">
        <v>27.624846999999999</v>
      </c>
      <c r="K579">
        <f>STANDARDIZE(J579,M$3,N$3)</f>
        <v>-0.54111107870128206</v>
      </c>
    </row>
    <row r="580" spans="7:11" x14ac:dyDescent="0.3">
      <c r="G580">
        <v>1967</v>
      </c>
      <c r="H580">
        <v>11</v>
      </c>
      <c r="I580" s="3">
        <v>1967.83333333525</v>
      </c>
      <c r="J580" s="2">
        <v>28.784164000000001</v>
      </c>
      <c r="K580">
        <f>STANDARDIZE(J580,M$4,N$4)</f>
        <v>0.33225876777733698</v>
      </c>
    </row>
    <row r="581" spans="7:11" x14ac:dyDescent="0.3">
      <c r="G581">
        <v>1967</v>
      </c>
      <c r="H581">
        <v>10</v>
      </c>
      <c r="I581" s="3">
        <v>1967.7500000019199</v>
      </c>
      <c r="J581" s="2">
        <v>28.769401999999999</v>
      </c>
      <c r="K581">
        <f>STANDARDIZE(J581,M$5,N$5)</f>
        <v>-0.49411725461196104</v>
      </c>
    </row>
    <row r="582" spans="7:11" x14ac:dyDescent="0.3">
      <c r="G582">
        <v>1967</v>
      </c>
      <c r="H582">
        <v>9</v>
      </c>
      <c r="I582" s="3">
        <v>1967.6666666685901</v>
      </c>
      <c r="J582" s="2">
        <v>28.632576</v>
      </c>
      <c r="K582">
        <f>STANDARDIZE(J582,M$6,N$6)</f>
        <v>-0.55022413372723844</v>
      </c>
    </row>
    <row r="583" spans="7:11" x14ac:dyDescent="0.3">
      <c r="G583">
        <v>1967</v>
      </c>
      <c r="H583">
        <v>8</v>
      </c>
      <c r="I583" s="3">
        <v>1967.58333333526</v>
      </c>
      <c r="J583" s="2">
        <v>28.132853000000001</v>
      </c>
      <c r="K583">
        <f>STANDARDIZE(J583,M$7,N$7)</f>
        <v>-1.0653552620935094</v>
      </c>
    </row>
    <row r="584" spans="7:11" x14ac:dyDescent="0.3">
      <c r="G584">
        <v>1967</v>
      </c>
      <c r="H584">
        <v>7</v>
      </c>
      <c r="I584" s="3">
        <v>1967.5000000019299</v>
      </c>
      <c r="J584" s="2">
        <v>28.104074000000001</v>
      </c>
      <c r="K584">
        <f>STANDARDIZE(J584,M$8,N$8)</f>
        <v>-0.56703444173207662</v>
      </c>
    </row>
    <row r="585" spans="7:11" x14ac:dyDescent="0.3">
      <c r="G585">
        <v>1967</v>
      </c>
      <c r="H585">
        <v>6</v>
      </c>
      <c r="I585" s="3">
        <v>1967.4166666686001</v>
      </c>
      <c r="J585" s="2">
        <v>28.285274999999999</v>
      </c>
      <c r="K585">
        <f>STANDARDIZE(J585,M$9,N$9)</f>
        <v>-0.97298890652101755</v>
      </c>
    </row>
    <row r="586" spans="7:11" x14ac:dyDescent="0.3">
      <c r="G586">
        <v>1967</v>
      </c>
      <c r="H586">
        <v>5</v>
      </c>
      <c r="I586" s="3">
        <v>1967.33333333527</v>
      </c>
      <c r="J586" s="2">
        <v>27.821249999999999</v>
      </c>
      <c r="K586">
        <f>STANDARDIZE(J586,M$10,N$10)</f>
        <v>-1.2227269165851853</v>
      </c>
    </row>
    <row r="587" spans="7:11" x14ac:dyDescent="0.3">
      <c r="G587">
        <v>1967</v>
      </c>
      <c r="H587">
        <v>4</v>
      </c>
      <c r="I587" s="3">
        <v>1967.25000000194</v>
      </c>
      <c r="J587" s="2">
        <v>27.171565999999999</v>
      </c>
      <c r="K587">
        <f>STANDARDIZE(J587,M$11,N$11)</f>
        <v>-0.87737270979731419</v>
      </c>
    </row>
    <row r="588" spans="7:11" x14ac:dyDescent="0.3">
      <c r="G588">
        <v>1967</v>
      </c>
      <c r="H588">
        <v>3</v>
      </c>
      <c r="I588" s="3">
        <v>1967.1666666686101</v>
      </c>
      <c r="J588" s="2">
        <v>26.720590000000001</v>
      </c>
      <c r="K588">
        <f>STANDARDIZE(J588,M$12,N$12)</f>
        <v>-0.63951751370838927</v>
      </c>
    </row>
    <row r="589" spans="7:11" x14ac:dyDescent="0.3">
      <c r="G589">
        <v>1967</v>
      </c>
      <c r="H589">
        <v>2</v>
      </c>
      <c r="I589" s="3">
        <v>1967.08333333528</v>
      </c>
      <c r="J589" s="2">
        <v>26.709381</v>
      </c>
      <c r="K589">
        <f>STANDARDIZE(J589,M$13,N$13)</f>
        <v>-0.43728093393819306</v>
      </c>
    </row>
    <row r="590" spans="7:11" x14ac:dyDescent="0.3">
      <c r="G590">
        <v>1967</v>
      </c>
      <c r="H590">
        <v>1</v>
      </c>
      <c r="I590" s="3">
        <v>1967.00000000195</v>
      </c>
      <c r="J590" s="2">
        <v>27.032845999999999</v>
      </c>
      <c r="K590">
        <f>STANDARDIZE(J590,M$14,N$14)</f>
        <v>-0.13815196670581623</v>
      </c>
    </row>
    <row r="591" spans="7:11" x14ac:dyDescent="0.3">
      <c r="G591">
        <v>1966</v>
      </c>
      <c r="H591">
        <v>12</v>
      </c>
      <c r="I591" s="3">
        <v>1966.9166666686201</v>
      </c>
      <c r="J591" s="2">
        <v>27.839780000000001</v>
      </c>
      <c r="K591">
        <f>STANDARDIZE(J591,M$3,N$3)</f>
        <v>0.13144677593871784</v>
      </c>
    </row>
    <row r="592" spans="7:11" x14ac:dyDescent="0.3">
      <c r="G592">
        <v>1966</v>
      </c>
      <c r="H592">
        <v>11</v>
      </c>
      <c r="I592" s="3">
        <v>1966.83333333529</v>
      </c>
      <c r="J592" s="2">
        <v>28.793254999999998</v>
      </c>
      <c r="K592">
        <f>STANDARDIZE(J592,M$4,N$4)</f>
        <v>0.36107769367339204</v>
      </c>
    </row>
    <row r="593" spans="7:11" x14ac:dyDescent="0.3">
      <c r="G593">
        <v>1966</v>
      </c>
      <c r="H593">
        <v>10</v>
      </c>
      <c r="I593" s="3">
        <v>1966.75000000196</v>
      </c>
      <c r="J593" s="2">
        <v>29.081271999999998</v>
      </c>
      <c r="K593">
        <f>STANDARDIZE(J593,M$5,N$5)</f>
        <v>0.49379885099173554</v>
      </c>
    </row>
    <row r="594" spans="7:11" x14ac:dyDescent="0.3">
      <c r="G594">
        <v>1966</v>
      </c>
      <c r="H594">
        <v>9</v>
      </c>
      <c r="I594" s="3">
        <v>1966.6666666686299</v>
      </c>
      <c r="J594" s="2">
        <v>28.701609999999999</v>
      </c>
      <c r="K594">
        <f>STANDARDIZE(J594,M$6,N$6)</f>
        <v>-0.34616757609400994</v>
      </c>
    </row>
    <row r="595" spans="7:11" x14ac:dyDescent="0.3">
      <c r="G595">
        <v>1966</v>
      </c>
      <c r="H595">
        <v>8</v>
      </c>
      <c r="I595" s="3">
        <v>1966.5833333353</v>
      </c>
      <c r="J595" s="2">
        <v>28.410982000000001</v>
      </c>
      <c r="K595">
        <f>STANDARDIZE(J595,M$7,N$7)</f>
        <v>-0.24310323118322366</v>
      </c>
    </row>
    <row r="596" spans="7:11" x14ac:dyDescent="0.3">
      <c r="G596">
        <v>1966</v>
      </c>
      <c r="H596">
        <v>7</v>
      </c>
      <c r="I596" s="3">
        <v>1966.50000000197</v>
      </c>
      <c r="J596" s="2">
        <v>28.414401999999999</v>
      </c>
      <c r="K596">
        <f>STANDARDIZE(J596,M$8,N$8)</f>
        <v>0.3310693727409515</v>
      </c>
    </row>
    <row r="597" spans="7:11" x14ac:dyDescent="0.3">
      <c r="G597">
        <v>1966</v>
      </c>
      <c r="H597">
        <v>6</v>
      </c>
      <c r="I597" s="3">
        <v>1966.4166666686399</v>
      </c>
      <c r="J597" s="2">
        <v>28.637854000000001</v>
      </c>
      <c r="K597">
        <f>STANDARDIZE(J597,M$9,N$9)</f>
        <v>-2.8090984348188054E-2</v>
      </c>
    </row>
    <row r="598" spans="7:11" x14ac:dyDescent="0.3">
      <c r="G598">
        <v>1966</v>
      </c>
      <c r="H598">
        <v>5</v>
      </c>
      <c r="I598" s="3">
        <v>1966.33333333531</v>
      </c>
      <c r="J598" s="2">
        <v>28.140716999999999</v>
      </c>
      <c r="K598">
        <f>STANDARDIZE(J598,M$10,N$10)</f>
        <v>-0.43735197413251642</v>
      </c>
    </row>
    <row r="599" spans="7:11" x14ac:dyDescent="0.3">
      <c r="G599">
        <v>1966</v>
      </c>
      <c r="H599">
        <v>4</v>
      </c>
      <c r="I599" s="3">
        <v>1966.25000000197</v>
      </c>
      <c r="J599" s="2">
        <v>27.526423999999999</v>
      </c>
      <c r="K599">
        <f>STANDARDIZE(J599,M$11,N$11)</f>
        <v>0.1274173484949345</v>
      </c>
    </row>
    <row r="600" spans="7:11" x14ac:dyDescent="0.3">
      <c r="G600">
        <v>1966</v>
      </c>
      <c r="H600">
        <v>3</v>
      </c>
      <c r="I600" s="3">
        <v>1966.1666666686399</v>
      </c>
      <c r="J600" s="2">
        <v>26.789856</v>
      </c>
      <c r="K600">
        <f>STANDARDIZE(J600,M$12,N$12)</f>
        <v>-0.46827115353179888</v>
      </c>
    </row>
    <row r="601" spans="7:11" x14ac:dyDescent="0.3">
      <c r="G601">
        <v>1966</v>
      </c>
      <c r="H601">
        <v>2</v>
      </c>
      <c r="I601" s="3">
        <v>1966.08333333531</v>
      </c>
      <c r="J601" s="2">
        <v>27.197706</v>
      </c>
      <c r="K601">
        <f>STANDARDIZE(J601,M$13,N$13)</f>
        <v>0.81492036332731177</v>
      </c>
    </row>
    <row r="602" spans="7:11" x14ac:dyDescent="0.3">
      <c r="G602">
        <v>1966</v>
      </c>
      <c r="H602">
        <v>1</v>
      </c>
      <c r="I602" s="3">
        <v>1966.00000000198</v>
      </c>
      <c r="J602" s="2">
        <v>27.388726999999999</v>
      </c>
      <c r="K602">
        <f>STANDARDIZE(J602,M$14,N$14)</f>
        <v>0.93684513096551636</v>
      </c>
    </row>
    <row r="603" spans="7:11" x14ac:dyDescent="0.3">
      <c r="G603">
        <v>1965</v>
      </c>
      <c r="H603">
        <v>12</v>
      </c>
      <c r="I603" s="3">
        <v>1965.9166666686499</v>
      </c>
      <c r="J603" s="2">
        <v>27.727705</v>
      </c>
      <c r="K603">
        <f>STANDARDIZE(J603,M$3,N$3)</f>
        <v>-0.21925284468155837</v>
      </c>
    </row>
    <row r="604" spans="7:11" x14ac:dyDescent="0.3">
      <c r="G604">
        <v>1965</v>
      </c>
      <c r="H604">
        <v>11</v>
      </c>
      <c r="I604" s="3">
        <v>1965.83333333532</v>
      </c>
      <c r="J604" s="2">
        <v>28.399426999999999</v>
      </c>
      <c r="K604">
        <f>STANDARDIZE(J604,M$4,N$4)</f>
        <v>-0.8873768160388612</v>
      </c>
    </row>
    <row r="605" spans="7:11" x14ac:dyDescent="0.3">
      <c r="G605">
        <v>1965</v>
      </c>
      <c r="H605">
        <v>10</v>
      </c>
      <c r="I605" s="3">
        <v>1965.75000000199</v>
      </c>
      <c r="J605" s="2">
        <v>28.851461</v>
      </c>
      <c r="K605">
        <f>STANDARDIZE(J605,M$5,N$5)</f>
        <v>-0.23417751141853116</v>
      </c>
    </row>
    <row r="606" spans="7:11" x14ac:dyDescent="0.3">
      <c r="G606">
        <v>1965</v>
      </c>
      <c r="H606">
        <v>9</v>
      </c>
      <c r="I606" s="3">
        <v>1965.6666666686599</v>
      </c>
      <c r="J606" s="2">
        <v>28.652636999999999</v>
      </c>
      <c r="K606">
        <f>STANDARDIZE(J606,M$6,N$6)</f>
        <v>-0.49092612690914961</v>
      </c>
    </row>
    <row r="607" spans="7:11" x14ac:dyDescent="0.3">
      <c r="G607">
        <v>1965</v>
      </c>
      <c r="H607">
        <v>8</v>
      </c>
      <c r="I607" s="3">
        <v>1965.5833333353301</v>
      </c>
      <c r="J607" s="2">
        <v>28.099143999999999</v>
      </c>
      <c r="K607">
        <f>STANDARDIZE(J607,M$7,N$7)</f>
        <v>-1.1650115140843349</v>
      </c>
    </row>
    <row r="608" spans="7:11" x14ac:dyDescent="0.3">
      <c r="G608">
        <v>1965</v>
      </c>
      <c r="H608">
        <v>7</v>
      </c>
      <c r="I608" s="3">
        <v>1965.500000002</v>
      </c>
      <c r="J608" s="2">
        <v>28.151888</v>
      </c>
      <c r="K608">
        <f>STANDARDIZE(J608,M$8,N$8)</f>
        <v>-0.42865847892751946</v>
      </c>
    </row>
    <row r="609" spans="7:11" x14ac:dyDescent="0.3">
      <c r="G609">
        <v>1965</v>
      </c>
      <c r="H609">
        <v>6</v>
      </c>
      <c r="I609" s="3">
        <v>1965.4166666686699</v>
      </c>
      <c r="J609" s="2">
        <v>28.262810000000002</v>
      </c>
      <c r="K609">
        <f>STANDARDIZE(J609,M$9,N$9)</f>
        <v>-1.0331942273756616</v>
      </c>
    </row>
    <row r="610" spans="7:11" x14ac:dyDescent="0.3">
      <c r="G610">
        <v>1965</v>
      </c>
      <c r="H610">
        <v>5</v>
      </c>
      <c r="I610" s="3">
        <v>1965.3333333353401</v>
      </c>
      <c r="J610" s="2">
        <v>27.800080000000001</v>
      </c>
      <c r="K610">
        <f>STANDARDIZE(J610,M$10,N$10)</f>
        <v>-1.2747710636542766</v>
      </c>
    </row>
    <row r="611" spans="7:11" x14ac:dyDescent="0.3">
      <c r="G611">
        <v>1965</v>
      </c>
      <c r="H611">
        <v>4</v>
      </c>
      <c r="I611" s="3">
        <v>1965.25000000201</v>
      </c>
      <c r="J611" s="2">
        <v>26.975704</v>
      </c>
      <c r="K611">
        <f>STANDARDIZE(J611,M$11,N$11)</f>
        <v>-1.4319612787382272</v>
      </c>
    </row>
    <row r="612" spans="7:11" x14ac:dyDescent="0.3">
      <c r="G612">
        <v>1965</v>
      </c>
      <c r="H612">
        <v>3</v>
      </c>
      <c r="I612" s="3">
        <v>1965.1666666686799</v>
      </c>
      <c r="J612" s="2">
        <v>26.352934000000001</v>
      </c>
      <c r="K612">
        <f>STANDARDIZE(J612,M$12,N$12)</f>
        <v>-1.5484735931280977</v>
      </c>
    </row>
    <row r="613" spans="7:11" x14ac:dyDescent="0.3">
      <c r="G613">
        <v>1965</v>
      </c>
      <c r="H613">
        <v>2</v>
      </c>
      <c r="I613" s="3">
        <v>1965.0833333353501</v>
      </c>
      <c r="J613" s="2">
        <v>26.094754999999999</v>
      </c>
      <c r="K613">
        <f>STANDARDIZE(J613,M$13,N$13)</f>
        <v>-2.0133531697096778</v>
      </c>
    </row>
    <row r="614" spans="7:11" x14ac:dyDescent="0.3">
      <c r="G614">
        <v>1965</v>
      </c>
      <c r="H614">
        <v>1</v>
      </c>
      <c r="I614" s="3">
        <v>1965.00000000202</v>
      </c>
      <c r="J614" s="2">
        <v>26.373477999999999</v>
      </c>
      <c r="K614">
        <f>STANDARDIZE(J614,M$14,N$14)</f>
        <v>-2.1298814670088717</v>
      </c>
    </row>
    <row r="615" spans="7:11" x14ac:dyDescent="0.3">
      <c r="G615">
        <v>1964</v>
      </c>
      <c r="H615">
        <v>12</v>
      </c>
      <c r="I615" s="3">
        <v>1964.9166666686899</v>
      </c>
      <c r="J615" s="2">
        <v>27.297961999999998</v>
      </c>
      <c r="K615">
        <f>STANDARDIZE(J615,M$3,N$3)</f>
        <v>-1.5639836683640831</v>
      </c>
    </row>
    <row r="616" spans="7:11" x14ac:dyDescent="0.3">
      <c r="G616">
        <v>1964</v>
      </c>
      <c r="H616">
        <v>11</v>
      </c>
      <c r="I616" s="3">
        <v>1964.8333333353601</v>
      </c>
      <c r="J616" s="2">
        <v>28.222770000000001</v>
      </c>
      <c r="K616">
        <f>STANDARDIZE(J616,M$4,N$4)</f>
        <v>-1.4473883650456265</v>
      </c>
    </row>
    <row r="617" spans="7:11" x14ac:dyDescent="0.3">
      <c r="G617">
        <v>1964</v>
      </c>
      <c r="H617">
        <v>10</v>
      </c>
      <c r="I617" s="3">
        <v>1964.75000000203</v>
      </c>
      <c r="J617" s="2">
        <v>28.862738</v>
      </c>
      <c r="K617">
        <f>STANDARDIZE(J617,M$5,N$5)</f>
        <v>-0.19845515940361247</v>
      </c>
    </row>
    <row r="618" spans="7:11" x14ac:dyDescent="0.3">
      <c r="G618">
        <v>1964</v>
      </c>
      <c r="H618">
        <v>9</v>
      </c>
      <c r="I618" s="3">
        <v>1964.6666666686999</v>
      </c>
      <c r="J618" s="2">
        <v>28.600950000000001</v>
      </c>
      <c r="K618">
        <f>STANDARDIZE(J618,M$6,N$6)</f>
        <v>-0.6437069493211266</v>
      </c>
    </row>
    <row r="619" spans="7:11" x14ac:dyDescent="0.3">
      <c r="G619">
        <v>1964</v>
      </c>
      <c r="H619">
        <v>8</v>
      </c>
      <c r="I619" s="3">
        <v>1964.5833333353701</v>
      </c>
      <c r="J619" s="2">
        <v>28.298683</v>
      </c>
      <c r="K619">
        <f>STANDARDIZE(J619,M$7,N$7)</f>
        <v>-0.5751005447290759</v>
      </c>
    </row>
    <row r="620" spans="7:11" x14ac:dyDescent="0.3">
      <c r="G620">
        <v>1964</v>
      </c>
      <c r="H620">
        <v>7</v>
      </c>
      <c r="I620" s="3">
        <v>1964.50000000204</v>
      </c>
      <c r="J620" s="2">
        <v>28.314934000000001</v>
      </c>
      <c r="K620">
        <f>STANDARDIZE(J620,M$8,N$8)</f>
        <v>4.3204306688252647E-2</v>
      </c>
    </row>
    <row r="621" spans="7:11" x14ac:dyDescent="0.3">
      <c r="G621">
        <v>1964</v>
      </c>
      <c r="H621">
        <v>6</v>
      </c>
      <c r="I621" s="3">
        <v>1964.4166666687099</v>
      </c>
      <c r="J621" s="2">
        <v>28.258913</v>
      </c>
      <c r="K621">
        <f>STANDARDIZE(J621,M$9,N$9)</f>
        <v>-1.0436380348704624</v>
      </c>
    </row>
    <row r="622" spans="7:11" x14ac:dyDescent="0.3">
      <c r="G622">
        <v>1964</v>
      </c>
      <c r="H622">
        <v>5</v>
      </c>
      <c r="I622" s="3">
        <v>1964.3333333353801</v>
      </c>
      <c r="J622" s="2">
        <v>28.025126</v>
      </c>
      <c r="K622">
        <f>STANDARDIZE(J622,M$10,N$10)</f>
        <v>-0.7215199006258487</v>
      </c>
    </row>
    <row r="623" spans="7:11" x14ac:dyDescent="0.3">
      <c r="G623">
        <v>1964</v>
      </c>
      <c r="H623">
        <v>4</v>
      </c>
      <c r="I623" s="3">
        <v>1964.25000000205</v>
      </c>
      <c r="J623" s="2">
        <v>27.474352</v>
      </c>
      <c r="K623">
        <f>STANDARDIZE(J623,M$11,N$11)</f>
        <v>-2.0025932804607734E-2</v>
      </c>
    </row>
    <row r="624" spans="7:11" x14ac:dyDescent="0.3">
      <c r="G624">
        <v>1964</v>
      </c>
      <c r="H624">
        <v>3</v>
      </c>
      <c r="I624" s="3">
        <v>1964.1666666687199</v>
      </c>
      <c r="J624" s="2">
        <v>26.942474000000001</v>
      </c>
      <c r="K624">
        <f>STANDARDIZE(J624,M$12,N$12)</f>
        <v>-9.0953609607920871E-2</v>
      </c>
    </row>
    <row r="625" spans="7:11" x14ac:dyDescent="0.3">
      <c r="G625">
        <v>1964</v>
      </c>
      <c r="H625">
        <v>2</v>
      </c>
      <c r="I625" s="3">
        <v>1964.0833333353901</v>
      </c>
      <c r="J625" s="2">
        <v>27.069970000000001</v>
      </c>
      <c r="K625">
        <f>STANDARDIZE(J625,M$13,N$13)</f>
        <v>0.48736968517750368</v>
      </c>
    </row>
    <row r="626" spans="7:11" x14ac:dyDescent="0.3">
      <c r="G626">
        <v>1964</v>
      </c>
      <c r="H626">
        <v>1</v>
      </c>
      <c r="I626" s="3">
        <v>1964.00000000206</v>
      </c>
      <c r="J626" s="2">
        <v>27.265322000000001</v>
      </c>
      <c r="K626">
        <f>STANDARDIZE(J626,M$14,N$14)</f>
        <v>0.56408003016460584</v>
      </c>
    </row>
    <row r="627" spans="7:11" x14ac:dyDescent="0.3">
      <c r="G627">
        <v>1963</v>
      </c>
      <c r="H627">
        <v>12</v>
      </c>
      <c r="I627" s="3">
        <v>1963.9166666687299</v>
      </c>
      <c r="J627" s="2">
        <v>28.201799999999999</v>
      </c>
      <c r="K627">
        <f>STANDARDIZE(J627,M$3,N$3)</f>
        <v>1.2642620929759751</v>
      </c>
    </row>
    <row r="628" spans="7:11" x14ac:dyDescent="0.3">
      <c r="G628">
        <v>1963</v>
      </c>
      <c r="H628">
        <v>11</v>
      </c>
      <c r="I628" s="3">
        <v>1963.8333333354001</v>
      </c>
      <c r="J628" s="2">
        <v>28.966681999999999</v>
      </c>
      <c r="K628">
        <f>STANDARDIZE(J628,M$4,N$4)</f>
        <v>0.91084998070191125</v>
      </c>
    </row>
    <row r="629" spans="7:11" x14ac:dyDescent="0.3">
      <c r="G629">
        <v>1963</v>
      </c>
      <c r="H629">
        <v>10</v>
      </c>
      <c r="I629" s="3">
        <v>1963.75000000207</v>
      </c>
      <c r="J629" s="2">
        <v>29.077421000000001</v>
      </c>
      <c r="K629">
        <f>STANDARDIZE(J629,M$5,N$5)</f>
        <v>0.48159997029568502</v>
      </c>
    </row>
    <row r="630" spans="7:11" x14ac:dyDescent="0.3">
      <c r="G630">
        <v>1963</v>
      </c>
      <c r="H630">
        <v>9</v>
      </c>
      <c r="I630" s="3">
        <v>1963.6666666687399</v>
      </c>
      <c r="J630" s="2">
        <v>28.903917</v>
      </c>
      <c r="K630">
        <f>STANDARDIZE(J630,M$6,N$6)</f>
        <v>0.25182862874862838</v>
      </c>
    </row>
    <row r="631" spans="7:11" x14ac:dyDescent="0.3">
      <c r="G631">
        <v>1963</v>
      </c>
      <c r="H631">
        <v>8</v>
      </c>
      <c r="I631" s="3">
        <v>1963.5833333354101</v>
      </c>
      <c r="J631" s="2">
        <v>28.598158000000002</v>
      </c>
      <c r="K631">
        <f>STANDARDIZE(J631,M$7,N$7)</f>
        <v>0.31025814478858965</v>
      </c>
    </row>
    <row r="632" spans="7:11" x14ac:dyDescent="0.3">
      <c r="G632">
        <v>1963</v>
      </c>
      <c r="H632">
        <v>7</v>
      </c>
      <c r="I632" s="3">
        <v>1963.50000000208</v>
      </c>
      <c r="J632" s="2">
        <v>28.29862</v>
      </c>
      <c r="K632">
        <f>STANDARDIZE(J632,M$8,N$8)</f>
        <v>-4.0091759150387082E-3</v>
      </c>
    </row>
    <row r="633" spans="7:11" x14ac:dyDescent="0.3">
      <c r="G633">
        <v>1963</v>
      </c>
      <c r="H633">
        <v>6</v>
      </c>
      <c r="I633" s="3">
        <v>1963.4166666687499</v>
      </c>
      <c r="J633" s="2">
        <v>28.658875999999999</v>
      </c>
      <c r="K633">
        <f>STANDARDIZE(J633,M$9,N$9)</f>
        <v>2.8247152976824841E-2</v>
      </c>
    </row>
    <row r="634" spans="7:11" x14ac:dyDescent="0.3">
      <c r="G634">
        <v>1963</v>
      </c>
      <c r="H634">
        <v>5</v>
      </c>
      <c r="I634" s="3">
        <v>1963.3333333354201</v>
      </c>
      <c r="J634" s="2">
        <v>28.199759</v>
      </c>
      <c r="K634">
        <f>STANDARDIZE(J634,M$10,N$10)</f>
        <v>-0.29220362593914495</v>
      </c>
    </row>
    <row r="635" spans="7:11" x14ac:dyDescent="0.3">
      <c r="G635">
        <v>1963</v>
      </c>
      <c r="H635">
        <v>4</v>
      </c>
      <c r="I635" s="3">
        <v>1963.25000000209</v>
      </c>
      <c r="J635" s="2">
        <v>27.740735999999998</v>
      </c>
      <c r="K635">
        <f>STANDARDIZE(J635,M$11,N$11)</f>
        <v>0.73424759319204691</v>
      </c>
    </row>
    <row r="636" spans="7:11" x14ac:dyDescent="0.3">
      <c r="G636">
        <v>1963</v>
      </c>
      <c r="H636">
        <v>3</v>
      </c>
      <c r="I636" s="3">
        <v>1963.1666666687599</v>
      </c>
      <c r="J636" s="2">
        <v>27.320347000000002</v>
      </c>
      <c r="K636">
        <f>STANDARDIZE(J636,M$12,N$12)</f>
        <v>0.8432619630974455</v>
      </c>
    </row>
    <row r="637" spans="7:11" x14ac:dyDescent="0.3">
      <c r="G637">
        <v>1963</v>
      </c>
      <c r="H637">
        <v>2</v>
      </c>
      <c r="I637" s="3">
        <v>1963.0833333354301</v>
      </c>
      <c r="J637" s="2">
        <v>27.197811000000002</v>
      </c>
      <c r="K637">
        <f>STANDARDIZE(J637,M$13,N$13)</f>
        <v>0.81518961256954714</v>
      </c>
    </row>
    <row r="638" spans="7:11" x14ac:dyDescent="0.3">
      <c r="G638">
        <v>1963</v>
      </c>
      <c r="H638">
        <v>1</v>
      </c>
      <c r="I638" s="3">
        <v>1963.0000000021</v>
      </c>
      <c r="J638" s="2">
        <v>27.297771000000001</v>
      </c>
      <c r="K638">
        <f>STANDARDIZE(J638,M$14,N$14)</f>
        <v>0.66209757204612452</v>
      </c>
    </row>
    <row r="639" spans="7:11" x14ac:dyDescent="0.3">
      <c r="G639">
        <v>1962</v>
      </c>
      <c r="H639">
        <v>12</v>
      </c>
      <c r="I639" s="3">
        <v>1962.9166666687699</v>
      </c>
      <c r="J639" s="2">
        <v>28.102499999999999</v>
      </c>
      <c r="K639">
        <f>STANDARDIZE(J639,M$3,N$3)</f>
        <v>0.95353737892205592</v>
      </c>
    </row>
    <row r="640" spans="7:11" x14ac:dyDescent="0.3">
      <c r="G640">
        <v>1962</v>
      </c>
      <c r="H640">
        <v>11</v>
      </c>
      <c r="I640" s="3">
        <v>1962.8333333354401</v>
      </c>
      <c r="J640" s="2">
        <v>28.639744</v>
      </c>
      <c r="K640">
        <f>STANDARDIZE(J640,M$4,N$4)</f>
        <v>-0.12555987460625243</v>
      </c>
    </row>
    <row r="641" spans="7:11" x14ac:dyDescent="0.3">
      <c r="G641">
        <v>1962</v>
      </c>
      <c r="H641">
        <v>10</v>
      </c>
      <c r="I641" s="3">
        <v>1962.75000000211</v>
      </c>
      <c r="J641" s="2">
        <v>28.878613999999999</v>
      </c>
      <c r="K641">
        <f>STANDARDIZE(J641,M$5,N$5)</f>
        <v>-0.1481644738854061</v>
      </c>
    </row>
    <row r="642" spans="7:11" x14ac:dyDescent="0.3">
      <c r="G642">
        <v>1962</v>
      </c>
      <c r="H642">
        <v>9</v>
      </c>
      <c r="I642" s="3">
        <v>1962.66666666878</v>
      </c>
      <c r="J642" s="2">
        <v>28.795881000000001</v>
      </c>
      <c r="K642">
        <f>STANDARDIZE(J642,M$6,N$6)</f>
        <v>-6.7513351441765401E-2</v>
      </c>
    </row>
    <row r="643" spans="7:11" x14ac:dyDescent="0.3">
      <c r="G643">
        <v>1962</v>
      </c>
      <c r="H643">
        <v>8</v>
      </c>
      <c r="I643" s="3">
        <v>1962.5833333354501</v>
      </c>
      <c r="J643" s="2">
        <v>28.657364000000001</v>
      </c>
      <c r="K643">
        <f>STANDARDIZE(J643,M$7,N$7)</f>
        <v>0.48529294425960534</v>
      </c>
    </row>
    <row r="644" spans="7:11" x14ac:dyDescent="0.3">
      <c r="G644">
        <v>1962</v>
      </c>
      <c r="H644">
        <v>7</v>
      </c>
      <c r="I644" s="3">
        <v>1962.50000000212</v>
      </c>
      <c r="J644" s="2">
        <v>28.299168000000002</v>
      </c>
      <c r="K644">
        <f>STANDARDIZE(J644,M$8,N$8)</f>
        <v>-2.4232381642298527E-3</v>
      </c>
    </row>
    <row r="645" spans="7:11" x14ac:dyDescent="0.3">
      <c r="G645">
        <v>1962</v>
      </c>
      <c r="H645">
        <v>6</v>
      </c>
      <c r="I645" s="3">
        <v>1962.41666666879</v>
      </c>
      <c r="J645" s="2">
        <v>28.496047999999998</v>
      </c>
      <c r="K645">
        <f>STANDARDIZE(J645,M$9,N$9)</f>
        <v>-0.40812551491195342</v>
      </c>
    </row>
    <row r="646" spans="7:11" x14ac:dyDescent="0.3">
      <c r="G646">
        <v>1962</v>
      </c>
      <c r="H646">
        <v>5</v>
      </c>
      <c r="I646" s="3">
        <v>1962.3333333354601</v>
      </c>
      <c r="J646" s="2">
        <v>28.032426999999998</v>
      </c>
      <c r="K646">
        <f>STANDARDIZE(J646,M$10,N$10)</f>
        <v>-0.70357118462436641</v>
      </c>
    </row>
    <row r="647" spans="7:11" x14ac:dyDescent="0.3">
      <c r="G647">
        <v>1962</v>
      </c>
      <c r="H647">
        <v>4</v>
      </c>
      <c r="I647" s="3">
        <v>1962.25000000213</v>
      </c>
      <c r="J647" s="2">
        <v>27.442882999999998</v>
      </c>
      <c r="K647">
        <f>STANDARDIZE(J647,M$11,N$11)</f>
        <v>-0.10913126041283432</v>
      </c>
    </row>
    <row r="648" spans="7:11" x14ac:dyDescent="0.3">
      <c r="G648">
        <v>1962</v>
      </c>
      <c r="H648">
        <v>3</v>
      </c>
      <c r="I648" s="3">
        <v>1962.1666666688</v>
      </c>
      <c r="J648" s="2">
        <v>27.254759</v>
      </c>
      <c r="K648">
        <f>STANDARDIZE(J648,M$12,N$12)</f>
        <v>0.6811087238276351</v>
      </c>
    </row>
    <row r="649" spans="7:11" x14ac:dyDescent="0.3">
      <c r="G649">
        <v>1962</v>
      </c>
      <c r="H649">
        <v>2</v>
      </c>
      <c r="I649" s="3">
        <v>1962.0833333354699</v>
      </c>
      <c r="J649" s="2">
        <v>26.94407</v>
      </c>
      <c r="K649">
        <f>STANDARDIZE(J649,M$13,N$13)</f>
        <v>0.16452702234900013</v>
      </c>
    </row>
    <row r="650" spans="7:11" x14ac:dyDescent="0.3">
      <c r="G650">
        <v>1962</v>
      </c>
      <c r="H650">
        <v>1</v>
      </c>
      <c r="I650" s="3">
        <v>1962.00000000214</v>
      </c>
      <c r="J650" s="2">
        <v>27.248867000000001</v>
      </c>
      <c r="K650">
        <f>STANDARDIZE(J650,M$14,N$14)</f>
        <v>0.51437499605999681</v>
      </c>
    </row>
    <row r="651" spans="7:11" x14ac:dyDescent="0.3">
      <c r="G651">
        <v>1961</v>
      </c>
      <c r="H651">
        <v>12</v>
      </c>
      <c r="I651" s="3">
        <v>1961.91666666881</v>
      </c>
      <c r="J651" s="2">
        <v>27.980160000000001</v>
      </c>
      <c r="K651">
        <f>STANDARDIZE(J651,M$3,N$3)</f>
        <v>0.57071702124475532</v>
      </c>
    </row>
    <row r="652" spans="7:11" x14ac:dyDescent="0.3">
      <c r="G652">
        <v>1961</v>
      </c>
      <c r="H652">
        <v>11</v>
      </c>
      <c r="I652" s="3">
        <v>1961.8333333354799</v>
      </c>
      <c r="J652" s="2">
        <v>28.480170999999999</v>
      </c>
      <c r="K652">
        <f>STANDARDIZE(J652,M$4,N$4)</f>
        <v>-0.63141428688348</v>
      </c>
    </row>
    <row r="653" spans="7:11" x14ac:dyDescent="0.3">
      <c r="G653">
        <v>1961</v>
      </c>
      <c r="H653">
        <v>10</v>
      </c>
      <c r="I653" s="3">
        <v>1961.75000000215</v>
      </c>
      <c r="J653" s="2">
        <v>28.900846000000001</v>
      </c>
      <c r="K653">
        <f>STANDARDIZE(J653,M$5,N$5)</f>
        <v>-7.7739774941025769E-2</v>
      </c>
    </row>
    <row r="654" spans="7:11" x14ac:dyDescent="0.3">
      <c r="G654">
        <v>1961</v>
      </c>
      <c r="H654">
        <v>9</v>
      </c>
      <c r="I654" s="3">
        <v>1961.66666666882</v>
      </c>
      <c r="J654" s="2">
        <v>28.771318000000001</v>
      </c>
      <c r="K654">
        <f>STANDARDIZE(J654,M$6,N$6)</f>
        <v>-0.14011875204357344</v>
      </c>
    </row>
    <row r="655" spans="7:11" x14ac:dyDescent="0.3">
      <c r="G655">
        <v>1961</v>
      </c>
      <c r="H655">
        <v>8</v>
      </c>
      <c r="I655" s="3">
        <v>1961.5833333354899</v>
      </c>
      <c r="J655" s="2">
        <v>28.609074</v>
      </c>
      <c r="K655">
        <f>STANDARDIZE(J655,M$7,N$7)</f>
        <v>0.3425298718268171</v>
      </c>
    </row>
    <row r="656" spans="7:11" x14ac:dyDescent="0.3">
      <c r="G656">
        <v>1961</v>
      </c>
      <c r="H656">
        <v>7</v>
      </c>
      <c r="I656" s="3">
        <v>1961.50000000216</v>
      </c>
      <c r="J656" s="2">
        <v>28.172432000000001</v>
      </c>
      <c r="K656">
        <f>STANDARDIZE(J656,M$8,N$8)</f>
        <v>-0.36920317755434368</v>
      </c>
    </row>
    <row r="657" spans="7:11" x14ac:dyDescent="0.3">
      <c r="G657">
        <v>1961</v>
      </c>
      <c r="H657">
        <v>6</v>
      </c>
      <c r="I657" s="3">
        <v>1961.41666666883</v>
      </c>
      <c r="J657" s="2">
        <v>28.26763</v>
      </c>
      <c r="K657">
        <f>STANDARDIZE(J657,M$9,N$9)</f>
        <v>-1.020276816001553</v>
      </c>
    </row>
    <row r="658" spans="7:11" x14ac:dyDescent="0.3">
      <c r="G658">
        <v>1961</v>
      </c>
      <c r="H658">
        <v>5</v>
      </c>
      <c r="I658" s="3">
        <v>1961.3333333354999</v>
      </c>
      <c r="J658" s="2">
        <v>28.231660000000002</v>
      </c>
      <c r="K658">
        <f>STANDARDIZE(J658,M$10,N$10)</f>
        <v>-0.21377848018329651</v>
      </c>
    </row>
    <row r="659" spans="7:11" x14ac:dyDescent="0.3">
      <c r="G659">
        <v>1961</v>
      </c>
      <c r="H659">
        <v>4</v>
      </c>
      <c r="I659" s="3">
        <v>1961.2500000021701</v>
      </c>
      <c r="J659" s="2">
        <v>27.654699999999998</v>
      </c>
      <c r="K659">
        <f>STANDARDIZE(J659,M$11,N$11)</f>
        <v>0.49063432406684232</v>
      </c>
    </row>
    <row r="660" spans="7:11" x14ac:dyDescent="0.3">
      <c r="G660">
        <v>1961</v>
      </c>
      <c r="H660">
        <v>3</v>
      </c>
      <c r="I660" s="3">
        <v>1961.16666666884</v>
      </c>
      <c r="J660" s="2">
        <v>27.320055</v>
      </c>
      <c r="K660">
        <f>STANDARDIZE(J660,M$12,N$12)</f>
        <v>0.84254005137781596</v>
      </c>
    </row>
    <row r="661" spans="7:11" x14ac:dyDescent="0.3">
      <c r="G661">
        <v>1961</v>
      </c>
      <c r="H661">
        <v>2</v>
      </c>
      <c r="I661" s="3">
        <v>1961.0833333355099</v>
      </c>
      <c r="J661" s="2">
        <v>27.033394000000001</v>
      </c>
      <c r="K661">
        <f>STANDARDIZE(J661,M$13,N$13)</f>
        <v>0.3935786348549043</v>
      </c>
    </row>
    <row r="662" spans="7:11" x14ac:dyDescent="0.3">
      <c r="G662">
        <v>1961</v>
      </c>
      <c r="H662">
        <v>1</v>
      </c>
      <c r="I662" s="3">
        <v>1961.0000000021801</v>
      </c>
      <c r="J662" s="2">
        <v>27.311126999999999</v>
      </c>
      <c r="K662">
        <f>STANDARDIZE(J662,M$14,N$14)</f>
        <v>0.7024415669109707</v>
      </c>
    </row>
    <row r="663" spans="7:11" x14ac:dyDescent="0.3">
      <c r="G663">
        <v>1960</v>
      </c>
      <c r="H663">
        <v>12</v>
      </c>
      <c r="I663" s="3">
        <v>1960.91666666885</v>
      </c>
      <c r="J663" s="2">
        <v>27.752445000000002</v>
      </c>
      <c r="K663">
        <f>STANDARDIZE(J663,M$3,N$3)</f>
        <v>-0.14183764401998325</v>
      </c>
    </row>
    <row r="664" spans="7:11" x14ac:dyDescent="0.3">
      <c r="G664">
        <v>1960</v>
      </c>
      <c r="H664">
        <v>11</v>
      </c>
      <c r="I664" s="3">
        <v>1960.8333333355199</v>
      </c>
      <c r="J664" s="2">
        <v>28.619586999999999</v>
      </c>
      <c r="K664">
        <f>STANDARDIZE(J664,M$4,N$4)</f>
        <v>-0.18945857544080788</v>
      </c>
    </row>
    <row r="665" spans="7:11" x14ac:dyDescent="0.3">
      <c r="G665">
        <v>1960</v>
      </c>
      <c r="H665">
        <v>10</v>
      </c>
      <c r="I665" s="3">
        <v>1960.7500000021901</v>
      </c>
      <c r="J665" s="2">
        <v>29.004028000000002</v>
      </c>
      <c r="K665">
        <f>STANDARDIZE(J665,M$5,N$5)</f>
        <v>0.24911166831546341</v>
      </c>
    </row>
    <row r="666" spans="7:11" x14ac:dyDescent="0.3">
      <c r="G666">
        <v>1960</v>
      </c>
      <c r="H666">
        <v>9</v>
      </c>
      <c r="I666" s="3">
        <v>1960.66666666886</v>
      </c>
      <c r="J666" s="2">
        <v>29.040330000000001</v>
      </c>
      <c r="K666">
        <f>STANDARDIZE(J666,M$6,N$6)</f>
        <v>0.6550497545188636</v>
      </c>
    </row>
    <row r="667" spans="7:11" x14ac:dyDescent="0.3">
      <c r="G667">
        <v>1960</v>
      </c>
      <c r="H667">
        <v>8</v>
      </c>
      <c r="I667" s="3">
        <v>1960.5833333355299</v>
      </c>
      <c r="J667" s="2">
        <v>28.63514</v>
      </c>
      <c r="K667">
        <f>STANDARDIZE(J667,M$7,N$7)</f>
        <v>0.41959059342617439</v>
      </c>
    </row>
    <row r="668" spans="7:11" x14ac:dyDescent="0.3">
      <c r="G668">
        <v>1960</v>
      </c>
      <c r="H668">
        <v>7</v>
      </c>
      <c r="I668" s="3">
        <v>1960.5000000022001</v>
      </c>
      <c r="J668" s="2">
        <v>28.599136000000001</v>
      </c>
      <c r="K668">
        <f>STANDARDIZE(J668,M$8,N$8)</f>
        <v>0.86569824948705043</v>
      </c>
    </row>
    <row r="669" spans="7:11" x14ac:dyDescent="0.3">
      <c r="G669">
        <v>1960</v>
      </c>
      <c r="H669">
        <v>6</v>
      </c>
      <c r="I669" s="3">
        <v>1960.41666666887</v>
      </c>
      <c r="J669" s="2">
        <v>29.148790000000002</v>
      </c>
      <c r="K669">
        <f>STANDARDIZE(J669,M$9,N$9)</f>
        <v>1.3411975006815349</v>
      </c>
    </row>
    <row r="670" spans="7:11" x14ac:dyDescent="0.3">
      <c r="G670">
        <v>1960</v>
      </c>
      <c r="H670">
        <v>5</v>
      </c>
      <c r="I670" s="3">
        <v>1960.3333333355399</v>
      </c>
      <c r="J670" s="2">
        <v>28.918209999999998</v>
      </c>
      <c r="K670">
        <f>STANDARDIZE(J670,M$10,N$10)</f>
        <v>1.4740301721685214</v>
      </c>
    </row>
    <row r="671" spans="7:11" x14ac:dyDescent="0.3">
      <c r="G671">
        <v>1960</v>
      </c>
      <c r="H671">
        <v>4</v>
      </c>
      <c r="I671" s="3">
        <v>1960.2500000022101</v>
      </c>
      <c r="J671" s="2">
        <v>27.729161999999999</v>
      </c>
      <c r="K671">
        <f>STANDARDIZE(J671,M$11,N$11)</f>
        <v>0.70147549805913745</v>
      </c>
    </row>
    <row r="672" spans="7:11" x14ac:dyDescent="0.3">
      <c r="G672">
        <v>1960</v>
      </c>
      <c r="H672">
        <v>3</v>
      </c>
      <c r="I672" s="3">
        <v>1960.16666666888</v>
      </c>
      <c r="J672" s="2">
        <v>27.431813999999999</v>
      </c>
      <c r="K672">
        <f>STANDARDIZE(J672,M$12,N$12)</f>
        <v>1.1188418728627543</v>
      </c>
    </row>
    <row r="673" spans="7:11" x14ac:dyDescent="0.3">
      <c r="G673">
        <v>1960</v>
      </c>
      <c r="H673">
        <v>2</v>
      </c>
      <c r="I673" s="3">
        <v>1960.0833333355499</v>
      </c>
      <c r="J673" s="2">
        <v>27.572299999999998</v>
      </c>
      <c r="K673">
        <f>STANDARDIZE(J673,M$13,N$13)</f>
        <v>1.7754837027997383</v>
      </c>
    </row>
    <row r="674" spans="7:11" x14ac:dyDescent="0.3">
      <c r="G674">
        <v>1960</v>
      </c>
      <c r="H674">
        <v>1</v>
      </c>
      <c r="I674" s="3">
        <v>1960.0000000022201</v>
      </c>
      <c r="J674" s="2">
        <v>27.381208000000001</v>
      </c>
      <c r="K674">
        <f>STANDARDIZE(J674,M$14,N$14)</f>
        <v>0.91413275470100896</v>
      </c>
    </row>
    <row r="675" spans="7:11" x14ac:dyDescent="0.3">
      <c r="G675">
        <v>1959</v>
      </c>
      <c r="H675">
        <v>12</v>
      </c>
      <c r="I675" s="3">
        <v>1959.91666666889</v>
      </c>
      <c r="J675" s="2">
        <v>27.992457999999999</v>
      </c>
      <c r="K675">
        <f>STANDARDIZE(J675,M$3,N$3)</f>
        <v>0.60919932268921062</v>
      </c>
    </row>
    <row r="676" spans="7:11" x14ac:dyDescent="0.3">
      <c r="G676">
        <v>1959</v>
      </c>
      <c r="H676">
        <v>11</v>
      </c>
      <c r="I676" s="3">
        <v>1959.8333333355599</v>
      </c>
      <c r="J676" s="2">
        <v>28.573264999999999</v>
      </c>
      <c r="K676">
        <f>STANDARDIZE(J676,M$4,N$4)</f>
        <v>-0.33630163839948801</v>
      </c>
    </row>
    <row r="677" spans="7:11" x14ac:dyDescent="0.3">
      <c r="G677">
        <v>1959</v>
      </c>
      <c r="H677">
        <v>10</v>
      </c>
      <c r="I677" s="3">
        <v>1959.7500000022301</v>
      </c>
      <c r="J677" s="2">
        <v>28.706951</v>
      </c>
      <c r="K677">
        <f>STANDARDIZE(J677,M$5,N$5)</f>
        <v>-0.69194438999226704</v>
      </c>
    </row>
    <row r="678" spans="7:11" x14ac:dyDescent="0.3">
      <c r="G678">
        <v>1959</v>
      </c>
      <c r="H678">
        <v>9</v>
      </c>
      <c r="I678" s="3">
        <v>1959.6666666689</v>
      </c>
      <c r="J678" s="2">
        <v>28.60135</v>
      </c>
      <c r="K678">
        <f>STANDARDIZE(J678,M$6,N$6)</f>
        <v>-0.6425245953643357</v>
      </c>
    </row>
    <row r="679" spans="7:11" x14ac:dyDescent="0.3">
      <c r="G679">
        <v>1959</v>
      </c>
      <c r="H679">
        <v>8</v>
      </c>
      <c r="I679" s="3">
        <v>1959.5833333355699</v>
      </c>
      <c r="J679" s="2">
        <v>28.150528000000001</v>
      </c>
      <c r="K679">
        <f>STANDARDIZE(J679,M$7,N$7)</f>
        <v>-1.0131014351055299</v>
      </c>
    </row>
    <row r="680" spans="7:11" x14ac:dyDescent="0.3">
      <c r="G680">
        <v>1959</v>
      </c>
      <c r="H680">
        <v>7</v>
      </c>
      <c r="I680" s="3">
        <v>1959.5000000022401</v>
      </c>
      <c r="J680" s="2">
        <v>28.154067999999999</v>
      </c>
      <c r="K680">
        <f>STANDARDIZE(J680,M$8,N$8)</f>
        <v>-0.42234945648819566</v>
      </c>
    </row>
    <row r="681" spans="7:11" x14ac:dyDescent="0.3">
      <c r="G681">
        <v>1959</v>
      </c>
      <c r="H681">
        <v>6</v>
      </c>
      <c r="I681" s="3">
        <v>1959.41666666891</v>
      </c>
      <c r="J681" s="2">
        <v>28.406094</v>
      </c>
      <c r="K681">
        <f>STANDARDIZE(J681,M$9,N$9)</f>
        <v>-0.64919871465196344</v>
      </c>
    </row>
    <row r="682" spans="7:11" x14ac:dyDescent="0.3">
      <c r="G682">
        <v>1959</v>
      </c>
      <c r="H682">
        <v>5</v>
      </c>
      <c r="I682" s="3">
        <v>1959.3333333355799</v>
      </c>
      <c r="J682" s="2">
        <v>27.909804999999999</v>
      </c>
      <c r="K682">
        <f>STANDARDIZE(J682,M$10,N$10)</f>
        <v>-1.0050240614267627</v>
      </c>
    </row>
    <row r="683" spans="7:11" x14ac:dyDescent="0.3">
      <c r="G683">
        <v>1959</v>
      </c>
      <c r="H683">
        <v>4</v>
      </c>
      <c r="I683" s="3">
        <v>1959.2500000022501</v>
      </c>
      <c r="J683" s="2">
        <v>27.452836999999999</v>
      </c>
      <c r="K683">
        <f>STANDARDIZE(J683,M$11,N$11)</f>
        <v>-8.0946239248758822E-2</v>
      </c>
    </row>
    <row r="684" spans="7:11" x14ac:dyDescent="0.3">
      <c r="G684">
        <v>1959</v>
      </c>
      <c r="H684">
        <v>3</v>
      </c>
      <c r="I684" s="3">
        <v>1959.16666666892</v>
      </c>
      <c r="J684" s="2">
        <v>26.899567000000001</v>
      </c>
      <c r="K684">
        <f>STANDARDIZE(J684,M$12,N$12)</f>
        <v>-0.19703260328587263</v>
      </c>
    </row>
    <row r="685" spans="7:11" x14ac:dyDescent="0.3">
      <c r="G685">
        <v>1959</v>
      </c>
      <c r="H685">
        <v>2</v>
      </c>
      <c r="I685" s="3">
        <v>1959.0833333355899</v>
      </c>
      <c r="J685" s="2">
        <v>26.846319999999999</v>
      </c>
      <c r="K685">
        <f>STANDARDIZE(J685,M$13,N$13)</f>
        <v>-8.6131200776387362E-2</v>
      </c>
    </row>
    <row r="686" spans="7:11" x14ac:dyDescent="0.3">
      <c r="G686">
        <v>1959</v>
      </c>
      <c r="H686">
        <v>1</v>
      </c>
      <c r="I686" s="3">
        <v>1959.0000000022601</v>
      </c>
      <c r="J686" s="2">
        <v>27.162434000000001</v>
      </c>
      <c r="K686">
        <f>STANDARDIZE(J686,M$14,N$14)</f>
        <v>0.25328990260733775</v>
      </c>
    </row>
    <row r="687" spans="7:11" x14ac:dyDescent="0.3">
      <c r="G687">
        <v>1958</v>
      </c>
      <c r="H687">
        <v>12</v>
      </c>
      <c r="I687" s="3">
        <v>1958.91666666893</v>
      </c>
      <c r="J687" s="2">
        <v>27.91339</v>
      </c>
      <c r="K687">
        <f>STANDARDIZE(J687,M$3,N$3)</f>
        <v>0.36178359569207819</v>
      </c>
    </row>
    <row r="688" spans="7:11" x14ac:dyDescent="0.3">
      <c r="G688">
        <v>1958</v>
      </c>
      <c r="H688">
        <v>11</v>
      </c>
      <c r="I688" s="3">
        <v>1958.8333333355999</v>
      </c>
      <c r="J688" s="2">
        <v>28.748200000000001</v>
      </c>
      <c r="K688">
        <f>STANDARDIZE(J688,M$4,N$4)</f>
        <v>0.21825108425231737</v>
      </c>
    </row>
    <row r="689" spans="7:11" x14ac:dyDescent="0.3">
      <c r="G689">
        <v>1958</v>
      </c>
      <c r="H689">
        <v>10</v>
      </c>
      <c r="I689" s="3">
        <v>1958.7500000022701</v>
      </c>
      <c r="J689" s="2">
        <v>29.120450000000002</v>
      </c>
      <c r="K689">
        <f>STANDARDIZE(J689,M$5,N$5)</f>
        <v>0.61790369334702777</v>
      </c>
    </row>
    <row r="690" spans="7:11" x14ac:dyDescent="0.3">
      <c r="G690">
        <v>1958</v>
      </c>
      <c r="H690">
        <v>9</v>
      </c>
      <c r="I690" s="3">
        <v>1958.66666666894</v>
      </c>
      <c r="J690" s="2">
        <v>29.147597999999999</v>
      </c>
      <c r="K690">
        <f>STANDARDIZE(J690,M$6,N$6)</f>
        <v>0.97212161511221129</v>
      </c>
    </row>
    <row r="691" spans="7:11" x14ac:dyDescent="0.3">
      <c r="G691">
        <v>1958</v>
      </c>
      <c r="H691">
        <v>8</v>
      </c>
      <c r="I691" s="3">
        <v>1958.58333333561</v>
      </c>
      <c r="J691" s="2">
        <v>28.850597</v>
      </c>
      <c r="K691">
        <f>STANDARDIZE(J691,M$7,N$7)</f>
        <v>1.0565610489480297</v>
      </c>
    </row>
    <row r="692" spans="7:11" x14ac:dyDescent="0.3">
      <c r="G692">
        <v>1958</v>
      </c>
      <c r="H692">
        <v>7</v>
      </c>
      <c r="I692" s="3">
        <v>1958.5000000022801</v>
      </c>
      <c r="J692" s="2">
        <v>28.773392000000001</v>
      </c>
      <c r="K692">
        <f>STANDARDIZE(J692,M$8,N$8)</f>
        <v>1.370003301866509</v>
      </c>
    </row>
    <row r="693" spans="7:11" x14ac:dyDescent="0.3">
      <c r="G693">
        <v>1958</v>
      </c>
      <c r="H693">
        <v>6</v>
      </c>
      <c r="I693" s="3">
        <v>1958.41666666895</v>
      </c>
      <c r="J693" s="2">
        <v>29.763983</v>
      </c>
      <c r="K693">
        <f>STANDARDIZE(J693,M$9,N$9)</f>
        <v>2.9898906657176374</v>
      </c>
    </row>
    <row r="694" spans="7:11" x14ac:dyDescent="0.3">
      <c r="G694">
        <v>1958</v>
      </c>
      <c r="H694">
        <v>5</v>
      </c>
      <c r="I694" s="3">
        <v>1958.33333333562</v>
      </c>
      <c r="J694" s="2">
        <v>29.162496999999998</v>
      </c>
      <c r="K694">
        <f>STANDARDIZE(J694,M$10,N$10)</f>
        <v>2.0745832451523833</v>
      </c>
    </row>
    <row r="695" spans="7:11" x14ac:dyDescent="0.3">
      <c r="G695">
        <v>1958</v>
      </c>
      <c r="H695">
        <v>4</v>
      </c>
      <c r="I695" s="3">
        <v>1958.2500000022901</v>
      </c>
      <c r="J695" s="2">
        <v>28.202895999999999</v>
      </c>
      <c r="K695">
        <f>STANDARDIZE(J695,M$11,N$11)</f>
        <v>2.0428661767954779</v>
      </c>
    </row>
    <row r="696" spans="7:11" x14ac:dyDescent="0.3">
      <c r="G696">
        <v>1958</v>
      </c>
      <c r="H696">
        <v>3</v>
      </c>
      <c r="I696" s="3">
        <v>1958.16666666896</v>
      </c>
      <c r="J696" s="2">
        <v>27.799702</v>
      </c>
      <c r="K696">
        <f>STANDARDIZE(J696,M$12,N$12)</f>
        <v>2.0283715259775086</v>
      </c>
    </row>
    <row r="697" spans="7:11" x14ac:dyDescent="0.3">
      <c r="G697">
        <v>1958</v>
      </c>
      <c r="H697">
        <v>2</v>
      </c>
      <c r="I697" s="3">
        <v>1958.08333333563</v>
      </c>
      <c r="J697" s="2">
        <v>27.589801999999999</v>
      </c>
      <c r="K697">
        <f>STANDARDIZE(J697,M$13,N$13)</f>
        <v>1.8203637050620458</v>
      </c>
    </row>
    <row r="698" spans="7:11" x14ac:dyDescent="0.3">
      <c r="G698">
        <v>1958</v>
      </c>
      <c r="H698">
        <v>1</v>
      </c>
      <c r="I698" s="3">
        <v>1958.0000000023001</v>
      </c>
      <c r="J698" s="2">
        <v>27.749324999999999</v>
      </c>
      <c r="K698">
        <f>STANDARDIZE(J698,M$14,N$14)</f>
        <v>2.0260907030137192</v>
      </c>
    </row>
    <row r="699" spans="7:11" x14ac:dyDescent="0.3">
      <c r="G699">
        <v>1957</v>
      </c>
      <c r="H699">
        <v>12</v>
      </c>
      <c r="I699" s="3">
        <v>1957.91666666897</v>
      </c>
      <c r="J699" s="2">
        <v>27.83418</v>
      </c>
      <c r="K699">
        <f>STANDARDIZE(J699,M$3,N$3)</f>
        <v>0.11392352922469652</v>
      </c>
    </row>
    <row r="700" spans="7:11" x14ac:dyDescent="0.3">
      <c r="G700">
        <v>1957</v>
      </c>
      <c r="H700">
        <v>11</v>
      </c>
      <c r="I700" s="3">
        <v>1957.83333333564</v>
      </c>
      <c r="J700" s="2">
        <v>28.674807000000001</v>
      </c>
      <c r="K700">
        <f>STANDARDIZE(J700,M$4,N$4)</f>
        <v>-1.4408406264636249E-2</v>
      </c>
    </row>
    <row r="701" spans="7:11" x14ac:dyDescent="0.3">
      <c r="G701">
        <v>1957</v>
      </c>
      <c r="H701">
        <v>10</v>
      </c>
      <c r="I701" s="3">
        <v>1957.7500000023099</v>
      </c>
      <c r="J701" s="2">
        <v>29.320868000000001</v>
      </c>
      <c r="K701">
        <f>STANDARDIZE(J701,M$5,N$5)</f>
        <v>1.2527713306730976</v>
      </c>
    </row>
    <row r="702" spans="7:11" x14ac:dyDescent="0.3">
      <c r="G702">
        <v>1957</v>
      </c>
      <c r="H702">
        <v>9</v>
      </c>
      <c r="I702" s="3">
        <v>1957.66666666898</v>
      </c>
      <c r="J702" s="2">
        <v>28.872826</v>
      </c>
      <c r="K702">
        <f>STANDARDIZE(J702,M$6,N$6)</f>
        <v>0.15992721157194961</v>
      </c>
    </row>
    <row r="703" spans="7:11" x14ac:dyDescent="0.3">
      <c r="G703">
        <v>1957</v>
      </c>
      <c r="H703">
        <v>8</v>
      </c>
      <c r="I703" s="3">
        <v>1957.58333333565</v>
      </c>
      <c r="J703" s="2">
        <v>28.644043</v>
      </c>
      <c r="K703">
        <f>STANDARDIZE(J703,M$7,N$7)</f>
        <v>0.44591114910787016</v>
      </c>
    </row>
    <row r="704" spans="7:11" x14ac:dyDescent="0.3">
      <c r="G704">
        <v>1957</v>
      </c>
      <c r="H704">
        <v>7</v>
      </c>
      <c r="I704" s="3">
        <v>1957.5000000023199</v>
      </c>
      <c r="J704" s="2">
        <v>28.332858999999999</v>
      </c>
      <c r="K704">
        <f>STANDARDIZE(J704,M$8,N$8)</f>
        <v>9.5080098993257325E-2</v>
      </c>
    </row>
    <row r="705" spans="7:11" x14ac:dyDescent="0.3">
      <c r="G705">
        <v>1957</v>
      </c>
      <c r="H705">
        <v>6</v>
      </c>
      <c r="I705" s="3">
        <v>1957.41666666899</v>
      </c>
      <c r="J705" s="2">
        <v>28.550896000000002</v>
      </c>
      <c r="K705">
        <f>STANDARDIZE(J705,M$9,N$9)</f>
        <v>-0.26113502133366834</v>
      </c>
    </row>
    <row r="706" spans="7:11" x14ac:dyDescent="0.3">
      <c r="G706">
        <v>1957</v>
      </c>
      <c r="H706">
        <v>5</v>
      </c>
      <c r="I706" s="3">
        <v>1957.33333333566</v>
      </c>
      <c r="J706" s="2">
        <v>27.727533000000001</v>
      </c>
      <c r="K706">
        <f>STANDARDIZE(J706,M$10,N$10)</f>
        <v>-1.453119988426206</v>
      </c>
    </row>
    <row r="707" spans="7:11" x14ac:dyDescent="0.3">
      <c r="G707">
        <v>1957</v>
      </c>
      <c r="H707">
        <v>4</v>
      </c>
      <c r="I707" s="3">
        <v>1957.2500000023299</v>
      </c>
      <c r="J707" s="2">
        <v>26.880375000000001</v>
      </c>
      <c r="K707">
        <f>STANDARDIZE(J707,M$11,N$11)</f>
        <v>-1.7018879295871339</v>
      </c>
    </row>
    <row r="708" spans="7:11" x14ac:dyDescent="0.3">
      <c r="G708">
        <v>1957</v>
      </c>
      <c r="H708">
        <v>3</v>
      </c>
      <c r="I708" s="3">
        <v>1957.1666666690001</v>
      </c>
      <c r="J708" s="2">
        <v>26.993870000000001</v>
      </c>
      <c r="K708">
        <f>STANDARDIZE(J708,M$12,N$12)</f>
        <v>3.611274224776951E-2</v>
      </c>
    </row>
    <row r="709" spans="7:11" x14ac:dyDescent="0.3">
      <c r="G709">
        <v>1957</v>
      </c>
      <c r="H709">
        <v>2</v>
      </c>
      <c r="I709" s="3">
        <v>1957.08333333567</v>
      </c>
      <c r="J709" s="2">
        <v>25.773323000000001</v>
      </c>
      <c r="K709">
        <f>STANDARDIZE(J709,M$13,N$13)</f>
        <v>-2.8375943357008584</v>
      </c>
    </row>
    <row r="710" spans="7:11" x14ac:dyDescent="0.3">
      <c r="G710">
        <v>1957</v>
      </c>
      <c r="H710">
        <v>1</v>
      </c>
      <c r="I710" s="3">
        <v>1957.0000000023399</v>
      </c>
      <c r="J710" s="2">
        <v>26.669730000000001</v>
      </c>
      <c r="K710">
        <f>STANDARDIZE(J710,M$14,N$14)</f>
        <v>-1.2350035719278465</v>
      </c>
    </row>
    <row r="711" spans="7:11" x14ac:dyDescent="0.3">
      <c r="G711">
        <v>1956</v>
      </c>
      <c r="H711">
        <v>12</v>
      </c>
      <c r="I711" s="3">
        <v>1956.9166666690101</v>
      </c>
      <c r="J711" s="2">
        <v>27.642181000000001</v>
      </c>
      <c r="K711">
        <f>STANDARDIZE(J711,M$3,N$3)</f>
        <v>-0.48687037181899406</v>
      </c>
    </row>
    <row r="712" spans="7:11" x14ac:dyDescent="0.3">
      <c r="G712">
        <v>1956</v>
      </c>
      <c r="H712">
        <v>11</v>
      </c>
      <c r="I712" s="3">
        <v>1956.83333333568</v>
      </c>
      <c r="J712" s="2">
        <v>28.438604000000002</v>
      </c>
      <c r="K712">
        <f>STANDARDIZE(J712,M$4,N$4)</f>
        <v>-0.7631837613881004</v>
      </c>
    </row>
    <row r="713" spans="7:11" x14ac:dyDescent="0.3">
      <c r="G713">
        <v>1956</v>
      </c>
      <c r="H713">
        <v>10</v>
      </c>
      <c r="I713" s="3">
        <v>1956.7500000023499</v>
      </c>
      <c r="J713" s="2">
        <v>28.569873999999999</v>
      </c>
      <c r="K713">
        <f>STANDARDIZE(J713,M$5,N$5)</f>
        <v>-1.1261656232235486</v>
      </c>
    </row>
    <row r="714" spans="7:11" x14ac:dyDescent="0.3">
      <c r="G714">
        <v>1956</v>
      </c>
      <c r="H714">
        <v>9</v>
      </c>
      <c r="I714" s="3">
        <v>1956.6666666690201</v>
      </c>
      <c r="J714" s="2">
        <v>28.388110999999999</v>
      </c>
      <c r="K714">
        <f>STANDARDIZE(J714,M$6,N$6)</f>
        <v>-1.2728345338461458</v>
      </c>
    </row>
    <row r="715" spans="7:11" x14ac:dyDescent="0.3">
      <c r="G715">
        <v>1956</v>
      </c>
      <c r="H715">
        <v>8</v>
      </c>
      <c r="I715" s="3">
        <v>1956.58333333569</v>
      </c>
      <c r="J715" s="2">
        <v>27.881502000000001</v>
      </c>
      <c r="K715">
        <f>STANDARDIZE(J715,M$7,N$7)</f>
        <v>-1.8084416364785287</v>
      </c>
    </row>
    <row r="716" spans="7:11" x14ac:dyDescent="0.3">
      <c r="G716">
        <v>1956</v>
      </c>
      <c r="H716">
        <v>7</v>
      </c>
      <c r="I716" s="3">
        <v>1956.5000000023599</v>
      </c>
      <c r="J716" s="2">
        <v>27.847624</v>
      </c>
      <c r="K716">
        <f>STANDARDIZE(J716,M$8,N$8)</f>
        <v>-1.3092127924500594</v>
      </c>
    </row>
    <row r="717" spans="7:11" x14ac:dyDescent="0.3">
      <c r="G717">
        <v>1956</v>
      </c>
      <c r="H717">
        <v>6</v>
      </c>
      <c r="I717" s="3">
        <v>1956.4166666690301</v>
      </c>
      <c r="J717" s="2">
        <v>28.409420000000001</v>
      </c>
      <c r="K717">
        <f>STANDARDIZE(J717,M$9,N$9)</f>
        <v>-0.64028516481164965</v>
      </c>
    </row>
    <row r="718" spans="7:11" x14ac:dyDescent="0.3">
      <c r="G718">
        <v>1956</v>
      </c>
      <c r="H718">
        <v>5</v>
      </c>
      <c r="I718" s="3">
        <v>1956.3333333357</v>
      </c>
      <c r="J718" s="2">
        <v>27.840263</v>
      </c>
      <c r="K718">
        <f>STANDARDIZE(J718,M$10,N$10)</f>
        <v>-1.1759855198811331</v>
      </c>
    </row>
    <row r="719" spans="7:11" x14ac:dyDescent="0.3">
      <c r="G719">
        <v>1956</v>
      </c>
      <c r="H719">
        <v>4</v>
      </c>
      <c r="I719" s="3">
        <v>1956.2500000023699</v>
      </c>
      <c r="J719" s="2">
        <v>27.428505000000001</v>
      </c>
      <c r="K719">
        <f>STANDARDIZE(J719,M$11,N$11)</f>
        <v>-0.14984295764982222</v>
      </c>
    </row>
    <row r="720" spans="7:11" x14ac:dyDescent="0.3">
      <c r="G720">
        <v>1956</v>
      </c>
      <c r="H720">
        <v>3</v>
      </c>
      <c r="I720" s="3">
        <v>1956.1666666690401</v>
      </c>
      <c r="J720" s="2">
        <v>26.65916</v>
      </c>
      <c r="K720">
        <f>STANDARDIZE(J720,M$12,N$12)</f>
        <v>-0.7913909278747675</v>
      </c>
    </row>
    <row r="721" spans="7:11" x14ac:dyDescent="0.3">
      <c r="G721">
        <v>1956</v>
      </c>
      <c r="H721">
        <v>2</v>
      </c>
      <c r="I721" s="3">
        <v>1956.08333333571</v>
      </c>
      <c r="J721" s="2">
        <v>26.700862999999998</v>
      </c>
      <c r="K721">
        <f>STANDARDIZE(J721,M$13,N$13)</f>
        <v>-0.45912345817944711</v>
      </c>
    </row>
    <row r="722" spans="7:11" x14ac:dyDescent="0.3">
      <c r="G722">
        <v>1956</v>
      </c>
      <c r="H722">
        <v>1</v>
      </c>
      <c r="I722" s="3">
        <v>1956.0000000023799</v>
      </c>
      <c r="J722" s="2">
        <v>26.875129999999999</v>
      </c>
      <c r="K722">
        <f>STANDARDIZE(J722,M$14,N$14)</f>
        <v>-0.61455908665976855</v>
      </c>
    </row>
    <row r="723" spans="7:11" x14ac:dyDescent="0.3">
      <c r="G723">
        <v>1955</v>
      </c>
      <c r="H723">
        <v>12</v>
      </c>
      <c r="I723" s="3">
        <v>1955.9166666690501</v>
      </c>
      <c r="J723" s="2">
        <v>27.507639000000001</v>
      </c>
      <c r="K723">
        <f>STANDARDIZE(J723,M$3,N$3)</f>
        <v>-0.90787263242566607</v>
      </c>
    </row>
    <row r="724" spans="7:11" x14ac:dyDescent="0.3">
      <c r="G724">
        <v>1955</v>
      </c>
      <c r="H724">
        <v>11</v>
      </c>
      <c r="I724" s="3">
        <v>1955.83333333572</v>
      </c>
      <c r="J724" s="2">
        <v>28.615241999999999</v>
      </c>
      <c r="K724">
        <f>STANDARDIZE(J724,M$4,N$4)</f>
        <v>-0.2032324433341538</v>
      </c>
    </row>
    <row r="725" spans="7:11" x14ac:dyDescent="0.3">
      <c r="G725">
        <v>1955</v>
      </c>
      <c r="H725">
        <v>10</v>
      </c>
      <c r="I725" s="3">
        <v>1955.7500000023899</v>
      </c>
      <c r="J725" s="2">
        <v>28.964835999999998</v>
      </c>
      <c r="K725">
        <f>STANDARDIZE(J725,M$5,N$5)</f>
        <v>0.12496247791297645</v>
      </c>
    </row>
    <row r="726" spans="7:11" x14ac:dyDescent="0.3">
      <c r="G726">
        <v>1955</v>
      </c>
      <c r="H726">
        <v>9</v>
      </c>
      <c r="I726" s="3">
        <v>1955.6666666690601</v>
      </c>
      <c r="J726" s="2">
        <v>28.870773</v>
      </c>
      <c r="K726">
        <f>STANDARDIZE(J726,M$6,N$6)</f>
        <v>0.15385877988870594</v>
      </c>
    </row>
    <row r="727" spans="7:11" x14ac:dyDescent="0.3">
      <c r="G727">
        <v>1955</v>
      </c>
      <c r="H727">
        <v>8</v>
      </c>
      <c r="I727" s="3">
        <v>1955.58333333573</v>
      </c>
      <c r="J727" s="2">
        <v>28.489211999999998</v>
      </c>
      <c r="K727">
        <f>STANDARDIZE(J727,M$7,N$7)</f>
        <v>-1.1826462568264846E-2</v>
      </c>
    </row>
    <row r="728" spans="7:11" x14ac:dyDescent="0.3">
      <c r="G728">
        <v>1955</v>
      </c>
      <c r="H728">
        <v>7</v>
      </c>
      <c r="I728" s="3">
        <v>1955.5000000023999</v>
      </c>
      <c r="J728" s="2">
        <v>28.021281999999999</v>
      </c>
      <c r="K728">
        <f>STANDARDIZE(J728,M$8,N$8)</f>
        <v>-0.80663838017093004</v>
      </c>
    </row>
    <row r="729" spans="7:11" x14ac:dyDescent="0.3">
      <c r="G729">
        <v>1955</v>
      </c>
      <c r="H729">
        <v>6</v>
      </c>
      <c r="I729" s="3">
        <v>1955.4166666690701</v>
      </c>
      <c r="J729" s="2">
        <v>28.252459000000002</v>
      </c>
      <c r="K729">
        <f>STANDARDIZE(J729,M$9,N$9)</f>
        <v>-1.0609345022996102</v>
      </c>
    </row>
    <row r="730" spans="7:11" x14ac:dyDescent="0.3">
      <c r="G730">
        <v>1955</v>
      </c>
      <c r="H730">
        <v>5</v>
      </c>
      <c r="I730" s="3">
        <v>1955.33333333574</v>
      </c>
      <c r="J730" s="2">
        <v>28.008379999999999</v>
      </c>
      <c r="K730">
        <f>STANDARDIZE(J730,M$10,N$10)</f>
        <v>-0.76268812390497731</v>
      </c>
    </row>
    <row r="731" spans="7:11" x14ac:dyDescent="0.3">
      <c r="G731">
        <v>1955</v>
      </c>
      <c r="H731">
        <v>4</v>
      </c>
      <c r="I731" s="3">
        <v>1955.2500000024099</v>
      </c>
      <c r="J731" s="2">
        <v>27.234386000000001</v>
      </c>
      <c r="K731">
        <f>STANDARDIZE(J731,M$11,N$11)</f>
        <v>-0.69949617478353077</v>
      </c>
    </row>
    <row r="732" spans="7:11" x14ac:dyDescent="0.3">
      <c r="G732">
        <v>1955</v>
      </c>
      <c r="H732">
        <v>3</v>
      </c>
      <c r="I732" s="3">
        <v>1955.1666666690801</v>
      </c>
      <c r="J732" s="2">
        <v>26.437494000000001</v>
      </c>
      <c r="K732">
        <f>STANDARDIZE(J732,M$12,N$12)</f>
        <v>-1.339415870485926</v>
      </c>
    </row>
    <row r="733" spans="7:11" x14ac:dyDescent="0.3">
      <c r="G733">
        <v>1955</v>
      </c>
      <c r="H733">
        <v>2</v>
      </c>
      <c r="I733" s="3">
        <v>1955.08333333575</v>
      </c>
      <c r="J733" s="2">
        <v>26.717483999999999</v>
      </c>
      <c r="K733">
        <f>STANDARDIZE(J733,M$13,N$13)</f>
        <v>-0.41650258527338907</v>
      </c>
    </row>
    <row r="734" spans="7:11" x14ac:dyDescent="0.3">
      <c r="G734">
        <v>1955</v>
      </c>
      <c r="H734">
        <v>1</v>
      </c>
      <c r="I734" s="3">
        <v>1955.0000000024099</v>
      </c>
      <c r="J734" s="2">
        <v>27.055759999999999</v>
      </c>
      <c r="K734">
        <f>STANDARDIZE(J734,M$14,N$14)</f>
        <v>-6.8936460691050014E-2</v>
      </c>
    </row>
    <row r="735" spans="7:11" x14ac:dyDescent="0.3">
      <c r="G735">
        <v>1954</v>
      </c>
      <c r="H735">
        <v>12</v>
      </c>
      <c r="I735" s="3">
        <v>1954.9166666690801</v>
      </c>
      <c r="J735" s="2">
        <v>27.531766999999999</v>
      </c>
      <c r="K735">
        <f>STANDARDIZE(J735,M$3,N$3)</f>
        <v>-0.83237247229784905</v>
      </c>
    </row>
    <row r="736" spans="7:11" x14ac:dyDescent="0.3">
      <c r="G736">
        <v>1954</v>
      </c>
      <c r="H736">
        <v>11</v>
      </c>
      <c r="I736" s="3">
        <v>1954.83333333575</v>
      </c>
      <c r="J736" s="2">
        <v>28.406009999999998</v>
      </c>
      <c r="K736">
        <f>STANDARDIZE(J736,M$4,N$4)</f>
        <v>-0.8665083759141502</v>
      </c>
    </row>
    <row r="737" spans="7:11" x14ac:dyDescent="0.3">
      <c r="G737">
        <v>1954</v>
      </c>
      <c r="H737">
        <v>10</v>
      </c>
      <c r="I737" s="3">
        <v>1954.7500000024199</v>
      </c>
      <c r="J737" s="2">
        <v>28.556839</v>
      </c>
      <c r="K737">
        <f>STANDARDIZE(J737,M$5,N$5)</f>
        <v>-1.167456822878991</v>
      </c>
    </row>
    <row r="738" spans="7:11" x14ac:dyDescent="0.3">
      <c r="G738">
        <v>1954</v>
      </c>
      <c r="H738">
        <v>9</v>
      </c>
      <c r="I738" s="3">
        <v>1954.6666666690901</v>
      </c>
      <c r="J738" s="2">
        <v>28.824017000000001</v>
      </c>
      <c r="K738">
        <f>STANDARDIZE(J738,M$6,N$6)</f>
        <v>1.5653425879100121E-2</v>
      </c>
    </row>
    <row r="739" spans="7:11" x14ac:dyDescent="0.3">
      <c r="G739">
        <v>1954</v>
      </c>
      <c r="H739">
        <v>8</v>
      </c>
      <c r="I739" s="3">
        <v>1954.58333333576</v>
      </c>
      <c r="J739" s="2">
        <v>28.394843999999999</v>
      </c>
      <c r="K739">
        <f>STANDARDIZE(J739,M$7,N$7)</f>
        <v>-0.29081311859097858</v>
      </c>
    </row>
    <row r="740" spans="7:11" x14ac:dyDescent="0.3">
      <c r="G740">
        <v>1954</v>
      </c>
      <c r="H740">
        <v>7</v>
      </c>
      <c r="I740" s="3">
        <v>1954.5000000024299</v>
      </c>
      <c r="J740" s="2">
        <v>28.231102</v>
      </c>
      <c r="K740">
        <f>STANDARDIZE(J740,M$8,N$8)</f>
        <v>-0.1994094406207372</v>
      </c>
    </row>
    <row r="741" spans="7:11" x14ac:dyDescent="0.3">
      <c r="G741">
        <v>1954</v>
      </c>
      <c r="H741">
        <v>6</v>
      </c>
      <c r="I741" s="3">
        <v>1954.4166666691001</v>
      </c>
      <c r="J741" s="2">
        <v>28.727388000000001</v>
      </c>
      <c r="K741">
        <f>STANDARDIZE(J741,M$9,N$9)</f>
        <v>0.21185663182810724</v>
      </c>
    </row>
    <row r="742" spans="7:11" x14ac:dyDescent="0.3">
      <c r="G742">
        <v>1954</v>
      </c>
      <c r="H742">
        <v>5</v>
      </c>
      <c r="I742" s="3">
        <v>1954.33333333577</v>
      </c>
      <c r="J742" s="2">
        <v>28.362912999999999</v>
      </c>
      <c r="K742">
        <f>STANDARDIZE(J742,M$10,N$10)</f>
        <v>0.10889277325364148</v>
      </c>
    </row>
    <row r="743" spans="7:11" x14ac:dyDescent="0.3">
      <c r="G743">
        <v>1954</v>
      </c>
      <c r="H743">
        <v>4</v>
      </c>
      <c r="I743" s="3">
        <v>1954.2500000024399</v>
      </c>
      <c r="J743" s="2">
        <v>27.443425999999999</v>
      </c>
      <c r="K743">
        <f>STANDARDIZE(J743,M$11,N$11)</f>
        <v>-0.10759374117513051</v>
      </c>
    </row>
    <row r="744" spans="7:11" x14ac:dyDescent="0.3">
      <c r="G744">
        <v>1954</v>
      </c>
      <c r="H744">
        <v>3</v>
      </c>
      <c r="I744" s="3">
        <v>1954.1666666691101</v>
      </c>
      <c r="J744" s="2">
        <v>27.113303999999999</v>
      </c>
      <c r="K744">
        <f>STANDARDIZE(J744,M$12,N$12)</f>
        <v>0.33138946937696584</v>
      </c>
    </row>
    <row r="745" spans="7:11" x14ac:dyDescent="0.3">
      <c r="G745">
        <v>1954</v>
      </c>
      <c r="H745">
        <v>2</v>
      </c>
      <c r="I745" s="3">
        <v>1954.08333333578</v>
      </c>
      <c r="J745" s="2">
        <v>26.765903000000002</v>
      </c>
      <c r="K745">
        <f>STANDARDIZE(J745,M$13,N$13)</f>
        <v>-0.29234278470552577</v>
      </c>
    </row>
    <row r="746" spans="7:11" x14ac:dyDescent="0.3">
      <c r="G746">
        <v>1954</v>
      </c>
      <c r="H746">
        <v>1</v>
      </c>
      <c r="I746" s="3">
        <v>1954.00000000245</v>
      </c>
      <c r="J746" s="2">
        <v>27.182971999999999</v>
      </c>
      <c r="K746">
        <f>STANDARDIZE(J746,M$14,N$14)</f>
        <v>0.31532830980517096</v>
      </c>
    </row>
    <row r="747" spans="7:11" x14ac:dyDescent="0.3">
      <c r="G747">
        <v>1953</v>
      </c>
      <c r="H747">
        <v>12</v>
      </c>
      <c r="I747" s="3">
        <v>1953.9166666691201</v>
      </c>
      <c r="J747" s="2">
        <v>28.199314000000001</v>
      </c>
      <c r="K747">
        <f>STANDARDIZE(J747,M$3,N$3)</f>
        <v>1.2564830230954387</v>
      </c>
    </row>
    <row r="748" spans="7:11" x14ac:dyDescent="0.3">
      <c r="G748">
        <v>1953</v>
      </c>
      <c r="H748">
        <v>11</v>
      </c>
      <c r="I748" s="3">
        <v>1953.83333333579</v>
      </c>
      <c r="J748" s="2">
        <v>28.826778000000001</v>
      </c>
      <c r="K748">
        <f>STANDARDIZE(J748,M$4,N$4)</f>
        <v>0.46734728478699233</v>
      </c>
    </row>
    <row r="749" spans="7:11" x14ac:dyDescent="0.3">
      <c r="G749">
        <v>1953</v>
      </c>
      <c r="H749">
        <v>10</v>
      </c>
      <c r="I749" s="3">
        <v>1953.75000000246</v>
      </c>
      <c r="J749" s="2">
        <v>29.070879999999999</v>
      </c>
      <c r="K749">
        <f>STANDARDIZE(J749,M$5,N$5)</f>
        <v>0.46087992910302172</v>
      </c>
    </row>
    <row r="750" spans="7:11" x14ac:dyDescent="0.3">
      <c r="G750">
        <v>1953</v>
      </c>
      <c r="H750">
        <v>9</v>
      </c>
      <c r="I750" s="3">
        <v>1953.6666666691301</v>
      </c>
      <c r="J750" s="2">
        <v>28.895423999999998</v>
      </c>
      <c r="K750">
        <f>STANDARDIZE(J750,M$6,N$6)</f>
        <v>0.22672429836100291</v>
      </c>
    </row>
    <row r="751" spans="7:11" x14ac:dyDescent="0.3">
      <c r="G751">
        <v>1953</v>
      </c>
      <c r="H751">
        <v>8</v>
      </c>
      <c r="I751" s="3">
        <v>1953.5833333358</v>
      </c>
      <c r="J751" s="2">
        <v>28.413478999999999</v>
      </c>
      <c r="K751">
        <f>STANDARDIZE(J751,M$7,N$7)</f>
        <v>-0.23572117709615795</v>
      </c>
    </row>
    <row r="752" spans="7:11" x14ac:dyDescent="0.3">
      <c r="G752">
        <v>1953</v>
      </c>
      <c r="H752">
        <v>7</v>
      </c>
      <c r="I752" s="3">
        <v>1953.50000000247</v>
      </c>
      <c r="J752" s="2">
        <v>28.423645</v>
      </c>
      <c r="K752">
        <f>STANDARDIZE(J752,M$8,N$8)</f>
        <v>0.35781904907430057</v>
      </c>
    </row>
    <row r="753" spans="7:11" x14ac:dyDescent="0.3">
      <c r="G753">
        <v>1953</v>
      </c>
      <c r="H753">
        <v>6</v>
      </c>
      <c r="I753" s="3">
        <v>1953.4166666691401</v>
      </c>
      <c r="J753" s="2">
        <v>28.565704</v>
      </c>
      <c r="K753">
        <f>STANDARDIZE(J753,M$9,N$9)</f>
        <v>-0.22145016082996885</v>
      </c>
    </row>
    <row r="754" spans="7:11" x14ac:dyDescent="0.3">
      <c r="G754">
        <v>1953</v>
      </c>
      <c r="H754">
        <v>5</v>
      </c>
      <c r="I754" s="3">
        <v>1953.33333333581</v>
      </c>
      <c r="J754" s="2">
        <v>28.296250000000001</v>
      </c>
      <c r="K754">
        <f>STANDARDIZE(J754,M$10,N$10)</f>
        <v>-5.4990976206306059E-2</v>
      </c>
    </row>
    <row r="755" spans="7:11" x14ac:dyDescent="0.3">
      <c r="G755">
        <v>1953</v>
      </c>
      <c r="H755">
        <v>4</v>
      </c>
      <c r="I755" s="3">
        <v>1953.25000000248</v>
      </c>
      <c r="J755" s="2">
        <v>27.411937999999999</v>
      </c>
      <c r="K755">
        <f>STANDARDIZE(J755,M$11,N$11)</f>
        <v>-0.19675286779903595</v>
      </c>
    </row>
    <row r="756" spans="7:11" x14ac:dyDescent="0.3">
      <c r="G756">
        <v>1953</v>
      </c>
      <c r="H756">
        <v>3</v>
      </c>
      <c r="I756" s="3">
        <v>1953.1666666691499</v>
      </c>
      <c r="J756" s="2">
        <v>26.413506999999999</v>
      </c>
      <c r="K756">
        <f>STANDARDIZE(J756,M$12,N$12)</f>
        <v>-1.39871894041282</v>
      </c>
    </row>
    <row r="757" spans="7:11" x14ac:dyDescent="0.3">
      <c r="G757">
        <v>1953</v>
      </c>
      <c r="H757">
        <v>2</v>
      </c>
      <c r="I757" s="3">
        <v>1953.08333333582</v>
      </c>
      <c r="J757" s="2">
        <v>26.707027</v>
      </c>
      <c r="K757">
        <f>STANDARDIZE(J757,M$13,N$13)</f>
        <v>-0.4433172455211829</v>
      </c>
    </row>
    <row r="758" spans="7:11" x14ac:dyDescent="0.3">
      <c r="G758">
        <v>1953</v>
      </c>
      <c r="H758">
        <v>1</v>
      </c>
      <c r="I758" s="3">
        <v>1953.00000000249</v>
      </c>
      <c r="J758" s="2">
        <v>26.99287</v>
      </c>
      <c r="K758">
        <f>STANDARDIZE(J758,M$14,N$14)</f>
        <v>-0.25890605016772755</v>
      </c>
    </row>
    <row r="759" spans="7:11" x14ac:dyDescent="0.3">
      <c r="G759">
        <v>1952</v>
      </c>
      <c r="H759">
        <v>12</v>
      </c>
      <c r="I759" s="3">
        <v>1952.9166666691599</v>
      </c>
      <c r="J759" s="2">
        <v>27.841702999999999</v>
      </c>
      <c r="K759">
        <f>STANDARDIZE(J759,M$3,N$3)</f>
        <v>0.13746413369425697</v>
      </c>
    </row>
    <row r="760" spans="7:11" x14ac:dyDescent="0.3">
      <c r="G760">
        <v>1952</v>
      </c>
      <c r="H760">
        <v>11</v>
      </c>
      <c r="I760" s="3">
        <v>1952.83333333583</v>
      </c>
      <c r="J760" s="2">
        <v>28.968292000000002</v>
      </c>
      <c r="K760">
        <f>STANDARDIZE(J760,M$4,N$4)</f>
        <v>0.91595376144030594</v>
      </c>
    </row>
    <row r="761" spans="7:11" x14ac:dyDescent="0.3">
      <c r="G761">
        <v>1952</v>
      </c>
      <c r="H761">
        <v>10</v>
      </c>
      <c r="I761" s="3">
        <v>1952.7500000025</v>
      </c>
      <c r="J761" s="2">
        <v>29.206356</v>
      </c>
      <c r="K761">
        <f>STANDARDIZE(J761,M$5,N$5)</f>
        <v>0.89002964636587945</v>
      </c>
    </row>
    <row r="762" spans="7:11" x14ac:dyDescent="0.3">
      <c r="G762">
        <v>1952</v>
      </c>
      <c r="H762">
        <v>9</v>
      </c>
      <c r="I762" s="3">
        <v>1952.6666666691699</v>
      </c>
      <c r="J762" s="2">
        <v>29.063278</v>
      </c>
      <c r="K762">
        <f>STANDARDIZE(J762,M$6,N$6)</f>
        <v>0.72288140102011422</v>
      </c>
    </row>
    <row r="763" spans="7:11" x14ac:dyDescent="0.3">
      <c r="G763">
        <v>1952</v>
      </c>
      <c r="H763">
        <v>8</v>
      </c>
      <c r="I763" s="3">
        <v>1952.5833333358401</v>
      </c>
      <c r="J763" s="2">
        <v>28.760035999999999</v>
      </c>
      <c r="K763">
        <f>STANDARDIZE(J763,M$7,N$7)</f>
        <v>0.78882929076651231</v>
      </c>
    </row>
    <row r="764" spans="7:11" x14ac:dyDescent="0.3">
      <c r="G764">
        <v>1952</v>
      </c>
      <c r="H764">
        <v>7</v>
      </c>
      <c r="I764" s="3">
        <v>1952.50000000251</v>
      </c>
      <c r="J764" s="2">
        <v>28.545203999999998</v>
      </c>
      <c r="K764">
        <f>STANDARDIZE(J764,M$8,N$8)</f>
        <v>0.70961650719450042</v>
      </c>
    </row>
    <row r="765" spans="7:11" x14ac:dyDescent="0.3">
      <c r="G765">
        <v>1952</v>
      </c>
      <c r="H765">
        <v>6</v>
      </c>
      <c r="I765" s="3">
        <v>1952.4166666691799</v>
      </c>
      <c r="J765" s="2">
        <v>28.908642</v>
      </c>
      <c r="K765">
        <f>STANDARDIZE(J765,M$9,N$9)</f>
        <v>0.69761025863376547</v>
      </c>
    </row>
    <row r="766" spans="7:11" x14ac:dyDescent="0.3">
      <c r="G766">
        <v>1952</v>
      </c>
      <c r="H766">
        <v>5</v>
      </c>
      <c r="I766" s="3">
        <v>1952.3333333358501</v>
      </c>
      <c r="J766" s="2">
        <v>28.716728</v>
      </c>
      <c r="K766">
        <f>STANDARDIZE(J766,M$10,N$10)</f>
        <v>0.97870854534870033</v>
      </c>
    </row>
    <row r="767" spans="7:11" x14ac:dyDescent="0.3">
      <c r="G767">
        <v>1952</v>
      </c>
      <c r="H767">
        <v>4</v>
      </c>
      <c r="I767" s="3">
        <v>1952.25000000252</v>
      </c>
      <c r="J767" s="2">
        <v>27.578576999999999</v>
      </c>
      <c r="K767">
        <f>STANDARDIZE(J767,M$11,N$11)</f>
        <v>0.27508998349292296</v>
      </c>
    </row>
    <row r="768" spans="7:11" x14ac:dyDescent="0.3">
      <c r="G768">
        <v>1952</v>
      </c>
      <c r="H768">
        <v>3</v>
      </c>
      <c r="I768" s="3">
        <v>1952.1666666691899</v>
      </c>
      <c r="J768" s="2">
        <v>26.978850999999999</v>
      </c>
      <c r="K768">
        <f>STANDARDIZE(J768,M$12,N$12)</f>
        <v>-1.0187376051547343E-3</v>
      </c>
    </row>
    <row r="769" spans="7:11" x14ac:dyDescent="0.3">
      <c r="G769">
        <v>1952</v>
      </c>
      <c r="H769">
        <v>2</v>
      </c>
      <c r="I769" s="3">
        <v>1952.0833333358601</v>
      </c>
      <c r="J769" s="2">
        <v>26.857979</v>
      </c>
      <c r="K769">
        <f>STANDARDIZE(J769,M$13,N$13)</f>
        <v>-5.6234277774655769E-2</v>
      </c>
    </row>
    <row r="770" spans="7:11" x14ac:dyDescent="0.3">
      <c r="G770">
        <v>1952</v>
      </c>
      <c r="H770">
        <v>1</v>
      </c>
      <c r="I770" s="3">
        <v>1952.00000000253</v>
      </c>
      <c r="J770" s="2">
        <v>26.715765000000001</v>
      </c>
      <c r="K770">
        <f>STANDARDIZE(J770,M$14,N$14)</f>
        <v>-1.0959472823498706</v>
      </c>
    </row>
    <row r="771" spans="7:11" x14ac:dyDescent="0.3">
      <c r="G771">
        <v>1951</v>
      </c>
      <c r="H771">
        <v>12</v>
      </c>
      <c r="I771" s="3">
        <v>1951.9166666691999</v>
      </c>
      <c r="J771" s="2">
        <v>27.86459</v>
      </c>
      <c r="K771">
        <f>STANDARDIZE(J771,M$3,N$3)</f>
        <v>0.20908101718420991</v>
      </c>
    </row>
    <row r="772" spans="7:11" x14ac:dyDescent="0.3">
      <c r="G772">
        <v>1951</v>
      </c>
      <c r="H772">
        <v>11</v>
      </c>
      <c r="I772" s="3">
        <v>1951.8333333358701</v>
      </c>
      <c r="J772" s="2">
        <v>28.782222999999998</v>
      </c>
      <c r="K772">
        <f>STANDARDIZE(J772,M$4,N$4)</f>
        <v>0.32610570043993531</v>
      </c>
    </row>
    <row r="773" spans="7:11" x14ac:dyDescent="0.3">
      <c r="G773">
        <v>1951</v>
      </c>
      <c r="H773">
        <v>10</v>
      </c>
      <c r="I773" s="3">
        <v>1951.75000000254</v>
      </c>
      <c r="J773" s="2">
        <v>28.85529</v>
      </c>
      <c r="K773">
        <f>STANDARDIZE(J773,M$5,N$5)</f>
        <v>-0.22204832051092155</v>
      </c>
    </row>
    <row r="774" spans="7:11" x14ac:dyDescent="0.3">
      <c r="G774">
        <v>1951</v>
      </c>
      <c r="H774">
        <v>9</v>
      </c>
      <c r="I774" s="3">
        <v>1951.6666666692099</v>
      </c>
      <c r="J774" s="2">
        <v>29.098420000000001</v>
      </c>
      <c r="K774">
        <f>STANDARDIZE(J774,M$6,N$6)</f>
        <v>0.82675710789422208</v>
      </c>
    </row>
    <row r="775" spans="7:11" x14ac:dyDescent="0.3">
      <c r="G775">
        <v>1951</v>
      </c>
      <c r="H775">
        <v>8</v>
      </c>
      <c r="I775" s="3">
        <v>1951.5833333358801</v>
      </c>
      <c r="J775" s="2">
        <v>28.755545000000001</v>
      </c>
      <c r="K775">
        <f>STANDARDIZE(J775,M$7,N$7)</f>
        <v>0.7755522363391909</v>
      </c>
    </row>
    <row r="776" spans="7:11" x14ac:dyDescent="0.3">
      <c r="G776">
        <v>1951</v>
      </c>
      <c r="H776">
        <v>7</v>
      </c>
      <c r="I776" s="3">
        <v>1951.50000000255</v>
      </c>
      <c r="J776" s="2">
        <v>28.545216</v>
      </c>
      <c r="K776">
        <f>STANDARDIZE(J776,M$8,N$8)</f>
        <v>0.70965123575839151</v>
      </c>
    </row>
    <row r="777" spans="7:11" x14ac:dyDescent="0.3">
      <c r="G777">
        <v>1951</v>
      </c>
      <c r="H777">
        <v>6</v>
      </c>
      <c r="I777" s="3">
        <v>1951.4166666692199</v>
      </c>
      <c r="J777" s="2">
        <v>28.707280999999998</v>
      </c>
      <c r="K777">
        <f>STANDARDIZE(J777,M$9,N$9)</f>
        <v>0.15797065869547089</v>
      </c>
    </row>
    <row r="778" spans="7:11" x14ac:dyDescent="0.3">
      <c r="G778">
        <v>1951</v>
      </c>
      <c r="H778">
        <v>5</v>
      </c>
      <c r="I778" s="3">
        <v>1951.3333333358901</v>
      </c>
      <c r="J778" s="2">
        <v>28.57837</v>
      </c>
      <c r="K778">
        <f>STANDARDIZE(J778,M$10,N$10)</f>
        <v>0.63857042063514091</v>
      </c>
    </row>
    <row r="779" spans="7:11" x14ac:dyDescent="0.3">
      <c r="G779">
        <v>1951</v>
      </c>
      <c r="H779">
        <v>4</v>
      </c>
      <c r="I779" s="3">
        <v>1951.25000000256</v>
      </c>
      <c r="J779" s="2">
        <v>27.419464000000001</v>
      </c>
      <c r="K779">
        <f>STANDARDIZE(J779,M$11,N$11)</f>
        <v>-0.17544279453392816</v>
      </c>
    </row>
    <row r="780" spans="7:11" x14ac:dyDescent="0.3">
      <c r="G780">
        <v>1951</v>
      </c>
      <c r="H780">
        <v>3</v>
      </c>
      <c r="I780" s="3">
        <v>1951.1666666692299</v>
      </c>
      <c r="J780" s="2">
        <v>26.483592999999999</v>
      </c>
      <c r="K780">
        <f>STANDARDIZE(J780,M$12,N$12)</f>
        <v>-1.2254452939002931</v>
      </c>
    </row>
    <row r="781" spans="7:11" x14ac:dyDescent="0.3">
      <c r="G781">
        <v>1951</v>
      </c>
      <c r="H781">
        <v>2</v>
      </c>
      <c r="I781" s="3">
        <v>1951.0833333359001</v>
      </c>
      <c r="J781" s="2">
        <v>26.689254999999999</v>
      </c>
      <c r="K781">
        <f>STANDARDIZE(J781,M$13,N$13)</f>
        <v>-0.48888960297780204</v>
      </c>
    </row>
    <row r="782" spans="7:11" x14ac:dyDescent="0.3">
      <c r="G782">
        <v>1951</v>
      </c>
      <c r="H782">
        <v>1</v>
      </c>
      <c r="I782" s="3">
        <v>1951.00000000257</v>
      </c>
      <c r="J782" s="2">
        <v>27.125397</v>
      </c>
      <c r="K782">
        <f>STANDARDIZE(J782,M$14,N$14)</f>
        <v>0.14141355206753711</v>
      </c>
    </row>
    <row r="783" spans="7:11" x14ac:dyDescent="0.3">
      <c r="G783">
        <v>1950</v>
      </c>
      <c r="H783">
        <v>12</v>
      </c>
      <c r="I783" s="3">
        <v>1950.9166666692399</v>
      </c>
      <c r="J783" s="2">
        <v>27.662776999999998</v>
      </c>
      <c r="K783">
        <f>STANDARDIZE(J783,M$3,N$3)</f>
        <v>-0.4224223737258036</v>
      </c>
    </row>
    <row r="784" spans="7:11" x14ac:dyDescent="0.3">
      <c r="G784">
        <v>1950</v>
      </c>
      <c r="H784">
        <v>11</v>
      </c>
      <c r="I784" s="3">
        <v>1950.8333333359101</v>
      </c>
      <c r="J784" s="2">
        <v>28.573665999999999</v>
      </c>
      <c r="K784">
        <f>STANDARDIZE(J784,M$4,N$4)</f>
        <v>-0.33503044829011353</v>
      </c>
    </row>
    <row r="785" spans="7:11" x14ac:dyDescent="0.3">
      <c r="G785">
        <v>1950</v>
      </c>
      <c r="H785">
        <v>10</v>
      </c>
      <c r="I785" s="3">
        <v>1950.75000000258</v>
      </c>
      <c r="J785" s="2">
        <v>28.699985999999999</v>
      </c>
      <c r="K785">
        <f>STANDARDIZE(J785,M$5,N$5)</f>
        <v>-0.7140075434713794</v>
      </c>
    </row>
    <row r="786" spans="7:11" x14ac:dyDescent="0.3">
      <c r="G786">
        <v>1950</v>
      </c>
      <c r="H786">
        <v>9</v>
      </c>
      <c r="I786" s="3">
        <v>1950.6666666692499</v>
      </c>
      <c r="J786" s="2">
        <v>28.880917</v>
      </c>
      <c r="K786">
        <f>STANDARDIZE(J786,M$6,N$6)</f>
        <v>0.18384327623299415</v>
      </c>
    </row>
    <row r="787" spans="7:11" x14ac:dyDescent="0.3">
      <c r="G787">
        <v>1950</v>
      </c>
      <c r="H787">
        <v>8</v>
      </c>
      <c r="I787" s="3">
        <v>1950.5833333359201</v>
      </c>
      <c r="J787" s="2">
        <v>28.178238</v>
      </c>
      <c r="K787">
        <f>STANDARDIZE(J787,M$7,N$7)</f>
        <v>-0.93118044241320641</v>
      </c>
    </row>
    <row r="788" spans="7:11" x14ac:dyDescent="0.3">
      <c r="G788">
        <v>1950</v>
      </c>
      <c r="H788">
        <v>7</v>
      </c>
      <c r="I788" s="3">
        <v>1950.50000000259</v>
      </c>
      <c r="J788" s="2">
        <v>27.741499000000001</v>
      </c>
      <c r="K788">
        <f>STANDARDIZE(J788,M$8,N$8)</f>
        <v>-1.6163435293186288</v>
      </c>
    </row>
    <row r="789" spans="7:11" x14ac:dyDescent="0.3">
      <c r="G789">
        <v>1950</v>
      </c>
      <c r="H789">
        <v>6</v>
      </c>
      <c r="I789" s="3">
        <v>1950.4166666692599</v>
      </c>
      <c r="J789" s="2">
        <v>28.136794999999999</v>
      </c>
      <c r="K789">
        <f>STANDARDIZE(J789,M$9,N$9)</f>
        <v>-1.370909495904447</v>
      </c>
    </row>
    <row r="790" spans="7:11" x14ac:dyDescent="0.3">
      <c r="G790">
        <v>1950</v>
      </c>
      <c r="H790">
        <v>5</v>
      </c>
      <c r="I790" s="3">
        <v>1950.3333333359301</v>
      </c>
      <c r="J790" s="2">
        <v>27.647210000000001</v>
      </c>
      <c r="K790">
        <f>STANDARDIZE(J790,M$10,N$10)</f>
        <v>-1.6505853651400004</v>
      </c>
    </row>
    <row r="791" spans="7:11" x14ac:dyDescent="0.3">
      <c r="G791">
        <v>1950</v>
      </c>
      <c r="H791">
        <v>4</v>
      </c>
      <c r="I791" s="3">
        <v>1950.2500000026</v>
      </c>
      <c r="J791" s="2">
        <v>26.793478</v>
      </c>
      <c r="K791">
        <f>STANDARDIZE(J791,M$11,N$11)</f>
        <v>-1.9479391435809623</v>
      </c>
    </row>
    <row r="792" spans="7:11" x14ac:dyDescent="0.3">
      <c r="G792">
        <v>1950</v>
      </c>
      <c r="H792">
        <v>3</v>
      </c>
      <c r="I792" s="3">
        <v>1950.1666666692699</v>
      </c>
      <c r="J792" s="2">
        <v>26.528521999999999</v>
      </c>
      <c r="K792">
        <f>STANDARDIZE(J792,M$12,N$12)</f>
        <v>-1.1143673087939769</v>
      </c>
    </row>
    <row r="793" spans="7:11" x14ac:dyDescent="0.3">
      <c r="G793">
        <v>1950</v>
      </c>
      <c r="H793">
        <v>2</v>
      </c>
      <c r="I793" s="3">
        <v>1950.0833333359401</v>
      </c>
      <c r="J793" s="2">
        <v>26.126427</v>
      </c>
      <c r="K793">
        <f>STANDARDIZE(J793,M$13,N$13)</f>
        <v>-1.9321373411385547</v>
      </c>
    </row>
    <row r="794" spans="7:11" x14ac:dyDescent="0.3">
      <c r="G794">
        <v>1950</v>
      </c>
      <c r="H794">
        <v>1</v>
      </c>
      <c r="I794" s="3">
        <v>1950.00000000261</v>
      </c>
      <c r="J794" s="2">
        <v>26.356407000000001</v>
      </c>
      <c r="K794">
        <f>STANDARDIZE(J794,M$14,N$14)</f>
        <v>-2.1814472304363797</v>
      </c>
    </row>
  </sheetData>
  <autoFilter ref="A2:B2" xr:uid="{00000000-0009-0000-0000-00000E000000}">
    <sortState xmlns:xlrd2="http://schemas.microsoft.com/office/spreadsheetml/2017/richdata2" ref="A3:B68">
      <sortCondition descending="1" ref="A2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7D03-FE74-4A03-8840-5AAF05BC7DAC}">
  <dimension ref="A1:E45"/>
  <sheetViews>
    <sheetView zoomScale="85" zoomScaleNormal="85" workbookViewId="0">
      <selection activeCell="D3" sqref="D3"/>
    </sheetView>
  </sheetViews>
  <sheetFormatPr baseColWidth="10" defaultColWidth="11.44140625" defaultRowHeight="14.4" x14ac:dyDescent="0.3"/>
  <sheetData>
    <row r="1" spans="1:5" x14ac:dyDescent="0.3">
      <c r="A1" s="18" t="s">
        <v>106</v>
      </c>
    </row>
    <row r="2" spans="1:5" ht="18" x14ac:dyDescent="0.35">
      <c r="A2" s="14" t="s">
        <v>102</v>
      </c>
    </row>
    <row r="3" spans="1:5" ht="18" x14ac:dyDescent="0.35">
      <c r="A3" s="14" t="s">
        <v>101</v>
      </c>
    </row>
    <row r="4" spans="1:5" ht="18.600000000000001" thickBot="1" x14ac:dyDescent="0.4">
      <c r="A4" s="13" t="s">
        <v>100</v>
      </c>
    </row>
    <row r="5" spans="1:5" ht="23.4" thickBot="1" x14ac:dyDescent="0.35">
      <c r="A5" s="12" t="s">
        <v>99</v>
      </c>
      <c r="B5" s="12" t="s">
        <v>98</v>
      </c>
      <c r="C5" s="12" t="s">
        <v>97</v>
      </c>
      <c r="D5" s="12" t="s">
        <v>96</v>
      </c>
      <c r="E5" s="17" t="s">
        <v>105</v>
      </c>
    </row>
    <row r="6" spans="1:5" ht="15" thickBot="1" x14ac:dyDescent="0.35">
      <c r="A6" s="11">
        <v>30.55</v>
      </c>
      <c r="B6" s="11">
        <v>0.35360000000000003</v>
      </c>
      <c r="C6" s="11" t="s">
        <v>95</v>
      </c>
      <c r="D6" s="11">
        <v>2</v>
      </c>
      <c r="E6" s="3">
        <v>1996.2499999981501</v>
      </c>
    </row>
    <row r="7" spans="1:5" ht="15" thickBot="1" x14ac:dyDescent="0.35">
      <c r="A7" s="10">
        <v>32.35</v>
      </c>
      <c r="B7" s="10">
        <v>2.1920000000000002</v>
      </c>
      <c r="C7" s="10" t="s">
        <v>94</v>
      </c>
      <c r="D7" s="10">
        <v>2</v>
      </c>
      <c r="E7" s="3">
        <v>1996.4999999982299</v>
      </c>
    </row>
    <row r="8" spans="1:5" ht="15" thickBot="1" x14ac:dyDescent="0.35">
      <c r="A8" s="11">
        <v>29.3</v>
      </c>
      <c r="B8" s="11">
        <v>0</v>
      </c>
      <c r="C8" s="11" t="s">
        <v>93</v>
      </c>
      <c r="D8" s="11">
        <v>1</v>
      </c>
      <c r="E8" s="3">
        <v>1996.6666666649501</v>
      </c>
    </row>
    <row r="9" spans="1:5" ht="15" thickBot="1" x14ac:dyDescent="0.35">
      <c r="A9" s="10">
        <v>30.1</v>
      </c>
      <c r="B9" s="10">
        <v>0</v>
      </c>
      <c r="C9" s="10" t="s">
        <v>92</v>
      </c>
      <c r="D9" s="10">
        <v>1</v>
      </c>
      <c r="E9" s="3">
        <v>1996.7499999983099</v>
      </c>
    </row>
    <row r="10" spans="1:5" ht="15" thickBot="1" x14ac:dyDescent="0.35">
      <c r="A10" s="11">
        <v>29</v>
      </c>
      <c r="B10" s="11">
        <v>0</v>
      </c>
      <c r="C10" s="11" t="s">
        <v>91</v>
      </c>
      <c r="D10" s="11">
        <v>1</v>
      </c>
      <c r="E10" s="3">
        <v>1997.0833333317501</v>
      </c>
    </row>
    <row r="11" spans="1:5" ht="15" thickBot="1" x14ac:dyDescent="0.35">
      <c r="A11" s="10">
        <v>27</v>
      </c>
      <c r="B11" s="10">
        <v>0</v>
      </c>
      <c r="C11" s="10" t="s">
        <v>90</v>
      </c>
      <c r="D11" s="10">
        <v>1</v>
      </c>
      <c r="E11" s="3">
        <v>1997.24999999848</v>
      </c>
    </row>
    <row r="12" spans="1:5" ht="15" thickBot="1" x14ac:dyDescent="0.35">
      <c r="A12" s="11">
        <v>31</v>
      </c>
      <c r="B12" s="11">
        <v>0</v>
      </c>
      <c r="C12" s="11" t="s">
        <v>89</v>
      </c>
      <c r="D12" s="11">
        <v>1</v>
      </c>
      <c r="E12" s="3">
        <v>1997.4166666652</v>
      </c>
    </row>
    <row r="13" spans="1:5" ht="15" thickBot="1" x14ac:dyDescent="0.35">
      <c r="A13" s="10">
        <v>32.299999999999997</v>
      </c>
      <c r="B13" s="10">
        <v>0</v>
      </c>
      <c r="C13" s="10" t="s">
        <v>88</v>
      </c>
      <c r="D13" s="10">
        <v>1</v>
      </c>
      <c r="E13" s="3">
        <v>1997.7499999986401</v>
      </c>
    </row>
    <row r="14" spans="1:5" ht="15" thickBot="1" x14ac:dyDescent="0.35">
      <c r="A14" s="11">
        <v>29</v>
      </c>
      <c r="B14" s="11">
        <v>0</v>
      </c>
      <c r="C14" s="11" t="s">
        <v>87</v>
      </c>
      <c r="D14" s="11">
        <v>1</v>
      </c>
      <c r="E14" s="3">
        <v>2000.0833333333101</v>
      </c>
    </row>
    <row r="15" spans="1:5" ht="15" thickBot="1" x14ac:dyDescent="0.35">
      <c r="A15" s="10">
        <v>29.5</v>
      </c>
      <c r="B15" s="10">
        <v>0</v>
      </c>
      <c r="C15" s="10" t="s">
        <v>86</v>
      </c>
      <c r="D15" s="10">
        <v>1</v>
      </c>
      <c r="E15" s="3">
        <v>2001.3333333333101</v>
      </c>
    </row>
    <row r="16" spans="1:5" ht="15" thickBot="1" x14ac:dyDescent="0.35">
      <c r="A16" s="11">
        <v>29.7</v>
      </c>
      <c r="B16" s="11">
        <v>0</v>
      </c>
      <c r="C16" s="11" t="s">
        <v>85</v>
      </c>
      <c r="D16" s="11">
        <v>1</v>
      </c>
      <c r="E16" s="3">
        <v>2001.6666666666399</v>
      </c>
    </row>
    <row r="17" spans="1:5" ht="15" thickBot="1" x14ac:dyDescent="0.35">
      <c r="A17" s="10">
        <v>30.1</v>
      </c>
      <c r="B17" s="10">
        <v>0</v>
      </c>
      <c r="C17" s="10" t="s">
        <v>84</v>
      </c>
      <c r="D17" s="10">
        <v>1</v>
      </c>
      <c r="E17" s="3">
        <v>2001.74999999998</v>
      </c>
    </row>
    <row r="18" spans="1:5" ht="15" thickBot="1" x14ac:dyDescent="0.35">
      <c r="A18" s="11">
        <v>30</v>
      </c>
      <c r="B18" s="11">
        <v>0</v>
      </c>
      <c r="C18" s="11" t="s">
        <v>83</v>
      </c>
      <c r="D18" s="11">
        <v>1</v>
      </c>
      <c r="E18" s="3">
        <v>2002.24999999998</v>
      </c>
    </row>
    <row r="19" spans="1:5" ht="15" thickBot="1" x14ac:dyDescent="0.35">
      <c r="A19" s="10">
        <v>30.2</v>
      </c>
      <c r="B19" s="10">
        <v>0</v>
      </c>
      <c r="C19" s="10" t="s">
        <v>82</v>
      </c>
      <c r="D19" s="10">
        <v>1</v>
      </c>
      <c r="E19" s="3">
        <v>2002.74999999998</v>
      </c>
    </row>
    <row r="20" spans="1:5" ht="15" thickBot="1" x14ac:dyDescent="0.35">
      <c r="A20" s="11">
        <v>30.2</v>
      </c>
      <c r="B20" s="11">
        <v>0</v>
      </c>
      <c r="C20" s="11" t="s">
        <v>81</v>
      </c>
      <c r="D20" s="11">
        <v>1</v>
      </c>
      <c r="E20" s="3">
        <v>2003.49999999998</v>
      </c>
    </row>
    <row r="21" spans="1:5" ht="15" thickBot="1" x14ac:dyDescent="0.35">
      <c r="A21" s="10">
        <v>30.2</v>
      </c>
      <c r="B21" s="10">
        <v>0</v>
      </c>
      <c r="C21" s="10" t="s">
        <v>80</v>
      </c>
      <c r="D21" s="10">
        <v>1</v>
      </c>
      <c r="E21" s="3">
        <v>2003.74999999998</v>
      </c>
    </row>
    <row r="22" spans="1:5" ht="15" thickBot="1" x14ac:dyDescent="0.35">
      <c r="A22" s="11">
        <v>29.5</v>
      </c>
      <c r="B22" s="11">
        <v>0</v>
      </c>
      <c r="C22" s="11" t="s">
        <v>79</v>
      </c>
      <c r="D22" s="11">
        <v>1</v>
      </c>
      <c r="E22" s="3">
        <v>2004.49999999998</v>
      </c>
    </row>
    <row r="23" spans="1:5" ht="15" thickBot="1" x14ac:dyDescent="0.35">
      <c r="A23" s="10">
        <v>29.1</v>
      </c>
      <c r="B23" s="10">
        <v>0</v>
      </c>
      <c r="C23" s="10" t="s">
        <v>78</v>
      </c>
      <c r="D23" s="10">
        <v>1</v>
      </c>
      <c r="E23" s="3">
        <v>2004.6666666666499</v>
      </c>
    </row>
    <row r="24" spans="1:5" ht="15" thickBot="1" x14ac:dyDescent="0.35">
      <c r="A24" s="11">
        <v>28.7</v>
      </c>
      <c r="B24" s="11">
        <v>0</v>
      </c>
      <c r="C24" s="11" t="s">
        <v>77</v>
      </c>
      <c r="D24" s="11">
        <v>1</v>
      </c>
      <c r="E24" s="3">
        <v>2004.74999999998</v>
      </c>
    </row>
    <row r="25" spans="1:5" ht="15" thickBot="1" x14ac:dyDescent="0.35">
      <c r="A25" s="10">
        <v>28.5</v>
      </c>
      <c r="B25" s="10">
        <v>0</v>
      </c>
      <c r="C25" s="10" t="s">
        <v>76</v>
      </c>
      <c r="D25" s="10">
        <v>1</v>
      </c>
      <c r="E25" s="3">
        <v>2006.8333333333201</v>
      </c>
    </row>
    <row r="26" spans="1:5" ht="15" thickBot="1" x14ac:dyDescent="0.35">
      <c r="A26" s="11">
        <v>29.8</v>
      </c>
      <c r="B26" s="11">
        <v>0</v>
      </c>
      <c r="C26" s="11" t="s">
        <v>75</v>
      </c>
      <c r="D26" s="11">
        <v>1</v>
      </c>
      <c r="E26" s="3">
        <v>2007.1666666666499</v>
      </c>
    </row>
    <row r="27" spans="1:5" ht="15" thickBot="1" x14ac:dyDescent="0.35">
      <c r="A27" s="10">
        <v>30.4</v>
      </c>
      <c r="B27" s="10">
        <v>0</v>
      </c>
      <c r="C27" s="10" t="s">
        <v>74</v>
      </c>
      <c r="D27" s="10">
        <v>1</v>
      </c>
      <c r="E27" s="3">
        <v>2007.8333333333201</v>
      </c>
    </row>
    <row r="28" spans="1:5" ht="15" thickBot="1" x14ac:dyDescent="0.35">
      <c r="A28" s="11">
        <v>30.2</v>
      </c>
      <c r="B28" s="11">
        <v>0</v>
      </c>
      <c r="C28" s="11" t="s">
        <v>73</v>
      </c>
      <c r="D28" s="11">
        <v>1</v>
      </c>
      <c r="E28" s="3">
        <v>2008.1666666666499</v>
      </c>
    </row>
    <row r="29" spans="1:5" ht="15" thickBot="1" x14ac:dyDescent="0.35">
      <c r="A29" s="10">
        <v>31</v>
      </c>
      <c r="B29" s="10">
        <v>0</v>
      </c>
      <c r="C29" s="10" t="s">
        <v>72</v>
      </c>
      <c r="D29" s="10">
        <v>1</v>
      </c>
      <c r="E29" s="3">
        <v>2009.24999999999</v>
      </c>
    </row>
    <row r="30" spans="1:5" ht="15" thickBot="1" x14ac:dyDescent="0.35">
      <c r="A30" s="11">
        <v>31</v>
      </c>
      <c r="B30" s="11">
        <v>0</v>
      </c>
      <c r="C30" s="11" t="s">
        <v>71</v>
      </c>
      <c r="D30" s="11">
        <v>1</v>
      </c>
      <c r="E30" s="3">
        <v>2009.5833333333201</v>
      </c>
    </row>
    <row r="31" spans="1:5" ht="15" thickBot="1" x14ac:dyDescent="0.35">
      <c r="A31" s="10">
        <v>30.7</v>
      </c>
      <c r="B31" s="10">
        <v>0</v>
      </c>
      <c r="C31" s="10" t="s">
        <v>70</v>
      </c>
      <c r="D31" s="10">
        <v>1</v>
      </c>
      <c r="E31" s="3">
        <v>2010.24999999999</v>
      </c>
    </row>
    <row r="32" spans="1:5" ht="15" thickBot="1" x14ac:dyDescent="0.35">
      <c r="A32" s="11">
        <v>30</v>
      </c>
      <c r="B32" s="11">
        <v>0</v>
      </c>
      <c r="C32" s="11" t="s">
        <v>69</v>
      </c>
      <c r="D32" s="11">
        <v>1</v>
      </c>
      <c r="E32" s="3">
        <v>2010.4166666666599</v>
      </c>
    </row>
    <row r="33" spans="1:5" ht="15" thickBot="1" x14ac:dyDescent="0.35">
      <c r="A33" s="10">
        <v>29.2</v>
      </c>
      <c r="B33" s="10">
        <v>0</v>
      </c>
      <c r="C33" s="10" t="s">
        <v>68</v>
      </c>
      <c r="D33" s="10">
        <v>1</v>
      </c>
      <c r="E33" s="3">
        <v>2010.6666666666599</v>
      </c>
    </row>
    <row r="34" spans="1:5" ht="15" thickBot="1" x14ac:dyDescent="0.35">
      <c r="A34" s="11">
        <v>28.8</v>
      </c>
      <c r="B34" s="11">
        <v>0</v>
      </c>
      <c r="C34" s="11" t="s">
        <v>67</v>
      </c>
      <c r="D34" s="11">
        <v>1</v>
      </c>
      <c r="E34" s="3">
        <v>2010.8333333333301</v>
      </c>
    </row>
    <row r="35" spans="1:5" ht="15" thickBot="1" x14ac:dyDescent="0.35">
      <c r="A35" s="10">
        <v>30.3</v>
      </c>
      <c r="B35" s="10">
        <v>0</v>
      </c>
      <c r="C35" s="10" t="s">
        <v>66</v>
      </c>
      <c r="D35" s="10">
        <v>1</v>
      </c>
      <c r="E35" s="3">
        <v>2011.3333333333301</v>
      </c>
    </row>
    <row r="36" spans="1:5" ht="15" thickBot="1" x14ac:dyDescent="0.35">
      <c r="A36" s="11">
        <v>30.3</v>
      </c>
      <c r="B36" s="11">
        <v>0</v>
      </c>
      <c r="C36" s="11" t="s">
        <v>65</v>
      </c>
      <c r="D36" s="11">
        <v>1</v>
      </c>
      <c r="E36" s="3">
        <v>2011.4166666666599</v>
      </c>
    </row>
    <row r="37" spans="1:5" ht="15" thickBot="1" x14ac:dyDescent="0.35">
      <c r="A37" s="10">
        <v>29.4</v>
      </c>
      <c r="B37" s="10">
        <v>0.70709999999999995</v>
      </c>
      <c r="C37" s="10" t="s">
        <v>64</v>
      </c>
      <c r="D37" s="10">
        <v>2</v>
      </c>
      <c r="E37" s="3">
        <v>2011.8333333333301</v>
      </c>
    </row>
    <row r="38" spans="1:5" ht="15" thickBot="1" x14ac:dyDescent="0.35">
      <c r="A38" s="11">
        <v>30</v>
      </c>
      <c r="B38" s="11">
        <v>0</v>
      </c>
      <c r="C38" s="11" t="s">
        <v>63</v>
      </c>
      <c r="D38" s="11">
        <v>1</v>
      </c>
      <c r="E38" s="3">
        <v>2012.1666666666599</v>
      </c>
    </row>
    <row r="39" spans="1:5" ht="15" thickBot="1" x14ac:dyDescent="0.35">
      <c r="A39" s="10">
        <v>30.9</v>
      </c>
      <c r="B39" s="10">
        <v>0</v>
      </c>
      <c r="C39" s="10" t="s">
        <v>62</v>
      </c>
      <c r="D39" s="10">
        <v>1</v>
      </c>
      <c r="E39" s="3">
        <v>2012.5833333333301</v>
      </c>
    </row>
    <row r="40" spans="1:5" ht="15" thickBot="1" x14ac:dyDescent="0.35">
      <c r="A40" s="11">
        <v>31</v>
      </c>
      <c r="B40" s="11">
        <v>0</v>
      </c>
      <c r="C40" s="11" t="s">
        <v>61</v>
      </c>
      <c r="D40" s="11">
        <v>1</v>
      </c>
      <c r="E40" s="3">
        <v>2013.1666666666599</v>
      </c>
    </row>
    <row r="41" spans="1:5" ht="15" thickBot="1" x14ac:dyDescent="0.35">
      <c r="A41" s="10">
        <v>31</v>
      </c>
      <c r="B41" s="10">
        <v>0</v>
      </c>
      <c r="C41" s="10" t="s">
        <v>60</v>
      </c>
      <c r="D41" s="10">
        <v>1</v>
      </c>
      <c r="E41" s="3">
        <v>2013.3333333333301</v>
      </c>
    </row>
    <row r="42" spans="1:5" ht="15" thickBot="1" x14ac:dyDescent="0.35">
      <c r="A42" s="11">
        <v>30.2</v>
      </c>
      <c r="B42" s="11">
        <v>0</v>
      </c>
      <c r="C42" s="11" t="s">
        <v>59</v>
      </c>
      <c r="D42" s="11">
        <v>1</v>
      </c>
      <c r="E42" s="3">
        <v>2013.8333333333301</v>
      </c>
    </row>
    <row r="43" spans="1:5" ht="15" thickBot="1" x14ac:dyDescent="0.35">
      <c r="A43" s="10">
        <v>29.4</v>
      </c>
      <c r="B43" s="10">
        <v>0</v>
      </c>
      <c r="C43" s="10" t="s">
        <v>58</v>
      </c>
      <c r="D43" s="10">
        <v>1</v>
      </c>
      <c r="E43" s="3">
        <v>2014.1666666666599</v>
      </c>
    </row>
    <row r="44" spans="1:5" ht="15" thickBot="1" x14ac:dyDescent="0.35">
      <c r="A44" s="11">
        <v>29.7</v>
      </c>
      <c r="B44" s="11">
        <v>0</v>
      </c>
      <c r="C44" s="11" t="s">
        <v>57</v>
      </c>
      <c r="D44" s="11">
        <v>1</v>
      </c>
      <c r="E44" s="3">
        <v>2014.9166666666599</v>
      </c>
    </row>
    <row r="45" spans="1:5" ht="15" thickBot="1" x14ac:dyDescent="0.35">
      <c r="A45" s="10">
        <v>31</v>
      </c>
      <c r="B45" s="10">
        <v>0</v>
      </c>
      <c r="C45" s="10" t="s">
        <v>56</v>
      </c>
      <c r="D45" s="10">
        <v>1</v>
      </c>
      <c r="E45" s="3">
        <v>2015.1666666666599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210E-2001-43D4-85EF-889AD9BD6F67}">
  <dimension ref="A1"/>
  <sheetViews>
    <sheetView topLeftCell="A7" workbookViewId="0">
      <selection activeCell="H20" sqref="H2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Temp-aire</vt:lpstr>
      <vt:lpstr>SST_AVHRR</vt:lpstr>
      <vt:lpstr>SST_Modis</vt:lpstr>
      <vt:lpstr>HadISST</vt:lpstr>
      <vt:lpstr>SST-Dique</vt:lpstr>
      <vt:lpstr>Correlaciones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 LIZCANO SANDOVAL</dc:creator>
  <cp:lastModifiedBy>LUIS DAVID LIZCANO SANDOVAL</cp:lastModifiedBy>
  <dcterms:created xsi:type="dcterms:W3CDTF">2025-11-21T13:17:39Z</dcterms:created>
  <dcterms:modified xsi:type="dcterms:W3CDTF">2025-11-27T16:53:32Z</dcterms:modified>
</cp:coreProperties>
</file>