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Envdata_raw\"/>
    </mc:Choice>
  </mc:AlternateContent>
  <xr:revisionPtr revIDLastSave="0" documentId="13_ncr:1_{757D13C4-8CFF-492C-A916-A426E203003B}" xr6:coauthVersionLast="47" xr6:coauthVersionMax="47" xr10:uidLastSave="{00000000-0000-0000-0000-000000000000}"/>
  <bookViews>
    <workbookView xWindow="-108" yWindow="-108" windowWidth="23256" windowHeight="12456" firstSheet="1" activeTab="4" xr2:uid="{81D78821-629B-49B9-8A24-3E58109AFE22}"/>
  </bookViews>
  <sheets>
    <sheet name="Table" sheetId="8" r:id="rId1"/>
    <sheet name="Temp-aire" sheetId="1" r:id="rId2"/>
    <sheet name="MODIS_Aqua" sheetId="7" r:id="rId3"/>
    <sheet name="MODIS_Terra" sheetId="3" r:id="rId4"/>
    <sheet name="AVHRR" sheetId="2" r:id="rId5"/>
    <sheet name="HadISST1" sheetId="4" r:id="rId6"/>
    <sheet name="OISST" sheetId="9" r:id="rId7"/>
    <sheet name="INVEMAR" sheetId="5" r:id="rId8"/>
    <sheet name="Correlaciones" sheetId="6" r:id="rId9"/>
  </sheets>
  <definedNames>
    <definedName name="_xlnm._FilterDatabase" localSheetId="5" hidden="1">HadISST1!$A$1:$E$1</definedName>
    <definedName name="_xlnm._FilterDatabase" localSheetId="2" hidden="1">MODIS_Aqua!$A$1:$F$1</definedName>
    <definedName name="_xlnm._FilterDatabase" localSheetId="3" hidden="1">MODIS_Terra!$A$1:$F$1</definedName>
    <definedName name="_xlnm._FilterDatabase" localSheetId="1" hidden="1">'Temp-aire'!$A$9:$F$729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2" i="2"/>
  <c r="H2" i="4"/>
  <c r="L67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2" i="4"/>
  <c r="L3" i="4"/>
  <c r="J3" i="9" l="1" a="1"/>
  <c r="J3" i="9" s="1"/>
  <c r="J4" i="9" a="1"/>
  <c r="J4" i="9" s="1"/>
  <c r="J5" i="9" a="1"/>
  <c r="J5" i="9" s="1"/>
  <c r="J6" i="9" a="1"/>
  <c r="J6" i="9" s="1"/>
  <c r="J7" i="9" a="1"/>
  <c r="J7" i="9" s="1"/>
  <c r="J8" i="9" a="1"/>
  <c r="J8" i="9" s="1"/>
  <c r="J9" i="9" a="1"/>
  <c r="J9" i="9" s="1"/>
  <c r="J10" i="9" a="1"/>
  <c r="J10" i="9"/>
  <c r="J11" i="9" a="1"/>
  <c r="J11" i="9" s="1"/>
  <c r="J12" i="9" a="1"/>
  <c r="J12" i="9" s="1"/>
  <c r="J13" i="9" a="1"/>
  <c r="J13" i="9" s="1"/>
  <c r="J14" i="9" a="1"/>
  <c r="J14" i="9" s="1"/>
  <c r="J15" i="9" a="1"/>
  <c r="J15" i="9" s="1"/>
  <c r="J16" i="9" a="1"/>
  <c r="J16" i="9" s="1"/>
  <c r="J17" i="9" a="1"/>
  <c r="J17" i="9" s="1"/>
  <c r="J18" i="9" a="1"/>
  <c r="J18" i="9"/>
  <c r="J19" i="9" a="1"/>
  <c r="J19" i="9" s="1"/>
  <c r="J20" i="9" a="1"/>
  <c r="J20" i="9" s="1"/>
  <c r="J21" i="9" a="1"/>
  <c r="J21" i="9" s="1"/>
  <c r="J22" i="9" a="1"/>
  <c r="J22" i="9" s="1"/>
  <c r="J23" i="9" a="1"/>
  <c r="J23" i="9" s="1"/>
  <c r="J24" i="9" a="1"/>
  <c r="J24" i="9" s="1"/>
  <c r="J25" i="9" a="1"/>
  <c r="J25" i="9" s="1"/>
  <c r="J26" i="9" a="1"/>
  <c r="J26" i="9" s="1"/>
  <c r="J27" i="9" a="1"/>
  <c r="J27" i="9" s="1"/>
  <c r="J28" i="9" a="1"/>
  <c r="J28" i="9" s="1"/>
  <c r="J29" i="9" a="1"/>
  <c r="J29" i="9" s="1"/>
  <c r="J30" i="9" a="1"/>
  <c r="J30" i="9" s="1"/>
  <c r="J31" i="9" a="1"/>
  <c r="J31" i="9" s="1"/>
  <c r="J32" i="9" a="1"/>
  <c r="J32" i="9" s="1"/>
  <c r="J33" i="9" a="1"/>
  <c r="J33" i="9" s="1"/>
  <c r="J34" i="9" a="1"/>
  <c r="J34" i="9" s="1"/>
  <c r="J35" i="9" a="1"/>
  <c r="J35" i="9" s="1"/>
  <c r="J2" i="9" a="1"/>
  <c r="J2" i="9" s="1"/>
  <c r="N2" i="3" a="1"/>
  <c r="N2" i="3" s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2" i="9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2" i="3"/>
  <c r="N3" i="3" a="1"/>
  <c r="N3" i="3" s="1"/>
  <c r="N4" i="3" a="1"/>
  <c r="N4" i="3" s="1"/>
  <c r="N5" i="3" a="1"/>
  <c r="N5" i="3" s="1"/>
  <c r="N6" i="3" a="1"/>
  <c r="N6" i="3"/>
  <c r="N7" i="3" a="1"/>
  <c r="N7" i="3" s="1"/>
  <c r="N8" i="3" a="1"/>
  <c r="N8" i="3" s="1"/>
  <c r="N9" i="3" a="1"/>
  <c r="N9" i="3" s="1"/>
  <c r="N10" i="3" a="1"/>
  <c r="N10" i="3"/>
  <c r="N11" i="3" a="1"/>
  <c r="N11" i="3" s="1"/>
  <c r="N12" i="3" a="1"/>
  <c r="N12" i="3" s="1"/>
  <c r="N13" i="3" a="1"/>
  <c r="N13" i="3" s="1"/>
  <c r="N14" i="3" a="1"/>
  <c r="N14" i="3"/>
  <c r="N15" i="3" a="1"/>
  <c r="N15" i="3" s="1"/>
  <c r="N16" i="3" a="1"/>
  <c r="N16" i="3" s="1"/>
  <c r="O3" i="7"/>
  <c r="O4" i="7"/>
  <c r="O5" i="7"/>
  <c r="O6" i="7"/>
  <c r="O7" i="7"/>
  <c r="O8" i="7"/>
  <c r="O9" i="7"/>
  <c r="O10" i="7"/>
  <c r="O11" i="7"/>
  <c r="O12" i="7"/>
  <c r="O13" i="7"/>
  <c r="O14" i="7"/>
  <c r="O2" i="7"/>
  <c r="N3" i="7" a="1"/>
  <c r="N3" i="7"/>
  <c r="N4" i="7" a="1"/>
  <c r="N4" i="7"/>
  <c r="N5" i="7" a="1"/>
  <c r="N5" i="7"/>
  <c r="N6" i="7" a="1"/>
  <c r="N6" i="7"/>
  <c r="N7" i="7" a="1"/>
  <c r="N7" i="7"/>
  <c r="N8" i="7" a="1"/>
  <c r="N8" i="7" s="1"/>
  <c r="N9" i="7" a="1"/>
  <c r="N9" i="7"/>
  <c r="N10" i="7" a="1"/>
  <c r="N10" i="7" s="1"/>
  <c r="N11" i="7" a="1"/>
  <c r="N11" i="7"/>
  <c r="N12" i="7" a="1"/>
  <c r="N12" i="7" s="1"/>
  <c r="N13" i="7" a="1"/>
  <c r="N13" i="7" s="1"/>
  <c r="N14" i="7" a="1"/>
  <c r="N14" i="7" s="1"/>
  <c r="N2" i="7" a="1"/>
  <c r="N2" i="7" s="1"/>
  <c r="J2" i="7" a="1"/>
  <c r="J2" i="7" s="1"/>
  <c r="I3" i="7"/>
  <c r="I4" i="7"/>
  <c r="I5" i="7"/>
  <c r="I6" i="7"/>
  <c r="I7" i="7"/>
  <c r="I8" i="7"/>
  <c r="I9" i="7"/>
  <c r="I10" i="7"/>
  <c r="I11" i="7"/>
  <c r="I12" i="7"/>
  <c r="I13" i="7"/>
  <c r="I2" i="7"/>
  <c r="M14" i="7"/>
  <c r="M3" i="7"/>
  <c r="M4" i="7"/>
  <c r="M5" i="7"/>
  <c r="M6" i="7"/>
  <c r="M7" i="7"/>
  <c r="M8" i="7"/>
  <c r="M9" i="7"/>
  <c r="M10" i="7"/>
  <c r="M11" i="7"/>
  <c r="M12" i="7"/>
  <c r="M13" i="7"/>
  <c r="M2" i="7"/>
  <c r="I2" i="3"/>
  <c r="J13" i="7" a="1"/>
  <c r="J13" i="7" s="1"/>
  <c r="J12" i="7" a="1"/>
  <c r="J12" i="7" s="1"/>
  <c r="J11" i="7" a="1"/>
  <c r="J11" i="7" s="1"/>
  <c r="J10" i="7" a="1"/>
  <c r="J10" i="7" s="1"/>
  <c r="J9" i="7" a="1"/>
  <c r="J9" i="7" s="1"/>
  <c r="J8" i="7" a="1"/>
  <c r="J8" i="7" s="1"/>
  <c r="J7" i="7" a="1"/>
  <c r="J7" i="7" s="1"/>
  <c r="J6" i="7" a="1"/>
  <c r="J6" i="7" s="1"/>
  <c r="J5" i="7" a="1"/>
  <c r="J5" i="7" s="1"/>
  <c r="J4" i="7" a="1"/>
  <c r="J4" i="7" s="1"/>
  <c r="J3" i="7" a="1"/>
  <c r="J3" i="7" s="1"/>
  <c r="I2" i="4" a="1"/>
  <c r="I2" i="4" s="1"/>
  <c r="H3" i="4"/>
  <c r="I3" i="4" a="1"/>
  <c r="I3" i="4" s="1"/>
  <c r="E612" i="4" s="1"/>
  <c r="H4" i="4"/>
  <c r="I4" i="4" a="1"/>
  <c r="I4" i="4" s="1"/>
  <c r="E755" i="4" s="1"/>
  <c r="H5" i="4"/>
  <c r="I5" i="4" a="1"/>
  <c r="I5" i="4" s="1"/>
  <c r="E742" i="4" s="1"/>
  <c r="H6" i="4"/>
  <c r="I6" i="4" a="1"/>
  <c r="I6" i="4" s="1"/>
  <c r="H7" i="4"/>
  <c r="I7" i="4" a="1"/>
  <c r="I7" i="4" s="1"/>
  <c r="E716" i="4" s="1"/>
  <c r="H8" i="4"/>
  <c r="I8" i="4" a="1"/>
  <c r="I8" i="4" s="1"/>
  <c r="E763" i="4" s="1"/>
  <c r="H9" i="4"/>
  <c r="I9" i="4" a="1"/>
  <c r="I9" i="4" s="1"/>
  <c r="H10" i="4"/>
  <c r="I10" i="4" a="1"/>
  <c r="I10" i="4" s="1"/>
  <c r="H11" i="4"/>
  <c r="I11" i="4" a="1"/>
  <c r="I11" i="4" s="1"/>
  <c r="H12" i="4"/>
  <c r="I12" i="4" a="1"/>
  <c r="I12" i="4" s="1"/>
  <c r="H13" i="4"/>
  <c r="I13" i="4" a="1"/>
  <c r="I13" i="4" s="1"/>
  <c r="J2" i="3" a="1"/>
  <c r="J2" i="3" s="1"/>
  <c r="I3" i="3"/>
  <c r="J3" i="3" a="1"/>
  <c r="J3" i="3" s="1"/>
  <c r="I4" i="3"/>
  <c r="J4" i="3" a="1"/>
  <c r="J4" i="3" s="1"/>
  <c r="I5" i="3"/>
  <c r="J5" i="3" a="1"/>
  <c r="J5" i="3" s="1"/>
  <c r="I6" i="3"/>
  <c r="J6" i="3" a="1"/>
  <c r="J6" i="3" s="1"/>
  <c r="I7" i="3"/>
  <c r="J7" i="3" a="1"/>
  <c r="J7" i="3" s="1"/>
  <c r="I8" i="3"/>
  <c r="J8" i="3" a="1"/>
  <c r="J8" i="3" s="1"/>
  <c r="I9" i="3"/>
  <c r="J9" i="3" a="1"/>
  <c r="J9" i="3" s="1"/>
  <c r="I10" i="3"/>
  <c r="J10" i="3" a="1"/>
  <c r="J10" i="3" s="1"/>
  <c r="I11" i="3"/>
  <c r="J11" i="3" a="1"/>
  <c r="J11" i="3" s="1"/>
  <c r="I12" i="3"/>
  <c r="J12" i="3" a="1"/>
  <c r="J12" i="3" s="1"/>
  <c r="I13" i="3"/>
  <c r="J13" i="3" a="1"/>
  <c r="J13" i="3" s="1"/>
  <c r="H10" i="1"/>
  <c r="F10" i="1" s="1"/>
  <c r="L12" i="1"/>
  <c r="H11" i="1"/>
  <c r="F659" i="1" s="1"/>
  <c r="I11" i="1" a="1"/>
  <c r="I11" i="1" s="1"/>
  <c r="L13" i="1"/>
  <c r="H12" i="1"/>
  <c r="I12" i="1" a="1"/>
  <c r="I12" i="1" s="1"/>
  <c r="L14" i="1"/>
  <c r="H13" i="1"/>
  <c r="F517" i="1" s="1"/>
  <c r="I13" i="1" a="1"/>
  <c r="I13" i="1" s="1"/>
  <c r="L15" i="1"/>
  <c r="H14" i="1"/>
  <c r="F662" i="1" s="1"/>
  <c r="I14" i="1" a="1"/>
  <c r="I14" i="1" s="1"/>
  <c r="L16" i="1"/>
  <c r="H15" i="1"/>
  <c r="F579" i="1" s="1"/>
  <c r="I15" i="1" a="1"/>
  <c r="I15" i="1" s="1"/>
  <c r="L17" i="1"/>
  <c r="H16" i="1"/>
  <c r="I16" i="1" a="1"/>
  <c r="I16" i="1" s="1"/>
  <c r="L18" i="1"/>
  <c r="H17" i="1"/>
  <c r="I17" i="1" a="1"/>
  <c r="I17" i="1" s="1"/>
  <c r="L19" i="1"/>
  <c r="H18" i="1"/>
  <c r="F258" i="1" s="1"/>
  <c r="I18" i="1" a="1"/>
  <c r="I18" i="1" s="1"/>
  <c r="L20" i="1"/>
  <c r="H19" i="1"/>
  <c r="F619" i="1" s="1"/>
  <c r="L21" i="1"/>
  <c r="H20" i="1"/>
  <c r="F20" i="1" s="1"/>
  <c r="L22" i="1"/>
  <c r="H21" i="1"/>
  <c r="F93" i="1" s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E767" i="4" l="1"/>
  <c r="E492" i="4"/>
  <c r="E348" i="4"/>
  <c r="E359" i="4"/>
  <c r="E407" i="4"/>
  <c r="E468" i="4"/>
  <c r="E12" i="4"/>
  <c r="E120" i="4"/>
  <c r="E599" i="4"/>
  <c r="E263" i="4"/>
  <c r="E264" i="4"/>
  <c r="E59" i="4"/>
  <c r="E540" i="4"/>
  <c r="E71" i="4"/>
  <c r="E551" i="4"/>
  <c r="E107" i="4"/>
  <c r="E588" i="4"/>
  <c r="E180" i="4"/>
  <c r="E600" i="4"/>
  <c r="E204" i="4"/>
  <c r="E636" i="4"/>
  <c r="E684" i="4"/>
  <c r="E276" i="4"/>
  <c r="E299" i="4"/>
  <c r="E347" i="4"/>
  <c r="E119" i="4"/>
  <c r="E635" i="4"/>
  <c r="E646" i="4"/>
  <c r="E154" i="4"/>
  <c r="E406" i="4"/>
  <c r="E670" i="4"/>
  <c r="E190" i="4"/>
  <c r="E718" i="4"/>
  <c r="E490" i="4"/>
  <c r="E214" i="4"/>
  <c r="E118" i="4"/>
  <c r="E238" i="4"/>
  <c r="E526" i="4"/>
  <c r="E334" i="4"/>
  <c r="E250" i="4"/>
  <c r="E538" i="4"/>
  <c r="E46" i="4"/>
  <c r="E106" i="4"/>
  <c r="E310" i="4"/>
  <c r="E574" i="4"/>
  <c r="E589" i="4"/>
  <c r="E155" i="4"/>
  <c r="E443" i="4"/>
  <c r="E455" i="4"/>
  <c r="E683" i="4"/>
  <c r="E166" i="4"/>
  <c r="E311" i="4"/>
  <c r="E503" i="4"/>
  <c r="E647" i="4"/>
  <c r="E10" i="4"/>
  <c r="E168" i="4"/>
  <c r="E324" i="4"/>
  <c r="E504" i="4"/>
  <c r="E660" i="4"/>
  <c r="E84" i="4"/>
  <c r="E216" i="4"/>
  <c r="E372" i="4"/>
  <c r="E552" i="4"/>
  <c r="E94" i="4"/>
  <c r="E228" i="4"/>
  <c r="E382" i="4"/>
  <c r="E564" i="4"/>
  <c r="E730" i="4"/>
  <c r="E108" i="4"/>
  <c r="E252" i="4"/>
  <c r="E430" i="4"/>
  <c r="E598" i="4"/>
  <c r="E493" i="4"/>
  <c r="E181" i="4"/>
  <c r="E505" i="4"/>
  <c r="E325" i="4"/>
  <c r="E661" i="4"/>
  <c r="E253" i="4"/>
  <c r="E409" i="4"/>
  <c r="E13" i="4"/>
  <c r="E421" i="4"/>
  <c r="E109" i="4"/>
  <c r="E649" i="4"/>
  <c r="E37" i="4"/>
  <c r="E25" i="4"/>
  <c r="E169" i="4"/>
  <c r="E565" i="4"/>
  <c r="E517" i="4"/>
  <c r="E68" i="4"/>
  <c r="E133" i="4"/>
  <c r="E212" i="4"/>
  <c r="E277" i="4"/>
  <c r="E361" i="4"/>
  <c r="E613" i="4"/>
  <c r="E692" i="4"/>
  <c r="E572" i="4"/>
  <c r="E584" i="4"/>
  <c r="E452" i="4"/>
  <c r="E601" i="4"/>
  <c r="E284" i="4"/>
  <c r="E457" i="4"/>
  <c r="E541" i="4"/>
  <c r="E697" i="4"/>
  <c r="E73" i="4"/>
  <c r="E152" i="4"/>
  <c r="E296" i="4"/>
  <c r="E373" i="4"/>
  <c r="E632" i="4"/>
  <c r="E709" i="4"/>
  <c r="E217" i="4"/>
  <c r="E380" i="4"/>
  <c r="E469" i="4"/>
  <c r="E500" i="4"/>
  <c r="E260" i="4"/>
  <c r="E121" i="4"/>
  <c r="E248" i="4"/>
  <c r="E20" i="4"/>
  <c r="E44" i="4"/>
  <c r="E188" i="4"/>
  <c r="E668" i="4"/>
  <c r="E440" i="4"/>
  <c r="E56" i="4"/>
  <c r="E200" i="4"/>
  <c r="E349" i="4"/>
  <c r="E265" i="4"/>
  <c r="E356" i="4"/>
  <c r="E445" i="4"/>
  <c r="E536" i="4"/>
  <c r="E92" i="4"/>
  <c r="E157" i="4"/>
  <c r="E229" i="4"/>
  <c r="E392" i="4"/>
  <c r="E637" i="4"/>
  <c r="E61" i="4"/>
  <c r="E205" i="4"/>
  <c r="E685" i="4"/>
  <c r="E140" i="4"/>
  <c r="E620" i="4"/>
  <c r="E8" i="4"/>
  <c r="E85" i="4"/>
  <c r="E301" i="4"/>
  <c r="E488" i="4"/>
  <c r="E553" i="4"/>
  <c r="E728" i="4"/>
  <c r="E397" i="4"/>
  <c r="E344" i="4"/>
  <c r="E116" i="4"/>
  <c r="E524" i="4"/>
  <c r="E236" i="4"/>
  <c r="E308" i="4"/>
  <c r="E476" i="4"/>
  <c r="E22" i="4"/>
  <c r="E104" i="4"/>
  <c r="E164" i="4"/>
  <c r="E286" i="4"/>
  <c r="E358" i="4"/>
  <c r="E442" i="4"/>
  <c r="E587" i="4"/>
  <c r="E731" i="4"/>
  <c r="E779" i="4"/>
  <c r="E549" i="4"/>
  <c r="E70" i="4"/>
  <c r="E202" i="4"/>
  <c r="E262" i="4"/>
  <c r="E332" i="4"/>
  <c r="E404" i="4"/>
  <c r="E478" i="4"/>
  <c r="E622" i="4"/>
  <c r="F703" i="1"/>
  <c r="F643" i="1"/>
  <c r="F574" i="1"/>
  <c r="F513" i="1"/>
  <c r="F450" i="1"/>
  <c r="F370" i="1"/>
  <c r="F307" i="1"/>
  <c r="F235" i="1"/>
  <c r="F163" i="1"/>
  <c r="F82" i="1"/>
  <c r="F22" i="1"/>
  <c r="F290" i="1"/>
  <c r="F727" i="1"/>
  <c r="F658" i="1"/>
  <c r="F525" i="1"/>
  <c r="F463" i="1"/>
  <c r="F321" i="1"/>
  <c r="F177" i="1"/>
  <c r="F705" i="1"/>
  <c r="F645" i="1"/>
  <c r="F514" i="1"/>
  <c r="F451" i="1"/>
  <c r="F379" i="1"/>
  <c r="F309" i="1"/>
  <c r="F237" i="1"/>
  <c r="F165" i="1"/>
  <c r="F91" i="1"/>
  <c r="F695" i="1"/>
  <c r="F634" i="1"/>
  <c r="F571" i="1"/>
  <c r="F511" i="1"/>
  <c r="F441" i="1"/>
  <c r="F369" i="1"/>
  <c r="F306" i="1"/>
  <c r="F226" i="1"/>
  <c r="F153" i="1"/>
  <c r="F81" i="1"/>
  <c r="F693" i="1"/>
  <c r="F633" i="1"/>
  <c r="F565" i="1"/>
  <c r="F502" i="1"/>
  <c r="F439" i="1"/>
  <c r="F367" i="1"/>
  <c r="F297" i="1"/>
  <c r="F225" i="1"/>
  <c r="F151" i="1"/>
  <c r="F79" i="1"/>
  <c r="F21" i="1"/>
  <c r="F691" i="1"/>
  <c r="F631" i="1"/>
  <c r="F562" i="1"/>
  <c r="F501" i="1"/>
  <c r="F429" i="1"/>
  <c r="F358" i="1"/>
  <c r="F295" i="1"/>
  <c r="F223" i="1"/>
  <c r="F141" i="1"/>
  <c r="F70" i="1"/>
  <c r="F33" i="1"/>
  <c r="F682" i="1"/>
  <c r="F622" i="1"/>
  <c r="F561" i="1"/>
  <c r="F499" i="1"/>
  <c r="F427" i="1"/>
  <c r="F357" i="1"/>
  <c r="F285" i="1"/>
  <c r="F214" i="1"/>
  <c r="F139" i="1"/>
  <c r="F69" i="1"/>
  <c r="F46" i="1"/>
  <c r="F670" i="1"/>
  <c r="F609" i="1"/>
  <c r="F475" i="1"/>
  <c r="F406" i="1"/>
  <c r="F343" i="1"/>
  <c r="F199" i="1"/>
  <c r="F118" i="1"/>
  <c r="F681" i="1"/>
  <c r="F621" i="1"/>
  <c r="F559" i="1"/>
  <c r="F489" i="1"/>
  <c r="F418" i="1"/>
  <c r="F355" i="1"/>
  <c r="F283" i="1"/>
  <c r="F213" i="1"/>
  <c r="F130" i="1"/>
  <c r="F67" i="1"/>
  <c r="F630" i="1"/>
  <c r="F679" i="1"/>
  <c r="F611" i="1"/>
  <c r="F550" i="1"/>
  <c r="F487" i="1"/>
  <c r="F417" i="1"/>
  <c r="F354" i="1"/>
  <c r="F274" i="1"/>
  <c r="F211" i="1"/>
  <c r="F129" i="1"/>
  <c r="F45" i="1"/>
  <c r="F31" i="1"/>
  <c r="F678" i="1"/>
  <c r="F610" i="1"/>
  <c r="F549" i="1"/>
  <c r="F477" i="1"/>
  <c r="F415" i="1"/>
  <c r="F345" i="1"/>
  <c r="F273" i="1"/>
  <c r="F201" i="1"/>
  <c r="F127" i="1"/>
  <c r="F57" i="1"/>
  <c r="F708" i="1"/>
  <c r="F669" i="1"/>
  <c r="F598" i="1"/>
  <c r="F546" i="1"/>
  <c r="F469" i="1"/>
  <c r="F405" i="1"/>
  <c r="F333" i="1"/>
  <c r="F262" i="1"/>
  <c r="F189" i="1"/>
  <c r="F117" i="1"/>
  <c r="F597" i="1"/>
  <c r="F537" i="1"/>
  <c r="F466" i="1"/>
  <c r="F403" i="1"/>
  <c r="F331" i="1"/>
  <c r="F261" i="1"/>
  <c r="F187" i="1"/>
  <c r="F115" i="1"/>
  <c r="F55" i="1"/>
  <c r="F547" i="1"/>
  <c r="F271" i="1"/>
  <c r="F729" i="1"/>
  <c r="F595" i="1"/>
  <c r="F535" i="1"/>
  <c r="F465" i="1"/>
  <c r="F402" i="1"/>
  <c r="F322" i="1"/>
  <c r="F259" i="1"/>
  <c r="F178" i="1"/>
  <c r="F114" i="1"/>
  <c r="F586" i="1"/>
  <c r="F393" i="1"/>
  <c r="F105" i="1"/>
  <c r="F718" i="1"/>
  <c r="F657" i="1"/>
  <c r="F585" i="1"/>
  <c r="F523" i="1"/>
  <c r="F454" i="1"/>
  <c r="F391" i="1"/>
  <c r="F319" i="1"/>
  <c r="F249" i="1"/>
  <c r="F175" i="1"/>
  <c r="F103" i="1"/>
  <c r="F706" i="1"/>
  <c r="F646" i="1"/>
  <c r="F583" i="1"/>
  <c r="F453" i="1"/>
  <c r="F381" i="1"/>
  <c r="F310" i="1"/>
  <c r="F247" i="1"/>
  <c r="F166" i="1"/>
  <c r="E11" i="4"/>
  <c r="E142" i="4"/>
  <c r="E203" i="4"/>
  <c r="E395" i="4"/>
  <c r="E539" i="4"/>
  <c r="E680" i="4"/>
  <c r="E743" i="4"/>
  <c r="E487" i="4"/>
  <c r="E281" i="4"/>
  <c r="E215" i="4"/>
  <c r="E491" i="4"/>
  <c r="E695" i="4"/>
  <c r="E167" i="4"/>
  <c r="E105" i="4"/>
  <c r="E679" i="4"/>
  <c r="E633" i="4"/>
  <c r="E261" i="4"/>
  <c r="E9" i="4"/>
  <c r="E583" i="4"/>
  <c r="E775" i="4"/>
  <c r="E343" i="4"/>
  <c r="E235" i="4"/>
  <c r="E283" i="4"/>
  <c r="E393" i="4"/>
  <c r="E525" i="4"/>
  <c r="E55" i="4"/>
  <c r="E69" i="4"/>
  <c r="E391" i="4"/>
  <c r="E523" i="4"/>
  <c r="E717" i="4"/>
  <c r="E788" i="4"/>
  <c r="E7" i="4"/>
  <c r="E379" i="4"/>
  <c r="E621" i="4"/>
  <c r="E21" i="4"/>
  <c r="E295" i="4"/>
  <c r="E139" i="4"/>
  <c r="E199" i="4"/>
  <c r="E201" i="4"/>
  <c r="E249" i="4"/>
  <c r="E597" i="4"/>
  <c r="E297" i="4"/>
  <c r="E357" i="4"/>
  <c r="E219" i="4"/>
  <c r="E567" i="4"/>
  <c r="E363" i="4"/>
  <c r="E267" i="4"/>
  <c r="E75" i="4"/>
  <c r="E747" i="4"/>
  <c r="E555" i="4"/>
  <c r="E771" i="4"/>
  <c r="E171" i="4"/>
  <c r="E699" i="4"/>
  <c r="E663" i="4"/>
  <c r="E423" i="4"/>
  <c r="E327" i="4"/>
  <c r="E39" i="4"/>
  <c r="E63" i="4"/>
  <c r="E135" i="4"/>
  <c r="E651" i="4"/>
  <c r="E411" i="4"/>
  <c r="E27" i="4"/>
  <c r="E735" i="4"/>
  <c r="E519" i="4"/>
  <c r="E315" i="4"/>
  <c r="E231" i="4"/>
  <c r="E375" i="4"/>
  <c r="E279" i="4"/>
  <c r="E87" i="4"/>
  <c r="E507" i="4"/>
  <c r="E603" i="4"/>
  <c r="E183" i="4"/>
  <c r="E459" i="4"/>
  <c r="E711" i="4"/>
  <c r="E471" i="4"/>
  <c r="E786" i="4"/>
  <c r="E654" i="4"/>
  <c r="E102" i="4"/>
  <c r="E414" i="4"/>
  <c r="E30" i="4"/>
  <c r="E474" i="4"/>
  <c r="E438" i="4"/>
  <c r="E246" i="4"/>
  <c r="E150" i="4"/>
  <c r="E390" i="4"/>
  <c r="E294" i="4"/>
  <c r="E6" i="4"/>
  <c r="E270" i="4"/>
  <c r="E78" i="4"/>
  <c r="E702" i="4"/>
  <c r="E292" i="4"/>
  <c r="E388" i="4"/>
  <c r="E4" i="4"/>
  <c r="E700" i="4"/>
  <c r="E664" i="4"/>
  <c r="E532" i="4"/>
  <c r="E628" i="4"/>
  <c r="E424" i="4"/>
  <c r="E328" i="4"/>
  <c r="E40" i="4"/>
  <c r="E460" i="4"/>
  <c r="E652" i="4"/>
  <c r="E412" i="4"/>
  <c r="E100" i="4"/>
  <c r="E28" i="4"/>
  <c r="E124" i="4"/>
  <c r="E520" i="4"/>
  <c r="E316" i="4"/>
  <c r="E196" i="4"/>
  <c r="E616" i="4"/>
  <c r="E580" i="4"/>
  <c r="E484" i="4"/>
  <c r="E376" i="4"/>
  <c r="E280" i="4"/>
  <c r="E88" i="4"/>
  <c r="E508" i="4"/>
  <c r="E340" i="4"/>
  <c r="E604" i="4"/>
  <c r="E184" i="4"/>
  <c r="E712" i="4"/>
  <c r="E676" i="4"/>
  <c r="E52" i="4"/>
  <c r="E556" i="4"/>
  <c r="E232" i="4"/>
  <c r="E136" i="4"/>
  <c r="E472" i="4"/>
  <c r="E436" i="4"/>
  <c r="E244" i="4"/>
  <c r="E148" i="4"/>
  <c r="E568" i="4"/>
  <c r="E364" i="4"/>
  <c r="E268" i="4"/>
  <c r="E76" i="4"/>
  <c r="E724" i="4"/>
  <c r="E762" i="4"/>
  <c r="E366" i="4"/>
  <c r="E570" i="4"/>
  <c r="E738" i="4"/>
  <c r="E705" i="4"/>
  <c r="E54" i="4"/>
  <c r="E309" i="4"/>
  <c r="E342" i="4"/>
  <c r="E405" i="4"/>
  <c r="E573" i="4"/>
  <c r="E644" i="4"/>
  <c r="E678" i="4"/>
  <c r="E714" i="4"/>
  <c r="E781" i="4"/>
  <c r="E723" i="4"/>
  <c r="E783" i="4"/>
  <c r="E754" i="4"/>
  <c r="E186" i="4"/>
  <c r="E606" i="4"/>
  <c r="E510" i="4"/>
  <c r="E23" i="4"/>
  <c r="E58" i="4"/>
  <c r="E90" i="4"/>
  <c r="E123" i="4"/>
  <c r="E156" i="4"/>
  <c r="E189" i="4"/>
  <c r="E220" i="4"/>
  <c r="E251" i="4"/>
  <c r="E282" i="4"/>
  <c r="E313" i="4"/>
  <c r="E346" i="4"/>
  <c r="E378" i="4"/>
  <c r="E408" i="4"/>
  <c r="E444" i="4"/>
  <c r="E486" i="4"/>
  <c r="E550" i="4"/>
  <c r="E582" i="4"/>
  <c r="E615" i="4"/>
  <c r="E648" i="4"/>
  <c r="E681" i="4"/>
  <c r="E759" i="4"/>
  <c r="E778" i="4"/>
  <c r="E360" i="4"/>
  <c r="E222" i="4"/>
  <c r="E726" i="4"/>
  <c r="E126" i="4"/>
  <c r="E618" i="4"/>
  <c r="E774" i="4"/>
  <c r="E750" i="4"/>
  <c r="E165" i="4"/>
  <c r="E198" i="4"/>
  <c r="E285" i="4"/>
  <c r="E318" i="4"/>
  <c r="E489" i="4"/>
  <c r="E522" i="4"/>
  <c r="E585" i="4"/>
  <c r="E619" i="4"/>
  <c r="E138" i="4"/>
  <c r="E784" i="4"/>
  <c r="E234" i="4"/>
  <c r="E558" i="4"/>
  <c r="E462" i="4"/>
  <c r="E766" i="4"/>
  <c r="E793" i="4"/>
  <c r="E770" i="4"/>
  <c r="E42" i="4"/>
  <c r="E330" i="4"/>
  <c r="E426" i="4"/>
  <c r="E630" i="4"/>
  <c r="E43" i="4"/>
  <c r="E141" i="4"/>
  <c r="E174" i="4"/>
  <c r="E237" i="4"/>
  <c r="E298" i="4"/>
  <c r="E331" i="4"/>
  <c r="E394" i="4"/>
  <c r="E429" i="4"/>
  <c r="E502" i="4"/>
  <c r="E534" i="4"/>
  <c r="E666" i="4"/>
  <c r="F24" i="1"/>
  <c r="F356" i="1"/>
  <c r="F200" i="1"/>
  <c r="F92" i="1"/>
  <c r="F416" i="1"/>
  <c r="F212" i="1"/>
  <c r="F260" i="1"/>
  <c r="F587" i="1"/>
  <c r="F104" i="1"/>
  <c r="F464" i="1"/>
  <c r="F512" i="1"/>
  <c r="F692" i="1"/>
  <c r="F452" i="1"/>
  <c r="F140" i="1"/>
  <c r="F248" i="1"/>
  <c r="F152" i="1"/>
  <c r="F656" i="1"/>
  <c r="F560" i="1"/>
  <c r="F404" i="1"/>
  <c r="F644" i="1"/>
  <c r="F548" i="1"/>
  <c r="F596" i="1"/>
  <c r="F500" i="1"/>
  <c r="F296" i="1"/>
  <c r="F188" i="1"/>
  <c r="F344" i="1"/>
  <c r="F80" i="1"/>
  <c r="F680" i="1"/>
  <c r="F392" i="1"/>
  <c r="F236" i="1"/>
  <c r="F128" i="1"/>
  <c r="F632" i="1"/>
  <c r="F584" i="1"/>
  <c r="F488" i="1"/>
  <c r="F440" i="1"/>
  <c r="F284" i="1"/>
  <c r="F536" i="1"/>
  <c r="F332" i="1"/>
  <c r="F176" i="1"/>
  <c r="F728" i="1"/>
  <c r="F380" i="1"/>
  <c r="F68" i="1"/>
  <c r="F608" i="1"/>
  <c r="F476" i="1"/>
  <c r="F32" i="1"/>
  <c r="F56" i="1"/>
  <c r="F308" i="1"/>
  <c r="F428" i="1"/>
  <c r="F224" i="1"/>
  <c r="F116" i="1"/>
  <c r="F620" i="1"/>
  <c r="F320" i="1"/>
  <c r="F164" i="1"/>
  <c r="F668" i="1"/>
  <c r="F572" i="1"/>
  <c r="F524" i="1"/>
  <c r="F272" i="1"/>
  <c r="F368" i="1"/>
  <c r="E686" i="4"/>
  <c r="E329" i="4"/>
  <c r="E350" i="4"/>
  <c r="E377" i="4"/>
  <c r="E518" i="4"/>
  <c r="E614" i="4"/>
  <c r="E29" i="4"/>
  <c r="E101" i="4"/>
  <c r="E122" i="4"/>
  <c r="E425" i="4"/>
  <c r="E446" i="4"/>
  <c r="E566" i="4"/>
  <c r="E713" i="4"/>
  <c r="E149" i="4"/>
  <c r="E170" i="4"/>
  <c r="E473" i="4"/>
  <c r="E494" i="4"/>
  <c r="E638" i="4"/>
  <c r="E665" i="4"/>
  <c r="E746" i="4"/>
  <c r="E36" i="4"/>
  <c r="E57" i="4"/>
  <c r="E77" i="4"/>
  <c r="E103" i="4"/>
  <c r="E197" i="4"/>
  <c r="E218" i="4"/>
  <c r="E312" i="4"/>
  <c r="E333" i="4"/>
  <c r="E427" i="4"/>
  <c r="E453" i="4"/>
  <c r="E521" i="4"/>
  <c r="E542" i="4"/>
  <c r="E590" i="4"/>
  <c r="E617" i="4"/>
  <c r="E693" i="4"/>
  <c r="E715" i="4"/>
  <c r="E125" i="4"/>
  <c r="E151" i="4"/>
  <c r="E172" i="4"/>
  <c r="E245" i="4"/>
  <c r="E266" i="4"/>
  <c r="E381" i="4"/>
  <c r="E428" i="4"/>
  <c r="E454" i="4"/>
  <c r="E475" i="4"/>
  <c r="E501" i="4"/>
  <c r="E548" i="4"/>
  <c r="E569" i="4"/>
  <c r="E596" i="4"/>
  <c r="E645" i="4"/>
  <c r="E667" i="4"/>
  <c r="E694" i="4"/>
  <c r="E751" i="4"/>
  <c r="E470" i="4"/>
  <c r="E662" i="4"/>
  <c r="E398" i="4"/>
  <c r="E38" i="4"/>
  <c r="E173" i="4"/>
  <c r="E293" i="4"/>
  <c r="E314" i="4"/>
  <c r="E60" i="4"/>
  <c r="E132" i="4"/>
  <c r="E153" i="4"/>
  <c r="E221" i="4"/>
  <c r="E247" i="4"/>
  <c r="E341" i="4"/>
  <c r="E362" i="4"/>
  <c r="E456" i="4"/>
  <c r="E477" i="4"/>
  <c r="E571" i="4"/>
  <c r="E669" i="4"/>
  <c r="E696" i="4"/>
  <c r="E720" i="4"/>
  <c r="E48" i="4"/>
  <c r="E768" i="4"/>
  <c r="E780" i="4"/>
  <c r="E672" i="4"/>
  <c r="E624" i="4"/>
  <c r="E576" i="4"/>
  <c r="E528" i="4"/>
  <c r="E480" i="4"/>
  <c r="E432" i="4"/>
  <c r="E384" i="4"/>
  <c r="E336" i="4"/>
  <c r="E288" i="4"/>
  <c r="E240" i="4"/>
  <c r="E192" i="4"/>
  <c r="E144" i="4"/>
  <c r="E96" i="4"/>
  <c r="E756" i="4"/>
  <c r="E744" i="4"/>
  <c r="E732" i="4"/>
  <c r="E792" i="4"/>
  <c r="E722" i="4"/>
  <c r="E674" i="4"/>
  <c r="E626" i="4"/>
  <c r="E578" i="4"/>
  <c r="E530" i="4"/>
  <c r="E482" i="4"/>
  <c r="E434" i="4"/>
  <c r="E386" i="4"/>
  <c r="E338" i="4"/>
  <c r="E290" i="4"/>
  <c r="E242" i="4"/>
  <c r="E194" i="4"/>
  <c r="E146" i="4"/>
  <c r="E98" i="4"/>
  <c r="E50" i="4"/>
  <c r="E2" i="4"/>
  <c r="E698" i="4"/>
  <c r="E650" i="4"/>
  <c r="E602" i="4"/>
  <c r="E752" i="4"/>
  <c r="E704" i="4"/>
  <c r="E656" i="4"/>
  <c r="E608" i="4"/>
  <c r="E560" i="4"/>
  <c r="E512" i="4"/>
  <c r="E464" i="4"/>
  <c r="E416" i="4"/>
  <c r="E368" i="4"/>
  <c r="E320" i="4"/>
  <c r="E272" i="4"/>
  <c r="E224" i="4"/>
  <c r="E176" i="4"/>
  <c r="E128" i="4"/>
  <c r="E80" i="4"/>
  <c r="E32" i="4"/>
  <c r="E776" i="4"/>
  <c r="E764" i="4"/>
  <c r="E740" i="4"/>
  <c r="E790" i="4"/>
  <c r="E706" i="4"/>
  <c r="E658" i="4"/>
  <c r="E610" i="4"/>
  <c r="E562" i="4"/>
  <c r="E514" i="4"/>
  <c r="E466" i="4"/>
  <c r="E418" i="4"/>
  <c r="E370" i="4"/>
  <c r="E322" i="4"/>
  <c r="E274" i="4"/>
  <c r="E226" i="4"/>
  <c r="E178" i="4"/>
  <c r="E130" i="4"/>
  <c r="E82" i="4"/>
  <c r="E34" i="4"/>
  <c r="E682" i="4"/>
  <c r="E634" i="4"/>
  <c r="E586" i="4"/>
  <c r="E782" i="4"/>
  <c r="E89" i="4"/>
  <c r="E110" i="4"/>
  <c r="E230" i="4"/>
  <c r="E345" i="4"/>
  <c r="E413" i="4"/>
  <c r="E439" i="4"/>
  <c r="E533" i="4"/>
  <c r="E554" i="4"/>
  <c r="E629" i="4"/>
  <c r="E701" i="4"/>
  <c r="E727" i="4"/>
  <c r="E739" i="4"/>
  <c r="E86" i="4"/>
  <c r="E389" i="4"/>
  <c r="E458" i="4"/>
  <c r="E158" i="4"/>
  <c r="E653" i="4"/>
  <c r="E14" i="4"/>
  <c r="E269" i="4"/>
  <c r="E410" i="4"/>
  <c r="E506" i="4"/>
  <c r="E137" i="4"/>
  <c r="E278" i="4"/>
  <c r="E461" i="4"/>
  <c r="E581" i="4"/>
  <c r="E24" i="4"/>
  <c r="E45" i="4"/>
  <c r="E91" i="4"/>
  <c r="E117" i="4"/>
  <c r="E185" i="4"/>
  <c r="E206" i="4"/>
  <c r="E300" i="4"/>
  <c r="E326" i="4"/>
  <c r="E420" i="4"/>
  <c r="E441" i="4"/>
  <c r="E509" i="4"/>
  <c r="E535" i="4"/>
  <c r="E605" i="4"/>
  <c r="E631" i="4"/>
  <c r="E708" i="4"/>
  <c r="E729" i="4"/>
  <c r="E758" i="4"/>
  <c r="E769" i="4"/>
  <c r="E757" i="4"/>
  <c r="E745" i="4"/>
  <c r="E733" i="4"/>
  <c r="E721" i="4"/>
  <c r="E673" i="4"/>
  <c r="E625" i="4"/>
  <c r="E577" i="4"/>
  <c r="E529" i="4"/>
  <c r="E481" i="4"/>
  <c r="E433" i="4"/>
  <c r="E385" i="4"/>
  <c r="E337" i="4"/>
  <c r="E289" i="4"/>
  <c r="E241" i="4"/>
  <c r="E193" i="4"/>
  <c r="E145" i="4"/>
  <c r="E97" i="4"/>
  <c r="E49" i="4"/>
  <c r="E41" i="4"/>
  <c r="E62" i="4"/>
  <c r="E134" i="4"/>
  <c r="E317" i="4"/>
  <c r="E437" i="4"/>
  <c r="E725" i="4"/>
  <c r="E734" i="4"/>
  <c r="E182" i="4"/>
  <c r="E365" i="4"/>
  <c r="E485" i="4"/>
  <c r="E677" i="4"/>
  <c r="E233" i="4"/>
  <c r="E254" i="4"/>
  <c r="E374" i="4"/>
  <c r="E557" i="4"/>
  <c r="E5" i="4"/>
  <c r="E26" i="4"/>
  <c r="E72" i="4"/>
  <c r="E93" i="4"/>
  <c r="E187" i="4"/>
  <c r="E213" i="4"/>
  <c r="E302" i="4"/>
  <c r="E396" i="4"/>
  <c r="E422" i="4"/>
  <c r="E516" i="4"/>
  <c r="E537" i="4"/>
  <c r="E710" i="4"/>
  <c r="E707" i="4"/>
  <c r="E659" i="4"/>
  <c r="E611" i="4"/>
  <c r="E563" i="4"/>
  <c r="E515" i="4"/>
  <c r="E467" i="4"/>
  <c r="E419" i="4"/>
  <c r="E371" i="4"/>
  <c r="E323" i="4"/>
  <c r="E275" i="4"/>
  <c r="E227" i="4"/>
  <c r="E179" i="4"/>
  <c r="E131" i="4"/>
  <c r="E83" i="4"/>
  <c r="E35" i="4"/>
  <c r="E719" i="4"/>
  <c r="E671" i="4"/>
  <c r="E623" i="4"/>
  <c r="E575" i="4"/>
  <c r="E527" i="4"/>
  <c r="E479" i="4"/>
  <c r="E431" i="4"/>
  <c r="E383" i="4"/>
  <c r="E335" i="4"/>
  <c r="E287" i="4"/>
  <c r="E239" i="4"/>
  <c r="E191" i="4"/>
  <c r="E143" i="4"/>
  <c r="E95" i="4"/>
  <c r="E47" i="4"/>
  <c r="E791" i="4"/>
  <c r="E773" i="4"/>
  <c r="E761" i="4"/>
  <c r="E749" i="4"/>
  <c r="E737" i="4"/>
  <c r="E689" i="4"/>
  <c r="E641" i="4"/>
  <c r="E593" i="4"/>
  <c r="E545" i="4"/>
  <c r="E497" i="4"/>
  <c r="E449" i="4"/>
  <c r="E401" i="4"/>
  <c r="E353" i="4"/>
  <c r="E305" i="4"/>
  <c r="E257" i="4"/>
  <c r="E209" i="4"/>
  <c r="E161" i="4"/>
  <c r="E113" i="4"/>
  <c r="E65" i="4"/>
  <c r="E17" i="4"/>
  <c r="E691" i="4"/>
  <c r="E643" i="4"/>
  <c r="E595" i="4"/>
  <c r="E547" i="4"/>
  <c r="E499" i="4"/>
  <c r="E451" i="4"/>
  <c r="E403" i="4"/>
  <c r="E355" i="4"/>
  <c r="E307" i="4"/>
  <c r="E259" i="4"/>
  <c r="E211" i="4"/>
  <c r="E163" i="4"/>
  <c r="E115" i="4"/>
  <c r="E67" i="4"/>
  <c r="E19" i="4"/>
  <c r="E511" i="4"/>
  <c r="E127" i="4"/>
  <c r="E79" i="4"/>
  <c r="E31" i="4"/>
  <c r="E703" i="4"/>
  <c r="E655" i="4"/>
  <c r="E607" i="4"/>
  <c r="E559" i="4"/>
  <c r="E463" i="4"/>
  <c r="E415" i="4"/>
  <c r="E367" i="4"/>
  <c r="E319" i="4"/>
  <c r="E271" i="4"/>
  <c r="E223" i="4"/>
  <c r="E175" i="4"/>
  <c r="E777" i="4"/>
  <c r="E765" i="4"/>
  <c r="E753" i="4"/>
  <c r="E741" i="4"/>
  <c r="E53" i="4"/>
  <c r="E785" i="4"/>
  <c r="E787" i="4"/>
  <c r="E789" i="4"/>
  <c r="E74" i="4"/>
  <c r="E15" i="4"/>
  <c r="E399" i="4"/>
  <c r="E447" i="4"/>
  <c r="E495" i="4"/>
  <c r="E543" i="4"/>
  <c r="E639" i="4"/>
  <c r="E736" i="4"/>
  <c r="E748" i="4"/>
  <c r="E760" i="4"/>
  <c r="E772" i="4"/>
  <c r="E16" i="4"/>
  <c r="E64" i="4"/>
  <c r="E112" i="4"/>
  <c r="E160" i="4"/>
  <c r="E208" i="4"/>
  <c r="E256" i="4"/>
  <c r="E304" i="4"/>
  <c r="E352" i="4"/>
  <c r="E400" i="4"/>
  <c r="E448" i="4"/>
  <c r="E496" i="4"/>
  <c r="E544" i="4"/>
  <c r="E592" i="4"/>
  <c r="E640" i="4"/>
  <c r="E688" i="4"/>
  <c r="E111" i="4"/>
  <c r="E159" i="4"/>
  <c r="E207" i="4"/>
  <c r="E255" i="4"/>
  <c r="E351" i="4"/>
  <c r="E591" i="4"/>
  <c r="E33" i="4"/>
  <c r="E81" i="4"/>
  <c r="E129" i="4"/>
  <c r="E177" i="4"/>
  <c r="E225" i="4"/>
  <c r="E273" i="4"/>
  <c r="E321" i="4"/>
  <c r="E369" i="4"/>
  <c r="E417" i="4"/>
  <c r="E465" i="4"/>
  <c r="E513" i="4"/>
  <c r="E561" i="4"/>
  <c r="E609" i="4"/>
  <c r="E657" i="4"/>
  <c r="E18" i="4"/>
  <c r="E66" i="4"/>
  <c r="E114" i="4"/>
  <c r="E162" i="4"/>
  <c r="E210" i="4"/>
  <c r="E258" i="4"/>
  <c r="E306" i="4"/>
  <c r="E354" i="4"/>
  <c r="E402" i="4"/>
  <c r="E450" i="4"/>
  <c r="E498" i="4"/>
  <c r="E546" i="4"/>
  <c r="E594" i="4"/>
  <c r="E642" i="4"/>
  <c r="E690" i="4"/>
  <c r="E303" i="4"/>
  <c r="E687" i="4"/>
  <c r="E3" i="4"/>
  <c r="E51" i="4"/>
  <c r="E99" i="4"/>
  <c r="E147" i="4"/>
  <c r="E195" i="4"/>
  <c r="E243" i="4"/>
  <c r="E291" i="4"/>
  <c r="E339" i="4"/>
  <c r="E387" i="4"/>
  <c r="E435" i="4"/>
  <c r="E483" i="4"/>
  <c r="E531" i="4"/>
  <c r="E579" i="4"/>
  <c r="E627" i="4"/>
  <c r="E675" i="4"/>
  <c r="F99" i="1"/>
  <c r="F147" i="1"/>
  <c r="F195" i="1"/>
  <c r="F243" i="1"/>
  <c r="F291" i="1"/>
  <c r="F339" i="1"/>
  <c r="F387" i="1"/>
  <c r="F435" i="1"/>
  <c r="F483" i="1"/>
  <c r="F531" i="1"/>
  <c r="F15" i="1"/>
  <c r="F39" i="1"/>
  <c r="F615" i="1"/>
  <c r="F663" i="1"/>
  <c r="F87" i="1"/>
  <c r="F135" i="1"/>
  <c r="F183" i="1"/>
  <c r="F231" i="1"/>
  <c r="F279" i="1"/>
  <c r="F327" i="1"/>
  <c r="F375" i="1"/>
  <c r="F471" i="1"/>
  <c r="F519" i="1"/>
  <c r="F423" i="1"/>
  <c r="F567" i="1"/>
  <c r="F699" i="1"/>
  <c r="F75" i="1"/>
  <c r="F171" i="1"/>
  <c r="F267" i="1"/>
  <c r="F315" i="1"/>
  <c r="F363" i="1"/>
  <c r="F411" i="1"/>
  <c r="F459" i="1"/>
  <c r="F555" i="1"/>
  <c r="F123" i="1"/>
  <c r="F219" i="1"/>
  <c r="F507" i="1"/>
  <c r="F63" i="1"/>
  <c r="F111" i="1"/>
  <c r="F159" i="1"/>
  <c r="F207" i="1"/>
  <c r="F255" i="1"/>
  <c r="F303" i="1"/>
  <c r="F351" i="1"/>
  <c r="F399" i="1"/>
  <c r="F447" i="1"/>
  <c r="F495" i="1"/>
  <c r="F543" i="1"/>
  <c r="F603" i="1"/>
  <c r="F14" i="1"/>
  <c r="F709" i="1"/>
  <c r="F613" i="1"/>
  <c r="F661" i="1"/>
  <c r="F85" i="1"/>
  <c r="F133" i="1"/>
  <c r="F181" i="1"/>
  <c r="F229" i="1"/>
  <c r="F277" i="1"/>
  <c r="F325" i="1"/>
  <c r="F421" i="1"/>
  <c r="F373" i="1"/>
  <c r="F697" i="1"/>
  <c r="F73" i="1"/>
  <c r="F121" i="1"/>
  <c r="F169" i="1"/>
  <c r="F265" i="1"/>
  <c r="F217" i="1"/>
  <c r="F361" i="1"/>
  <c r="F409" i="1"/>
  <c r="F505" i="1"/>
  <c r="F25" i="1"/>
  <c r="F49" i="1"/>
  <c r="F601" i="1"/>
  <c r="F649" i="1"/>
  <c r="F313" i="1"/>
  <c r="F457" i="1"/>
  <c r="F553" i="1"/>
  <c r="F349" i="1"/>
  <c r="F541" i="1"/>
  <c r="F481" i="1"/>
  <c r="F589" i="1"/>
  <c r="F637" i="1"/>
  <c r="F685" i="1"/>
  <c r="F721" i="1"/>
  <c r="F61" i="1"/>
  <c r="F109" i="1"/>
  <c r="F157" i="1"/>
  <c r="F205" i="1"/>
  <c r="F253" i="1"/>
  <c r="F301" i="1"/>
  <c r="F397" i="1"/>
  <c r="F445" i="1"/>
  <c r="F493" i="1"/>
  <c r="F193" i="1"/>
  <c r="F433" i="1"/>
  <c r="F241" i="1"/>
  <c r="F337" i="1"/>
  <c r="F529" i="1"/>
  <c r="F13" i="1"/>
  <c r="F37" i="1"/>
  <c r="F577" i="1"/>
  <c r="F625" i="1"/>
  <c r="F673" i="1"/>
  <c r="F97" i="1"/>
  <c r="F145" i="1"/>
  <c r="F289" i="1"/>
  <c r="F385" i="1"/>
  <c r="F675" i="1"/>
  <c r="F618" i="1"/>
  <c r="F666" i="1"/>
  <c r="F210" i="1"/>
  <c r="F594" i="1"/>
  <c r="F54" i="1"/>
  <c r="F654" i="1"/>
  <c r="F30" i="1"/>
  <c r="F606" i="1"/>
  <c r="F66" i="1"/>
  <c r="F642" i="1"/>
  <c r="F726" i="1"/>
  <c r="F162" i="1"/>
  <c r="F690" i="1"/>
  <c r="F711" i="1"/>
  <c r="F627" i="1"/>
  <c r="F102" i="1"/>
  <c r="F582" i="1"/>
  <c r="F498" i="1"/>
  <c r="F612" i="1"/>
  <c r="F660" i="1"/>
  <c r="F84" i="1"/>
  <c r="F132" i="1"/>
  <c r="F180" i="1"/>
  <c r="F228" i="1"/>
  <c r="F276" i="1"/>
  <c r="F324" i="1"/>
  <c r="F372" i="1"/>
  <c r="F420" i="1"/>
  <c r="F468" i="1"/>
  <c r="F516" i="1"/>
  <c r="F564" i="1"/>
  <c r="F48" i="1"/>
  <c r="F696" i="1"/>
  <c r="F600" i="1"/>
  <c r="F648" i="1"/>
  <c r="F72" i="1"/>
  <c r="F120" i="1"/>
  <c r="F168" i="1"/>
  <c r="F216" i="1"/>
  <c r="F264" i="1"/>
  <c r="F312" i="1"/>
  <c r="F360" i="1"/>
  <c r="F408" i="1"/>
  <c r="F456" i="1"/>
  <c r="F504" i="1"/>
  <c r="F552" i="1"/>
  <c r="F636" i="1"/>
  <c r="F684" i="1"/>
  <c r="F720" i="1"/>
  <c r="F108" i="1"/>
  <c r="F156" i="1"/>
  <c r="F252" i="1"/>
  <c r="F348" i="1"/>
  <c r="F396" i="1"/>
  <c r="F540" i="1"/>
  <c r="F588" i="1"/>
  <c r="F204" i="1"/>
  <c r="F300" i="1"/>
  <c r="F444" i="1"/>
  <c r="F492" i="1"/>
  <c r="F60" i="1"/>
  <c r="F576" i="1"/>
  <c r="F624" i="1"/>
  <c r="F672" i="1"/>
  <c r="F96" i="1"/>
  <c r="F144" i="1"/>
  <c r="F192" i="1"/>
  <c r="F240" i="1"/>
  <c r="F288" i="1"/>
  <c r="F336" i="1"/>
  <c r="F384" i="1"/>
  <c r="F432" i="1"/>
  <c r="F480" i="1"/>
  <c r="F528" i="1"/>
  <c r="F581" i="1"/>
  <c r="F629" i="1"/>
  <c r="F677" i="1"/>
  <c r="F101" i="1"/>
  <c r="F149" i="1"/>
  <c r="F197" i="1"/>
  <c r="F245" i="1"/>
  <c r="F293" i="1"/>
  <c r="F341" i="1"/>
  <c r="F389" i="1"/>
  <c r="F437" i="1"/>
  <c r="F89" i="1"/>
  <c r="F137" i="1"/>
  <c r="F185" i="1"/>
  <c r="F233" i="1"/>
  <c r="F281" i="1"/>
  <c r="F473" i="1"/>
  <c r="F521" i="1"/>
  <c r="F569" i="1"/>
  <c r="F557" i="1"/>
  <c r="F713" i="1"/>
  <c r="F329" i="1"/>
  <c r="F209" i="1"/>
  <c r="F17" i="1"/>
  <c r="F41" i="1"/>
  <c r="F617" i="1"/>
  <c r="F665" i="1"/>
  <c r="F377" i="1"/>
  <c r="F425" i="1"/>
  <c r="F401" i="1"/>
  <c r="F701" i="1"/>
  <c r="F605" i="1"/>
  <c r="F653" i="1"/>
  <c r="F77" i="1"/>
  <c r="F125" i="1"/>
  <c r="F173" i="1"/>
  <c r="F221" i="1"/>
  <c r="F269" i="1"/>
  <c r="F365" i="1"/>
  <c r="F509" i="1"/>
  <c r="F545" i="1"/>
  <c r="F317" i="1"/>
  <c r="F413" i="1"/>
  <c r="F461" i="1"/>
  <c r="F497" i="1"/>
  <c r="F305" i="1"/>
  <c r="F29" i="1"/>
  <c r="F53" i="1"/>
  <c r="F593" i="1"/>
  <c r="F641" i="1"/>
  <c r="F689" i="1"/>
  <c r="F725" i="1"/>
  <c r="F65" i="1"/>
  <c r="F113" i="1"/>
  <c r="F161" i="1"/>
  <c r="F257" i="1"/>
  <c r="F353" i="1"/>
  <c r="F449" i="1"/>
  <c r="F533" i="1"/>
  <c r="F614" i="1"/>
  <c r="F530" i="1"/>
  <c r="F83" i="1"/>
  <c r="F131" i="1"/>
  <c r="F179" i="1"/>
  <c r="F227" i="1"/>
  <c r="F275" i="1"/>
  <c r="F323" i="1"/>
  <c r="F371" i="1"/>
  <c r="F419" i="1"/>
  <c r="F467" i="1"/>
  <c r="F515" i="1"/>
  <c r="F563" i="1"/>
  <c r="F23" i="1"/>
  <c r="F47" i="1"/>
  <c r="F599" i="1"/>
  <c r="F647" i="1"/>
  <c r="F71" i="1"/>
  <c r="F215" i="1"/>
  <c r="F359" i="1"/>
  <c r="F407" i="1"/>
  <c r="F503" i="1"/>
  <c r="F551" i="1"/>
  <c r="F119" i="1"/>
  <c r="F167" i="1"/>
  <c r="F263" i="1"/>
  <c r="F311" i="1"/>
  <c r="F455" i="1"/>
  <c r="F59" i="1"/>
  <c r="F155" i="1"/>
  <c r="F203" i="1"/>
  <c r="F251" i="1"/>
  <c r="F299" i="1"/>
  <c r="F443" i="1"/>
  <c r="F491" i="1"/>
  <c r="F707" i="1"/>
  <c r="F107" i="1"/>
  <c r="F347" i="1"/>
  <c r="F395" i="1"/>
  <c r="F539" i="1"/>
  <c r="F11" i="1"/>
  <c r="F35" i="1"/>
  <c r="F95" i="1"/>
  <c r="F143" i="1"/>
  <c r="F191" i="1"/>
  <c r="F239" i="1"/>
  <c r="F287" i="1"/>
  <c r="F335" i="1"/>
  <c r="F383" i="1"/>
  <c r="F431" i="1"/>
  <c r="F479" i="1"/>
  <c r="F527" i="1"/>
  <c r="F485" i="1"/>
  <c r="F194" i="1"/>
  <c r="F580" i="1"/>
  <c r="F628" i="1"/>
  <c r="F676" i="1"/>
  <c r="F100" i="1"/>
  <c r="F148" i="1"/>
  <c r="F196" i="1"/>
  <c r="F244" i="1"/>
  <c r="F292" i="1"/>
  <c r="F340" i="1"/>
  <c r="F388" i="1"/>
  <c r="F436" i="1"/>
  <c r="F484" i="1"/>
  <c r="F532" i="1"/>
  <c r="F40" i="1"/>
  <c r="F712" i="1"/>
  <c r="F664" i="1"/>
  <c r="F616" i="1"/>
  <c r="F88" i="1"/>
  <c r="F136" i="1"/>
  <c r="F184" i="1"/>
  <c r="F232" i="1"/>
  <c r="F280" i="1"/>
  <c r="F328" i="1"/>
  <c r="F376" i="1"/>
  <c r="F424" i="1"/>
  <c r="F472" i="1"/>
  <c r="F520" i="1"/>
  <c r="F568" i="1"/>
  <c r="F604" i="1"/>
  <c r="F652" i="1"/>
  <c r="F220" i="1"/>
  <c r="F316" i="1"/>
  <c r="F364" i="1"/>
  <c r="F460" i="1"/>
  <c r="F508" i="1"/>
  <c r="F124" i="1"/>
  <c r="F172" i="1"/>
  <c r="F268" i="1"/>
  <c r="F412" i="1"/>
  <c r="F556" i="1"/>
  <c r="F592" i="1"/>
  <c r="F640" i="1"/>
  <c r="F688" i="1"/>
  <c r="F724" i="1"/>
  <c r="F64" i="1"/>
  <c r="F112" i="1"/>
  <c r="F160" i="1"/>
  <c r="F208" i="1"/>
  <c r="F256" i="1"/>
  <c r="F304" i="1"/>
  <c r="F352" i="1"/>
  <c r="F400" i="1"/>
  <c r="F448" i="1"/>
  <c r="F496" i="1"/>
  <c r="F544" i="1"/>
  <c r="F482" i="1"/>
  <c r="F16" i="1"/>
  <c r="F434" i="1"/>
  <c r="F386" i="1"/>
  <c r="F338" i="1"/>
  <c r="F98" i="1"/>
  <c r="F38" i="1"/>
  <c r="F578" i="1"/>
  <c r="F723" i="1"/>
  <c r="F704" i="1"/>
  <c r="F687" i="1"/>
  <c r="F671" i="1"/>
  <c r="F655" i="1"/>
  <c r="F639" i="1"/>
  <c r="F623" i="1"/>
  <c r="F607" i="1"/>
  <c r="F591" i="1"/>
  <c r="F575" i="1"/>
  <c r="F558" i="1"/>
  <c r="F542" i="1"/>
  <c r="F526" i="1"/>
  <c r="F510" i="1"/>
  <c r="F494" i="1"/>
  <c r="F478" i="1"/>
  <c r="F462" i="1"/>
  <c r="F446" i="1"/>
  <c r="F430" i="1"/>
  <c r="F414" i="1"/>
  <c r="F398" i="1"/>
  <c r="F382" i="1"/>
  <c r="F366" i="1"/>
  <c r="F350" i="1"/>
  <c r="F334" i="1"/>
  <c r="F318" i="1"/>
  <c r="F302" i="1"/>
  <c r="F286" i="1"/>
  <c r="F270" i="1"/>
  <c r="F254" i="1"/>
  <c r="F238" i="1"/>
  <c r="F222" i="1"/>
  <c r="F206" i="1"/>
  <c r="F190" i="1"/>
  <c r="F174" i="1"/>
  <c r="F158" i="1"/>
  <c r="F142" i="1"/>
  <c r="F126" i="1"/>
  <c r="F110" i="1"/>
  <c r="F94" i="1"/>
  <c r="F78" i="1"/>
  <c r="F62" i="1"/>
  <c r="F52" i="1"/>
  <c r="F44" i="1"/>
  <c r="F36" i="1"/>
  <c r="F28" i="1"/>
  <c r="F12" i="1"/>
  <c r="F242" i="1"/>
  <c r="F146" i="1"/>
  <c r="F686" i="1"/>
  <c r="F76" i="1"/>
  <c r="F51" i="1"/>
  <c r="F43" i="1"/>
  <c r="F27" i="1"/>
  <c r="F19" i="1"/>
  <c r="F626" i="1"/>
  <c r="F702" i="1"/>
  <c r="F719" i="1"/>
  <c r="F700" i="1"/>
  <c r="F683" i="1"/>
  <c r="F667" i="1"/>
  <c r="F651" i="1"/>
  <c r="F635" i="1"/>
  <c r="F570" i="1"/>
  <c r="F554" i="1"/>
  <c r="F538" i="1"/>
  <c r="F522" i="1"/>
  <c r="F506" i="1"/>
  <c r="F490" i="1"/>
  <c r="F474" i="1"/>
  <c r="F458" i="1"/>
  <c r="F442" i="1"/>
  <c r="F426" i="1"/>
  <c r="F410" i="1"/>
  <c r="F394" i="1"/>
  <c r="F378" i="1"/>
  <c r="F362" i="1"/>
  <c r="F346" i="1"/>
  <c r="F330" i="1"/>
  <c r="F314" i="1"/>
  <c r="F298" i="1"/>
  <c r="F282" i="1"/>
  <c r="F266" i="1"/>
  <c r="F250" i="1"/>
  <c r="F234" i="1"/>
  <c r="F218" i="1"/>
  <c r="F202" i="1"/>
  <c r="F186" i="1"/>
  <c r="F170" i="1"/>
  <c r="F154" i="1"/>
  <c r="F138" i="1"/>
  <c r="F122" i="1"/>
  <c r="F106" i="1"/>
  <c r="F90" i="1"/>
  <c r="F74" i="1"/>
  <c r="F58" i="1"/>
  <c r="F50" i="1"/>
  <c r="F42" i="1"/>
  <c r="F34" i="1"/>
  <c r="F26" i="1"/>
  <c r="F18" i="1"/>
  <c r="F722" i="1"/>
  <c r="F650" i="1"/>
  <c r="F602" i="1"/>
  <c r="F714" i="1"/>
  <c r="F698" i="1"/>
  <c r="F590" i="1"/>
  <c r="F674" i="1"/>
  <c r="F638" i="1"/>
  <c r="F566" i="1"/>
  <c r="F534" i="1"/>
  <c r="F518" i="1"/>
  <c r="F486" i="1"/>
  <c r="F470" i="1"/>
  <c r="F438" i="1"/>
  <c r="F422" i="1"/>
  <c r="F390" i="1"/>
  <c r="F374" i="1"/>
  <c r="F342" i="1"/>
  <c r="F326" i="1"/>
  <c r="F294" i="1"/>
  <c r="F278" i="1"/>
  <c r="F246" i="1"/>
  <c r="F230" i="1"/>
  <c r="F198" i="1"/>
  <c r="F182" i="1"/>
  <c r="F150" i="1"/>
  <c r="F134" i="1"/>
  <c r="F86" i="1"/>
  <c r="F7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tc={F4960FCF-5E79-4F66-8947-3B6AEB551376}</author>
  </authors>
  <commentList>
    <comment ref="L10" authorId="0" shapeId="0" xr:uid="{F4960FCF-5E79-4F66-8947-3B6AEB5513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Valores interpolados con temperatura de aeropuerto (2014-2015)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tc={DC8DE1ED-FCF3-484F-8A2F-00F1AB8193B1}</author>
    <author>tc={803C6189-A22D-4E2F-A39C-7A865AE7BFED}</author>
  </authors>
  <commentList>
    <comment ref="D1" authorId="0" shapeId="0" xr:uid="{DC8DE1ED-FCF3-484F-8A2F-00F1AB8193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MODIS Aqua monthly means at 4.6 km per pixel.</t>
      </text>
    </comment>
    <comment ref="F1" authorId="1" shapeId="0" xr:uid="{803C6189-A22D-4E2F-A39C-7A865AE7BF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It represent the number of pixels with valid data per month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tc={8696F112-AE01-4095-BE25-795464886709}</author>
  </authors>
  <commentList>
    <comment ref="D1" authorId="0" shapeId="0" xr:uid="{8696F112-AE01-4095-BE25-7954648867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MODIS Terra monthly means at 4.6 km per pixel.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tc={6C50C60B-1679-473F-98D5-CC32F9FB8406}</author>
  </authors>
  <commentList>
    <comment ref="D1" authorId="0" shapeId="0" xr:uid="{6C50C60B-1679-473F-98D5-CC32F9FB84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HADISST1 at 1° per pixel (~111 km). Cell centroid at 10.5, -75.5.
Downloaded from NOAA ERDDAP:
https://coastwatch.pfeg.noaa.gov/erddap/griddap/erdHadISST.html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tc={B26D7163-F735-4659-A28A-7D69F716C3C5}</author>
  </authors>
  <commentList>
    <comment ref="D1" authorId="0" shapeId="0" xr:uid="{B26D7163-F735-4659-A28A-7D69F716C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OISST at 27 km per pixel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<sst xmlns="http://schemas.openxmlformats.org/spreadsheetml/2006/main" count="906" uniqueCount="148">
  <si>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</si>
  <si>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</si>
  <si>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</si>
  <si>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</si>
  <si>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</si>
  <si>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</si>
  <si>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</si>
  <si>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</si>
  <si>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</si>
  <si>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</si>
  <si>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</si>
  <si>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</si>
  <si>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Temp (°C)</t>
  </si>
  <si>
    <t>Año</t>
  </si>
  <si>
    <t>SD</t>
  </si>
  <si>
    <t>Seasonality</t>
  </si>
  <si>
    <t>STDA</t>
  </si>
  <si>
    <t>A.M</t>
  </si>
  <si>
    <t>Mes</t>
  </si>
  <si>
    <t xml:space="preserve">ENTIDAD     01  IDEAM            </t>
  </si>
  <si>
    <t xml:space="preserve">ELEVACION  1 m.s.n.m         </t>
  </si>
  <si>
    <t>MUNICIPIO  CARTAGENA</t>
  </si>
  <si>
    <t xml:space="preserve">LONGITUD   75°32 W               </t>
  </si>
  <si>
    <t>DEPTO      BOLIVAR</t>
  </si>
  <si>
    <t xml:space="preserve">LATITUD    10°23 N               </t>
  </si>
  <si>
    <t>ESTACION : 14015030  ESC NAVAL CIOH</t>
  </si>
  <si>
    <t xml:space="preserve">FECHA DE PROCESO :  2016/08/30                                                           </t>
  </si>
  <si>
    <t>CORRIENTE  MAR CARIBE</t>
  </si>
  <si>
    <t>VALORES TOTALES MENSUALES DE TEMPERATURA AIRE (°C)</t>
  </si>
  <si>
    <t>SST_Night</t>
  </si>
  <si>
    <t>SST_Day</t>
  </si>
  <si>
    <t>Year</t>
  </si>
  <si>
    <t>SST</t>
  </si>
  <si>
    <t>Month</t>
  </si>
  <si>
    <t>Y.M</t>
  </si>
  <si>
    <t>SST_Aqua</t>
  </si>
  <si>
    <t>sst_mean</t>
  </si>
  <si>
    <t>y.m</t>
  </si>
  <si>
    <t>month</t>
  </si>
  <si>
    <t>year</t>
  </si>
  <si>
    <t>sd</t>
  </si>
  <si>
    <t>°C</t>
  </si>
  <si>
    <t>HADISST (°C)</t>
  </si>
  <si>
    <t>M</t>
  </si>
  <si>
    <t>A</t>
  </si>
  <si>
    <t>SST (°C)</t>
  </si>
  <si>
    <t>AÑO</t>
  </si>
  <si>
    <t>2015/03</t>
  </si>
  <si>
    <t>2014/12</t>
  </si>
  <si>
    <t>2014/03</t>
  </si>
  <si>
    <t>2013/11</t>
  </si>
  <si>
    <t>2013/05</t>
  </si>
  <si>
    <t>2013/03</t>
  </si>
  <si>
    <t>2012/08</t>
  </si>
  <si>
    <t>2012/03</t>
  </si>
  <si>
    <t>2011/11</t>
  </si>
  <si>
    <t>2011/06</t>
  </si>
  <si>
    <t>2011/05</t>
  </si>
  <si>
    <t>2010/11</t>
  </si>
  <si>
    <t>2010/09</t>
  </si>
  <si>
    <t>2010/06</t>
  </si>
  <si>
    <t>2010/04</t>
  </si>
  <si>
    <t>2009/08</t>
  </si>
  <si>
    <t>2009/04</t>
  </si>
  <si>
    <t>2008/03</t>
  </si>
  <si>
    <t>2007/11</t>
  </si>
  <si>
    <t>2007/03</t>
  </si>
  <si>
    <t>2006/11</t>
  </si>
  <si>
    <t>2004/10</t>
  </si>
  <si>
    <t>2004/09</t>
  </si>
  <si>
    <t>2004/07</t>
  </si>
  <si>
    <t>2003/10</t>
  </si>
  <si>
    <t>2003/07</t>
  </si>
  <si>
    <t>2002/10</t>
  </si>
  <si>
    <t>2002/04</t>
  </si>
  <si>
    <t>2001/10</t>
  </si>
  <si>
    <t>2001/09</t>
  </si>
  <si>
    <t>2001/05</t>
  </si>
  <si>
    <t>2000/02</t>
  </si>
  <si>
    <t>1997/10</t>
  </si>
  <si>
    <t>1997/06</t>
  </si>
  <si>
    <t>1997/04</t>
  </si>
  <si>
    <t>1997/02</t>
  </si>
  <si>
    <t>1996/10</t>
  </si>
  <si>
    <t>1996/09</t>
  </si>
  <si>
    <t>1996/07</t>
  </si>
  <si>
    <t>1996/04</t>
  </si>
  <si>
    <t>n</t>
  </si>
  <si>
    <t>Fecha</t>
  </si>
  <si>
    <t>Desviación ST</t>
  </si>
  <si>
    <t>Valor Promedio</t>
  </si>
  <si>
    <t>http://cinto.invemar.org.co/goos/</t>
  </si>
  <si>
    <r>
      <t>Estación:</t>
    </r>
    <r>
      <rPr>
        <sz val="14"/>
        <color rgb="FF000000"/>
        <rFont val="Times New Roman"/>
        <family val="1"/>
      </rPr>
      <t> C13003031 Desembocadura del Canal del Dique- 2 </t>
    </r>
  </si>
  <si>
    <t>SST_Terra</t>
  </si>
  <si>
    <t>y.m.</t>
  </si>
  <si>
    <t>INVEMAR</t>
  </si>
  <si>
    <t>n_obs</t>
  </si>
  <si>
    <t>stdv</t>
  </si>
  <si>
    <t>std</t>
  </si>
  <si>
    <t>STDV</t>
  </si>
  <si>
    <t>Air T</t>
  </si>
  <si>
    <t>MODIS Aqua</t>
  </si>
  <si>
    <t>MODIS Terra</t>
  </si>
  <si>
    <t>Period</t>
  </si>
  <si>
    <t>2003-2015</t>
  </si>
  <si>
    <t>2001-2015</t>
  </si>
  <si>
    <t>Pixel size (km)</t>
  </si>
  <si>
    <t>Location</t>
  </si>
  <si>
    <t>Lat</t>
  </si>
  <si>
    <t>Lon</t>
  </si>
  <si>
    <t>-</t>
  </si>
  <si>
    <t>Outside the bay, the most proximate pixel without land interference</t>
  </si>
  <si>
    <t>N</t>
  </si>
  <si>
    <t>AVHRR</t>
  </si>
  <si>
    <t>1954-2015</t>
  </si>
  <si>
    <t>1982-2015</t>
  </si>
  <si>
    <t>Description</t>
  </si>
  <si>
    <t>Monitoring station data</t>
  </si>
  <si>
    <t>Aqua sensor, SST L3 data</t>
  </si>
  <si>
    <t>Terra sensor, SST L3 data</t>
  </si>
  <si>
    <t>Compilation of several AVHRR series sensors</t>
  </si>
  <si>
    <t>Compilation of satellite, buoy, cruise data (Interpolation to fill spatial and temporal gaps globally, specially before the remote sensing era)</t>
  </si>
  <si>
    <t>Pixel outside the bay</t>
  </si>
  <si>
    <t>OISST</t>
  </si>
  <si>
    <t>Product</t>
  </si>
  <si>
    <t>Interpolated data, constructed by combining  observations from different platforms (satellite, ships, buoys). Main data source is AVHRR</t>
  </si>
  <si>
    <r>
      <t>Variable:</t>
    </r>
    <r>
      <rPr>
        <sz val="14"/>
        <color rgb="FF000000"/>
        <rFont val="Times New Roman"/>
        <family val="1"/>
      </rPr>
      <t> SST  - ºC</t>
    </r>
  </si>
  <si>
    <t>GRID (10.5N, -75.5W)</t>
  </si>
  <si>
    <t>Type</t>
  </si>
  <si>
    <t>In situ</t>
  </si>
  <si>
    <t>Satellite</t>
  </si>
  <si>
    <t>Multiple</t>
  </si>
  <si>
    <t>IDEAM station in Cartagena (CIOH)</t>
  </si>
  <si>
    <t>HADISST1</t>
  </si>
  <si>
    <t>Rayner et al. 2003. J. Geophys. Res.Vol. 108, No. D14, 4407 10.1029/2002JD002670</t>
  </si>
  <si>
    <t>Reference</t>
  </si>
  <si>
    <t>Source</t>
  </si>
  <si>
    <t>Google Earth Engine</t>
  </si>
  <si>
    <t>NOAA ERDDAP</t>
  </si>
  <si>
    <t>IDEAM</t>
  </si>
  <si>
    <t xml:space="preserve">Reynolds et al. 2008. NOAA NCEI. doi:10.7289/V5SQ8XB5 </t>
  </si>
  <si>
    <t>Day (°C)</t>
  </si>
  <si>
    <t>stdv_day</t>
  </si>
  <si>
    <t>obs_day</t>
  </si>
  <si>
    <t>obs_night</t>
  </si>
  <si>
    <t>stdv_night</t>
  </si>
  <si>
    <t>NO ESTAN ACTUALIZADAS</t>
  </si>
  <si>
    <t>Night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</si>
</sst>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A]mmm\-yyyy;@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Lucida Sans Unicode"/>
      <family val="2"/>
    </font>
    <font>
      <b/>
      <sz val="9"/>
      <color rgb="FF000000"/>
      <name val="Lucida Sans Unicode"/>
      <family val="2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F4EE"/>
        <bgColor indexed="64"/>
      </patternFill>
    </fill>
    <fill>
      <patternFill patternType="solid">
        <fgColor rgb="FFEBE5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EBE5D9"/>
      </top>
      <bottom style="medium">
        <color rgb="FFEBE5D9"/>
      </bottom>
      <diagonal/>
    </border>
    <border>
      <left/>
      <right/>
      <top style="medium">
        <color rgb="FF523A0B"/>
      </top>
      <bottom style="medium">
        <color rgb="FF523A0B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2" fillId="2" borderId="0" xfId="0" applyFont="1" applyFill="1"/>
    <xf numFmtId="166" fontId="0" fillId="0" borderId="0" xfId="0" applyNumberFormat="1"/>
    <xf numFmtId="0" fontId="3" fillId="0" borderId="1" xfId="0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2" fillId="5" borderId="0" xfId="0" applyFont="1" applyFill="1"/>
    <xf numFmtId="0" fontId="0" fillId="5" borderId="0" xfId="0" applyFill="1"/>
    <xf numFmtId="0" fontId="4" fillId="4" borderId="0" xfId="0" applyFont="1" applyFill="1" applyAlignment="1">
      <alignment horizontal="left" vertical="center" wrapText="1"/>
    </xf>
    <xf numFmtId="0" fontId="1" fillId="5" borderId="0" xfId="0" applyFont="1" applyFill="1"/>
    <xf numFmtId="1" fontId="0" fillId="0" borderId="0" xfId="0" applyNumberFormat="1"/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4" xfId="0" applyFont="1" applyBorder="1"/>
    <xf numFmtId="0" fontId="2" fillId="6" borderId="0" xfId="0" applyFont="1" applyFill="1"/>
    <xf numFmtId="0" fontId="2" fillId="7" borderId="0" xfId="0" applyFont="1" applyFill="1"/>
    <xf numFmtId="0" fontId="2" fillId="0" borderId="0" xfId="0" applyFont="1" applyAlignment="1">
      <alignment horizontal="center"/>
    </xf>
    <xf numFmtId="0" fontId="2" fillId="8" borderId="0" xfId="0" applyFont="1" applyFill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AirT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'Temp-aire'!$C$10:$C$729</c:f>
              <c:numCache>
                <c:formatCode>0.0</c:formatCode>
                <c:ptCount val="720"/>
                <c:pt idx="0">
                  <c:v>1953.99999998459</c:v>
                </c:pt>
                <c:pt idx="1">
                  <c:v>1954.0833333179501</c:v>
                </c:pt>
                <c:pt idx="2">
                  <c:v>1954.1666666513099</c:v>
                </c:pt>
                <c:pt idx="3">
                  <c:v>1954.24999998467</c:v>
                </c:pt>
                <c:pt idx="4">
                  <c:v>1954.3333333180301</c:v>
                </c:pt>
                <c:pt idx="5">
                  <c:v>1954.41666665139</c:v>
                </c:pt>
                <c:pt idx="6">
                  <c:v>1954.49999998475</c:v>
                </c:pt>
                <c:pt idx="7">
                  <c:v>1954.5833333181099</c:v>
                </c:pt>
                <c:pt idx="8">
                  <c:v>1954.66666665147</c:v>
                </c:pt>
                <c:pt idx="9">
                  <c:v>1954.7499999848301</c:v>
                </c:pt>
                <c:pt idx="10">
                  <c:v>1954.8333333181899</c:v>
                </c:pt>
                <c:pt idx="11">
                  <c:v>1954.91666665155</c:v>
                </c:pt>
                <c:pt idx="12">
                  <c:v>1954.9999999849099</c:v>
                </c:pt>
                <c:pt idx="13">
                  <c:v>1955.08333331827</c:v>
                </c:pt>
                <c:pt idx="14">
                  <c:v>1955.1666666516301</c:v>
                </c:pt>
                <c:pt idx="15">
                  <c:v>1955.2499999849899</c:v>
                </c:pt>
                <c:pt idx="16">
                  <c:v>1955.33333331835</c:v>
                </c:pt>
                <c:pt idx="17">
                  <c:v>1955.4166666517101</c:v>
                </c:pt>
                <c:pt idx="18">
                  <c:v>1955.49999998507</c:v>
                </c:pt>
                <c:pt idx="19">
                  <c:v>1955.58333331843</c:v>
                </c:pt>
                <c:pt idx="20">
                  <c:v>1955.6666666517899</c:v>
                </c:pt>
                <c:pt idx="21">
                  <c:v>1955.74999998515</c:v>
                </c:pt>
                <c:pt idx="22">
                  <c:v>1955.8333333185101</c:v>
                </c:pt>
                <c:pt idx="23">
                  <c:v>1955.9166666518699</c:v>
                </c:pt>
                <c:pt idx="24">
                  <c:v>1955.99999998523</c:v>
                </c:pt>
                <c:pt idx="25">
                  <c:v>1956.0833333185899</c:v>
                </c:pt>
                <c:pt idx="26">
                  <c:v>1956.16666665195</c:v>
                </c:pt>
                <c:pt idx="27">
                  <c:v>1956.2499999853101</c:v>
                </c:pt>
                <c:pt idx="28">
                  <c:v>1956.3333333186699</c:v>
                </c:pt>
                <c:pt idx="29">
                  <c:v>1956.41666665203</c:v>
                </c:pt>
                <c:pt idx="30">
                  <c:v>1956.4999999853901</c:v>
                </c:pt>
                <c:pt idx="31">
                  <c:v>1956.58333331875</c:v>
                </c:pt>
                <c:pt idx="32">
                  <c:v>1956.6666666521101</c:v>
                </c:pt>
                <c:pt idx="33">
                  <c:v>1956.7499999854699</c:v>
                </c:pt>
                <c:pt idx="34">
                  <c:v>1956.83333331883</c:v>
                </c:pt>
                <c:pt idx="35">
                  <c:v>1956.9166666521901</c:v>
                </c:pt>
                <c:pt idx="36">
                  <c:v>1956.9999999855499</c:v>
                </c:pt>
                <c:pt idx="37">
                  <c:v>1957.08333331891</c:v>
                </c:pt>
                <c:pt idx="38">
                  <c:v>1957.1666666522699</c:v>
                </c:pt>
                <c:pt idx="39">
                  <c:v>1957.24999998563</c:v>
                </c:pt>
                <c:pt idx="40">
                  <c:v>1957.3333333189901</c:v>
                </c:pt>
                <c:pt idx="41">
                  <c:v>1957.4166666523499</c:v>
                </c:pt>
                <c:pt idx="42">
                  <c:v>1957.49999998571</c:v>
                </c:pt>
                <c:pt idx="43">
                  <c:v>1957.5833333190701</c:v>
                </c:pt>
                <c:pt idx="44">
                  <c:v>1957.66666665243</c:v>
                </c:pt>
                <c:pt idx="45">
                  <c:v>1957.7499999857901</c:v>
                </c:pt>
                <c:pt idx="46">
                  <c:v>1957.8333333191499</c:v>
                </c:pt>
                <c:pt idx="47">
                  <c:v>1957.91666665251</c:v>
                </c:pt>
                <c:pt idx="48">
                  <c:v>1957.9999999858701</c:v>
                </c:pt>
                <c:pt idx="49">
                  <c:v>1958.08333331923</c:v>
                </c:pt>
                <c:pt idx="50">
                  <c:v>1958.16666665259</c:v>
                </c:pt>
                <c:pt idx="51">
                  <c:v>1958.2499999859499</c:v>
                </c:pt>
                <c:pt idx="52">
                  <c:v>1958.33333331931</c:v>
                </c:pt>
                <c:pt idx="53">
                  <c:v>1958.4166666526701</c:v>
                </c:pt>
                <c:pt idx="54">
                  <c:v>1958.4999999860299</c:v>
                </c:pt>
                <c:pt idx="55">
                  <c:v>1958.58333331939</c:v>
                </c:pt>
                <c:pt idx="56">
                  <c:v>1958.6666666527501</c:v>
                </c:pt>
                <c:pt idx="57">
                  <c:v>1958.74999998611</c:v>
                </c:pt>
                <c:pt idx="58">
                  <c:v>1958.8333333194701</c:v>
                </c:pt>
                <c:pt idx="59">
                  <c:v>1958.9166666528299</c:v>
                </c:pt>
                <c:pt idx="60">
                  <c:v>1958.99999998619</c:v>
                </c:pt>
                <c:pt idx="61">
                  <c:v>1959.0833333195501</c:v>
                </c:pt>
                <c:pt idx="62">
                  <c:v>1959.16666665291</c:v>
                </c:pt>
                <c:pt idx="63">
                  <c:v>1959.24999998628</c:v>
                </c:pt>
                <c:pt idx="64">
                  <c:v>1959.3333333196399</c:v>
                </c:pt>
                <c:pt idx="65">
                  <c:v>1959.416666653</c:v>
                </c:pt>
                <c:pt idx="66">
                  <c:v>1959.4999999863601</c:v>
                </c:pt>
                <c:pt idx="67">
                  <c:v>1959.5833333197199</c:v>
                </c:pt>
                <c:pt idx="68">
                  <c:v>1959.66666665308</c:v>
                </c:pt>
                <c:pt idx="69">
                  <c:v>1959.7499999864399</c:v>
                </c:pt>
                <c:pt idx="70">
                  <c:v>1959.8333333198</c:v>
                </c:pt>
                <c:pt idx="71">
                  <c:v>1959.9166666531601</c:v>
                </c:pt>
                <c:pt idx="72">
                  <c:v>1959.9999999865199</c:v>
                </c:pt>
                <c:pt idx="73">
                  <c:v>1960.08333331988</c:v>
                </c:pt>
                <c:pt idx="74">
                  <c:v>1960.1666666532401</c:v>
                </c:pt>
                <c:pt idx="75">
                  <c:v>1960.2499999866</c:v>
                </c:pt>
                <c:pt idx="76">
                  <c:v>1960.33333331996</c:v>
                </c:pt>
                <c:pt idx="77">
                  <c:v>1960.4166666533199</c:v>
                </c:pt>
                <c:pt idx="78">
                  <c:v>1960.49999998668</c:v>
                </c:pt>
                <c:pt idx="79">
                  <c:v>1960.5833333200401</c:v>
                </c:pt>
                <c:pt idx="80">
                  <c:v>1960.6666666533999</c:v>
                </c:pt>
                <c:pt idx="81">
                  <c:v>1960.74999998676</c:v>
                </c:pt>
                <c:pt idx="82">
                  <c:v>1960.8333333201199</c:v>
                </c:pt>
                <c:pt idx="83">
                  <c:v>1960.91666665348</c:v>
                </c:pt>
                <c:pt idx="84">
                  <c:v>1960.9999999868401</c:v>
                </c:pt>
                <c:pt idx="85">
                  <c:v>1961.0833333201999</c:v>
                </c:pt>
                <c:pt idx="86">
                  <c:v>1961.16666665356</c:v>
                </c:pt>
                <c:pt idx="87">
                  <c:v>1961.2499999869201</c:v>
                </c:pt>
                <c:pt idx="88">
                  <c:v>1961.33333332028</c:v>
                </c:pt>
                <c:pt idx="89">
                  <c:v>1961.41666665364</c:v>
                </c:pt>
                <c:pt idx="90">
                  <c:v>1961.4999999869999</c:v>
                </c:pt>
                <c:pt idx="91">
                  <c:v>1961.58333332036</c:v>
                </c:pt>
                <c:pt idx="92">
                  <c:v>1961.6666666537201</c:v>
                </c:pt>
                <c:pt idx="93">
                  <c:v>1961.7499999870799</c:v>
                </c:pt>
                <c:pt idx="94">
                  <c:v>1961.83333332044</c:v>
                </c:pt>
                <c:pt idx="95">
                  <c:v>1961.9166666537999</c:v>
                </c:pt>
                <c:pt idx="96">
                  <c:v>1961.99999998716</c:v>
                </c:pt>
                <c:pt idx="97">
                  <c:v>1962.0833333205201</c:v>
                </c:pt>
                <c:pt idx="98">
                  <c:v>1962.1666666538799</c:v>
                </c:pt>
                <c:pt idx="99">
                  <c:v>1962.24999998724</c:v>
                </c:pt>
                <c:pt idx="100">
                  <c:v>1962.3333333205999</c:v>
                </c:pt>
                <c:pt idx="101">
                  <c:v>1962.41666665396</c:v>
                </c:pt>
                <c:pt idx="102">
                  <c:v>1962.4999999873201</c:v>
                </c:pt>
                <c:pt idx="103">
                  <c:v>1962.5833333206799</c:v>
                </c:pt>
                <c:pt idx="104">
                  <c:v>1962.66666665404</c:v>
                </c:pt>
                <c:pt idx="105">
                  <c:v>1962.7499999874001</c:v>
                </c:pt>
                <c:pt idx="106">
                  <c:v>1962.8333333207599</c:v>
                </c:pt>
                <c:pt idx="107">
                  <c:v>1962.91666665412</c:v>
                </c:pt>
                <c:pt idx="108">
                  <c:v>1962.9999999874799</c:v>
                </c:pt>
                <c:pt idx="109">
                  <c:v>1963.08333332084</c:v>
                </c:pt>
                <c:pt idx="110">
                  <c:v>1963.1666666542001</c:v>
                </c:pt>
                <c:pt idx="111">
                  <c:v>1963.2499999875599</c:v>
                </c:pt>
                <c:pt idx="112">
                  <c:v>1963.33333332092</c:v>
                </c:pt>
                <c:pt idx="113">
                  <c:v>1963.4166666542801</c:v>
                </c:pt>
                <c:pt idx="114">
                  <c:v>1963.49999998764</c:v>
                </c:pt>
                <c:pt idx="115">
                  <c:v>1963.5833333210001</c:v>
                </c:pt>
                <c:pt idx="116">
                  <c:v>1963.6666666543599</c:v>
                </c:pt>
                <c:pt idx="117">
                  <c:v>1963.74999998772</c:v>
                </c:pt>
                <c:pt idx="118">
                  <c:v>1963.8333333210801</c:v>
                </c:pt>
                <c:pt idx="119">
                  <c:v>1963.91666665444</c:v>
                </c:pt>
                <c:pt idx="120">
                  <c:v>1963.9999999878</c:v>
                </c:pt>
                <c:pt idx="121">
                  <c:v>1964.0833333211599</c:v>
                </c:pt>
                <c:pt idx="122">
                  <c:v>1964.16666665452</c:v>
                </c:pt>
                <c:pt idx="123">
                  <c:v>1964.2499999878801</c:v>
                </c:pt>
                <c:pt idx="124">
                  <c:v>1964.3333333212399</c:v>
                </c:pt>
                <c:pt idx="125">
                  <c:v>1964.4166666546</c:v>
                </c:pt>
                <c:pt idx="126">
                  <c:v>1964.4999999879601</c:v>
                </c:pt>
                <c:pt idx="127">
                  <c:v>1964.58333332132</c:v>
                </c:pt>
                <c:pt idx="128">
                  <c:v>1964.6666666546801</c:v>
                </c:pt>
                <c:pt idx="129">
                  <c:v>1964.7499999880399</c:v>
                </c:pt>
                <c:pt idx="130">
                  <c:v>1964.8333333214</c:v>
                </c:pt>
                <c:pt idx="131">
                  <c:v>1964.9166666547601</c:v>
                </c:pt>
                <c:pt idx="132">
                  <c:v>1964.99999998812</c:v>
                </c:pt>
                <c:pt idx="133">
                  <c:v>1965.08333332148</c:v>
                </c:pt>
                <c:pt idx="134">
                  <c:v>1965.1666666548399</c:v>
                </c:pt>
                <c:pt idx="135">
                  <c:v>1965.2499999882</c:v>
                </c:pt>
                <c:pt idx="136">
                  <c:v>1965.3333333215601</c:v>
                </c:pt>
                <c:pt idx="137">
                  <c:v>1965.4166666549199</c:v>
                </c:pt>
                <c:pt idx="138">
                  <c:v>1965.49999998828</c:v>
                </c:pt>
                <c:pt idx="139">
                  <c:v>1965.5833333216401</c:v>
                </c:pt>
                <c:pt idx="140">
                  <c:v>1965.666666655</c:v>
                </c:pt>
                <c:pt idx="141">
                  <c:v>1965.7499999883601</c:v>
                </c:pt>
                <c:pt idx="142">
                  <c:v>1965.8333333217199</c:v>
                </c:pt>
                <c:pt idx="143">
                  <c:v>1965.91666665508</c:v>
                </c:pt>
                <c:pt idx="144">
                  <c:v>1965.9999999884401</c:v>
                </c:pt>
                <c:pt idx="145">
                  <c:v>1966.0833333218</c:v>
                </c:pt>
                <c:pt idx="146">
                  <c:v>1966.16666665516</c:v>
                </c:pt>
                <c:pt idx="147">
                  <c:v>1966.2499999885199</c:v>
                </c:pt>
                <c:pt idx="148">
                  <c:v>1966.33333332188</c:v>
                </c:pt>
                <c:pt idx="149">
                  <c:v>1966.4166666552401</c:v>
                </c:pt>
                <c:pt idx="150">
                  <c:v>1966.4999999885999</c:v>
                </c:pt>
                <c:pt idx="151">
                  <c:v>1966.58333332196</c:v>
                </c:pt>
                <c:pt idx="152">
                  <c:v>1966.6666666553199</c:v>
                </c:pt>
                <c:pt idx="153">
                  <c:v>1966.74999998868</c:v>
                </c:pt>
                <c:pt idx="154">
                  <c:v>1966.8333333220401</c:v>
                </c:pt>
                <c:pt idx="155">
                  <c:v>1966.9166666553999</c:v>
                </c:pt>
                <c:pt idx="156">
                  <c:v>1966.99999998876</c:v>
                </c:pt>
                <c:pt idx="157">
                  <c:v>1967.0833333221201</c:v>
                </c:pt>
                <c:pt idx="158">
                  <c:v>1967.16666665548</c:v>
                </c:pt>
                <c:pt idx="159">
                  <c:v>1967.24999998884</c:v>
                </c:pt>
                <c:pt idx="160">
                  <c:v>1967.3333333221999</c:v>
                </c:pt>
                <c:pt idx="161">
                  <c:v>1967.41666665556</c:v>
                </c:pt>
                <c:pt idx="162">
                  <c:v>1967.4999999889201</c:v>
                </c:pt>
                <c:pt idx="163">
                  <c:v>1967.5833333222799</c:v>
                </c:pt>
                <c:pt idx="164">
                  <c:v>1967.66666665564</c:v>
                </c:pt>
                <c:pt idx="165">
                  <c:v>1967.7499999889999</c:v>
                </c:pt>
                <c:pt idx="166">
                  <c:v>1967.83333332236</c:v>
                </c:pt>
                <c:pt idx="167">
                  <c:v>1967.9166666557201</c:v>
                </c:pt>
                <c:pt idx="168">
                  <c:v>1967.9999999890799</c:v>
                </c:pt>
                <c:pt idx="169">
                  <c:v>1968.08333332244</c:v>
                </c:pt>
                <c:pt idx="170">
                  <c:v>1968.1666666558001</c:v>
                </c:pt>
                <c:pt idx="171">
                  <c:v>1968.24999998916</c:v>
                </c:pt>
                <c:pt idx="172">
                  <c:v>1968.33333332252</c:v>
                </c:pt>
                <c:pt idx="173">
                  <c:v>1968.4166666558799</c:v>
                </c:pt>
                <c:pt idx="174">
                  <c:v>1968.49999998924</c:v>
                </c:pt>
                <c:pt idx="175">
                  <c:v>1968.5833333226001</c:v>
                </c:pt>
                <c:pt idx="176">
                  <c:v>1968.6666666559599</c:v>
                </c:pt>
                <c:pt idx="177">
                  <c:v>1968.74999998933</c:v>
                </c:pt>
                <c:pt idx="178">
                  <c:v>1968.8333333226899</c:v>
                </c:pt>
                <c:pt idx="179">
                  <c:v>1968.91666665605</c:v>
                </c:pt>
                <c:pt idx="180">
                  <c:v>1968.9999999894101</c:v>
                </c:pt>
                <c:pt idx="181">
                  <c:v>1969.0833333227699</c:v>
                </c:pt>
                <c:pt idx="182">
                  <c:v>1969.16666665613</c:v>
                </c:pt>
                <c:pt idx="183">
                  <c:v>1969.2499999894901</c:v>
                </c:pt>
                <c:pt idx="184">
                  <c:v>1969.33333332285</c:v>
                </c:pt>
                <c:pt idx="185">
                  <c:v>1969.4166666562101</c:v>
                </c:pt>
                <c:pt idx="186">
                  <c:v>1969.4999999895699</c:v>
                </c:pt>
                <c:pt idx="187">
                  <c:v>1969.58333332293</c:v>
                </c:pt>
                <c:pt idx="188">
                  <c:v>1969.6666666562901</c:v>
                </c:pt>
                <c:pt idx="189">
                  <c:v>1969.74999998965</c:v>
                </c:pt>
                <c:pt idx="190">
                  <c:v>1969.83333332301</c:v>
                </c:pt>
                <c:pt idx="191">
                  <c:v>1969.9166666563699</c:v>
                </c:pt>
                <c:pt idx="192">
                  <c:v>1969.99999998973</c:v>
                </c:pt>
                <c:pt idx="193">
                  <c:v>1970.0833333230901</c:v>
                </c:pt>
                <c:pt idx="194">
                  <c:v>1970.1666666564499</c:v>
                </c:pt>
                <c:pt idx="195">
                  <c:v>1970.24999998981</c:v>
                </c:pt>
                <c:pt idx="196">
                  <c:v>1970.3333333231701</c:v>
                </c:pt>
                <c:pt idx="197">
                  <c:v>1970.41666665653</c:v>
                </c:pt>
                <c:pt idx="198">
                  <c:v>1970.4999999898901</c:v>
                </c:pt>
                <c:pt idx="199">
                  <c:v>1970.5833333232499</c:v>
                </c:pt>
                <c:pt idx="200">
                  <c:v>1970.66666665661</c:v>
                </c:pt>
                <c:pt idx="201">
                  <c:v>1970.7499999899701</c:v>
                </c:pt>
                <c:pt idx="202">
                  <c:v>1970.83333332333</c:v>
                </c:pt>
                <c:pt idx="203">
                  <c:v>1970.91666665669</c:v>
                </c:pt>
                <c:pt idx="204">
                  <c:v>1970.9999999900499</c:v>
                </c:pt>
                <c:pt idx="205">
                  <c:v>1971.08333332341</c:v>
                </c:pt>
                <c:pt idx="206">
                  <c:v>1971.1666666567701</c:v>
                </c:pt>
                <c:pt idx="207">
                  <c:v>1971.2499999901299</c:v>
                </c:pt>
                <c:pt idx="208">
                  <c:v>1971.33333332349</c:v>
                </c:pt>
                <c:pt idx="209">
                  <c:v>1971.4166666568501</c:v>
                </c:pt>
                <c:pt idx="210">
                  <c:v>1971.49999999021</c:v>
                </c:pt>
                <c:pt idx="211">
                  <c:v>1971.5833333235701</c:v>
                </c:pt>
                <c:pt idx="212">
                  <c:v>1971.6666666569299</c:v>
                </c:pt>
                <c:pt idx="213">
                  <c:v>1971.74999999029</c:v>
                </c:pt>
                <c:pt idx="214">
                  <c:v>1971.8333333236501</c:v>
                </c:pt>
                <c:pt idx="215">
                  <c:v>1971.91666665701</c:v>
                </c:pt>
                <c:pt idx="216">
                  <c:v>1971.99999999037</c:v>
                </c:pt>
                <c:pt idx="217">
                  <c:v>1972.0833333237299</c:v>
                </c:pt>
                <c:pt idx="218">
                  <c:v>1972.16666665709</c:v>
                </c:pt>
                <c:pt idx="219">
                  <c:v>1972.2499999904501</c:v>
                </c:pt>
                <c:pt idx="220">
                  <c:v>1972.3333333238099</c:v>
                </c:pt>
                <c:pt idx="221">
                  <c:v>1972.41666665717</c:v>
                </c:pt>
                <c:pt idx="222">
                  <c:v>1972.4999999905299</c:v>
                </c:pt>
                <c:pt idx="223">
                  <c:v>1972.58333332389</c:v>
                </c:pt>
                <c:pt idx="224">
                  <c:v>1972.6666666572501</c:v>
                </c:pt>
                <c:pt idx="225">
                  <c:v>1972.7499999906099</c:v>
                </c:pt>
                <c:pt idx="226">
                  <c:v>1972.83333332397</c:v>
                </c:pt>
                <c:pt idx="227">
                  <c:v>1972.9166666573301</c:v>
                </c:pt>
                <c:pt idx="228">
                  <c:v>1972.99999999069</c:v>
                </c:pt>
                <c:pt idx="229">
                  <c:v>1973.08333332405</c:v>
                </c:pt>
                <c:pt idx="230">
                  <c:v>1973.1666666574099</c:v>
                </c:pt>
                <c:pt idx="231">
                  <c:v>1973.24999999077</c:v>
                </c:pt>
                <c:pt idx="232">
                  <c:v>1973.3333333241301</c:v>
                </c:pt>
                <c:pt idx="233">
                  <c:v>1973.4166666574899</c:v>
                </c:pt>
                <c:pt idx="234">
                  <c:v>1973.49999999085</c:v>
                </c:pt>
                <c:pt idx="235">
                  <c:v>1973.5833333242099</c:v>
                </c:pt>
                <c:pt idx="236">
                  <c:v>1973.66666665757</c:v>
                </c:pt>
                <c:pt idx="237">
                  <c:v>1973.7499999909301</c:v>
                </c:pt>
                <c:pt idx="238">
                  <c:v>1973.8333333242899</c:v>
                </c:pt>
                <c:pt idx="239">
                  <c:v>1973.91666665765</c:v>
                </c:pt>
                <c:pt idx="240">
                  <c:v>1973.9999999910101</c:v>
                </c:pt>
                <c:pt idx="241">
                  <c:v>1974.08333332437</c:v>
                </c:pt>
                <c:pt idx="242">
                  <c:v>1974.16666665773</c:v>
                </c:pt>
                <c:pt idx="243">
                  <c:v>1974.2499999910899</c:v>
                </c:pt>
                <c:pt idx="244">
                  <c:v>1974.33333332445</c:v>
                </c:pt>
                <c:pt idx="245">
                  <c:v>1974.4166666578101</c:v>
                </c:pt>
                <c:pt idx="246">
                  <c:v>1974.4999999911699</c:v>
                </c:pt>
                <c:pt idx="247">
                  <c:v>1974.58333332453</c:v>
                </c:pt>
                <c:pt idx="248">
                  <c:v>1974.6666666578899</c:v>
                </c:pt>
                <c:pt idx="249">
                  <c:v>1974.74999999125</c:v>
                </c:pt>
                <c:pt idx="250">
                  <c:v>1974.8333333246101</c:v>
                </c:pt>
                <c:pt idx="251">
                  <c:v>1974.9166666579699</c:v>
                </c:pt>
                <c:pt idx="252">
                  <c:v>1974.99999999133</c:v>
                </c:pt>
                <c:pt idx="253">
                  <c:v>1975.0833333246901</c:v>
                </c:pt>
                <c:pt idx="254">
                  <c:v>1975.16666665805</c:v>
                </c:pt>
                <c:pt idx="255">
                  <c:v>1975.24999999141</c:v>
                </c:pt>
                <c:pt idx="256">
                  <c:v>1975.3333333247699</c:v>
                </c:pt>
                <c:pt idx="257">
                  <c:v>1975.41666665813</c:v>
                </c:pt>
                <c:pt idx="258">
                  <c:v>1975.4999999914901</c:v>
                </c:pt>
                <c:pt idx="259">
                  <c:v>1975.5833333248499</c:v>
                </c:pt>
                <c:pt idx="260">
                  <c:v>1975.66666665821</c:v>
                </c:pt>
                <c:pt idx="261">
                  <c:v>1975.7499999915699</c:v>
                </c:pt>
                <c:pt idx="262">
                  <c:v>1975.83333332493</c:v>
                </c:pt>
                <c:pt idx="263">
                  <c:v>1975.9166666582901</c:v>
                </c:pt>
                <c:pt idx="264">
                  <c:v>1975.9999999916499</c:v>
                </c:pt>
                <c:pt idx="265">
                  <c:v>1976.08333332501</c:v>
                </c:pt>
                <c:pt idx="266">
                  <c:v>1976.1666666583701</c:v>
                </c:pt>
                <c:pt idx="267">
                  <c:v>1976.24999999173</c:v>
                </c:pt>
                <c:pt idx="268">
                  <c:v>1976.3333333250901</c:v>
                </c:pt>
                <c:pt idx="269">
                  <c:v>1976.4166666584499</c:v>
                </c:pt>
                <c:pt idx="270">
                  <c:v>1976.49999999181</c:v>
                </c:pt>
                <c:pt idx="271">
                  <c:v>1976.5833333251701</c:v>
                </c:pt>
                <c:pt idx="272">
                  <c:v>1976.6666666585299</c:v>
                </c:pt>
                <c:pt idx="273">
                  <c:v>1976.74999999189</c:v>
                </c:pt>
                <c:pt idx="274">
                  <c:v>1976.8333333252499</c:v>
                </c:pt>
                <c:pt idx="275">
                  <c:v>1976.91666665861</c:v>
                </c:pt>
                <c:pt idx="276">
                  <c:v>1976.9999999919701</c:v>
                </c:pt>
                <c:pt idx="277">
                  <c:v>1977.0833333253299</c:v>
                </c:pt>
                <c:pt idx="278">
                  <c:v>1977.16666665869</c:v>
                </c:pt>
                <c:pt idx="279">
                  <c:v>1977.2499999920501</c:v>
                </c:pt>
                <c:pt idx="280">
                  <c:v>1977.33333332541</c:v>
                </c:pt>
                <c:pt idx="281">
                  <c:v>1977.4166666587701</c:v>
                </c:pt>
                <c:pt idx="282">
                  <c:v>1977.4999999921299</c:v>
                </c:pt>
                <c:pt idx="283">
                  <c:v>1977.58333332549</c:v>
                </c:pt>
                <c:pt idx="284">
                  <c:v>1977.6666666588501</c:v>
                </c:pt>
                <c:pt idx="285">
                  <c:v>1977.74999999221</c:v>
                </c:pt>
                <c:pt idx="286">
                  <c:v>1977.83333332557</c:v>
                </c:pt>
                <c:pt idx="287">
                  <c:v>1977.9166666589297</c:v>
                </c:pt>
                <c:pt idx="288">
                  <c:v>1977.99999999229</c:v>
                </c:pt>
                <c:pt idx="289">
                  <c:v>1978.0833333256503</c:v>
                </c:pt>
                <c:pt idx="290">
                  <c:v>1978.1666666590106</c:v>
                </c:pt>
                <c:pt idx="291">
                  <c:v>1978.2499999923707</c:v>
                </c:pt>
                <c:pt idx="292">
                  <c:v>1978.333333325731</c:v>
                </c:pt>
                <c:pt idx="293">
                  <c:v>1978.4166666590913</c:v>
                </c:pt>
                <c:pt idx="294">
                  <c:v>1978.4999999924516</c:v>
                </c:pt>
                <c:pt idx="295">
                  <c:v>1978.583333325812</c:v>
                </c:pt>
                <c:pt idx="296">
                  <c:v>1978.6666666591721</c:v>
                </c:pt>
                <c:pt idx="297">
                  <c:v>1978.7499999925324</c:v>
                </c:pt>
                <c:pt idx="298">
                  <c:v>1978.8333333258927</c:v>
                </c:pt>
                <c:pt idx="299">
                  <c:v>1978.916666659253</c:v>
                </c:pt>
                <c:pt idx="300">
                  <c:v>1978.9999999926133</c:v>
                </c:pt>
                <c:pt idx="301">
                  <c:v>1979.0833333259736</c:v>
                </c:pt>
                <c:pt idx="302">
                  <c:v>1979.1666666593337</c:v>
                </c:pt>
                <c:pt idx="303">
                  <c:v>1979.249999992694</c:v>
                </c:pt>
                <c:pt idx="304">
                  <c:v>1979.3333333260543</c:v>
                </c:pt>
                <c:pt idx="305">
                  <c:v>1979.4166666594147</c:v>
                </c:pt>
                <c:pt idx="306">
                  <c:v>1979.499999992775</c:v>
                </c:pt>
                <c:pt idx="307">
                  <c:v>1979.5833333261351</c:v>
                </c:pt>
                <c:pt idx="308">
                  <c:v>1979.6666666594954</c:v>
                </c:pt>
                <c:pt idx="309">
                  <c:v>1979.7499999928557</c:v>
                </c:pt>
                <c:pt idx="310">
                  <c:v>1979.833333326216</c:v>
                </c:pt>
                <c:pt idx="311">
                  <c:v>1979.9166666595763</c:v>
                </c:pt>
                <c:pt idx="312">
                  <c:v>1979.9999999929364</c:v>
                </c:pt>
                <c:pt idx="313">
                  <c:v>1980.0833333262967</c:v>
                </c:pt>
                <c:pt idx="314">
                  <c:v>1980.166666659657</c:v>
                </c:pt>
                <c:pt idx="315">
                  <c:v>1980.2499999930174</c:v>
                </c:pt>
                <c:pt idx="316">
                  <c:v>1980.3333333263777</c:v>
                </c:pt>
                <c:pt idx="317">
                  <c:v>1980.416666659738</c:v>
                </c:pt>
                <c:pt idx="318">
                  <c:v>1980.4999999930981</c:v>
                </c:pt>
                <c:pt idx="319">
                  <c:v>1980.5833333264584</c:v>
                </c:pt>
                <c:pt idx="320">
                  <c:v>1980.6666666598187</c:v>
                </c:pt>
                <c:pt idx="321">
                  <c:v>1980.749999993179</c:v>
                </c:pt>
                <c:pt idx="322">
                  <c:v>1980.8333333265393</c:v>
                </c:pt>
                <c:pt idx="323">
                  <c:v>1980.9166666598994</c:v>
                </c:pt>
                <c:pt idx="324">
                  <c:v>1980.9999999932597</c:v>
                </c:pt>
                <c:pt idx="325">
                  <c:v>1981.08333332662</c:v>
                </c:pt>
                <c:pt idx="326">
                  <c:v>1981.1666666599799</c:v>
                </c:pt>
                <c:pt idx="327">
                  <c:v>1981.24999999334</c:v>
                </c:pt>
                <c:pt idx="328">
                  <c:v>1981.3333333267001</c:v>
                </c:pt>
                <c:pt idx="329">
                  <c:v>1981.4166666600599</c:v>
                </c:pt>
                <c:pt idx="330">
                  <c:v>1981.49999999342</c:v>
                </c:pt>
                <c:pt idx="331">
                  <c:v>1981.5833333267799</c:v>
                </c:pt>
                <c:pt idx="332">
                  <c:v>1981.66666666014</c:v>
                </c:pt>
                <c:pt idx="333">
                  <c:v>1981.7499999935001</c:v>
                </c:pt>
                <c:pt idx="334">
                  <c:v>1981.8333333268599</c:v>
                </c:pt>
                <c:pt idx="335">
                  <c:v>1981.91666666022</c:v>
                </c:pt>
                <c:pt idx="336">
                  <c:v>1981.9999999935801</c:v>
                </c:pt>
                <c:pt idx="337">
                  <c:v>1982.08333332694</c:v>
                </c:pt>
                <c:pt idx="338">
                  <c:v>1982.1666666603001</c:v>
                </c:pt>
                <c:pt idx="339">
                  <c:v>1982.2499999936599</c:v>
                </c:pt>
                <c:pt idx="340">
                  <c:v>1982.33333332702</c:v>
                </c:pt>
                <c:pt idx="341">
                  <c:v>1982.4166666603801</c:v>
                </c:pt>
                <c:pt idx="342">
                  <c:v>1982.4999999937399</c:v>
                </c:pt>
                <c:pt idx="343">
                  <c:v>1982.5833333271</c:v>
                </c:pt>
                <c:pt idx="344">
                  <c:v>1982.6666666604599</c:v>
                </c:pt>
                <c:pt idx="345">
                  <c:v>1982.74999999382</c:v>
                </c:pt>
                <c:pt idx="346">
                  <c:v>1982.8333333271801</c:v>
                </c:pt>
                <c:pt idx="347">
                  <c:v>1982.9166666605399</c:v>
                </c:pt>
                <c:pt idx="348">
                  <c:v>1982.9999999939</c:v>
                </c:pt>
                <c:pt idx="349">
                  <c:v>1983.0833333272601</c:v>
                </c:pt>
                <c:pt idx="350">
                  <c:v>1983.16666666062</c:v>
                </c:pt>
                <c:pt idx="351">
                  <c:v>1983.2499999939801</c:v>
                </c:pt>
                <c:pt idx="352">
                  <c:v>1983.3333333273399</c:v>
                </c:pt>
                <c:pt idx="353">
                  <c:v>1983.4166666607</c:v>
                </c:pt>
                <c:pt idx="354">
                  <c:v>1983.4999999940601</c:v>
                </c:pt>
                <c:pt idx="355">
                  <c:v>1983.58333332742</c:v>
                </c:pt>
                <c:pt idx="356">
                  <c:v>1983.66666666078</c:v>
                </c:pt>
                <c:pt idx="357">
                  <c:v>1983.7499999941399</c:v>
                </c:pt>
                <c:pt idx="358">
                  <c:v>1983.8333333275</c:v>
                </c:pt>
                <c:pt idx="359">
                  <c:v>1983.9166666608601</c:v>
                </c:pt>
                <c:pt idx="360">
                  <c:v>1983.9999999942199</c:v>
                </c:pt>
                <c:pt idx="361">
                  <c:v>1984.08333332758</c:v>
                </c:pt>
                <c:pt idx="362">
                  <c:v>1984.1666666609401</c:v>
                </c:pt>
                <c:pt idx="363">
                  <c:v>1984.2499999943</c:v>
                </c:pt>
                <c:pt idx="364">
                  <c:v>1984.3333333276601</c:v>
                </c:pt>
                <c:pt idx="365">
                  <c:v>1984.4166666610199</c:v>
                </c:pt>
                <c:pt idx="366">
                  <c:v>1984.49999999438</c:v>
                </c:pt>
                <c:pt idx="367">
                  <c:v>1984.5833333277401</c:v>
                </c:pt>
                <c:pt idx="368">
                  <c:v>1984.6666666611</c:v>
                </c:pt>
                <c:pt idx="369">
                  <c:v>1984.74999999446</c:v>
                </c:pt>
                <c:pt idx="370">
                  <c:v>1984.8333333278199</c:v>
                </c:pt>
                <c:pt idx="371">
                  <c:v>1984.91666666118</c:v>
                </c:pt>
                <c:pt idx="372">
                  <c:v>1984.9999999945401</c:v>
                </c:pt>
                <c:pt idx="373">
                  <c:v>1985.0833333278999</c:v>
                </c:pt>
                <c:pt idx="374">
                  <c:v>1985.16666666126</c:v>
                </c:pt>
                <c:pt idx="375">
                  <c:v>1985.2499999946201</c:v>
                </c:pt>
                <c:pt idx="376">
                  <c:v>1985.33333332798</c:v>
                </c:pt>
                <c:pt idx="377">
                  <c:v>1985.4166666613401</c:v>
                </c:pt>
                <c:pt idx="378">
                  <c:v>1985.4999999946999</c:v>
                </c:pt>
                <c:pt idx="379">
                  <c:v>1985.58333332806</c:v>
                </c:pt>
                <c:pt idx="380">
                  <c:v>1985.6666666614201</c:v>
                </c:pt>
                <c:pt idx="381">
                  <c:v>1985.74999999478</c:v>
                </c:pt>
                <c:pt idx="382">
                  <c:v>1985.83333332814</c:v>
                </c:pt>
                <c:pt idx="383">
                  <c:v>1985.9166666614999</c:v>
                </c:pt>
                <c:pt idx="384">
                  <c:v>1985.99999999486</c:v>
                </c:pt>
                <c:pt idx="385">
                  <c:v>1986.0833333282201</c:v>
                </c:pt>
                <c:pt idx="386">
                  <c:v>1986.1666666615799</c:v>
                </c:pt>
                <c:pt idx="387">
                  <c:v>1986.24999999494</c:v>
                </c:pt>
                <c:pt idx="388">
                  <c:v>1986.3333333282999</c:v>
                </c:pt>
                <c:pt idx="389">
                  <c:v>1986.41666666166</c:v>
                </c:pt>
                <c:pt idx="390">
                  <c:v>1986.4999999950201</c:v>
                </c:pt>
                <c:pt idx="391">
                  <c:v>1986.5833333283799</c:v>
                </c:pt>
                <c:pt idx="392">
                  <c:v>1986.66666666174</c:v>
                </c:pt>
                <c:pt idx="393">
                  <c:v>1986.7499999951001</c:v>
                </c:pt>
                <c:pt idx="394">
                  <c:v>1986.83333332846</c:v>
                </c:pt>
                <c:pt idx="395">
                  <c:v>1986.91666666182</c:v>
                </c:pt>
                <c:pt idx="396">
                  <c:v>1986.9999999951799</c:v>
                </c:pt>
                <c:pt idx="397">
                  <c:v>1987.08333332854</c:v>
                </c:pt>
                <c:pt idx="398">
                  <c:v>1987.1666666619001</c:v>
                </c:pt>
                <c:pt idx="399">
                  <c:v>1987.2499999952599</c:v>
                </c:pt>
                <c:pt idx="400">
                  <c:v>1987.33333332862</c:v>
                </c:pt>
                <c:pt idx="401">
                  <c:v>1987.4166666619799</c:v>
                </c:pt>
                <c:pt idx="402">
                  <c:v>1987.49999999534</c:v>
                </c:pt>
                <c:pt idx="403">
                  <c:v>1987.5833333287001</c:v>
                </c:pt>
                <c:pt idx="404">
                  <c:v>1987.6666666620599</c:v>
                </c:pt>
                <c:pt idx="405">
                  <c:v>1987.74999999543</c:v>
                </c:pt>
                <c:pt idx="406">
                  <c:v>1987.8333333287901</c:v>
                </c:pt>
                <c:pt idx="407">
                  <c:v>1987.9166666621497</c:v>
                </c:pt>
                <c:pt idx="408">
                  <c:v>1987.9999999955098</c:v>
                </c:pt>
                <c:pt idx="409">
                  <c:v>1988.0833333288699</c:v>
                </c:pt>
                <c:pt idx="410">
                  <c:v>1988.1666666622298</c:v>
                </c:pt>
                <c:pt idx="411">
                  <c:v>1988.2499999955899</c:v>
                </c:pt>
                <c:pt idx="412">
                  <c:v>1988.3333333289497</c:v>
                </c:pt>
                <c:pt idx="413">
                  <c:v>1988.4166666623098</c:v>
                </c:pt>
                <c:pt idx="414">
                  <c:v>1988.4999999956699</c:v>
                </c:pt>
                <c:pt idx="415">
                  <c:v>1988.5833333290298</c:v>
                </c:pt>
                <c:pt idx="416">
                  <c:v>1988.6666666623898</c:v>
                </c:pt>
                <c:pt idx="417">
                  <c:v>1988.7499999957499</c:v>
                </c:pt>
                <c:pt idx="418">
                  <c:v>1988.8333333291098</c:v>
                </c:pt>
                <c:pt idx="419">
                  <c:v>1988.9166666624699</c:v>
                </c:pt>
                <c:pt idx="420">
                  <c:v>1988.9999999958297</c:v>
                </c:pt>
                <c:pt idx="421">
                  <c:v>1989.0833333291898</c:v>
                </c:pt>
                <c:pt idx="422">
                  <c:v>1989.1666666625499</c:v>
                </c:pt>
                <c:pt idx="423">
                  <c:v>1989.2499999959098</c:v>
                </c:pt>
                <c:pt idx="424">
                  <c:v>1989.3333333292699</c:v>
                </c:pt>
                <c:pt idx="425">
                  <c:v>1989.41666666263</c:v>
                </c:pt>
                <c:pt idx="426">
                  <c:v>1989.4999999959898</c:v>
                </c:pt>
                <c:pt idx="427">
                  <c:v>1989.5833333293499</c:v>
                </c:pt>
                <c:pt idx="428">
                  <c:v>1989.6666666627098</c:v>
                </c:pt>
                <c:pt idx="429">
                  <c:v>1989.7499999960698</c:v>
                </c:pt>
                <c:pt idx="430">
                  <c:v>1989.8333333294299</c:v>
                </c:pt>
                <c:pt idx="431">
                  <c:v>1989.9166666627898</c:v>
                </c:pt>
                <c:pt idx="432">
                  <c:v>1989.9999999961499</c:v>
                </c:pt>
                <c:pt idx="433">
                  <c:v>1990.08333332951</c:v>
                </c:pt>
                <c:pt idx="434">
                  <c:v>1990.1666666628698</c:v>
                </c:pt>
                <c:pt idx="435">
                  <c:v>1990.2499999962299</c:v>
                </c:pt>
                <c:pt idx="436">
                  <c:v>1990.3333333295898</c:v>
                </c:pt>
                <c:pt idx="437">
                  <c:v>1990.4166666629499</c:v>
                </c:pt>
                <c:pt idx="438">
                  <c:v>1990.49999999631</c:v>
                </c:pt>
                <c:pt idx="439">
                  <c:v>1990.5833333296698</c:v>
                </c:pt>
                <c:pt idx="440">
                  <c:v>1990.6666666630299</c:v>
                </c:pt>
                <c:pt idx="441">
                  <c:v>1990.74999999639</c:v>
                </c:pt>
                <c:pt idx="442">
                  <c:v>1990.8333333297498</c:v>
                </c:pt>
                <c:pt idx="443">
                  <c:v>1990.9166666631099</c:v>
                </c:pt>
                <c:pt idx="444">
                  <c:v>1990.9999999964698</c:v>
                </c:pt>
                <c:pt idx="445">
                  <c:v>1991.0833333298301</c:v>
                </c:pt>
                <c:pt idx="446">
                  <c:v>1991.16666666319</c:v>
                </c:pt>
                <c:pt idx="447">
                  <c:v>1991.2499999965501</c:v>
                </c:pt>
                <c:pt idx="448">
                  <c:v>1991.3333333299099</c:v>
                </c:pt>
                <c:pt idx="449">
                  <c:v>1991.41666666327</c:v>
                </c:pt>
                <c:pt idx="450">
                  <c:v>1991.4999999966301</c:v>
                </c:pt>
                <c:pt idx="451">
                  <c:v>1991.58333332999</c:v>
                </c:pt>
                <c:pt idx="452">
                  <c:v>1991.66666666335</c:v>
                </c:pt>
                <c:pt idx="453">
                  <c:v>1991.7499999967099</c:v>
                </c:pt>
                <c:pt idx="454">
                  <c:v>1991.83333333007</c:v>
                </c:pt>
                <c:pt idx="455">
                  <c:v>1991.9166666634301</c:v>
                </c:pt>
                <c:pt idx="456">
                  <c:v>1991.9999999967899</c:v>
                </c:pt>
                <c:pt idx="457">
                  <c:v>1992.08333333015</c:v>
                </c:pt>
                <c:pt idx="458">
                  <c:v>1992.1666666635101</c:v>
                </c:pt>
                <c:pt idx="459">
                  <c:v>1992.24999999687</c:v>
                </c:pt>
                <c:pt idx="460">
                  <c:v>1992.3333333302301</c:v>
                </c:pt>
                <c:pt idx="461">
                  <c:v>1992.4166666635899</c:v>
                </c:pt>
                <c:pt idx="462">
                  <c:v>1992.49999999695</c:v>
                </c:pt>
                <c:pt idx="463">
                  <c:v>1992.5833333303101</c:v>
                </c:pt>
                <c:pt idx="464">
                  <c:v>1992.66666666367</c:v>
                </c:pt>
                <c:pt idx="465">
                  <c:v>1992.74999999703</c:v>
                </c:pt>
                <c:pt idx="466">
                  <c:v>1992.8333333303899</c:v>
                </c:pt>
                <c:pt idx="467">
                  <c:v>1992.91666666375</c:v>
                </c:pt>
                <c:pt idx="468">
                  <c:v>1992.9999999971101</c:v>
                </c:pt>
                <c:pt idx="469">
                  <c:v>1993.0833333304699</c:v>
                </c:pt>
                <c:pt idx="470">
                  <c:v>1993.16666666383</c:v>
                </c:pt>
                <c:pt idx="471">
                  <c:v>1993.2499999971899</c:v>
                </c:pt>
                <c:pt idx="472">
                  <c:v>1993.33333333055</c:v>
                </c:pt>
                <c:pt idx="473">
                  <c:v>1993.4166666639101</c:v>
                </c:pt>
                <c:pt idx="474">
                  <c:v>1993.4999999972699</c:v>
                </c:pt>
                <c:pt idx="475">
                  <c:v>1993.58333333063</c:v>
                </c:pt>
                <c:pt idx="476">
                  <c:v>1993.6666666639901</c:v>
                </c:pt>
                <c:pt idx="477">
                  <c:v>1993.74999999735</c:v>
                </c:pt>
                <c:pt idx="478">
                  <c:v>1993.83333333071</c:v>
                </c:pt>
                <c:pt idx="479">
                  <c:v>1993.9166666640699</c:v>
                </c:pt>
                <c:pt idx="480">
                  <c:v>1993.99999999743</c:v>
                </c:pt>
                <c:pt idx="481">
                  <c:v>1994.0833333307901</c:v>
                </c:pt>
                <c:pt idx="482">
                  <c:v>1994.1666666641499</c:v>
                </c:pt>
                <c:pt idx="483">
                  <c:v>1994.24999999751</c:v>
                </c:pt>
                <c:pt idx="484">
                  <c:v>1994.3333333308699</c:v>
                </c:pt>
                <c:pt idx="485">
                  <c:v>1994.41666666423</c:v>
                </c:pt>
                <c:pt idx="486">
                  <c:v>1994.4999999975901</c:v>
                </c:pt>
                <c:pt idx="487">
                  <c:v>1994.5833333309499</c:v>
                </c:pt>
                <c:pt idx="488">
                  <c:v>1994.66666666431</c:v>
                </c:pt>
                <c:pt idx="489">
                  <c:v>1994.7499999976701</c:v>
                </c:pt>
                <c:pt idx="490">
                  <c:v>1994.83333333103</c:v>
                </c:pt>
                <c:pt idx="491">
                  <c:v>1994.91666666439</c:v>
                </c:pt>
                <c:pt idx="492">
                  <c:v>1994.9999999977499</c:v>
                </c:pt>
                <c:pt idx="493">
                  <c:v>1995.08333333111</c:v>
                </c:pt>
                <c:pt idx="494">
                  <c:v>1995.1666666644701</c:v>
                </c:pt>
                <c:pt idx="495">
                  <c:v>1995.2499999978299</c:v>
                </c:pt>
                <c:pt idx="496">
                  <c:v>1995.33333333119</c:v>
                </c:pt>
                <c:pt idx="497">
                  <c:v>1995.4166666645499</c:v>
                </c:pt>
                <c:pt idx="498">
                  <c:v>1995.49999999791</c:v>
                </c:pt>
                <c:pt idx="499">
                  <c:v>1995.5833333312701</c:v>
                </c:pt>
                <c:pt idx="500">
                  <c:v>1995.6666666646299</c:v>
                </c:pt>
                <c:pt idx="501">
                  <c:v>1995.74999999799</c:v>
                </c:pt>
                <c:pt idx="502">
                  <c:v>1995.8333333313501</c:v>
                </c:pt>
                <c:pt idx="503">
                  <c:v>1995.91666666471</c:v>
                </c:pt>
                <c:pt idx="504">
                  <c:v>1995.9999999980701</c:v>
                </c:pt>
                <c:pt idx="505">
                  <c:v>1996.0833333314299</c:v>
                </c:pt>
                <c:pt idx="506">
                  <c:v>1996.16666666479</c:v>
                </c:pt>
                <c:pt idx="507">
                  <c:v>1996.2499999981501</c:v>
                </c:pt>
                <c:pt idx="508">
                  <c:v>1996.3333333315099</c:v>
                </c:pt>
                <c:pt idx="509">
                  <c:v>1996.41666666487</c:v>
                </c:pt>
                <c:pt idx="510">
                  <c:v>1996.4999999982299</c:v>
                </c:pt>
                <c:pt idx="511">
                  <c:v>1996.58333333159</c:v>
                </c:pt>
                <c:pt idx="512">
                  <c:v>1996.6666666649501</c:v>
                </c:pt>
                <c:pt idx="513">
                  <c:v>1996.7499999983099</c:v>
                </c:pt>
                <c:pt idx="514">
                  <c:v>1996.83333333167</c:v>
                </c:pt>
                <c:pt idx="515">
                  <c:v>1996.9166666650301</c:v>
                </c:pt>
                <c:pt idx="516">
                  <c:v>1996.99999999839</c:v>
                </c:pt>
                <c:pt idx="517">
                  <c:v>1997.0833333317501</c:v>
                </c:pt>
                <c:pt idx="518">
                  <c:v>1997.1666666651099</c:v>
                </c:pt>
                <c:pt idx="519">
                  <c:v>1997.24999999848</c:v>
                </c:pt>
                <c:pt idx="520">
                  <c:v>1997.3333333318401</c:v>
                </c:pt>
                <c:pt idx="521">
                  <c:v>1997.4166666652</c:v>
                </c:pt>
                <c:pt idx="522">
                  <c:v>1997.49999999856</c:v>
                </c:pt>
                <c:pt idx="523">
                  <c:v>1997.5833333319199</c:v>
                </c:pt>
                <c:pt idx="524">
                  <c:v>1997.66666666528</c:v>
                </c:pt>
                <c:pt idx="525">
                  <c:v>1997.7499999986401</c:v>
                </c:pt>
                <c:pt idx="526">
                  <c:v>1997.8333333319999</c:v>
                </c:pt>
                <c:pt idx="527">
                  <c:v>1997.91666666536</c:v>
                </c:pt>
                <c:pt idx="528">
                  <c:v>1997.9999999987201</c:v>
                </c:pt>
                <c:pt idx="529">
                  <c:v>1998.08333333208</c:v>
                </c:pt>
                <c:pt idx="530">
                  <c:v>1998.1666666654401</c:v>
                </c:pt>
                <c:pt idx="531">
                  <c:v>1998.2499999987999</c:v>
                </c:pt>
                <c:pt idx="532">
                  <c:v>1998.33333333216</c:v>
                </c:pt>
                <c:pt idx="533">
                  <c:v>1998.4166666655201</c:v>
                </c:pt>
                <c:pt idx="534">
                  <c:v>1998.49999999888</c:v>
                </c:pt>
                <c:pt idx="535">
                  <c:v>1998.58333333224</c:v>
                </c:pt>
                <c:pt idx="536">
                  <c:v>1998.6666666655999</c:v>
                </c:pt>
                <c:pt idx="537">
                  <c:v>1998.74999999896</c:v>
                </c:pt>
                <c:pt idx="538">
                  <c:v>1998.8333333323201</c:v>
                </c:pt>
                <c:pt idx="539">
                  <c:v>1998.9166666656799</c:v>
                </c:pt>
                <c:pt idx="540">
                  <c:v>1998.99999999904</c:v>
                </c:pt>
                <c:pt idx="541">
                  <c:v>1999.0833333323999</c:v>
                </c:pt>
                <c:pt idx="542">
                  <c:v>1999.16666666576</c:v>
                </c:pt>
                <c:pt idx="543">
                  <c:v>1999.2499999991201</c:v>
                </c:pt>
                <c:pt idx="544">
                  <c:v>1999.3333333324799</c:v>
                </c:pt>
                <c:pt idx="545">
                  <c:v>1999.41666666584</c:v>
                </c:pt>
                <c:pt idx="546">
                  <c:v>1999.4999999992001</c:v>
                </c:pt>
                <c:pt idx="547">
                  <c:v>1999.58333333256</c:v>
                </c:pt>
                <c:pt idx="548">
                  <c:v>1999.66666666592</c:v>
                </c:pt>
                <c:pt idx="549">
                  <c:v>1999.7499999992799</c:v>
                </c:pt>
                <c:pt idx="550">
                  <c:v>1999.83333333264</c:v>
                </c:pt>
                <c:pt idx="551">
                  <c:v>1999.9166666660001</c:v>
                </c:pt>
                <c:pt idx="552">
                  <c:v>2000</c:v>
                </c:pt>
                <c:pt idx="553">
                  <c:v>2000.0833333333101</c:v>
                </c:pt>
                <c:pt idx="554">
                  <c:v>2000.1666666666399</c:v>
                </c:pt>
                <c:pt idx="555">
                  <c:v>2000.24999999997</c:v>
                </c:pt>
                <c:pt idx="556">
                  <c:v>2000.3333333333101</c:v>
                </c:pt>
                <c:pt idx="557">
                  <c:v>2000.4166666666399</c:v>
                </c:pt>
                <c:pt idx="558">
                  <c:v>2000.49999999997</c:v>
                </c:pt>
                <c:pt idx="559">
                  <c:v>2000.5833333333101</c:v>
                </c:pt>
                <c:pt idx="560">
                  <c:v>2000.6666666666399</c:v>
                </c:pt>
                <c:pt idx="561">
                  <c:v>2000.74999999997</c:v>
                </c:pt>
                <c:pt idx="562">
                  <c:v>2000.8333333333101</c:v>
                </c:pt>
                <c:pt idx="563">
                  <c:v>2000.9166666666399</c:v>
                </c:pt>
                <c:pt idx="564">
                  <c:v>2001</c:v>
                </c:pt>
                <c:pt idx="565">
                  <c:v>2001.0833333333101</c:v>
                </c:pt>
                <c:pt idx="566">
                  <c:v>2001.1666666666399</c:v>
                </c:pt>
                <c:pt idx="567">
                  <c:v>2001.24999999997</c:v>
                </c:pt>
                <c:pt idx="568">
                  <c:v>2001.3333333333101</c:v>
                </c:pt>
                <c:pt idx="569">
                  <c:v>2001.4166666666399</c:v>
                </c:pt>
                <c:pt idx="570">
                  <c:v>2001.49999999998</c:v>
                </c:pt>
                <c:pt idx="571">
                  <c:v>2001.5833333333101</c:v>
                </c:pt>
                <c:pt idx="572">
                  <c:v>2001.6666666666399</c:v>
                </c:pt>
                <c:pt idx="573">
                  <c:v>2001.74999999998</c:v>
                </c:pt>
                <c:pt idx="574">
                  <c:v>2001.8333333333101</c:v>
                </c:pt>
                <c:pt idx="575">
                  <c:v>2001.9166666666399</c:v>
                </c:pt>
                <c:pt idx="576">
                  <c:v>2002</c:v>
                </c:pt>
                <c:pt idx="577">
                  <c:v>2002.0833333333101</c:v>
                </c:pt>
                <c:pt idx="578">
                  <c:v>2002.1666666666399</c:v>
                </c:pt>
                <c:pt idx="579">
                  <c:v>2002.24999999998</c:v>
                </c:pt>
                <c:pt idx="580">
                  <c:v>2002.3333333333101</c:v>
                </c:pt>
                <c:pt idx="581">
                  <c:v>2002.4166666666399</c:v>
                </c:pt>
                <c:pt idx="582">
                  <c:v>2002.49999999998</c:v>
                </c:pt>
                <c:pt idx="583">
                  <c:v>2002.5833333333101</c:v>
                </c:pt>
                <c:pt idx="584">
                  <c:v>2002.6666666666399</c:v>
                </c:pt>
                <c:pt idx="585">
                  <c:v>2002.74999999998</c:v>
                </c:pt>
                <c:pt idx="586">
                  <c:v>2002.8333333333101</c:v>
                </c:pt>
                <c:pt idx="587">
                  <c:v>2002.9166666666399</c:v>
                </c:pt>
                <c:pt idx="588">
                  <c:v>2003</c:v>
                </c:pt>
                <c:pt idx="589">
                  <c:v>2003.0833333333101</c:v>
                </c:pt>
                <c:pt idx="590">
                  <c:v>2003.1666666666499</c:v>
                </c:pt>
                <c:pt idx="591">
                  <c:v>2003.24999999998</c:v>
                </c:pt>
                <c:pt idx="592">
                  <c:v>2003.3333333333101</c:v>
                </c:pt>
                <c:pt idx="593">
                  <c:v>2003.4166666666499</c:v>
                </c:pt>
                <c:pt idx="594">
                  <c:v>2003.49999999998</c:v>
                </c:pt>
                <c:pt idx="595">
                  <c:v>2003.5833333333101</c:v>
                </c:pt>
                <c:pt idx="596">
                  <c:v>2003.6666666666499</c:v>
                </c:pt>
                <c:pt idx="597">
                  <c:v>2003.74999999998</c:v>
                </c:pt>
                <c:pt idx="598">
                  <c:v>2003.8333333333101</c:v>
                </c:pt>
                <c:pt idx="599">
                  <c:v>2003.9166666666499</c:v>
                </c:pt>
                <c:pt idx="600">
                  <c:v>2004</c:v>
                </c:pt>
                <c:pt idx="601">
                  <c:v>2004.0833333333101</c:v>
                </c:pt>
                <c:pt idx="602">
                  <c:v>2004.1666666666499</c:v>
                </c:pt>
                <c:pt idx="603">
                  <c:v>2004.24999999998</c:v>
                </c:pt>
                <c:pt idx="604">
                  <c:v>2004.3333333333101</c:v>
                </c:pt>
                <c:pt idx="605">
                  <c:v>2004.4166666666499</c:v>
                </c:pt>
                <c:pt idx="606">
                  <c:v>2004.49999999998</c:v>
                </c:pt>
                <c:pt idx="607">
                  <c:v>2004.5833333333101</c:v>
                </c:pt>
                <c:pt idx="608">
                  <c:v>2004.6666666666499</c:v>
                </c:pt>
                <c:pt idx="609">
                  <c:v>2004.74999999998</c:v>
                </c:pt>
                <c:pt idx="610">
                  <c:v>2004.8333333333101</c:v>
                </c:pt>
                <c:pt idx="611">
                  <c:v>2004.9166666666499</c:v>
                </c:pt>
                <c:pt idx="612">
                  <c:v>2005</c:v>
                </c:pt>
                <c:pt idx="613">
                  <c:v>2005.0833333333201</c:v>
                </c:pt>
                <c:pt idx="614">
                  <c:v>2005.1666666666499</c:v>
                </c:pt>
                <c:pt idx="615">
                  <c:v>2005.24999999998</c:v>
                </c:pt>
                <c:pt idx="616">
                  <c:v>2005.3333333333201</c:v>
                </c:pt>
                <c:pt idx="617">
                  <c:v>2005.4166666666499</c:v>
                </c:pt>
                <c:pt idx="618">
                  <c:v>2005.49999999998</c:v>
                </c:pt>
                <c:pt idx="619">
                  <c:v>2005.5833333333201</c:v>
                </c:pt>
                <c:pt idx="620">
                  <c:v>2005.6666666666499</c:v>
                </c:pt>
                <c:pt idx="621">
                  <c:v>2005.74999999998</c:v>
                </c:pt>
                <c:pt idx="622">
                  <c:v>2005.8333333333201</c:v>
                </c:pt>
                <c:pt idx="623">
                  <c:v>2005.9166666666499</c:v>
                </c:pt>
                <c:pt idx="624">
                  <c:v>2006</c:v>
                </c:pt>
                <c:pt idx="625">
                  <c:v>2006.0833333333201</c:v>
                </c:pt>
                <c:pt idx="626">
                  <c:v>2006.1666666666499</c:v>
                </c:pt>
                <c:pt idx="627">
                  <c:v>2006.24999999998</c:v>
                </c:pt>
                <c:pt idx="628">
                  <c:v>2006.3333333333201</c:v>
                </c:pt>
                <c:pt idx="629">
                  <c:v>2006.4166666666499</c:v>
                </c:pt>
                <c:pt idx="630">
                  <c:v>2006.49999999998</c:v>
                </c:pt>
                <c:pt idx="631">
                  <c:v>2006.5833333333201</c:v>
                </c:pt>
                <c:pt idx="632">
                  <c:v>2006.6666666666499</c:v>
                </c:pt>
                <c:pt idx="633">
                  <c:v>2006.74999999998</c:v>
                </c:pt>
                <c:pt idx="634">
                  <c:v>2006.8333333333201</c:v>
                </c:pt>
                <c:pt idx="635">
                  <c:v>2006.9166666666499</c:v>
                </c:pt>
                <c:pt idx="636">
                  <c:v>2007</c:v>
                </c:pt>
                <c:pt idx="637">
                  <c:v>2007.0833333333201</c:v>
                </c:pt>
                <c:pt idx="638">
                  <c:v>2007.1666666666499</c:v>
                </c:pt>
                <c:pt idx="639">
                  <c:v>2007.24999999999</c:v>
                </c:pt>
                <c:pt idx="640">
                  <c:v>2007.3333333333201</c:v>
                </c:pt>
                <c:pt idx="641">
                  <c:v>2007.4166666666499</c:v>
                </c:pt>
                <c:pt idx="642">
                  <c:v>2007.49999999999</c:v>
                </c:pt>
                <c:pt idx="643">
                  <c:v>2007.5833333333201</c:v>
                </c:pt>
                <c:pt idx="644">
                  <c:v>2007.6666666666499</c:v>
                </c:pt>
                <c:pt idx="645">
                  <c:v>2007.74999999999</c:v>
                </c:pt>
                <c:pt idx="646">
                  <c:v>2007.8333333333201</c:v>
                </c:pt>
                <c:pt idx="647">
                  <c:v>2007.9166666666499</c:v>
                </c:pt>
                <c:pt idx="648">
                  <c:v>2008</c:v>
                </c:pt>
                <c:pt idx="649">
                  <c:v>2008.0833333333201</c:v>
                </c:pt>
                <c:pt idx="650">
                  <c:v>2008.1666666666499</c:v>
                </c:pt>
                <c:pt idx="651">
                  <c:v>2008.24999999999</c:v>
                </c:pt>
                <c:pt idx="652">
                  <c:v>2008.3333333333201</c:v>
                </c:pt>
                <c:pt idx="653">
                  <c:v>2008.4166666666499</c:v>
                </c:pt>
                <c:pt idx="654">
                  <c:v>2008.49999999999</c:v>
                </c:pt>
                <c:pt idx="655">
                  <c:v>2008.5833333333201</c:v>
                </c:pt>
                <c:pt idx="656">
                  <c:v>2008.6666666666599</c:v>
                </c:pt>
                <c:pt idx="657">
                  <c:v>2008.74999999999</c:v>
                </c:pt>
                <c:pt idx="658">
                  <c:v>2008.8333333333201</c:v>
                </c:pt>
                <c:pt idx="659">
                  <c:v>2008.9166666666599</c:v>
                </c:pt>
                <c:pt idx="660">
                  <c:v>2009</c:v>
                </c:pt>
                <c:pt idx="661">
                  <c:v>2009.0833333333201</c:v>
                </c:pt>
                <c:pt idx="662">
                  <c:v>2009.1666666666599</c:v>
                </c:pt>
                <c:pt idx="663">
                  <c:v>2009.24999999999</c:v>
                </c:pt>
                <c:pt idx="664">
                  <c:v>2009.3333333333201</c:v>
                </c:pt>
                <c:pt idx="665">
                  <c:v>2009.4166666666599</c:v>
                </c:pt>
                <c:pt idx="666">
                  <c:v>2009.49999999999</c:v>
                </c:pt>
                <c:pt idx="667">
                  <c:v>2009.5833333333201</c:v>
                </c:pt>
                <c:pt idx="668">
                  <c:v>2009.6666666666599</c:v>
                </c:pt>
                <c:pt idx="669">
                  <c:v>2009.74999999999</c:v>
                </c:pt>
                <c:pt idx="670">
                  <c:v>2009.8333333333201</c:v>
                </c:pt>
                <c:pt idx="671">
                  <c:v>2009.9166666666599</c:v>
                </c:pt>
                <c:pt idx="672">
                  <c:v>2010</c:v>
                </c:pt>
                <c:pt idx="673">
                  <c:v>2010.0833333333201</c:v>
                </c:pt>
                <c:pt idx="674">
                  <c:v>2010.1666666666599</c:v>
                </c:pt>
                <c:pt idx="675">
                  <c:v>2010.24999999999</c:v>
                </c:pt>
                <c:pt idx="676">
                  <c:v>2010.3333333333201</c:v>
                </c:pt>
                <c:pt idx="677">
                  <c:v>2010.4166666666599</c:v>
                </c:pt>
                <c:pt idx="678">
                  <c:v>2010.49999999999</c:v>
                </c:pt>
                <c:pt idx="679">
                  <c:v>2010.5833333333301</c:v>
                </c:pt>
                <c:pt idx="680">
                  <c:v>2010.6666666666599</c:v>
                </c:pt>
                <c:pt idx="681">
                  <c:v>2010.74999999999</c:v>
                </c:pt>
                <c:pt idx="682">
                  <c:v>2010.8333333333301</c:v>
                </c:pt>
                <c:pt idx="683">
                  <c:v>2010.9166666666599</c:v>
                </c:pt>
                <c:pt idx="684">
                  <c:v>2011</c:v>
                </c:pt>
                <c:pt idx="685">
                  <c:v>2011.0833333333301</c:v>
                </c:pt>
                <c:pt idx="686">
                  <c:v>2011.1666666666599</c:v>
                </c:pt>
                <c:pt idx="687">
                  <c:v>2011.24999999999</c:v>
                </c:pt>
                <c:pt idx="688">
                  <c:v>2011.3333333333301</c:v>
                </c:pt>
                <c:pt idx="689">
                  <c:v>2011.4166666666599</c:v>
                </c:pt>
                <c:pt idx="690">
                  <c:v>2011.49999999999</c:v>
                </c:pt>
                <c:pt idx="691">
                  <c:v>2011.5833333333301</c:v>
                </c:pt>
                <c:pt idx="692">
                  <c:v>2011.6666666666599</c:v>
                </c:pt>
                <c:pt idx="693">
                  <c:v>2011.74999999999</c:v>
                </c:pt>
                <c:pt idx="694">
                  <c:v>2011.8333333333301</c:v>
                </c:pt>
                <c:pt idx="695">
                  <c:v>2011.9166666666599</c:v>
                </c:pt>
                <c:pt idx="696">
                  <c:v>2012</c:v>
                </c:pt>
                <c:pt idx="697">
                  <c:v>2012.0833333333301</c:v>
                </c:pt>
                <c:pt idx="698">
                  <c:v>2012.1666666666599</c:v>
                </c:pt>
                <c:pt idx="699">
                  <c:v>2012.24999999999</c:v>
                </c:pt>
                <c:pt idx="700">
                  <c:v>2012.3333333333301</c:v>
                </c:pt>
                <c:pt idx="701">
                  <c:v>2012.4166666666599</c:v>
                </c:pt>
                <c:pt idx="702">
                  <c:v>2012.5</c:v>
                </c:pt>
                <c:pt idx="703">
                  <c:v>2012.5833333333301</c:v>
                </c:pt>
                <c:pt idx="704">
                  <c:v>2012.6666666666599</c:v>
                </c:pt>
                <c:pt idx="705">
                  <c:v>2012.75</c:v>
                </c:pt>
                <c:pt idx="706">
                  <c:v>2012.8333333333301</c:v>
                </c:pt>
                <c:pt idx="707">
                  <c:v>2012.9166666666599</c:v>
                </c:pt>
                <c:pt idx="708">
                  <c:v>2013</c:v>
                </c:pt>
                <c:pt idx="709">
                  <c:v>2013.0833333333301</c:v>
                </c:pt>
                <c:pt idx="710">
                  <c:v>2013.1666666666599</c:v>
                </c:pt>
                <c:pt idx="711">
                  <c:v>2013.25</c:v>
                </c:pt>
                <c:pt idx="712">
                  <c:v>2013.3333333333301</c:v>
                </c:pt>
                <c:pt idx="713">
                  <c:v>2013.4166666666599</c:v>
                </c:pt>
                <c:pt idx="714">
                  <c:v>2013.5</c:v>
                </c:pt>
                <c:pt idx="715">
                  <c:v>2013.5833333333301</c:v>
                </c:pt>
                <c:pt idx="716">
                  <c:v>2013.6666666666599</c:v>
                </c:pt>
                <c:pt idx="717">
                  <c:v>2013.75</c:v>
                </c:pt>
                <c:pt idx="718">
                  <c:v>2013.8333333333301</c:v>
                </c:pt>
                <c:pt idx="719">
                  <c:v>2013.9166666666599</c:v>
                </c:pt>
              </c:numCache>
            </c:numRef>
          </c:xVal>
          <c:yVal>
            <c:numRef>
              <c:f>'Temp-aire'!$D$10:$D$729</c:f>
              <c:numCache>
                <c:formatCode>General</c:formatCode>
                <c:ptCount val="720"/>
                <c:pt idx="0">
                  <c:v>26.3</c:v>
                </c:pt>
                <c:pt idx="1">
                  <c:v>26.6</c:v>
                </c:pt>
                <c:pt idx="2">
                  <c:v>27.4</c:v>
                </c:pt>
                <c:pt idx="3">
                  <c:v>27.8</c:v>
                </c:pt>
                <c:pt idx="4">
                  <c:v>28.3</c:v>
                </c:pt>
                <c:pt idx="5">
                  <c:v>28.7</c:v>
                </c:pt>
                <c:pt idx="6">
                  <c:v>28.8</c:v>
                </c:pt>
                <c:pt idx="7">
                  <c:v>28.7</c:v>
                </c:pt>
                <c:pt idx="8">
                  <c:v>28.5</c:v>
                </c:pt>
                <c:pt idx="9">
                  <c:v>27.8</c:v>
                </c:pt>
                <c:pt idx="10">
                  <c:v>27.8</c:v>
                </c:pt>
                <c:pt idx="11">
                  <c:v>27.3</c:v>
                </c:pt>
                <c:pt idx="12">
                  <c:v>26.9</c:v>
                </c:pt>
                <c:pt idx="13">
                  <c:v>27.1</c:v>
                </c:pt>
                <c:pt idx="14">
                  <c:v>26.3</c:v>
                </c:pt>
                <c:pt idx="15">
                  <c:v>27.2</c:v>
                </c:pt>
                <c:pt idx="16">
                  <c:v>28.1</c:v>
                </c:pt>
                <c:pt idx="17">
                  <c:v>28</c:v>
                </c:pt>
                <c:pt idx="18">
                  <c:v>28.2</c:v>
                </c:pt>
                <c:pt idx="19">
                  <c:v>28.6</c:v>
                </c:pt>
                <c:pt idx="20">
                  <c:v>28.3</c:v>
                </c:pt>
                <c:pt idx="21">
                  <c:v>27.5</c:v>
                </c:pt>
                <c:pt idx="22">
                  <c:v>27.9</c:v>
                </c:pt>
                <c:pt idx="23">
                  <c:v>27.6</c:v>
                </c:pt>
                <c:pt idx="24">
                  <c:v>26.4</c:v>
                </c:pt>
                <c:pt idx="25">
                  <c:v>26.6</c:v>
                </c:pt>
                <c:pt idx="26">
                  <c:v>26.7</c:v>
                </c:pt>
                <c:pt idx="27">
                  <c:v>27.6</c:v>
                </c:pt>
                <c:pt idx="28">
                  <c:v>27.7</c:v>
                </c:pt>
                <c:pt idx="29">
                  <c:v>27.8</c:v>
                </c:pt>
                <c:pt idx="30">
                  <c:v>28.1</c:v>
                </c:pt>
                <c:pt idx="31">
                  <c:v>27.5</c:v>
                </c:pt>
                <c:pt idx="32">
                  <c:v>28</c:v>
                </c:pt>
                <c:pt idx="33">
                  <c:v>26.9</c:v>
                </c:pt>
                <c:pt idx="34">
                  <c:v>27.4</c:v>
                </c:pt>
                <c:pt idx="35">
                  <c:v>26.9</c:v>
                </c:pt>
                <c:pt idx="36">
                  <c:v>28.2</c:v>
                </c:pt>
                <c:pt idx="37">
                  <c:v>26.1</c:v>
                </c:pt>
                <c:pt idx="38">
                  <c:v>27.6</c:v>
                </c:pt>
                <c:pt idx="39">
                  <c:v>26.6</c:v>
                </c:pt>
                <c:pt idx="40">
                  <c:v>28.4</c:v>
                </c:pt>
                <c:pt idx="41">
                  <c:v>28.6</c:v>
                </c:pt>
                <c:pt idx="42">
                  <c:v>28.8</c:v>
                </c:pt>
                <c:pt idx="43">
                  <c:v>29.1</c:v>
                </c:pt>
                <c:pt idx="44">
                  <c:v>28.9</c:v>
                </c:pt>
                <c:pt idx="45">
                  <c:v>28.4</c:v>
                </c:pt>
                <c:pt idx="46">
                  <c:v>28.6</c:v>
                </c:pt>
                <c:pt idx="47">
                  <c:v>28</c:v>
                </c:pt>
                <c:pt idx="48">
                  <c:v>27.5</c:v>
                </c:pt>
                <c:pt idx="49">
                  <c:v>27.2</c:v>
                </c:pt>
                <c:pt idx="50">
                  <c:v>27.9</c:v>
                </c:pt>
                <c:pt idx="51">
                  <c:v>28.4</c:v>
                </c:pt>
                <c:pt idx="52">
                  <c:v>28.5</c:v>
                </c:pt>
                <c:pt idx="53">
                  <c:v>29.1</c:v>
                </c:pt>
                <c:pt idx="54">
                  <c:v>29</c:v>
                </c:pt>
                <c:pt idx="55">
                  <c:v>28.7</c:v>
                </c:pt>
                <c:pt idx="56">
                  <c:v>29.2</c:v>
                </c:pt>
                <c:pt idx="57">
                  <c:v>28.8</c:v>
                </c:pt>
                <c:pt idx="58">
                  <c:v>28.5</c:v>
                </c:pt>
                <c:pt idx="59">
                  <c:v>27.2</c:v>
                </c:pt>
                <c:pt idx="60">
                  <c:v>26.4</c:v>
                </c:pt>
                <c:pt idx="61">
                  <c:v>25.5</c:v>
                </c:pt>
                <c:pt idx="62">
                  <c:v>26.5</c:v>
                </c:pt>
                <c:pt idx="63">
                  <c:v>27.2</c:v>
                </c:pt>
                <c:pt idx="64">
                  <c:v>27.8</c:v>
                </c:pt>
                <c:pt idx="65">
                  <c:v>28.2</c:v>
                </c:pt>
                <c:pt idx="66">
                  <c:v>28</c:v>
                </c:pt>
                <c:pt idx="67">
                  <c:v>28.2</c:v>
                </c:pt>
                <c:pt idx="68">
                  <c:v>28.4</c:v>
                </c:pt>
                <c:pt idx="69">
                  <c:v>28</c:v>
                </c:pt>
                <c:pt idx="70">
                  <c:v>27.9</c:v>
                </c:pt>
                <c:pt idx="71">
                  <c:v>27.6</c:v>
                </c:pt>
                <c:pt idx="72">
                  <c:v>26.6</c:v>
                </c:pt>
                <c:pt idx="73">
                  <c:v>27.6</c:v>
                </c:pt>
                <c:pt idx="74">
                  <c:v>26.8</c:v>
                </c:pt>
                <c:pt idx="75">
                  <c:v>28.5</c:v>
                </c:pt>
                <c:pt idx="76">
                  <c:v>28.6</c:v>
                </c:pt>
                <c:pt idx="77">
                  <c:v>28.4</c:v>
                </c:pt>
                <c:pt idx="78">
                  <c:v>28.5</c:v>
                </c:pt>
                <c:pt idx="79">
                  <c:v>28.4</c:v>
                </c:pt>
                <c:pt idx="80">
                  <c:v>28.4</c:v>
                </c:pt>
                <c:pt idx="81">
                  <c:v>28.1</c:v>
                </c:pt>
                <c:pt idx="82">
                  <c:v>27.7</c:v>
                </c:pt>
                <c:pt idx="83">
                  <c:v>27.2</c:v>
                </c:pt>
                <c:pt idx="84">
                  <c:v>26.9</c:v>
                </c:pt>
                <c:pt idx="85">
                  <c:v>26.2</c:v>
                </c:pt>
                <c:pt idx="86">
                  <c:v>25.9</c:v>
                </c:pt>
                <c:pt idx="87">
                  <c:v>27.2</c:v>
                </c:pt>
                <c:pt idx="88">
                  <c:v>28</c:v>
                </c:pt>
                <c:pt idx="89">
                  <c:v>28.8</c:v>
                </c:pt>
                <c:pt idx="90">
                  <c:v>28.2</c:v>
                </c:pt>
                <c:pt idx="91">
                  <c:v>28.3</c:v>
                </c:pt>
                <c:pt idx="92">
                  <c:v>28.1</c:v>
                </c:pt>
                <c:pt idx="93">
                  <c:v>28</c:v>
                </c:pt>
                <c:pt idx="94">
                  <c:v>25.9</c:v>
                </c:pt>
                <c:pt idx="95">
                  <c:v>26.6</c:v>
                </c:pt>
                <c:pt idx="96">
                  <c:v>26.5</c:v>
                </c:pt>
                <c:pt idx="97">
                  <c:v>27</c:v>
                </c:pt>
                <c:pt idx="98">
                  <c:v>27.8</c:v>
                </c:pt>
                <c:pt idx="99">
                  <c:v>27.6</c:v>
                </c:pt>
                <c:pt idx="100">
                  <c:v>29</c:v>
                </c:pt>
                <c:pt idx="101">
                  <c:v>27.2</c:v>
                </c:pt>
                <c:pt idx="102">
                  <c:v>28.2</c:v>
                </c:pt>
                <c:pt idx="103">
                  <c:v>28.1</c:v>
                </c:pt>
                <c:pt idx="104">
                  <c:v>28.3</c:v>
                </c:pt>
                <c:pt idx="105">
                  <c:v>28.6</c:v>
                </c:pt>
                <c:pt idx="106">
                  <c:v>28.4</c:v>
                </c:pt>
                <c:pt idx="107">
                  <c:v>27.6</c:v>
                </c:pt>
                <c:pt idx="108">
                  <c:v>28.3</c:v>
                </c:pt>
                <c:pt idx="109">
                  <c:v>28</c:v>
                </c:pt>
                <c:pt idx="110">
                  <c:v>28.2</c:v>
                </c:pt>
                <c:pt idx="111">
                  <c:v>27.9</c:v>
                </c:pt>
                <c:pt idx="112">
                  <c:v>27.8</c:v>
                </c:pt>
                <c:pt idx="113">
                  <c:v>27.7</c:v>
                </c:pt>
                <c:pt idx="114">
                  <c:v>27.8</c:v>
                </c:pt>
                <c:pt idx="115">
                  <c:v>27.8</c:v>
                </c:pt>
                <c:pt idx="116">
                  <c:v>27.8</c:v>
                </c:pt>
                <c:pt idx="117">
                  <c:v>27.8</c:v>
                </c:pt>
                <c:pt idx="118">
                  <c:v>27.5</c:v>
                </c:pt>
                <c:pt idx="119">
                  <c:v>27.5</c:v>
                </c:pt>
                <c:pt idx="120">
                  <c:v>26.8</c:v>
                </c:pt>
                <c:pt idx="121">
                  <c:v>27.1</c:v>
                </c:pt>
                <c:pt idx="122">
                  <c:v>27</c:v>
                </c:pt>
                <c:pt idx="123">
                  <c:v>28</c:v>
                </c:pt>
                <c:pt idx="124">
                  <c:v>28.2</c:v>
                </c:pt>
                <c:pt idx="125">
                  <c:v>28.1</c:v>
                </c:pt>
                <c:pt idx="126">
                  <c:v>27.9</c:v>
                </c:pt>
                <c:pt idx="127">
                  <c:v>27.5</c:v>
                </c:pt>
                <c:pt idx="128">
                  <c:v>27.7</c:v>
                </c:pt>
                <c:pt idx="129">
                  <c:v>27.4</c:v>
                </c:pt>
                <c:pt idx="130">
                  <c:v>27.2</c:v>
                </c:pt>
                <c:pt idx="131">
                  <c:v>26.5</c:v>
                </c:pt>
                <c:pt idx="132">
                  <c:v>26.3</c:v>
                </c:pt>
                <c:pt idx="133">
                  <c:v>26.7</c:v>
                </c:pt>
                <c:pt idx="134">
                  <c:v>27.1</c:v>
                </c:pt>
                <c:pt idx="135">
                  <c:v>27.6</c:v>
                </c:pt>
                <c:pt idx="136">
                  <c:v>28</c:v>
                </c:pt>
                <c:pt idx="137">
                  <c:v>28.2</c:v>
                </c:pt>
                <c:pt idx="138">
                  <c:v>28.5</c:v>
                </c:pt>
                <c:pt idx="139">
                  <c:v>28.1</c:v>
                </c:pt>
                <c:pt idx="140">
                  <c:v>28.4</c:v>
                </c:pt>
                <c:pt idx="141">
                  <c:v>28</c:v>
                </c:pt>
                <c:pt idx="142">
                  <c:v>27.2</c:v>
                </c:pt>
                <c:pt idx="143">
                  <c:v>27.6</c:v>
                </c:pt>
                <c:pt idx="144">
                  <c:v>27.8</c:v>
                </c:pt>
                <c:pt idx="145">
                  <c:v>27.6</c:v>
                </c:pt>
                <c:pt idx="146">
                  <c:v>26.7</c:v>
                </c:pt>
                <c:pt idx="147">
                  <c:v>28.1</c:v>
                </c:pt>
                <c:pt idx="148">
                  <c:v>28</c:v>
                </c:pt>
                <c:pt idx="149">
                  <c:v>27.7</c:v>
                </c:pt>
                <c:pt idx="150">
                  <c:v>28.1</c:v>
                </c:pt>
                <c:pt idx="151">
                  <c:v>28</c:v>
                </c:pt>
                <c:pt idx="152">
                  <c:v>27.8</c:v>
                </c:pt>
                <c:pt idx="153">
                  <c:v>27.4</c:v>
                </c:pt>
                <c:pt idx="154">
                  <c:v>26.7</c:v>
                </c:pt>
                <c:pt idx="155">
                  <c:v>25.8</c:v>
                </c:pt>
                <c:pt idx="156">
                  <c:v>26.4</c:v>
                </c:pt>
                <c:pt idx="157">
                  <c:v>26.7</c:v>
                </c:pt>
                <c:pt idx="158">
                  <c:v>27.4</c:v>
                </c:pt>
                <c:pt idx="159">
                  <c:v>27.9</c:v>
                </c:pt>
                <c:pt idx="160">
                  <c:v>28.3</c:v>
                </c:pt>
                <c:pt idx="161">
                  <c:v>28.4</c:v>
                </c:pt>
                <c:pt idx="162">
                  <c:v>28.4</c:v>
                </c:pt>
                <c:pt idx="163">
                  <c:v>28.2</c:v>
                </c:pt>
                <c:pt idx="164">
                  <c:v>28</c:v>
                </c:pt>
                <c:pt idx="165">
                  <c:v>27.7</c:v>
                </c:pt>
                <c:pt idx="166">
                  <c:v>27.5</c:v>
                </c:pt>
                <c:pt idx="167">
                  <c:v>27.4</c:v>
                </c:pt>
                <c:pt idx="168">
                  <c:v>26.3</c:v>
                </c:pt>
                <c:pt idx="169">
                  <c:v>26.5</c:v>
                </c:pt>
                <c:pt idx="170">
                  <c:v>27</c:v>
                </c:pt>
                <c:pt idx="171">
                  <c:v>26.3</c:v>
                </c:pt>
                <c:pt idx="172">
                  <c:v>26.7</c:v>
                </c:pt>
                <c:pt idx="173">
                  <c:v>27.8</c:v>
                </c:pt>
                <c:pt idx="174">
                  <c:v>27.8</c:v>
                </c:pt>
                <c:pt idx="175">
                  <c:v>27.8</c:v>
                </c:pt>
                <c:pt idx="176">
                  <c:v>27.8</c:v>
                </c:pt>
                <c:pt idx="177">
                  <c:v>27.7</c:v>
                </c:pt>
                <c:pt idx="178">
                  <c:v>27.7</c:v>
                </c:pt>
                <c:pt idx="179">
                  <c:v>27.7</c:v>
                </c:pt>
                <c:pt idx="180">
                  <c:v>27.1</c:v>
                </c:pt>
                <c:pt idx="181">
                  <c:v>27.3</c:v>
                </c:pt>
                <c:pt idx="182">
                  <c:v>27.9</c:v>
                </c:pt>
                <c:pt idx="183">
                  <c:v>28.1</c:v>
                </c:pt>
                <c:pt idx="184">
                  <c:v>28.3</c:v>
                </c:pt>
                <c:pt idx="185">
                  <c:v>27.7</c:v>
                </c:pt>
                <c:pt idx="186">
                  <c:v>27.4</c:v>
                </c:pt>
                <c:pt idx="187">
                  <c:v>27.3</c:v>
                </c:pt>
                <c:pt idx="188">
                  <c:v>27.7</c:v>
                </c:pt>
                <c:pt idx="189">
                  <c:v>27.2</c:v>
                </c:pt>
                <c:pt idx="190">
                  <c:v>27</c:v>
                </c:pt>
                <c:pt idx="191">
                  <c:v>27</c:v>
                </c:pt>
                <c:pt idx="192">
                  <c:v>26.6</c:v>
                </c:pt>
                <c:pt idx="193">
                  <c:v>27</c:v>
                </c:pt>
                <c:pt idx="194">
                  <c:v>27.3</c:v>
                </c:pt>
                <c:pt idx="195">
                  <c:v>27.8</c:v>
                </c:pt>
                <c:pt idx="196">
                  <c:v>27.8</c:v>
                </c:pt>
                <c:pt idx="197">
                  <c:v>28.3</c:v>
                </c:pt>
                <c:pt idx="198">
                  <c:v>27.9</c:v>
                </c:pt>
                <c:pt idx="199">
                  <c:v>26.7</c:v>
                </c:pt>
                <c:pt idx="200">
                  <c:v>27.5</c:v>
                </c:pt>
                <c:pt idx="201">
                  <c:v>28.1</c:v>
                </c:pt>
                <c:pt idx="202">
                  <c:v>27.9</c:v>
                </c:pt>
                <c:pt idx="203">
                  <c:v>28</c:v>
                </c:pt>
                <c:pt idx="204">
                  <c:v>27.8</c:v>
                </c:pt>
                <c:pt idx="205">
                  <c:v>27.6</c:v>
                </c:pt>
                <c:pt idx="206">
                  <c:v>28.1</c:v>
                </c:pt>
                <c:pt idx="207">
                  <c:v>28.1</c:v>
                </c:pt>
                <c:pt idx="208">
                  <c:v>28.2</c:v>
                </c:pt>
                <c:pt idx="209">
                  <c:v>28.3</c:v>
                </c:pt>
                <c:pt idx="210">
                  <c:v>28</c:v>
                </c:pt>
                <c:pt idx="211">
                  <c:v>27.9</c:v>
                </c:pt>
                <c:pt idx="212">
                  <c:v>28</c:v>
                </c:pt>
                <c:pt idx="213">
                  <c:v>27.8</c:v>
                </c:pt>
                <c:pt idx="214">
                  <c:v>27.4</c:v>
                </c:pt>
                <c:pt idx="215">
                  <c:v>27.2</c:v>
                </c:pt>
                <c:pt idx="216">
                  <c:v>26.5</c:v>
                </c:pt>
                <c:pt idx="217">
                  <c:v>26</c:v>
                </c:pt>
                <c:pt idx="218">
                  <c:v>27</c:v>
                </c:pt>
                <c:pt idx="219">
                  <c:v>27.4</c:v>
                </c:pt>
                <c:pt idx="220">
                  <c:v>27.7</c:v>
                </c:pt>
                <c:pt idx="221">
                  <c:v>29.2</c:v>
                </c:pt>
                <c:pt idx="222">
                  <c:v>29.2</c:v>
                </c:pt>
                <c:pt idx="223">
                  <c:v>29.5</c:v>
                </c:pt>
                <c:pt idx="224">
                  <c:v>29.8</c:v>
                </c:pt>
                <c:pt idx="225">
                  <c:v>29.7</c:v>
                </c:pt>
                <c:pt idx="226">
                  <c:v>29.5</c:v>
                </c:pt>
                <c:pt idx="227">
                  <c:v>29.5</c:v>
                </c:pt>
                <c:pt idx="228">
                  <c:v>28.9</c:v>
                </c:pt>
                <c:pt idx="229">
                  <c:v>27.4</c:v>
                </c:pt>
                <c:pt idx="230">
                  <c:v>28.4</c:v>
                </c:pt>
                <c:pt idx="231">
                  <c:v>27.6</c:v>
                </c:pt>
                <c:pt idx="232">
                  <c:v>27.8</c:v>
                </c:pt>
                <c:pt idx="233">
                  <c:v>28</c:v>
                </c:pt>
                <c:pt idx="234">
                  <c:v>27.8</c:v>
                </c:pt>
                <c:pt idx="235">
                  <c:v>27.9</c:v>
                </c:pt>
                <c:pt idx="236">
                  <c:v>28.1</c:v>
                </c:pt>
                <c:pt idx="237">
                  <c:v>28</c:v>
                </c:pt>
                <c:pt idx="238">
                  <c:v>27.7</c:v>
                </c:pt>
                <c:pt idx="239">
                  <c:v>27.6</c:v>
                </c:pt>
                <c:pt idx="240">
                  <c:v>27</c:v>
                </c:pt>
                <c:pt idx="241">
                  <c:v>27</c:v>
                </c:pt>
                <c:pt idx="242">
                  <c:v>27.7</c:v>
                </c:pt>
                <c:pt idx="243">
                  <c:v>27.7</c:v>
                </c:pt>
                <c:pt idx="244">
                  <c:v>28.6</c:v>
                </c:pt>
                <c:pt idx="245">
                  <c:v>28.1</c:v>
                </c:pt>
                <c:pt idx="246">
                  <c:v>27.9</c:v>
                </c:pt>
                <c:pt idx="247">
                  <c:v>27.9</c:v>
                </c:pt>
                <c:pt idx="248">
                  <c:v>28.1</c:v>
                </c:pt>
                <c:pt idx="249">
                  <c:v>28</c:v>
                </c:pt>
                <c:pt idx="250">
                  <c:v>27.7</c:v>
                </c:pt>
                <c:pt idx="251">
                  <c:v>27.7</c:v>
                </c:pt>
                <c:pt idx="252">
                  <c:v>26.9</c:v>
                </c:pt>
                <c:pt idx="253">
                  <c:v>26.5</c:v>
                </c:pt>
                <c:pt idx="254">
                  <c:v>26.6</c:v>
                </c:pt>
                <c:pt idx="255">
                  <c:v>27.1</c:v>
                </c:pt>
                <c:pt idx="256">
                  <c:v>27.8</c:v>
                </c:pt>
                <c:pt idx="257">
                  <c:v>27.6</c:v>
                </c:pt>
                <c:pt idx="258">
                  <c:v>27.4</c:v>
                </c:pt>
                <c:pt idx="259">
                  <c:v>27.2</c:v>
                </c:pt>
                <c:pt idx="260">
                  <c:v>27.5</c:v>
                </c:pt>
                <c:pt idx="261">
                  <c:v>26.7</c:v>
                </c:pt>
                <c:pt idx="262">
                  <c:v>27.1</c:v>
                </c:pt>
                <c:pt idx="263">
                  <c:v>26.3</c:v>
                </c:pt>
                <c:pt idx="264">
                  <c:v>26.1</c:v>
                </c:pt>
                <c:pt idx="265">
                  <c:v>25.6</c:v>
                </c:pt>
                <c:pt idx="266">
                  <c:v>26.2</c:v>
                </c:pt>
                <c:pt idx="267">
                  <c:v>26.6</c:v>
                </c:pt>
                <c:pt idx="268">
                  <c:v>27.8</c:v>
                </c:pt>
                <c:pt idx="269">
                  <c:v>27.4</c:v>
                </c:pt>
                <c:pt idx="270">
                  <c:v>27.6</c:v>
                </c:pt>
                <c:pt idx="271">
                  <c:v>27.9</c:v>
                </c:pt>
                <c:pt idx="272">
                  <c:v>28</c:v>
                </c:pt>
                <c:pt idx="273">
                  <c:v>27.8</c:v>
                </c:pt>
                <c:pt idx="274">
                  <c:v>28.5</c:v>
                </c:pt>
                <c:pt idx="275">
                  <c:v>27.2</c:v>
                </c:pt>
                <c:pt idx="276">
                  <c:v>26.8</c:v>
                </c:pt>
                <c:pt idx="277">
                  <c:v>26.6</c:v>
                </c:pt>
                <c:pt idx="278">
                  <c:v>26.6</c:v>
                </c:pt>
                <c:pt idx="279">
                  <c:v>27.1</c:v>
                </c:pt>
                <c:pt idx="280">
                  <c:v>27.7</c:v>
                </c:pt>
                <c:pt idx="281">
                  <c:v>28.2</c:v>
                </c:pt>
                <c:pt idx="282">
                  <c:v>27.8</c:v>
                </c:pt>
                <c:pt idx="283">
                  <c:v>27.9</c:v>
                </c:pt>
                <c:pt idx="284">
                  <c:v>28.8</c:v>
                </c:pt>
                <c:pt idx="285">
                  <c:v>28.4</c:v>
                </c:pt>
                <c:pt idx="286">
                  <c:v>28.4</c:v>
                </c:pt>
                <c:pt idx="287">
                  <c:v>28</c:v>
                </c:pt>
                <c:pt idx="288">
                  <c:v>27.5</c:v>
                </c:pt>
                <c:pt idx="289">
                  <c:v>27.3</c:v>
                </c:pt>
                <c:pt idx="290">
                  <c:v>27.7</c:v>
                </c:pt>
                <c:pt idx="291">
                  <c:v>28</c:v>
                </c:pt>
                <c:pt idx="292">
                  <c:v>28.5</c:v>
                </c:pt>
                <c:pt idx="293">
                  <c:v>28.5</c:v>
                </c:pt>
                <c:pt idx="294">
                  <c:v>28.4</c:v>
                </c:pt>
                <c:pt idx="295">
                  <c:v>28.3</c:v>
                </c:pt>
                <c:pt idx="296">
                  <c:v>28.6</c:v>
                </c:pt>
                <c:pt idx="297">
                  <c:v>28.4</c:v>
                </c:pt>
                <c:pt idx="298">
                  <c:v>28.4</c:v>
                </c:pt>
                <c:pt idx="299">
                  <c:v>28</c:v>
                </c:pt>
                <c:pt idx="300">
                  <c:v>27.5</c:v>
                </c:pt>
                <c:pt idx="301">
                  <c:v>27.2</c:v>
                </c:pt>
                <c:pt idx="302">
                  <c:v>27.7</c:v>
                </c:pt>
                <c:pt idx="303">
                  <c:v>27.9</c:v>
                </c:pt>
                <c:pt idx="304">
                  <c:v>28.5</c:v>
                </c:pt>
                <c:pt idx="305">
                  <c:v>28.5</c:v>
                </c:pt>
                <c:pt idx="306">
                  <c:v>28.4</c:v>
                </c:pt>
                <c:pt idx="307">
                  <c:v>28.3</c:v>
                </c:pt>
                <c:pt idx="308">
                  <c:v>28.6</c:v>
                </c:pt>
                <c:pt idx="309">
                  <c:v>28.4</c:v>
                </c:pt>
                <c:pt idx="310">
                  <c:v>28.4</c:v>
                </c:pt>
                <c:pt idx="311">
                  <c:v>27.8</c:v>
                </c:pt>
                <c:pt idx="312">
                  <c:v>27.4</c:v>
                </c:pt>
                <c:pt idx="313">
                  <c:v>27.3</c:v>
                </c:pt>
                <c:pt idx="314">
                  <c:v>27.6</c:v>
                </c:pt>
                <c:pt idx="315">
                  <c:v>27.9</c:v>
                </c:pt>
                <c:pt idx="316">
                  <c:v>28.5</c:v>
                </c:pt>
                <c:pt idx="317">
                  <c:v>28.6</c:v>
                </c:pt>
                <c:pt idx="318">
                  <c:v>28.5</c:v>
                </c:pt>
                <c:pt idx="319">
                  <c:v>28.4</c:v>
                </c:pt>
                <c:pt idx="320">
                  <c:v>28.6</c:v>
                </c:pt>
                <c:pt idx="321">
                  <c:v>28.3</c:v>
                </c:pt>
                <c:pt idx="322">
                  <c:v>28.4</c:v>
                </c:pt>
                <c:pt idx="323">
                  <c:v>27.8</c:v>
                </c:pt>
                <c:pt idx="324">
                  <c:v>27.4</c:v>
                </c:pt>
                <c:pt idx="325">
                  <c:v>27.1</c:v>
                </c:pt>
                <c:pt idx="326">
                  <c:v>27.6</c:v>
                </c:pt>
                <c:pt idx="327">
                  <c:v>27.6</c:v>
                </c:pt>
                <c:pt idx="328">
                  <c:v>28</c:v>
                </c:pt>
                <c:pt idx="329">
                  <c:v>28.1</c:v>
                </c:pt>
                <c:pt idx="330">
                  <c:v>28.4</c:v>
                </c:pt>
                <c:pt idx="331">
                  <c:v>27.9</c:v>
                </c:pt>
                <c:pt idx="332">
                  <c:v>28.3</c:v>
                </c:pt>
                <c:pt idx="333">
                  <c:v>27.9</c:v>
                </c:pt>
                <c:pt idx="334">
                  <c:v>28.3</c:v>
                </c:pt>
                <c:pt idx="335">
                  <c:v>27.7</c:v>
                </c:pt>
                <c:pt idx="336">
                  <c:v>26.7</c:v>
                </c:pt>
                <c:pt idx="337">
                  <c:v>26.8</c:v>
                </c:pt>
                <c:pt idx="338">
                  <c:v>26.6</c:v>
                </c:pt>
                <c:pt idx="339">
                  <c:v>27.3</c:v>
                </c:pt>
                <c:pt idx="340">
                  <c:v>28</c:v>
                </c:pt>
                <c:pt idx="341">
                  <c:v>28.4</c:v>
                </c:pt>
                <c:pt idx="342">
                  <c:v>28.1</c:v>
                </c:pt>
                <c:pt idx="343">
                  <c:v>28.3</c:v>
                </c:pt>
                <c:pt idx="344">
                  <c:v>28.3</c:v>
                </c:pt>
                <c:pt idx="345">
                  <c:v>27.6</c:v>
                </c:pt>
                <c:pt idx="346">
                  <c:v>28</c:v>
                </c:pt>
                <c:pt idx="347">
                  <c:v>27</c:v>
                </c:pt>
                <c:pt idx="348">
                  <c:v>27.4</c:v>
                </c:pt>
                <c:pt idx="349">
                  <c:v>27.1</c:v>
                </c:pt>
                <c:pt idx="350">
                  <c:v>28</c:v>
                </c:pt>
                <c:pt idx="351">
                  <c:v>28.1</c:v>
                </c:pt>
                <c:pt idx="352">
                  <c:v>28.6</c:v>
                </c:pt>
                <c:pt idx="353">
                  <c:v>29.2</c:v>
                </c:pt>
                <c:pt idx="354">
                  <c:v>28.7</c:v>
                </c:pt>
                <c:pt idx="355">
                  <c:v>28.6</c:v>
                </c:pt>
                <c:pt idx="356">
                  <c:v>28.3</c:v>
                </c:pt>
                <c:pt idx="357">
                  <c:v>27.7</c:v>
                </c:pt>
                <c:pt idx="358">
                  <c:v>28.3</c:v>
                </c:pt>
                <c:pt idx="359">
                  <c:v>27.4</c:v>
                </c:pt>
                <c:pt idx="360">
                  <c:v>26.8</c:v>
                </c:pt>
                <c:pt idx="361">
                  <c:v>27.2</c:v>
                </c:pt>
                <c:pt idx="362">
                  <c:v>26.9</c:v>
                </c:pt>
                <c:pt idx="363">
                  <c:v>27.5</c:v>
                </c:pt>
                <c:pt idx="364">
                  <c:v>28.1</c:v>
                </c:pt>
                <c:pt idx="365">
                  <c:v>28.2</c:v>
                </c:pt>
                <c:pt idx="366">
                  <c:v>27.7</c:v>
                </c:pt>
                <c:pt idx="367">
                  <c:v>27.6</c:v>
                </c:pt>
                <c:pt idx="368">
                  <c:v>27.5</c:v>
                </c:pt>
                <c:pt idx="369">
                  <c:v>27.5</c:v>
                </c:pt>
                <c:pt idx="370">
                  <c:v>27.4</c:v>
                </c:pt>
                <c:pt idx="371">
                  <c:v>26.3</c:v>
                </c:pt>
                <c:pt idx="372">
                  <c:v>25.9</c:v>
                </c:pt>
                <c:pt idx="373">
                  <c:v>26.5</c:v>
                </c:pt>
                <c:pt idx="374">
                  <c:v>26.7</c:v>
                </c:pt>
                <c:pt idx="375">
                  <c:v>27</c:v>
                </c:pt>
                <c:pt idx="376">
                  <c:v>28.2</c:v>
                </c:pt>
                <c:pt idx="377">
                  <c:v>28.5</c:v>
                </c:pt>
                <c:pt idx="378">
                  <c:v>28.3</c:v>
                </c:pt>
                <c:pt idx="379">
                  <c:v>27.9</c:v>
                </c:pt>
                <c:pt idx="380">
                  <c:v>27.8</c:v>
                </c:pt>
                <c:pt idx="381">
                  <c:v>28.2</c:v>
                </c:pt>
                <c:pt idx="382">
                  <c:v>27.7</c:v>
                </c:pt>
                <c:pt idx="383">
                  <c:v>26.9</c:v>
                </c:pt>
                <c:pt idx="384">
                  <c:v>26.5</c:v>
                </c:pt>
                <c:pt idx="385">
                  <c:v>26.6</c:v>
                </c:pt>
                <c:pt idx="386">
                  <c:v>27</c:v>
                </c:pt>
                <c:pt idx="387">
                  <c:v>27.6</c:v>
                </c:pt>
                <c:pt idx="388">
                  <c:v>28.3</c:v>
                </c:pt>
                <c:pt idx="389">
                  <c:v>28.4</c:v>
                </c:pt>
                <c:pt idx="390">
                  <c:v>28.3</c:v>
                </c:pt>
                <c:pt idx="391">
                  <c:v>28.4</c:v>
                </c:pt>
                <c:pt idx="392">
                  <c:v>28.3</c:v>
                </c:pt>
                <c:pt idx="393">
                  <c:v>27.6</c:v>
                </c:pt>
                <c:pt idx="394">
                  <c:v>27.9</c:v>
                </c:pt>
                <c:pt idx="395">
                  <c:v>27.1</c:v>
                </c:pt>
                <c:pt idx="396">
                  <c:v>27.1</c:v>
                </c:pt>
                <c:pt idx="397">
                  <c:v>27.4</c:v>
                </c:pt>
                <c:pt idx="398">
                  <c:v>27.6</c:v>
                </c:pt>
                <c:pt idx="399">
                  <c:v>28.1</c:v>
                </c:pt>
                <c:pt idx="400">
                  <c:v>28.1</c:v>
                </c:pt>
                <c:pt idx="401">
                  <c:v>29.3</c:v>
                </c:pt>
                <c:pt idx="402">
                  <c:v>28.7</c:v>
                </c:pt>
                <c:pt idx="403">
                  <c:v>28.7</c:v>
                </c:pt>
                <c:pt idx="404">
                  <c:v>28</c:v>
                </c:pt>
                <c:pt idx="405">
                  <c:v>27.7</c:v>
                </c:pt>
                <c:pt idx="406">
                  <c:v>27.8</c:v>
                </c:pt>
                <c:pt idx="407">
                  <c:v>27.1</c:v>
                </c:pt>
                <c:pt idx="408">
                  <c:v>26.7</c:v>
                </c:pt>
                <c:pt idx="409">
                  <c:v>26.7</c:v>
                </c:pt>
                <c:pt idx="410">
                  <c:v>27</c:v>
                </c:pt>
                <c:pt idx="411">
                  <c:v>27.3</c:v>
                </c:pt>
                <c:pt idx="412">
                  <c:v>28</c:v>
                </c:pt>
                <c:pt idx="413">
                  <c:v>28.2</c:v>
                </c:pt>
                <c:pt idx="414">
                  <c:v>28</c:v>
                </c:pt>
                <c:pt idx="415">
                  <c:v>27.9</c:v>
                </c:pt>
                <c:pt idx="416">
                  <c:v>27.9</c:v>
                </c:pt>
                <c:pt idx="417">
                  <c:v>27.7</c:v>
                </c:pt>
                <c:pt idx="418">
                  <c:v>27.7</c:v>
                </c:pt>
                <c:pt idx="419">
                  <c:v>27</c:v>
                </c:pt>
                <c:pt idx="420">
                  <c:v>26.7</c:v>
                </c:pt>
                <c:pt idx="421">
                  <c:v>26.7</c:v>
                </c:pt>
                <c:pt idx="422">
                  <c:v>27</c:v>
                </c:pt>
                <c:pt idx="423">
                  <c:v>27.4</c:v>
                </c:pt>
                <c:pt idx="424">
                  <c:v>28</c:v>
                </c:pt>
                <c:pt idx="425">
                  <c:v>28.3</c:v>
                </c:pt>
                <c:pt idx="426">
                  <c:v>28</c:v>
                </c:pt>
                <c:pt idx="427">
                  <c:v>27.9</c:v>
                </c:pt>
                <c:pt idx="428">
                  <c:v>27.9</c:v>
                </c:pt>
                <c:pt idx="429">
                  <c:v>27.6</c:v>
                </c:pt>
                <c:pt idx="430">
                  <c:v>27.7</c:v>
                </c:pt>
                <c:pt idx="431">
                  <c:v>27.7</c:v>
                </c:pt>
                <c:pt idx="432">
                  <c:v>26.6</c:v>
                </c:pt>
                <c:pt idx="433">
                  <c:v>26.7</c:v>
                </c:pt>
                <c:pt idx="434">
                  <c:v>27</c:v>
                </c:pt>
                <c:pt idx="435">
                  <c:v>27.3</c:v>
                </c:pt>
                <c:pt idx="436">
                  <c:v>27.9</c:v>
                </c:pt>
                <c:pt idx="437">
                  <c:v>28.2</c:v>
                </c:pt>
                <c:pt idx="438">
                  <c:v>28</c:v>
                </c:pt>
                <c:pt idx="439">
                  <c:v>27.9</c:v>
                </c:pt>
                <c:pt idx="440">
                  <c:v>27.9</c:v>
                </c:pt>
                <c:pt idx="441">
                  <c:v>27.6</c:v>
                </c:pt>
                <c:pt idx="442">
                  <c:v>27.7</c:v>
                </c:pt>
                <c:pt idx="443">
                  <c:v>26.9</c:v>
                </c:pt>
                <c:pt idx="444">
                  <c:v>26.7</c:v>
                </c:pt>
                <c:pt idx="445">
                  <c:v>26.7</c:v>
                </c:pt>
                <c:pt idx="446">
                  <c:v>27</c:v>
                </c:pt>
                <c:pt idx="447">
                  <c:v>27.6</c:v>
                </c:pt>
                <c:pt idx="448">
                  <c:v>28.1</c:v>
                </c:pt>
                <c:pt idx="449">
                  <c:v>28.4</c:v>
                </c:pt>
                <c:pt idx="450">
                  <c:v>28.2</c:v>
                </c:pt>
                <c:pt idx="451">
                  <c:v>28.4</c:v>
                </c:pt>
                <c:pt idx="452">
                  <c:v>28.2</c:v>
                </c:pt>
                <c:pt idx="453">
                  <c:v>27.8</c:v>
                </c:pt>
                <c:pt idx="454">
                  <c:v>27.7</c:v>
                </c:pt>
                <c:pt idx="455">
                  <c:v>26.7</c:v>
                </c:pt>
                <c:pt idx="456">
                  <c:v>26.6</c:v>
                </c:pt>
                <c:pt idx="457">
                  <c:v>27.1</c:v>
                </c:pt>
                <c:pt idx="458">
                  <c:v>27.4</c:v>
                </c:pt>
                <c:pt idx="459">
                  <c:v>28.2</c:v>
                </c:pt>
                <c:pt idx="460">
                  <c:v>28.4</c:v>
                </c:pt>
                <c:pt idx="461">
                  <c:v>28.7</c:v>
                </c:pt>
                <c:pt idx="462">
                  <c:v>27.9</c:v>
                </c:pt>
                <c:pt idx="463">
                  <c:v>28</c:v>
                </c:pt>
                <c:pt idx="464">
                  <c:v>27.8</c:v>
                </c:pt>
                <c:pt idx="465">
                  <c:v>27.9</c:v>
                </c:pt>
                <c:pt idx="466">
                  <c:v>27.9</c:v>
                </c:pt>
                <c:pt idx="467">
                  <c:v>27.4</c:v>
                </c:pt>
                <c:pt idx="468">
                  <c:v>27.1</c:v>
                </c:pt>
                <c:pt idx="469">
                  <c:v>27</c:v>
                </c:pt>
                <c:pt idx="470">
                  <c:v>27.3</c:v>
                </c:pt>
                <c:pt idx="471">
                  <c:v>27.9</c:v>
                </c:pt>
                <c:pt idx="472">
                  <c:v>28.1</c:v>
                </c:pt>
                <c:pt idx="473">
                  <c:v>28.6</c:v>
                </c:pt>
                <c:pt idx="474">
                  <c:v>28.2</c:v>
                </c:pt>
                <c:pt idx="475">
                  <c:v>28.5</c:v>
                </c:pt>
                <c:pt idx="476">
                  <c:v>27.6</c:v>
                </c:pt>
                <c:pt idx="477">
                  <c:v>28.3</c:v>
                </c:pt>
                <c:pt idx="478">
                  <c:v>27.5</c:v>
                </c:pt>
                <c:pt idx="479">
                  <c:v>27.4</c:v>
                </c:pt>
                <c:pt idx="480">
                  <c:v>26.5</c:v>
                </c:pt>
                <c:pt idx="481">
                  <c:v>26.4</c:v>
                </c:pt>
                <c:pt idx="482">
                  <c:v>27</c:v>
                </c:pt>
                <c:pt idx="483">
                  <c:v>27.3</c:v>
                </c:pt>
                <c:pt idx="484">
                  <c:v>28.1</c:v>
                </c:pt>
                <c:pt idx="485">
                  <c:v>28.3</c:v>
                </c:pt>
                <c:pt idx="486">
                  <c:v>28</c:v>
                </c:pt>
                <c:pt idx="487">
                  <c:v>28.1</c:v>
                </c:pt>
                <c:pt idx="488">
                  <c:v>28.2</c:v>
                </c:pt>
                <c:pt idx="489">
                  <c:v>27.6</c:v>
                </c:pt>
                <c:pt idx="490">
                  <c:v>27.5</c:v>
                </c:pt>
                <c:pt idx="491">
                  <c:v>27</c:v>
                </c:pt>
                <c:pt idx="492">
                  <c:v>27</c:v>
                </c:pt>
                <c:pt idx="493">
                  <c:v>26.7</c:v>
                </c:pt>
                <c:pt idx="494">
                  <c:v>27.2</c:v>
                </c:pt>
                <c:pt idx="495">
                  <c:v>27.9</c:v>
                </c:pt>
                <c:pt idx="496">
                  <c:v>28.4</c:v>
                </c:pt>
                <c:pt idx="497">
                  <c:v>28.5</c:v>
                </c:pt>
                <c:pt idx="498">
                  <c:v>28</c:v>
                </c:pt>
                <c:pt idx="499">
                  <c:v>28</c:v>
                </c:pt>
                <c:pt idx="500">
                  <c:v>28.6</c:v>
                </c:pt>
                <c:pt idx="501">
                  <c:v>27.7</c:v>
                </c:pt>
                <c:pt idx="502">
                  <c:v>28</c:v>
                </c:pt>
                <c:pt idx="503">
                  <c:v>27.5</c:v>
                </c:pt>
                <c:pt idx="504">
                  <c:v>27.3</c:v>
                </c:pt>
                <c:pt idx="505">
                  <c:v>27.2</c:v>
                </c:pt>
                <c:pt idx="506">
                  <c:v>27.4</c:v>
                </c:pt>
                <c:pt idx="507">
                  <c:v>27.9</c:v>
                </c:pt>
                <c:pt idx="508">
                  <c:v>27.9</c:v>
                </c:pt>
                <c:pt idx="509">
                  <c:v>28.4</c:v>
                </c:pt>
                <c:pt idx="510">
                  <c:v>28</c:v>
                </c:pt>
                <c:pt idx="511">
                  <c:v>28</c:v>
                </c:pt>
                <c:pt idx="512">
                  <c:v>28</c:v>
                </c:pt>
                <c:pt idx="513">
                  <c:v>27.8</c:v>
                </c:pt>
                <c:pt idx="514">
                  <c:v>27.5</c:v>
                </c:pt>
                <c:pt idx="515">
                  <c:v>26.9</c:v>
                </c:pt>
                <c:pt idx="516">
                  <c:v>26.5</c:v>
                </c:pt>
                <c:pt idx="517">
                  <c:v>27</c:v>
                </c:pt>
                <c:pt idx="518">
                  <c:v>26.4</c:v>
                </c:pt>
                <c:pt idx="519">
                  <c:v>27.2</c:v>
                </c:pt>
                <c:pt idx="520">
                  <c:v>28.2</c:v>
                </c:pt>
                <c:pt idx="521">
                  <c:v>28.1</c:v>
                </c:pt>
                <c:pt idx="522">
                  <c:v>28.4</c:v>
                </c:pt>
                <c:pt idx="523">
                  <c:v>28.6</c:v>
                </c:pt>
                <c:pt idx="524">
                  <c:v>28.5</c:v>
                </c:pt>
                <c:pt idx="525">
                  <c:v>28.5</c:v>
                </c:pt>
                <c:pt idx="526">
                  <c:v>28</c:v>
                </c:pt>
                <c:pt idx="527">
                  <c:v>27.8</c:v>
                </c:pt>
                <c:pt idx="528">
                  <c:v>27.4</c:v>
                </c:pt>
                <c:pt idx="529">
                  <c:v>27.7</c:v>
                </c:pt>
                <c:pt idx="530">
                  <c:v>27.5</c:v>
                </c:pt>
                <c:pt idx="531">
                  <c:v>28.4</c:v>
                </c:pt>
                <c:pt idx="532">
                  <c:v>28.5</c:v>
                </c:pt>
                <c:pt idx="533">
                  <c:v>28.6</c:v>
                </c:pt>
                <c:pt idx="534">
                  <c:v>28.3</c:v>
                </c:pt>
                <c:pt idx="535">
                  <c:v>28.9</c:v>
                </c:pt>
                <c:pt idx="536">
                  <c:v>28.4</c:v>
                </c:pt>
                <c:pt idx="537">
                  <c:v>28.2</c:v>
                </c:pt>
                <c:pt idx="538">
                  <c:v>28</c:v>
                </c:pt>
                <c:pt idx="539">
                  <c:v>27.3</c:v>
                </c:pt>
                <c:pt idx="540">
                  <c:v>26.8</c:v>
                </c:pt>
                <c:pt idx="541">
                  <c:v>26.3</c:v>
                </c:pt>
                <c:pt idx="542">
                  <c:v>27.3</c:v>
                </c:pt>
                <c:pt idx="543">
                  <c:v>27.8</c:v>
                </c:pt>
                <c:pt idx="544">
                  <c:v>28.2</c:v>
                </c:pt>
                <c:pt idx="545">
                  <c:v>28</c:v>
                </c:pt>
                <c:pt idx="546">
                  <c:v>28.1</c:v>
                </c:pt>
                <c:pt idx="547">
                  <c:v>27.6</c:v>
                </c:pt>
                <c:pt idx="548">
                  <c:v>27.4</c:v>
                </c:pt>
                <c:pt idx="549">
                  <c:v>27.2</c:v>
                </c:pt>
                <c:pt idx="550">
                  <c:v>27.4</c:v>
                </c:pt>
                <c:pt idx="551">
                  <c:v>26.8</c:v>
                </c:pt>
                <c:pt idx="552">
                  <c:v>26.1</c:v>
                </c:pt>
                <c:pt idx="553">
                  <c:v>26.3</c:v>
                </c:pt>
                <c:pt idx="554">
                  <c:v>26.4</c:v>
                </c:pt>
                <c:pt idx="555">
                  <c:v>27.3</c:v>
                </c:pt>
                <c:pt idx="556">
                  <c:v>27.9</c:v>
                </c:pt>
                <c:pt idx="557">
                  <c:v>28.1</c:v>
                </c:pt>
                <c:pt idx="558">
                  <c:v>27.8</c:v>
                </c:pt>
                <c:pt idx="559">
                  <c:v>28.2</c:v>
                </c:pt>
                <c:pt idx="560">
                  <c:v>27.7</c:v>
                </c:pt>
                <c:pt idx="561">
                  <c:v>27.8</c:v>
                </c:pt>
                <c:pt idx="562">
                  <c:v>27.7</c:v>
                </c:pt>
                <c:pt idx="564">
                  <c:v>26.9</c:v>
                </c:pt>
                <c:pt idx="565">
                  <c:v>26</c:v>
                </c:pt>
                <c:pt idx="566">
                  <c:v>26.7</c:v>
                </c:pt>
                <c:pt idx="567">
                  <c:v>27.3</c:v>
                </c:pt>
                <c:pt idx="568">
                  <c:v>28</c:v>
                </c:pt>
                <c:pt idx="569">
                  <c:v>28.2</c:v>
                </c:pt>
                <c:pt idx="570">
                  <c:v>28.3</c:v>
                </c:pt>
                <c:pt idx="571">
                  <c:v>28.8</c:v>
                </c:pt>
                <c:pt idx="572">
                  <c:v>28.2</c:v>
                </c:pt>
                <c:pt idx="573">
                  <c:v>28.1</c:v>
                </c:pt>
                <c:pt idx="574">
                  <c:v>28.1</c:v>
                </c:pt>
                <c:pt idx="575">
                  <c:v>27.9</c:v>
                </c:pt>
                <c:pt idx="576">
                  <c:v>27.7</c:v>
                </c:pt>
                <c:pt idx="577">
                  <c:v>26.7</c:v>
                </c:pt>
                <c:pt idx="578">
                  <c:v>27</c:v>
                </c:pt>
                <c:pt idx="579">
                  <c:v>27.7</c:v>
                </c:pt>
                <c:pt idx="580">
                  <c:v>28.5</c:v>
                </c:pt>
                <c:pt idx="581">
                  <c:v>28.7</c:v>
                </c:pt>
                <c:pt idx="582">
                  <c:v>28.4</c:v>
                </c:pt>
                <c:pt idx="583">
                  <c:v>28.8</c:v>
                </c:pt>
                <c:pt idx="584">
                  <c:v>28.5</c:v>
                </c:pt>
                <c:pt idx="585">
                  <c:v>28.4</c:v>
                </c:pt>
                <c:pt idx="586">
                  <c:v>28.3</c:v>
                </c:pt>
                <c:pt idx="587">
                  <c:v>27.9</c:v>
                </c:pt>
                <c:pt idx="588">
                  <c:v>27.3</c:v>
                </c:pt>
                <c:pt idx="589">
                  <c:v>27.4</c:v>
                </c:pt>
                <c:pt idx="590">
                  <c:v>27.5</c:v>
                </c:pt>
                <c:pt idx="591">
                  <c:v>27.9</c:v>
                </c:pt>
                <c:pt idx="592">
                  <c:v>28.7</c:v>
                </c:pt>
                <c:pt idx="593">
                  <c:v>28.3</c:v>
                </c:pt>
                <c:pt idx="594">
                  <c:v>28.2</c:v>
                </c:pt>
                <c:pt idx="595">
                  <c:v>28.4</c:v>
                </c:pt>
                <c:pt idx="596">
                  <c:v>28.6</c:v>
                </c:pt>
                <c:pt idx="597">
                  <c:v>27.9</c:v>
                </c:pt>
                <c:pt idx="598">
                  <c:v>28.3</c:v>
                </c:pt>
                <c:pt idx="599">
                  <c:v>27.8</c:v>
                </c:pt>
                <c:pt idx="600">
                  <c:v>27</c:v>
                </c:pt>
                <c:pt idx="601">
                  <c:v>27.4</c:v>
                </c:pt>
                <c:pt idx="602">
                  <c:v>27.1</c:v>
                </c:pt>
                <c:pt idx="603">
                  <c:v>27.8</c:v>
                </c:pt>
                <c:pt idx="604">
                  <c:v>28.2</c:v>
                </c:pt>
                <c:pt idx="605">
                  <c:v>28.5</c:v>
                </c:pt>
                <c:pt idx="606">
                  <c:v>28.2</c:v>
                </c:pt>
                <c:pt idx="607">
                  <c:v>28.6</c:v>
                </c:pt>
                <c:pt idx="608">
                  <c:v>28.3</c:v>
                </c:pt>
                <c:pt idx="609">
                  <c:v>28</c:v>
                </c:pt>
                <c:pt idx="610">
                  <c:v>27.6</c:v>
                </c:pt>
                <c:pt idx="611">
                  <c:v>27.6</c:v>
                </c:pt>
                <c:pt idx="612">
                  <c:v>27.4</c:v>
                </c:pt>
                <c:pt idx="613">
                  <c:v>27.3</c:v>
                </c:pt>
                <c:pt idx="614">
                  <c:v>28.2</c:v>
                </c:pt>
                <c:pt idx="615">
                  <c:v>28.3</c:v>
                </c:pt>
                <c:pt idx="616">
                  <c:v>28.5</c:v>
                </c:pt>
                <c:pt idx="617">
                  <c:v>28.8</c:v>
                </c:pt>
                <c:pt idx="618">
                  <c:v>28.7</c:v>
                </c:pt>
                <c:pt idx="619">
                  <c:v>28.6</c:v>
                </c:pt>
                <c:pt idx="620">
                  <c:v>28.5</c:v>
                </c:pt>
                <c:pt idx="621">
                  <c:v>27.8</c:v>
                </c:pt>
                <c:pt idx="622">
                  <c:v>28</c:v>
                </c:pt>
                <c:pt idx="623">
                  <c:v>27.5</c:v>
                </c:pt>
                <c:pt idx="624">
                  <c:v>27.2</c:v>
                </c:pt>
                <c:pt idx="625">
                  <c:v>26.8</c:v>
                </c:pt>
                <c:pt idx="626">
                  <c:v>27.1</c:v>
                </c:pt>
                <c:pt idx="627">
                  <c:v>27.6</c:v>
                </c:pt>
                <c:pt idx="628">
                  <c:v>28.3</c:v>
                </c:pt>
                <c:pt idx="629">
                  <c:v>28.5</c:v>
                </c:pt>
                <c:pt idx="630">
                  <c:v>28.6</c:v>
                </c:pt>
                <c:pt idx="631">
                  <c:v>28.7</c:v>
                </c:pt>
                <c:pt idx="632">
                  <c:v>28.5</c:v>
                </c:pt>
                <c:pt idx="633">
                  <c:v>28.4</c:v>
                </c:pt>
                <c:pt idx="634">
                  <c:v>28.2</c:v>
                </c:pt>
                <c:pt idx="635">
                  <c:v>27.8</c:v>
                </c:pt>
                <c:pt idx="636">
                  <c:v>26.9</c:v>
                </c:pt>
                <c:pt idx="637">
                  <c:v>27.1</c:v>
                </c:pt>
                <c:pt idx="638">
                  <c:v>27.4</c:v>
                </c:pt>
                <c:pt idx="639">
                  <c:v>27.8</c:v>
                </c:pt>
                <c:pt idx="640">
                  <c:v>27.9</c:v>
                </c:pt>
                <c:pt idx="641">
                  <c:v>28.7</c:v>
                </c:pt>
                <c:pt idx="642">
                  <c:v>28.4</c:v>
                </c:pt>
                <c:pt idx="643">
                  <c:v>27.8</c:v>
                </c:pt>
                <c:pt idx="644">
                  <c:v>28</c:v>
                </c:pt>
                <c:pt idx="645">
                  <c:v>27.5</c:v>
                </c:pt>
                <c:pt idx="646">
                  <c:v>28.2</c:v>
                </c:pt>
                <c:pt idx="647">
                  <c:v>27.6</c:v>
                </c:pt>
                <c:pt idx="648">
                  <c:v>27</c:v>
                </c:pt>
                <c:pt idx="649">
                  <c:v>26.9</c:v>
                </c:pt>
                <c:pt idx="650">
                  <c:v>27</c:v>
                </c:pt>
                <c:pt idx="651">
                  <c:v>27.7</c:v>
                </c:pt>
                <c:pt idx="652">
                  <c:v>28</c:v>
                </c:pt>
                <c:pt idx="653">
                  <c:v>28.2</c:v>
                </c:pt>
                <c:pt idx="654">
                  <c:v>28</c:v>
                </c:pt>
                <c:pt idx="655">
                  <c:v>27.8</c:v>
                </c:pt>
                <c:pt idx="656">
                  <c:v>28.2</c:v>
                </c:pt>
                <c:pt idx="657">
                  <c:v>28</c:v>
                </c:pt>
                <c:pt idx="658">
                  <c:v>27.7</c:v>
                </c:pt>
                <c:pt idx="659">
                  <c:v>27.1</c:v>
                </c:pt>
                <c:pt idx="660">
                  <c:v>26.7</c:v>
                </c:pt>
                <c:pt idx="661">
                  <c:v>27</c:v>
                </c:pt>
                <c:pt idx="662">
                  <c:v>27.4</c:v>
                </c:pt>
                <c:pt idx="663">
                  <c:v>28</c:v>
                </c:pt>
                <c:pt idx="664">
                  <c:v>28.7</c:v>
                </c:pt>
                <c:pt idx="665">
                  <c:v>28.6</c:v>
                </c:pt>
                <c:pt idx="666">
                  <c:v>28.8</c:v>
                </c:pt>
                <c:pt idx="667">
                  <c:v>28.6</c:v>
                </c:pt>
                <c:pt idx="668">
                  <c:v>29</c:v>
                </c:pt>
                <c:pt idx="669">
                  <c:v>28.3</c:v>
                </c:pt>
                <c:pt idx="670">
                  <c:v>28.5</c:v>
                </c:pt>
                <c:pt idx="671">
                  <c:v>28.4</c:v>
                </c:pt>
                <c:pt idx="672">
                  <c:v>27.9</c:v>
                </c:pt>
                <c:pt idx="673">
                  <c:v>28</c:v>
                </c:pt>
                <c:pt idx="674">
                  <c:v>28.6</c:v>
                </c:pt>
                <c:pt idx="675">
                  <c:v>28.8</c:v>
                </c:pt>
                <c:pt idx="676">
                  <c:v>29</c:v>
                </c:pt>
                <c:pt idx="677">
                  <c:v>28.7</c:v>
                </c:pt>
                <c:pt idx="678">
                  <c:v>28.1</c:v>
                </c:pt>
                <c:pt idx="679">
                  <c:v>28.1</c:v>
                </c:pt>
                <c:pt idx="680">
                  <c:v>28.2</c:v>
                </c:pt>
                <c:pt idx="681">
                  <c:v>27.9</c:v>
                </c:pt>
                <c:pt idx="682">
                  <c:v>27.1</c:v>
                </c:pt>
                <c:pt idx="683">
                  <c:v>27.2</c:v>
                </c:pt>
                <c:pt idx="685">
                  <c:v>27.1</c:v>
                </c:pt>
                <c:pt idx="686">
                  <c:v>27.3</c:v>
                </c:pt>
                <c:pt idx="687">
                  <c:v>28</c:v>
                </c:pt>
                <c:pt idx="688">
                  <c:v>28.3</c:v>
                </c:pt>
                <c:pt idx="689">
                  <c:v>28.6</c:v>
                </c:pt>
                <c:pt idx="690">
                  <c:v>28.1</c:v>
                </c:pt>
                <c:pt idx="691">
                  <c:v>28.1</c:v>
                </c:pt>
                <c:pt idx="692">
                  <c:v>28.2</c:v>
                </c:pt>
                <c:pt idx="693">
                  <c:v>27.3</c:v>
                </c:pt>
                <c:pt idx="694">
                  <c:v>27.3</c:v>
                </c:pt>
                <c:pt idx="695">
                  <c:v>27.1</c:v>
                </c:pt>
                <c:pt idx="696">
                  <c:v>26.9</c:v>
                </c:pt>
                <c:pt idx="697">
                  <c:v>26.7</c:v>
                </c:pt>
                <c:pt idx="698">
                  <c:v>27.4</c:v>
                </c:pt>
                <c:pt idx="699">
                  <c:v>28</c:v>
                </c:pt>
                <c:pt idx="700">
                  <c:v>28.9</c:v>
                </c:pt>
                <c:pt idx="701">
                  <c:v>29</c:v>
                </c:pt>
                <c:pt idx="702">
                  <c:v>28.9</c:v>
                </c:pt>
                <c:pt idx="703">
                  <c:v>28.4</c:v>
                </c:pt>
                <c:pt idx="704">
                  <c:v>28.9</c:v>
                </c:pt>
                <c:pt idx="708">
                  <c:v>27</c:v>
                </c:pt>
                <c:pt idx="709">
                  <c:v>27.2</c:v>
                </c:pt>
                <c:pt idx="710">
                  <c:v>28.1</c:v>
                </c:pt>
                <c:pt idx="711">
                  <c:v>28.3</c:v>
                </c:pt>
                <c:pt idx="712">
                  <c:v>28.1</c:v>
                </c:pt>
                <c:pt idx="713">
                  <c:v>28.8</c:v>
                </c:pt>
                <c:pt idx="714">
                  <c:v>28.3</c:v>
                </c:pt>
                <c:pt idx="715">
                  <c:v>28.2</c:v>
                </c:pt>
                <c:pt idx="716">
                  <c:v>28.3</c:v>
                </c:pt>
                <c:pt idx="717">
                  <c:v>28.4</c:v>
                </c:pt>
                <c:pt idx="718">
                  <c:v>28.8</c:v>
                </c:pt>
                <c:pt idx="719">
                  <c:v>28.8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E2-4115-9E40-E2BBDFFE50C8}"/>
            </c:ext>
          </c:extLst>
        </c:ser>
        <c:ser>
          <c:idx val="1"/>
          <c:order val="1"/>
          <c:tx>
            <c:strRef>
              <c:f>HadISST1!$D$1</c:f>
              <c:strCache>
                <c:ptCount val="1"/>
                <c:pt idx="0">
                  <c:v>HADISST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HadISST1!$C$2:$C$757</c:f>
              <c:numCache>
                <c:formatCode>0.0</c:formatCode>
                <c:ptCount val="756"/>
                <c:pt idx="0">
                  <c:v>1950.00000000261</c:v>
                </c:pt>
                <c:pt idx="1">
                  <c:v>1950.0833333359401</c:v>
                </c:pt>
                <c:pt idx="2">
                  <c:v>1950.1666666692699</c:v>
                </c:pt>
                <c:pt idx="3">
                  <c:v>1950.2500000026</c:v>
                </c:pt>
                <c:pt idx="4">
                  <c:v>1950.3333333359301</c:v>
                </c:pt>
                <c:pt idx="5">
                  <c:v>1950.4166666692599</c:v>
                </c:pt>
                <c:pt idx="6">
                  <c:v>1950.50000000259</c:v>
                </c:pt>
                <c:pt idx="7">
                  <c:v>1950.5833333359201</c:v>
                </c:pt>
                <c:pt idx="8">
                  <c:v>1950.6666666692499</c:v>
                </c:pt>
                <c:pt idx="9">
                  <c:v>1950.75000000258</c:v>
                </c:pt>
                <c:pt idx="10">
                  <c:v>1950.8333333359101</c:v>
                </c:pt>
                <c:pt idx="11">
                  <c:v>1950.9166666692399</c:v>
                </c:pt>
                <c:pt idx="12">
                  <c:v>1951.00000000257</c:v>
                </c:pt>
                <c:pt idx="13">
                  <c:v>1951.0833333359001</c:v>
                </c:pt>
                <c:pt idx="14">
                  <c:v>1951.1666666692299</c:v>
                </c:pt>
                <c:pt idx="15">
                  <c:v>1951.25000000256</c:v>
                </c:pt>
                <c:pt idx="16">
                  <c:v>1951.3333333358901</c:v>
                </c:pt>
                <c:pt idx="17">
                  <c:v>1951.4166666692199</c:v>
                </c:pt>
                <c:pt idx="18">
                  <c:v>1951.50000000255</c:v>
                </c:pt>
                <c:pt idx="19">
                  <c:v>1951.5833333358801</c:v>
                </c:pt>
                <c:pt idx="20">
                  <c:v>1951.6666666692099</c:v>
                </c:pt>
                <c:pt idx="21">
                  <c:v>1951.75000000254</c:v>
                </c:pt>
                <c:pt idx="22">
                  <c:v>1951.8333333358701</c:v>
                </c:pt>
                <c:pt idx="23">
                  <c:v>1951.9166666691999</c:v>
                </c:pt>
                <c:pt idx="24">
                  <c:v>1952.00000000253</c:v>
                </c:pt>
                <c:pt idx="25">
                  <c:v>1952.0833333358601</c:v>
                </c:pt>
                <c:pt idx="26">
                  <c:v>1952.1666666691899</c:v>
                </c:pt>
                <c:pt idx="27">
                  <c:v>1952.25000000252</c:v>
                </c:pt>
                <c:pt idx="28">
                  <c:v>1952.3333333358501</c:v>
                </c:pt>
                <c:pt idx="29">
                  <c:v>1952.4166666691799</c:v>
                </c:pt>
                <c:pt idx="30">
                  <c:v>1952.50000000251</c:v>
                </c:pt>
                <c:pt idx="31">
                  <c:v>1952.5833333358401</c:v>
                </c:pt>
                <c:pt idx="32">
                  <c:v>1952.6666666691699</c:v>
                </c:pt>
                <c:pt idx="33">
                  <c:v>1952.7500000025</c:v>
                </c:pt>
                <c:pt idx="34">
                  <c:v>1952.83333333583</c:v>
                </c:pt>
                <c:pt idx="35">
                  <c:v>1952.9166666691599</c:v>
                </c:pt>
                <c:pt idx="36">
                  <c:v>1953.00000000249</c:v>
                </c:pt>
                <c:pt idx="37">
                  <c:v>1953.08333333582</c:v>
                </c:pt>
                <c:pt idx="38">
                  <c:v>1953.1666666691499</c:v>
                </c:pt>
                <c:pt idx="39">
                  <c:v>1953.25000000248</c:v>
                </c:pt>
                <c:pt idx="40">
                  <c:v>1953.33333333581</c:v>
                </c:pt>
                <c:pt idx="41">
                  <c:v>1953.4166666691401</c:v>
                </c:pt>
                <c:pt idx="42">
                  <c:v>1953.50000000247</c:v>
                </c:pt>
                <c:pt idx="43">
                  <c:v>1953.5833333358</c:v>
                </c:pt>
                <c:pt idx="44">
                  <c:v>1953.6666666691301</c:v>
                </c:pt>
                <c:pt idx="45">
                  <c:v>1953.75000000246</c:v>
                </c:pt>
                <c:pt idx="46">
                  <c:v>1953.83333333579</c:v>
                </c:pt>
                <c:pt idx="47">
                  <c:v>1953.9166666691201</c:v>
                </c:pt>
                <c:pt idx="48">
                  <c:v>1954.00000000245</c:v>
                </c:pt>
                <c:pt idx="49">
                  <c:v>1954.08333333578</c:v>
                </c:pt>
                <c:pt idx="50">
                  <c:v>1954.1666666691101</c:v>
                </c:pt>
                <c:pt idx="51">
                  <c:v>1954.2500000024399</c:v>
                </c:pt>
                <c:pt idx="52">
                  <c:v>1954.33333333577</c:v>
                </c:pt>
                <c:pt idx="53">
                  <c:v>1954.4166666691001</c:v>
                </c:pt>
                <c:pt idx="54">
                  <c:v>1954.5000000024299</c:v>
                </c:pt>
                <c:pt idx="55">
                  <c:v>1954.58333333576</c:v>
                </c:pt>
                <c:pt idx="56">
                  <c:v>1954.6666666690901</c:v>
                </c:pt>
                <c:pt idx="57">
                  <c:v>1954.7500000024199</c:v>
                </c:pt>
                <c:pt idx="58">
                  <c:v>1954.83333333575</c:v>
                </c:pt>
                <c:pt idx="59">
                  <c:v>1954.9166666690801</c:v>
                </c:pt>
                <c:pt idx="60">
                  <c:v>1955.0000000024099</c:v>
                </c:pt>
                <c:pt idx="61">
                  <c:v>1955.08333333575</c:v>
                </c:pt>
                <c:pt idx="62">
                  <c:v>1955.1666666690801</c:v>
                </c:pt>
                <c:pt idx="63">
                  <c:v>1955.2500000024099</c:v>
                </c:pt>
                <c:pt idx="64">
                  <c:v>1955.33333333574</c:v>
                </c:pt>
                <c:pt idx="65">
                  <c:v>1955.4166666690701</c:v>
                </c:pt>
                <c:pt idx="66">
                  <c:v>1955.5000000023999</c:v>
                </c:pt>
                <c:pt idx="67">
                  <c:v>1955.58333333573</c:v>
                </c:pt>
                <c:pt idx="68">
                  <c:v>1955.6666666690601</c:v>
                </c:pt>
                <c:pt idx="69">
                  <c:v>1955.7500000023899</c:v>
                </c:pt>
                <c:pt idx="70">
                  <c:v>1955.83333333572</c:v>
                </c:pt>
                <c:pt idx="71">
                  <c:v>1955.9166666690501</c:v>
                </c:pt>
                <c:pt idx="72">
                  <c:v>1956.0000000023799</c:v>
                </c:pt>
                <c:pt idx="73">
                  <c:v>1956.08333333571</c:v>
                </c:pt>
                <c:pt idx="74">
                  <c:v>1956.1666666690401</c:v>
                </c:pt>
                <c:pt idx="75">
                  <c:v>1956.2500000023699</c:v>
                </c:pt>
                <c:pt idx="76">
                  <c:v>1956.3333333357</c:v>
                </c:pt>
                <c:pt idx="77">
                  <c:v>1956.4166666690301</c:v>
                </c:pt>
                <c:pt idx="78">
                  <c:v>1956.5000000023599</c:v>
                </c:pt>
                <c:pt idx="79">
                  <c:v>1956.58333333569</c:v>
                </c:pt>
                <c:pt idx="80">
                  <c:v>1956.6666666690201</c:v>
                </c:pt>
                <c:pt idx="81">
                  <c:v>1956.7500000023499</c:v>
                </c:pt>
                <c:pt idx="82">
                  <c:v>1956.83333333568</c:v>
                </c:pt>
                <c:pt idx="83">
                  <c:v>1956.9166666690101</c:v>
                </c:pt>
                <c:pt idx="84">
                  <c:v>1957.0000000023399</c:v>
                </c:pt>
                <c:pt idx="85">
                  <c:v>1957.08333333567</c:v>
                </c:pt>
                <c:pt idx="86">
                  <c:v>1957.1666666690001</c:v>
                </c:pt>
                <c:pt idx="87">
                  <c:v>1957.2500000023299</c:v>
                </c:pt>
                <c:pt idx="88">
                  <c:v>1957.33333333566</c:v>
                </c:pt>
                <c:pt idx="89">
                  <c:v>1957.41666666899</c:v>
                </c:pt>
                <c:pt idx="90">
                  <c:v>1957.5000000023199</c:v>
                </c:pt>
                <c:pt idx="91">
                  <c:v>1957.58333333565</c:v>
                </c:pt>
                <c:pt idx="92">
                  <c:v>1957.66666666898</c:v>
                </c:pt>
                <c:pt idx="93">
                  <c:v>1957.7500000023099</c:v>
                </c:pt>
                <c:pt idx="94">
                  <c:v>1957.83333333564</c:v>
                </c:pt>
                <c:pt idx="95">
                  <c:v>1957.91666666897</c:v>
                </c:pt>
                <c:pt idx="96">
                  <c:v>1958.0000000023001</c:v>
                </c:pt>
                <c:pt idx="97">
                  <c:v>1958.08333333563</c:v>
                </c:pt>
                <c:pt idx="98">
                  <c:v>1958.16666666896</c:v>
                </c:pt>
                <c:pt idx="99">
                  <c:v>1958.2500000022901</c:v>
                </c:pt>
                <c:pt idx="100">
                  <c:v>1958.33333333562</c:v>
                </c:pt>
                <c:pt idx="101">
                  <c:v>1958.41666666895</c:v>
                </c:pt>
                <c:pt idx="102">
                  <c:v>1958.5000000022801</c:v>
                </c:pt>
                <c:pt idx="103">
                  <c:v>1958.58333333561</c:v>
                </c:pt>
                <c:pt idx="104">
                  <c:v>1958.66666666894</c:v>
                </c:pt>
                <c:pt idx="105">
                  <c:v>1958.7500000022701</c:v>
                </c:pt>
                <c:pt idx="106">
                  <c:v>1958.8333333355999</c:v>
                </c:pt>
                <c:pt idx="107">
                  <c:v>1958.91666666893</c:v>
                </c:pt>
                <c:pt idx="108">
                  <c:v>1959.0000000022601</c:v>
                </c:pt>
                <c:pt idx="109">
                  <c:v>1959.0833333355899</c:v>
                </c:pt>
                <c:pt idx="110">
                  <c:v>1959.16666666892</c:v>
                </c:pt>
                <c:pt idx="111">
                  <c:v>1959.2500000022501</c:v>
                </c:pt>
                <c:pt idx="112">
                  <c:v>1959.3333333355799</c:v>
                </c:pt>
                <c:pt idx="113">
                  <c:v>1959.41666666891</c:v>
                </c:pt>
                <c:pt idx="114">
                  <c:v>1959.5000000022401</c:v>
                </c:pt>
                <c:pt idx="115">
                  <c:v>1959.5833333355699</c:v>
                </c:pt>
                <c:pt idx="116">
                  <c:v>1959.6666666689</c:v>
                </c:pt>
                <c:pt idx="117">
                  <c:v>1959.7500000022301</c:v>
                </c:pt>
                <c:pt idx="118">
                  <c:v>1959.8333333355599</c:v>
                </c:pt>
                <c:pt idx="119">
                  <c:v>1959.91666666889</c:v>
                </c:pt>
                <c:pt idx="120">
                  <c:v>1960.0000000022201</c:v>
                </c:pt>
                <c:pt idx="121">
                  <c:v>1960.0833333355499</c:v>
                </c:pt>
                <c:pt idx="122">
                  <c:v>1960.16666666888</c:v>
                </c:pt>
                <c:pt idx="123">
                  <c:v>1960.2500000022101</c:v>
                </c:pt>
                <c:pt idx="124">
                  <c:v>1960.3333333355399</c:v>
                </c:pt>
                <c:pt idx="125">
                  <c:v>1960.41666666887</c:v>
                </c:pt>
                <c:pt idx="126">
                  <c:v>1960.5000000022001</c:v>
                </c:pt>
                <c:pt idx="127">
                  <c:v>1960.5833333355299</c:v>
                </c:pt>
                <c:pt idx="128">
                  <c:v>1960.66666666886</c:v>
                </c:pt>
                <c:pt idx="129">
                  <c:v>1960.7500000021901</c:v>
                </c:pt>
                <c:pt idx="130">
                  <c:v>1960.8333333355199</c:v>
                </c:pt>
                <c:pt idx="131">
                  <c:v>1960.91666666885</c:v>
                </c:pt>
                <c:pt idx="132">
                  <c:v>1961.0000000021801</c:v>
                </c:pt>
                <c:pt idx="133">
                  <c:v>1961.0833333355099</c:v>
                </c:pt>
                <c:pt idx="134">
                  <c:v>1961.16666666884</c:v>
                </c:pt>
                <c:pt idx="135">
                  <c:v>1961.2500000021701</c:v>
                </c:pt>
                <c:pt idx="136">
                  <c:v>1961.3333333354999</c:v>
                </c:pt>
                <c:pt idx="137">
                  <c:v>1961.41666666883</c:v>
                </c:pt>
                <c:pt idx="138">
                  <c:v>1961.50000000216</c:v>
                </c:pt>
                <c:pt idx="139">
                  <c:v>1961.5833333354899</c:v>
                </c:pt>
                <c:pt idx="140">
                  <c:v>1961.66666666882</c:v>
                </c:pt>
                <c:pt idx="141">
                  <c:v>1961.75000000215</c:v>
                </c:pt>
                <c:pt idx="142">
                  <c:v>1961.8333333354799</c:v>
                </c:pt>
                <c:pt idx="143">
                  <c:v>1961.91666666881</c:v>
                </c:pt>
                <c:pt idx="144">
                  <c:v>1962.00000000214</c:v>
                </c:pt>
                <c:pt idx="145">
                  <c:v>1962.0833333354699</c:v>
                </c:pt>
                <c:pt idx="146">
                  <c:v>1962.1666666688</c:v>
                </c:pt>
                <c:pt idx="147">
                  <c:v>1962.25000000213</c:v>
                </c:pt>
                <c:pt idx="148">
                  <c:v>1962.3333333354601</c:v>
                </c:pt>
                <c:pt idx="149">
                  <c:v>1962.41666666879</c:v>
                </c:pt>
                <c:pt idx="150">
                  <c:v>1962.50000000212</c:v>
                </c:pt>
                <c:pt idx="151">
                  <c:v>1962.5833333354501</c:v>
                </c:pt>
                <c:pt idx="152">
                  <c:v>1962.66666666878</c:v>
                </c:pt>
                <c:pt idx="153">
                  <c:v>1962.75000000211</c:v>
                </c:pt>
                <c:pt idx="154">
                  <c:v>1962.8333333354401</c:v>
                </c:pt>
                <c:pt idx="155">
                  <c:v>1962.9166666687699</c:v>
                </c:pt>
                <c:pt idx="156">
                  <c:v>1963.0000000021</c:v>
                </c:pt>
                <c:pt idx="157">
                  <c:v>1963.0833333354301</c:v>
                </c:pt>
                <c:pt idx="158">
                  <c:v>1963.1666666687599</c:v>
                </c:pt>
                <c:pt idx="159">
                  <c:v>1963.25000000209</c:v>
                </c:pt>
                <c:pt idx="160">
                  <c:v>1963.3333333354201</c:v>
                </c:pt>
                <c:pt idx="161">
                  <c:v>1963.4166666687499</c:v>
                </c:pt>
                <c:pt idx="162">
                  <c:v>1963.50000000208</c:v>
                </c:pt>
                <c:pt idx="163">
                  <c:v>1963.5833333354101</c:v>
                </c:pt>
                <c:pt idx="164">
                  <c:v>1963.6666666687399</c:v>
                </c:pt>
                <c:pt idx="165">
                  <c:v>1963.75000000207</c:v>
                </c:pt>
                <c:pt idx="166">
                  <c:v>1963.8333333354001</c:v>
                </c:pt>
                <c:pt idx="167">
                  <c:v>1963.9166666687299</c:v>
                </c:pt>
                <c:pt idx="168">
                  <c:v>1964.00000000206</c:v>
                </c:pt>
                <c:pt idx="169">
                  <c:v>1964.0833333353901</c:v>
                </c:pt>
                <c:pt idx="170">
                  <c:v>1964.1666666687199</c:v>
                </c:pt>
                <c:pt idx="171">
                  <c:v>1964.25000000205</c:v>
                </c:pt>
                <c:pt idx="172">
                  <c:v>1964.3333333353801</c:v>
                </c:pt>
                <c:pt idx="173">
                  <c:v>1964.4166666687099</c:v>
                </c:pt>
                <c:pt idx="174">
                  <c:v>1964.50000000204</c:v>
                </c:pt>
                <c:pt idx="175">
                  <c:v>1964.5833333353701</c:v>
                </c:pt>
                <c:pt idx="176">
                  <c:v>1964.6666666686999</c:v>
                </c:pt>
                <c:pt idx="177">
                  <c:v>1964.75000000203</c:v>
                </c:pt>
                <c:pt idx="178">
                  <c:v>1964.8333333353601</c:v>
                </c:pt>
                <c:pt idx="179">
                  <c:v>1964.9166666686899</c:v>
                </c:pt>
                <c:pt idx="180">
                  <c:v>1965.00000000202</c:v>
                </c:pt>
                <c:pt idx="181">
                  <c:v>1965.0833333353501</c:v>
                </c:pt>
                <c:pt idx="182">
                  <c:v>1965.1666666686799</c:v>
                </c:pt>
                <c:pt idx="183">
                  <c:v>1965.25000000201</c:v>
                </c:pt>
                <c:pt idx="184">
                  <c:v>1965.3333333353401</c:v>
                </c:pt>
                <c:pt idx="185">
                  <c:v>1965.4166666686699</c:v>
                </c:pt>
                <c:pt idx="186">
                  <c:v>1965.500000002</c:v>
                </c:pt>
                <c:pt idx="187">
                  <c:v>1965.5833333353301</c:v>
                </c:pt>
                <c:pt idx="188">
                  <c:v>1965.6666666686599</c:v>
                </c:pt>
                <c:pt idx="189">
                  <c:v>1965.75000000199</c:v>
                </c:pt>
                <c:pt idx="190">
                  <c:v>1965.83333333532</c:v>
                </c:pt>
                <c:pt idx="191">
                  <c:v>1965.9166666686499</c:v>
                </c:pt>
                <c:pt idx="192">
                  <c:v>1966.00000000198</c:v>
                </c:pt>
                <c:pt idx="193">
                  <c:v>1966.08333333531</c:v>
                </c:pt>
                <c:pt idx="194">
                  <c:v>1966.1666666686399</c:v>
                </c:pt>
                <c:pt idx="195">
                  <c:v>1966.25000000197</c:v>
                </c:pt>
                <c:pt idx="196">
                  <c:v>1966.33333333531</c:v>
                </c:pt>
                <c:pt idx="197">
                  <c:v>1966.4166666686399</c:v>
                </c:pt>
                <c:pt idx="198">
                  <c:v>1966.50000000197</c:v>
                </c:pt>
                <c:pt idx="199">
                  <c:v>1966.5833333353</c:v>
                </c:pt>
                <c:pt idx="200">
                  <c:v>1966.6666666686299</c:v>
                </c:pt>
                <c:pt idx="201">
                  <c:v>1966.75000000196</c:v>
                </c:pt>
                <c:pt idx="202">
                  <c:v>1966.83333333529</c:v>
                </c:pt>
                <c:pt idx="203">
                  <c:v>1966.9166666686201</c:v>
                </c:pt>
                <c:pt idx="204">
                  <c:v>1967.00000000195</c:v>
                </c:pt>
                <c:pt idx="205">
                  <c:v>1967.08333333528</c:v>
                </c:pt>
                <c:pt idx="206">
                  <c:v>1967.1666666686101</c:v>
                </c:pt>
                <c:pt idx="207">
                  <c:v>1967.25000000194</c:v>
                </c:pt>
                <c:pt idx="208">
                  <c:v>1967.33333333527</c:v>
                </c:pt>
                <c:pt idx="209">
                  <c:v>1967.4166666686001</c:v>
                </c:pt>
                <c:pt idx="210">
                  <c:v>1967.5000000019299</c:v>
                </c:pt>
                <c:pt idx="211">
                  <c:v>1967.58333333526</c:v>
                </c:pt>
                <c:pt idx="212">
                  <c:v>1967.6666666685901</c:v>
                </c:pt>
                <c:pt idx="213">
                  <c:v>1967.7500000019199</c:v>
                </c:pt>
                <c:pt idx="214">
                  <c:v>1967.83333333525</c:v>
                </c:pt>
                <c:pt idx="215">
                  <c:v>1967.9166666685801</c:v>
                </c:pt>
                <c:pt idx="216">
                  <c:v>1968.0000000019099</c:v>
                </c:pt>
                <c:pt idx="217">
                  <c:v>1968.08333333524</c:v>
                </c:pt>
                <c:pt idx="218">
                  <c:v>1968.1666666685701</c:v>
                </c:pt>
                <c:pt idx="219">
                  <c:v>1968.2500000018999</c:v>
                </c:pt>
                <c:pt idx="220">
                  <c:v>1968.33333333523</c:v>
                </c:pt>
                <c:pt idx="221">
                  <c:v>1968.4166666685601</c:v>
                </c:pt>
                <c:pt idx="222">
                  <c:v>1968.5000000018899</c:v>
                </c:pt>
                <c:pt idx="223">
                  <c:v>1968.58333333522</c:v>
                </c:pt>
                <c:pt idx="224">
                  <c:v>1968.6666666685501</c:v>
                </c:pt>
                <c:pt idx="225">
                  <c:v>1968.7500000018799</c:v>
                </c:pt>
                <c:pt idx="226">
                  <c:v>1968.83333333521</c:v>
                </c:pt>
                <c:pt idx="227">
                  <c:v>1968.9166666685401</c:v>
                </c:pt>
                <c:pt idx="228">
                  <c:v>1969.0000000018699</c:v>
                </c:pt>
                <c:pt idx="229">
                  <c:v>1969.0833333352</c:v>
                </c:pt>
                <c:pt idx="230">
                  <c:v>1969.1666666685301</c:v>
                </c:pt>
                <c:pt idx="231">
                  <c:v>1969.2500000018599</c:v>
                </c:pt>
                <c:pt idx="232">
                  <c:v>1969.33333333519</c:v>
                </c:pt>
                <c:pt idx="233">
                  <c:v>1969.4166666685201</c:v>
                </c:pt>
                <c:pt idx="234">
                  <c:v>1969.5000000018499</c:v>
                </c:pt>
                <c:pt idx="235">
                  <c:v>1969.58333333518</c:v>
                </c:pt>
                <c:pt idx="236">
                  <c:v>1969.6666666685101</c:v>
                </c:pt>
                <c:pt idx="237">
                  <c:v>1969.7500000018399</c:v>
                </c:pt>
                <c:pt idx="238">
                  <c:v>1969.83333333517</c:v>
                </c:pt>
                <c:pt idx="239">
                  <c:v>1969.9166666685001</c:v>
                </c:pt>
                <c:pt idx="240">
                  <c:v>1970.0000000018299</c:v>
                </c:pt>
                <c:pt idx="241">
                  <c:v>1970.08333333516</c:v>
                </c:pt>
                <c:pt idx="242">
                  <c:v>1970.1666666684901</c:v>
                </c:pt>
                <c:pt idx="243">
                  <c:v>1970.2500000018199</c:v>
                </c:pt>
                <c:pt idx="244">
                  <c:v>1970.33333333515</c:v>
                </c:pt>
                <c:pt idx="245">
                  <c:v>1970.41666666848</c:v>
                </c:pt>
                <c:pt idx="246">
                  <c:v>1970.5000000018099</c:v>
                </c:pt>
                <c:pt idx="247">
                  <c:v>1970.58333333514</c:v>
                </c:pt>
                <c:pt idx="248">
                  <c:v>1970.66666666847</c:v>
                </c:pt>
                <c:pt idx="249">
                  <c:v>1970.7500000017999</c:v>
                </c:pt>
                <c:pt idx="250">
                  <c:v>1970.83333333513</c:v>
                </c:pt>
                <c:pt idx="251">
                  <c:v>1970.91666666846</c:v>
                </c:pt>
                <c:pt idx="252">
                  <c:v>1971.0000000017901</c:v>
                </c:pt>
                <c:pt idx="253">
                  <c:v>1971.08333333512</c:v>
                </c:pt>
                <c:pt idx="254">
                  <c:v>1971.16666666845</c:v>
                </c:pt>
                <c:pt idx="255">
                  <c:v>1971.2500000017801</c:v>
                </c:pt>
                <c:pt idx="256">
                  <c:v>1971.33333333511</c:v>
                </c:pt>
                <c:pt idx="257">
                  <c:v>1971.41666666844</c:v>
                </c:pt>
                <c:pt idx="258">
                  <c:v>1971.5000000017701</c:v>
                </c:pt>
                <c:pt idx="259">
                  <c:v>1971.5833333351</c:v>
                </c:pt>
                <c:pt idx="260">
                  <c:v>1971.66666666843</c:v>
                </c:pt>
                <c:pt idx="261">
                  <c:v>1971.7500000017601</c:v>
                </c:pt>
                <c:pt idx="262">
                  <c:v>1971.8333333350899</c:v>
                </c:pt>
                <c:pt idx="263">
                  <c:v>1971.91666666842</c:v>
                </c:pt>
                <c:pt idx="264">
                  <c:v>1972.0000000017501</c:v>
                </c:pt>
                <c:pt idx="265">
                  <c:v>1972.0833333350799</c:v>
                </c:pt>
                <c:pt idx="266">
                  <c:v>1972.16666666841</c:v>
                </c:pt>
                <c:pt idx="267">
                  <c:v>1972.2500000017401</c:v>
                </c:pt>
                <c:pt idx="268">
                  <c:v>1972.3333333350699</c:v>
                </c:pt>
                <c:pt idx="269">
                  <c:v>1972.4166666684</c:v>
                </c:pt>
                <c:pt idx="270">
                  <c:v>1972.5000000017301</c:v>
                </c:pt>
                <c:pt idx="271">
                  <c:v>1972.5833333350599</c:v>
                </c:pt>
                <c:pt idx="272">
                  <c:v>1972.66666666839</c:v>
                </c:pt>
                <c:pt idx="273">
                  <c:v>1972.7500000017201</c:v>
                </c:pt>
                <c:pt idx="274">
                  <c:v>1972.8333333350499</c:v>
                </c:pt>
                <c:pt idx="275">
                  <c:v>1972.91666666838</c:v>
                </c:pt>
                <c:pt idx="276">
                  <c:v>1973.0000000017101</c:v>
                </c:pt>
                <c:pt idx="277">
                  <c:v>1973.0833333350399</c:v>
                </c:pt>
                <c:pt idx="278">
                  <c:v>1973.16666666837</c:v>
                </c:pt>
                <c:pt idx="279">
                  <c:v>1973.2500000017001</c:v>
                </c:pt>
                <c:pt idx="280">
                  <c:v>1973.3333333350299</c:v>
                </c:pt>
                <c:pt idx="281">
                  <c:v>1973.41666666836</c:v>
                </c:pt>
                <c:pt idx="282">
                  <c:v>1973.5000000016901</c:v>
                </c:pt>
                <c:pt idx="283">
                  <c:v>1973.5833333350199</c:v>
                </c:pt>
                <c:pt idx="284">
                  <c:v>1973.66666666835</c:v>
                </c:pt>
                <c:pt idx="285">
                  <c:v>1973.7500000016801</c:v>
                </c:pt>
                <c:pt idx="286">
                  <c:v>1973.8333333350099</c:v>
                </c:pt>
                <c:pt idx="287">
                  <c:v>1973.91666666834</c:v>
                </c:pt>
                <c:pt idx="288">
                  <c:v>1974.0000000016701</c:v>
                </c:pt>
                <c:pt idx="289">
                  <c:v>1974.0833333349999</c:v>
                </c:pt>
                <c:pt idx="290">
                  <c:v>1974.16666666833</c:v>
                </c:pt>
                <c:pt idx="291">
                  <c:v>1974.2500000016601</c:v>
                </c:pt>
                <c:pt idx="292">
                  <c:v>1974.3333333349899</c:v>
                </c:pt>
                <c:pt idx="293">
                  <c:v>1974.41666666832</c:v>
                </c:pt>
                <c:pt idx="294">
                  <c:v>1974.5000000016501</c:v>
                </c:pt>
                <c:pt idx="295">
                  <c:v>1974.5833333349799</c:v>
                </c:pt>
                <c:pt idx="296">
                  <c:v>1974.66666666831</c:v>
                </c:pt>
                <c:pt idx="297">
                  <c:v>1974.75000000164</c:v>
                </c:pt>
                <c:pt idx="298">
                  <c:v>1974.8333333349699</c:v>
                </c:pt>
                <c:pt idx="299">
                  <c:v>1974.9166666683</c:v>
                </c:pt>
                <c:pt idx="300">
                  <c:v>1975.00000000163</c:v>
                </c:pt>
                <c:pt idx="301">
                  <c:v>1975.0833333349599</c:v>
                </c:pt>
                <c:pt idx="302">
                  <c:v>1975.16666666829</c:v>
                </c:pt>
                <c:pt idx="303">
                  <c:v>1975.25000000162</c:v>
                </c:pt>
                <c:pt idx="304">
                  <c:v>1975.3333333349501</c:v>
                </c:pt>
                <c:pt idx="305">
                  <c:v>1975.41666666828</c:v>
                </c:pt>
                <c:pt idx="306">
                  <c:v>1975.50000000161</c:v>
                </c:pt>
                <c:pt idx="307">
                  <c:v>1975.5833333349401</c:v>
                </c:pt>
                <c:pt idx="308">
                  <c:v>1975.66666666827</c:v>
                </c:pt>
                <c:pt idx="309">
                  <c:v>1975.7500000016</c:v>
                </c:pt>
                <c:pt idx="310">
                  <c:v>1975.8333333349301</c:v>
                </c:pt>
                <c:pt idx="311">
                  <c:v>1975.9166666682599</c:v>
                </c:pt>
                <c:pt idx="312">
                  <c:v>1976.00000000159</c:v>
                </c:pt>
                <c:pt idx="313">
                  <c:v>1976.0833333349201</c:v>
                </c:pt>
                <c:pt idx="314">
                  <c:v>1976.1666666682499</c:v>
                </c:pt>
                <c:pt idx="315">
                  <c:v>1976.25000000158</c:v>
                </c:pt>
                <c:pt idx="316">
                  <c:v>1976.3333333349101</c:v>
                </c:pt>
                <c:pt idx="317">
                  <c:v>1976.4166666682399</c:v>
                </c:pt>
                <c:pt idx="318">
                  <c:v>1976.50000000157</c:v>
                </c:pt>
                <c:pt idx="319">
                  <c:v>1976.5833333349001</c:v>
                </c:pt>
                <c:pt idx="320">
                  <c:v>1976.6666666682299</c:v>
                </c:pt>
                <c:pt idx="321">
                  <c:v>1976.75000000156</c:v>
                </c:pt>
                <c:pt idx="322">
                  <c:v>1976.8333333348901</c:v>
                </c:pt>
                <c:pt idx="323">
                  <c:v>1976.9166666682199</c:v>
                </c:pt>
                <c:pt idx="324">
                  <c:v>1977.00000000155</c:v>
                </c:pt>
                <c:pt idx="325">
                  <c:v>1977.0833333348801</c:v>
                </c:pt>
                <c:pt idx="326">
                  <c:v>1977.1666666682099</c:v>
                </c:pt>
                <c:pt idx="327">
                  <c:v>1977.25000000154</c:v>
                </c:pt>
                <c:pt idx="328">
                  <c:v>1977.3333333348701</c:v>
                </c:pt>
                <c:pt idx="329">
                  <c:v>1977.4166666681999</c:v>
                </c:pt>
                <c:pt idx="330">
                  <c:v>1977.50000000153</c:v>
                </c:pt>
                <c:pt idx="331">
                  <c:v>1977.5833333348701</c:v>
                </c:pt>
                <c:pt idx="332">
                  <c:v>1977.6666666681999</c:v>
                </c:pt>
                <c:pt idx="333">
                  <c:v>1977.75000000153</c:v>
                </c:pt>
                <c:pt idx="334">
                  <c:v>1977.8333333348601</c:v>
                </c:pt>
                <c:pt idx="335">
                  <c:v>1977.9166666681899</c:v>
                </c:pt>
                <c:pt idx="336">
                  <c:v>1978.00000000152</c:v>
                </c:pt>
                <c:pt idx="337">
                  <c:v>1978.0833333348501</c:v>
                </c:pt>
                <c:pt idx="338">
                  <c:v>1978.1666666681799</c:v>
                </c:pt>
                <c:pt idx="339">
                  <c:v>1978.25000000151</c:v>
                </c:pt>
                <c:pt idx="340">
                  <c:v>1978.3333333348401</c:v>
                </c:pt>
                <c:pt idx="341">
                  <c:v>1978.4166666681699</c:v>
                </c:pt>
                <c:pt idx="342">
                  <c:v>1978.5000000015</c:v>
                </c:pt>
                <c:pt idx="343">
                  <c:v>1978.5833333348301</c:v>
                </c:pt>
                <c:pt idx="344">
                  <c:v>1978.6666666681599</c:v>
                </c:pt>
                <c:pt idx="345">
                  <c:v>1978.75000000149</c:v>
                </c:pt>
                <c:pt idx="346">
                  <c:v>1978.8333333348201</c:v>
                </c:pt>
                <c:pt idx="347">
                  <c:v>1978.9166666681499</c:v>
                </c:pt>
                <c:pt idx="348">
                  <c:v>1979.00000000148</c:v>
                </c:pt>
                <c:pt idx="349">
                  <c:v>1979.08333333481</c:v>
                </c:pt>
                <c:pt idx="350">
                  <c:v>1979.1666666681399</c:v>
                </c:pt>
                <c:pt idx="351">
                  <c:v>1979.25000000147</c:v>
                </c:pt>
                <c:pt idx="352">
                  <c:v>1979.3333333348</c:v>
                </c:pt>
                <c:pt idx="353">
                  <c:v>1979.4166666681299</c:v>
                </c:pt>
                <c:pt idx="354">
                  <c:v>1979.50000000146</c:v>
                </c:pt>
                <c:pt idx="355">
                  <c:v>1979.58333333479</c:v>
                </c:pt>
                <c:pt idx="356">
                  <c:v>1979.6666666681199</c:v>
                </c:pt>
                <c:pt idx="357">
                  <c:v>1979.75000000145</c:v>
                </c:pt>
                <c:pt idx="358">
                  <c:v>1979.83333333478</c:v>
                </c:pt>
                <c:pt idx="359">
                  <c:v>1979.9166666681101</c:v>
                </c:pt>
                <c:pt idx="360">
                  <c:v>1980.00000000144</c:v>
                </c:pt>
                <c:pt idx="361">
                  <c:v>1980.08333333477</c:v>
                </c:pt>
                <c:pt idx="362">
                  <c:v>1980.1666666681001</c:v>
                </c:pt>
                <c:pt idx="363">
                  <c:v>1980.25000000143</c:v>
                </c:pt>
                <c:pt idx="364">
                  <c:v>1980.33333333476</c:v>
                </c:pt>
                <c:pt idx="365">
                  <c:v>1980.4166666680901</c:v>
                </c:pt>
                <c:pt idx="366">
                  <c:v>1980.5000000014199</c:v>
                </c:pt>
                <c:pt idx="367">
                  <c:v>1980.58333333475</c:v>
                </c:pt>
                <c:pt idx="368">
                  <c:v>1980.6666666680801</c:v>
                </c:pt>
                <c:pt idx="369">
                  <c:v>1980.7500000014099</c:v>
                </c:pt>
                <c:pt idx="370">
                  <c:v>1980.83333333474</c:v>
                </c:pt>
                <c:pt idx="371">
                  <c:v>1980.9166666680701</c:v>
                </c:pt>
                <c:pt idx="372">
                  <c:v>1981.0000000013999</c:v>
                </c:pt>
                <c:pt idx="373">
                  <c:v>1981.08333333473</c:v>
                </c:pt>
                <c:pt idx="374">
                  <c:v>1981.1666666680601</c:v>
                </c:pt>
                <c:pt idx="375">
                  <c:v>1981.2500000013899</c:v>
                </c:pt>
                <c:pt idx="376">
                  <c:v>1981.33333333472</c:v>
                </c:pt>
                <c:pt idx="377">
                  <c:v>1981.4166666680501</c:v>
                </c:pt>
                <c:pt idx="378">
                  <c:v>1981.5000000013799</c:v>
                </c:pt>
                <c:pt idx="379">
                  <c:v>1981.58333333471</c:v>
                </c:pt>
                <c:pt idx="380">
                  <c:v>1981.6666666680401</c:v>
                </c:pt>
                <c:pt idx="381">
                  <c:v>1981.7500000013699</c:v>
                </c:pt>
                <c:pt idx="382">
                  <c:v>1981.8333333347</c:v>
                </c:pt>
                <c:pt idx="383">
                  <c:v>1981.9166666680301</c:v>
                </c:pt>
                <c:pt idx="384">
                  <c:v>1982.0000000013599</c:v>
                </c:pt>
                <c:pt idx="385">
                  <c:v>1982.08333333469</c:v>
                </c:pt>
                <c:pt idx="386">
                  <c:v>1982.1666666680201</c:v>
                </c:pt>
                <c:pt idx="387">
                  <c:v>1982.2500000013499</c:v>
                </c:pt>
                <c:pt idx="388">
                  <c:v>1982.33333333468</c:v>
                </c:pt>
                <c:pt idx="389">
                  <c:v>1982.4166666680101</c:v>
                </c:pt>
                <c:pt idx="390">
                  <c:v>1982.5000000013399</c:v>
                </c:pt>
                <c:pt idx="391">
                  <c:v>1982.58333333467</c:v>
                </c:pt>
                <c:pt idx="392">
                  <c:v>1982.6666666680001</c:v>
                </c:pt>
                <c:pt idx="393">
                  <c:v>1982.7500000013299</c:v>
                </c:pt>
                <c:pt idx="394">
                  <c:v>1982.83333333466</c:v>
                </c:pt>
                <c:pt idx="395">
                  <c:v>1982.9166666679901</c:v>
                </c:pt>
                <c:pt idx="396">
                  <c:v>1983.0000000013199</c:v>
                </c:pt>
                <c:pt idx="397">
                  <c:v>1983.08333333465</c:v>
                </c:pt>
                <c:pt idx="398">
                  <c:v>1983.1666666679801</c:v>
                </c:pt>
                <c:pt idx="399">
                  <c:v>1983.2500000013099</c:v>
                </c:pt>
                <c:pt idx="400">
                  <c:v>1983.33333333464</c:v>
                </c:pt>
                <c:pt idx="401">
                  <c:v>1983.41666666797</c:v>
                </c:pt>
                <c:pt idx="402">
                  <c:v>1983.5000000012999</c:v>
                </c:pt>
                <c:pt idx="403">
                  <c:v>1983.58333333463</c:v>
                </c:pt>
                <c:pt idx="404">
                  <c:v>1983.66666666796</c:v>
                </c:pt>
                <c:pt idx="405">
                  <c:v>1983.7500000012899</c:v>
                </c:pt>
                <c:pt idx="406">
                  <c:v>1983.83333333462</c:v>
                </c:pt>
                <c:pt idx="407">
                  <c:v>1983.91666666795</c:v>
                </c:pt>
                <c:pt idx="408">
                  <c:v>1984.0000000012799</c:v>
                </c:pt>
                <c:pt idx="409">
                  <c:v>1984.08333333461</c:v>
                </c:pt>
                <c:pt idx="410">
                  <c:v>1984.16666666794</c:v>
                </c:pt>
                <c:pt idx="411">
                  <c:v>1984.2500000012701</c:v>
                </c:pt>
                <c:pt idx="412">
                  <c:v>1984.3333333346</c:v>
                </c:pt>
                <c:pt idx="413">
                  <c:v>1984.41666666793</c:v>
                </c:pt>
                <c:pt idx="414">
                  <c:v>1984.5000000012601</c:v>
                </c:pt>
                <c:pt idx="415">
                  <c:v>1984.58333333459</c:v>
                </c:pt>
                <c:pt idx="416">
                  <c:v>1984.66666666792</c:v>
                </c:pt>
                <c:pt idx="417">
                  <c:v>1984.7500000012501</c:v>
                </c:pt>
                <c:pt idx="418">
                  <c:v>1984.8333333345799</c:v>
                </c:pt>
                <c:pt idx="419">
                  <c:v>1984.91666666791</c:v>
                </c:pt>
                <c:pt idx="420">
                  <c:v>1985.0000000012401</c:v>
                </c:pt>
                <c:pt idx="421">
                  <c:v>1985.0833333345699</c:v>
                </c:pt>
                <c:pt idx="422">
                  <c:v>1985.1666666679</c:v>
                </c:pt>
                <c:pt idx="423">
                  <c:v>1985.2500000012301</c:v>
                </c:pt>
                <c:pt idx="424">
                  <c:v>1985.3333333345599</c:v>
                </c:pt>
                <c:pt idx="425">
                  <c:v>1985.41666666789</c:v>
                </c:pt>
                <c:pt idx="426">
                  <c:v>1985.5000000012201</c:v>
                </c:pt>
                <c:pt idx="427">
                  <c:v>1985.5833333345499</c:v>
                </c:pt>
                <c:pt idx="428">
                  <c:v>1985.66666666788</c:v>
                </c:pt>
                <c:pt idx="429">
                  <c:v>1985.7500000012101</c:v>
                </c:pt>
                <c:pt idx="430">
                  <c:v>1985.8333333345399</c:v>
                </c:pt>
                <c:pt idx="431">
                  <c:v>1985.91666666787</c:v>
                </c:pt>
                <c:pt idx="432">
                  <c:v>1986.0000000012001</c:v>
                </c:pt>
                <c:pt idx="433">
                  <c:v>1986.0833333345299</c:v>
                </c:pt>
                <c:pt idx="434">
                  <c:v>1986.16666666786</c:v>
                </c:pt>
                <c:pt idx="435">
                  <c:v>1986.2500000011901</c:v>
                </c:pt>
                <c:pt idx="436">
                  <c:v>1986.3333333345199</c:v>
                </c:pt>
                <c:pt idx="437">
                  <c:v>1986.41666666785</c:v>
                </c:pt>
                <c:pt idx="438">
                  <c:v>1986.5000000011801</c:v>
                </c:pt>
                <c:pt idx="439">
                  <c:v>1986.5833333345099</c:v>
                </c:pt>
                <c:pt idx="440">
                  <c:v>1986.66666666784</c:v>
                </c:pt>
                <c:pt idx="441">
                  <c:v>1986.7500000011701</c:v>
                </c:pt>
                <c:pt idx="442">
                  <c:v>1986.8333333344999</c:v>
                </c:pt>
                <c:pt idx="443">
                  <c:v>1986.91666666783</c:v>
                </c:pt>
                <c:pt idx="444">
                  <c:v>1987.0000000011601</c:v>
                </c:pt>
                <c:pt idx="445">
                  <c:v>1987.0833333344899</c:v>
                </c:pt>
                <c:pt idx="446">
                  <c:v>1987.16666666782</c:v>
                </c:pt>
                <c:pt idx="447">
                  <c:v>1987.2500000011501</c:v>
                </c:pt>
                <c:pt idx="448">
                  <c:v>1987.3333333344799</c:v>
                </c:pt>
                <c:pt idx="449">
                  <c:v>1987.41666666781</c:v>
                </c:pt>
                <c:pt idx="450">
                  <c:v>1987.5000000011401</c:v>
                </c:pt>
                <c:pt idx="451">
                  <c:v>1987.5833333344699</c:v>
                </c:pt>
                <c:pt idx="452">
                  <c:v>1987.6666666678</c:v>
                </c:pt>
                <c:pt idx="453">
                  <c:v>1987.75000000113</c:v>
                </c:pt>
                <c:pt idx="454">
                  <c:v>1987.8333333344599</c:v>
                </c:pt>
                <c:pt idx="455">
                  <c:v>1987.91666666779</c:v>
                </c:pt>
                <c:pt idx="456">
                  <c:v>1988.00000000112</c:v>
                </c:pt>
                <c:pt idx="457">
                  <c:v>1988.0833333344499</c:v>
                </c:pt>
                <c:pt idx="458">
                  <c:v>1988.16666666778</c:v>
                </c:pt>
                <c:pt idx="459">
                  <c:v>1988.25000000111</c:v>
                </c:pt>
                <c:pt idx="460">
                  <c:v>1988.3333333344401</c:v>
                </c:pt>
                <c:pt idx="461">
                  <c:v>1988.41666666777</c:v>
                </c:pt>
                <c:pt idx="462">
                  <c:v>1988.5000000011</c:v>
                </c:pt>
                <c:pt idx="463">
                  <c:v>1988.5833333344301</c:v>
                </c:pt>
                <c:pt idx="464">
                  <c:v>1988.66666666776</c:v>
                </c:pt>
                <c:pt idx="465">
                  <c:v>1988.7500000011</c:v>
                </c:pt>
                <c:pt idx="466">
                  <c:v>1988.8333333344301</c:v>
                </c:pt>
                <c:pt idx="467">
                  <c:v>1988.91666666776</c:v>
                </c:pt>
                <c:pt idx="468">
                  <c:v>1989.00000000109</c:v>
                </c:pt>
                <c:pt idx="469">
                  <c:v>1989.0833333344201</c:v>
                </c:pt>
                <c:pt idx="470">
                  <c:v>1989.16666666775</c:v>
                </c:pt>
                <c:pt idx="471">
                  <c:v>1989.25000000108</c:v>
                </c:pt>
                <c:pt idx="472">
                  <c:v>1989.3333333344101</c:v>
                </c:pt>
                <c:pt idx="473">
                  <c:v>1989.4166666677399</c:v>
                </c:pt>
                <c:pt idx="474">
                  <c:v>1989.50000000107</c:v>
                </c:pt>
                <c:pt idx="475">
                  <c:v>1989.5833333344001</c:v>
                </c:pt>
                <c:pt idx="476">
                  <c:v>1989.6666666677299</c:v>
                </c:pt>
                <c:pt idx="477">
                  <c:v>1989.75000000106</c:v>
                </c:pt>
                <c:pt idx="478">
                  <c:v>1989.8333333343901</c:v>
                </c:pt>
                <c:pt idx="479">
                  <c:v>1989.9166666677199</c:v>
                </c:pt>
                <c:pt idx="480">
                  <c:v>1990.00000000105</c:v>
                </c:pt>
                <c:pt idx="481">
                  <c:v>1990.0833333343801</c:v>
                </c:pt>
                <c:pt idx="482">
                  <c:v>1990.1666666677099</c:v>
                </c:pt>
                <c:pt idx="483">
                  <c:v>1990.25000000104</c:v>
                </c:pt>
                <c:pt idx="484">
                  <c:v>1990.3333333343701</c:v>
                </c:pt>
                <c:pt idx="485">
                  <c:v>1990.4166666676999</c:v>
                </c:pt>
                <c:pt idx="486">
                  <c:v>1990.50000000103</c:v>
                </c:pt>
                <c:pt idx="487">
                  <c:v>1990.5833333343601</c:v>
                </c:pt>
                <c:pt idx="488">
                  <c:v>1990.6666666676899</c:v>
                </c:pt>
                <c:pt idx="489">
                  <c:v>1990.75000000102</c:v>
                </c:pt>
                <c:pt idx="490">
                  <c:v>1990.8333333343501</c:v>
                </c:pt>
                <c:pt idx="491">
                  <c:v>1990.9166666676799</c:v>
                </c:pt>
                <c:pt idx="492">
                  <c:v>1991.00000000101</c:v>
                </c:pt>
                <c:pt idx="493">
                  <c:v>1991.0833333343401</c:v>
                </c:pt>
                <c:pt idx="494">
                  <c:v>1991.1666666676699</c:v>
                </c:pt>
                <c:pt idx="495">
                  <c:v>1991.250000001</c:v>
                </c:pt>
                <c:pt idx="496">
                  <c:v>1991.3333333343301</c:v>
                </c:pt>
                <c:pt idx="497">
                  <c:v>1991.4166666676599</c:v>
                </c:pt>
                <c:pt idx="498">
                  <c:v>1991.50000000099</c:v>
                </c:pt>
                <c:pt idx="499">
                  <c:v>1991.5833333343201</c:v>
                </c:pt>
                <c:pt idx="500">
                  <c:v>1991.6666666676499</c:v>
                </c:pt>
                <c:pt idx="501">
                  <c:v>1991.75000000098</c:v>
                </c:pt>
                <c:pt idx="502">
                  <c:v>1991.8333333343101</c:v>
                </c:pt>
                <c:pt idx="503">
                  <c:v>1991.9166666676399</c:v>
                </c:pt>
                <c:pt idx="504">
                  <c:v>1992.00000000097</c:v>
                </c:pt>
                <c:pt idx="505">
                  <c:v>1992.0833333343001</c:v>
                </c:pt>
                <c:pt idx="506">
                  <c:v>1992.1666666676299</c:v>
                </c:pt>
                <c:pt idx="507">
                  <c:v>1992.25000000096</c:v>
                </c:pt>
                <c:pt idx="508">
                  <c:v>1992.33333333429</c:v>
                </c:pt>
                <c:pt idx="509">
                  <c:v>1992.4166666676199</c:v>
                </c:pt>
                <c:pt idx="510">
                  <c:v>1992.50000000095</c:v>
                </c:pt>
                <c:pt idx="511">
                  <c:v>1992.58333333428</c:v>
                </c:pt>
                <c:pt idx="512">
                  <c:v>1992.6666666676099</c:v>
                </c:pt>
                <c:pt idx="513">
                  <c:v>1992.75000000094</c:v>
                </c:pt>
                <c:pt idx="514">
                  <c:v>1992.83333333427</c:v>
                </c:pt>
                <c:pt idx="515">
                  <c:v>1992.9166666676001</c:v>
                </c:pt>
                <c:pt idx="516">
                  <c:v>1993.00000000093</c:v>
                </c:pt>
                <c:pt idx="517">
                  <c:v>1993.08333333426</c:v>
                </c:pt>
                <c:pt idx="518">
                  <c:v>1993.1666666675901</c:v>
                </c:pt>
                <c:pt idx="519">
                  <c:v>1993.25000000092</c:v>
                </c:pt>
                <c:pt idx="520">
                  <c:v>1993.33333333425</c:v>
                </c:pt>
                <c:pt idx="521">
                  <c:v>1993.4166666675801</c:v>
                </c:pt>
                <c:pt idx="522">
                  <c:v>1993.5000000009099</c:v>
                </c:pt>
                <c:pt idx="523">
                  <c:v>1993.58333333424</c:v>
                </c:pt>
                <c:pt idx="524">
                  <c:v>1993.6666666675701</c:v>
                </c:pt>
                <c:pt idx="525">
                  <c:v>1993.7500000008999</c:v>
                </c:pt>
                <c:pt idx="526">
                  <c:v>1993.83333333423</c:v>
                </c:pt>
                <c:pt idx="527">
                  <c:v>1993.9166666675601</c:v>
                </c:pt>
                <c:pt idx="528">
                  <c:v>1994.0000000008899</c:v>
                </c:pt>
                <c:pt idx="529">
                  <c:v>1994.08333333422</c:v>
                </c:pt>
                <c:pt idx="530">
                  <c:v>1994.1666666675501</c:v>
                </c:pt>
                <c:pt idx="531">
                  <c:v>1994.2500000008799</c:v>
                </c:pt>
                <c:pt idx="532">
                  <c:v>1994.33333333421</c:v>
                </c:pt>
                <c:pt idx="533">
                  <c:v>1994.4166666675401</c:v>
                </c:pt>
                <c:pt idx="534">
                  <c:v>1994.5000000008699</c:v>
                </c:pt>
                <c:pt idx="535">
                  <c:v>1994.5833333342</c:v>
                </c:pt>
                <c:pt idx="536">
                  <c:v>1994.6666666675301</c:v>
                </c:pt>
                <c:pt idx="537">
                  <c:v>1994.7500000008599</c:v>
                </c:pt>
                <c:pt idx="538">
                  <c:v>1994.83333333419</c:v>
                </c:pt>
                <c:pt idx="539">
                  <c:v>1994.9166666675201</c:v>
                </c:pt>
                <c:pt idx="540">
                  <c:v>1995.0000000008499</c:v>
                </c:pt>
                <c:pt idx="541">
                  <c:v>1995.08333333418</c:v>
                </c:pt>
                <c:pt idx="542">
                  <c:v>1995.1666666675101</c:v>
                </c:pt>
                <c:pt idx="543">
                  <c:v>1995.2500000008399</c:v>
                </c:pt>
                <c:pt idx="544">
                  <c:v>1995.33333333417</c:v>
                </c:pt>
                <c:pt idx="545">
                  <c:v>1995.4166666675001</c:v>
                </c:pt>
                <c:pt idx="546">
                  <c:v>1995.5000000008299</c:v>
                </c:pt>
                <c:pt idx="547">
                  <c:v>1995.58333333416</c:v>
                </c:pt>
                <c:pt idx="548">
                  <c:v>1995.6666666674901</c:v>
                </c:pt>
                <c:pt idx="549">
                  <c:v>1995.7500000008199</c:v>
                </c:pt>
                <c:pt idx="550">
                  <c:v>1995.83333333415</c:v>
                </c:pt>
                <c:pt idx="551">
                  <c:v>1995.9166666674801</c:v>
                </c:pt>
                <c:pt idx="552">
                  <c:v>1996.0000000008099</c:v>
                </c:pt>
                <c:pt idx="553">
                  <c:v>1996.08333333414</c:v>
                </c:pt>
                <c:pt idx="554">
                  <c:v>1996.1666666674701</c:v>
                </c:pt>
                <c:pt idx="555">
                  <c:v>1996.2500000007999</c:v>
                </c:pt>
                <c:pt idx="556">
                  <c:v>1996.33333333413</c:v>
                </c:pt>
                <c:pt idx="557">
                  <c:v>1996.41666666746</c:v>
                </c:pt>
                <c:pt idx="558">
                  <c:v>1996.5000000007899</c:v>
                </c:pt>
                <c:pt idx="559">
                  <c:v>1996.58333333412</c:v>
                </c:pt>
                <c:pt idx="560">
                  <c:v>1996.66666666745</c:v>
                </c:pt>
                <c:pt idx="561">
                  <c:v>1996.7500000007799</c:v>
                </c:pt>
                <c:pt idx="562">
                  <c:v>1996.83333333411</c:v>
                </c:pt>
                <c:pt idx="563">
                  <c:v>1996.91666666744</c:v>
                </c:pt>
                <c:pt idx="564">
                  <c:v>1997.0000000007699</c:v>
                </c:pt>
                <c:pt idx="565">
                  <c:v>1997.0833333341</c:v>
                </c:pt>
                <c:pt idx="566">
                  <c:v>1997.16666666743</c:v>
                </c:pt>
                <c:pt idx="567">
                  <c:v>1997.2500000007601</c:v>
                </c:pt>
                <c:pt idx="568">
                  <c:v>1997.33333333409</c:v>
                </c:pt>
                <c:pt idx="569">
                  <c:v>1997.41666666742</c:v>
                </c:pt>
                <c:pt idx="570">
                  <c:v>1997.5000000007501</c:v>
                </c:pt>
                <c:pt idx="571">
                  <c:v>1997.58333333408</c:v>
                </c:pt>
                <c:pt idx="572">
                  <c:v>1997.66666666741</c:v>
                </c:pt>
                <c:pt idx="573">
                  <c:v>1997.7500000007401</c:v>
                </c:pt>
                <c:pt idx="574">
                  <c:v>1997.8333333340699</c:v>
                </c:pt>
                <c:pt idx="575">
                  <c:v>1997.9166666674</c:v>
                </c:pt>
                <c:pt idx="576">
                  <c:v>1998.0000000007301</c:v>
                </c:pt>
                <c:pt idx="577">
                  <c:v>1998.0833333340599</c:v>
                </c:pt>
                <c:pt idx="578">
                  <c:v>1998.16666666739</c:v>
                </c:pt>
                <c:pt idx="579">
                  <c:v>1998.2500000007201</c:v>
                </c:pt>
                <c:pt idx="580">
                  <c:v>1998.3333333340499</c:v>
                </c:pt>
                <c:pt idx="581">
                  <c:v>1998.41666666738</c:v>
                </c:pt>
                <c:pt idx="582">
                  <c:v>1998.5000000007101</c:v>
                </c:pt>
                <c:pt idx="583">
                  <c:v>1998.5833333340399</c:v>
                </c:pt>
                <c:pt idx="584">
                  <c:v>1998.66666666737</c:v>
                </c:pt>
                <c:pt idx="585">
                  <c:v>1998.7500000007001</c:v>
                </c:pt>
                <c:pt idx="586">
                  <c:v>1998.8333333340299</c:v>
                </c:pt>
                <c:pt idx="587">
                  <c:v>1998.91666666736</c:v>
                </c:pt>
                <c:pt idx="588">
                  <c:v>1999.0000000006901</c:v>
                </c:pt>
                <c:pt idx="589">
                  <c:v>1999.0833333340199</c:v>
                </c:pt>
                <c:pt idx="590">
                  <c:v>1999.16666666735</c:v>
                </c:pt>
                <c:pt idx="591">
                  <c:v>1999.2500000006801</c:v>
                </c:pt>
                <c:pt idx="592">
                  <c:v>1999.3333333340099</c:v>
                </c:pt>
                <c:pt idx="593">
                  <c:v>1999.41666666734</c:v>
                </c:pt>
                <c:pt idx="594">
                  <c:v>1999.5000000006701</c:v>
                </c:pt>
                <c:pt idx="595">
                  <c:v>1999.5833333339999</c:v>
                </c:pt>
                <c:pt idx="596">
                  <c:v>1999.66666666733</c:v>
                </c:pt>
                <c:pt idx="597">
                  <c:v>1999.7500000006601</c:v>
                </c:pt>
                <c:pt idx="598">
                  <c:v>1999.8333333339899</c:v>
                </c:pt>
                <c:pt idx="599">
                  <c:v>1999.91666666732</c:v>
                </c:pt>
                <c:pt idx="600">
                  <c:v>2000.0000000006601</c:v>
                </c:pt>
                <c:pt idx="601">
                  <c:v>2000.0833333339899</c:v>
                </c:pt>
                <c:pt idx="602">
                  <c:v>2000.16666666732</c:v>
                </c:pt>
                <c:pt idx="603">
                  <c:v>2000.2500000006501</c:v>
                </c:pt>
                <c:pt idx="604">
                  <c:v>2000.3333333339799</c:v>
                </c:pt>
                <c:pt idx="605">
                  <c:v>2000.41666666731</c:v>
                </c:pt>
                <c:pt idx="606">
                  <c:v>2000.5000000006401</c:v>
                </c:pt>
                <c:pt idx="607">
                  <c:v>2000.5833333339699</c:v>
                </c:pt>
                <c:pt idx="608">
                  <c:v>2000.6666666673</c:v>
                </c:pt>
                <c:pt idx="609">
                  <c:v>2000.7500000006301</c:v>
                </c:pt>
                <c:pt idx="610">
                  <c:v>2000.8333333339599</c:v>
                </c:pt>
                <c:pt idx="611">
                  <c:v>2000.91666666729</c:v>
                </c:pt>
                <c:pt idx="612">
                  <c:v>2001.00000000062</c:v>
                </c:pt>
                <c:pt idx="613">
                  <c:v>2001.0833333339499</c:v>
                </c:pt>
                <c:pt idx="614">
                  <c:v>2001.16666666728</c:v>
                </c:pt>
                <c:pt idx="615">
                  <c:v>2001.25000000061</c:v>
                </c:pt>
                <c:pt idx="616">
                  <c:v>2001.3333333339399</c:v>
                </c:pt>
                <c:pt idx="617">
                  <c:v>2001.41666666727</c:v>
                </c:pt>
                <c:pt idx="618">
                  <c:v>2001.5000000006</c:v>
                </c:pt>
                <c:pt idx="619">
                  <c:v>2001.5833333339301</c:v>
                </c:pt>
                <c:pt idx="620">
                  <c:v>2001.66666666726</c:v>
                </c:pt>
                <c:pt idx="621">
                  <c:v>2001.75000000059</c:v>
                </c:pt>
                <c:pt idx="622">
                  <c:v>2001.8333333339201</c:v>
                </c:pt>
                <c:pt idx="623">
                  <c:v>2001.91666666725</c:v>
                </c:pt>
                <c:pt idx="624">
                  <c:v>2002.00000000058</c:v>
                </c:pt>
                <c:pt idx="625">
                  <c:v>2002.0833333339101</c:v>
                </c:pt>
                <c:pt idx="626">
                  <c:v>2002.16666666724</c:v>
                </c:pt>
                <c:pt idx="627">
                  <c:v>2002.25000000057</c:v>
                </c:pt>
                <c:pt idx="628">
                  <c:v>2002.3333333339001</c:v>
                </c:pt>
                <c:pt idx="629">
                  <c:v>2002.4166666672299</c:v>
                </c:pt>
                <c:pt idx="630">
                  <c:v>2002.50000000056</c:v>
                </c:pt>
                <c:pt idx="631">
                  <c:v>2002.5833333338901</c:v>
                </c:pt>
                <c:pt idx="632">
                  <c:v>2002.6666666672199</c:v>
                </c:pt>
                <c:pt idx="633">
                  <c:v>2002.75000000055</c:v>
                </c:pt>
                <c:pt idx="634">
                  <c:v>2002.8333333338801</c:v>
                </c:pt>
                <c:pt idx="635">
                  <c:v>2002.9166666672099</c:v>
                </c:pt>
                <c:pt idx="636">
                  <c:v>2003.00000000054</c:v>
                </c:pt>
                <c:pt idx="637">
                  <c:v>2003.0833333338701</c:v>
                </c:pt>
                <c:pt idx="638">
                  <c:v>2003.1666666671999</c:v>
                </c:pt>
                <c:pt idx="639">
                  <c:v>2003.25000000053</c:v>
                </c:pt>
                <c:pt idx="640">
                  <c:v>2003.3333333338601</c:v>
                </c:pt>
                <c:pt idx="641">
                  <c:v>2003.4166666671899</c:v>
                </c:pt>
                <c:pt idx="642">
                  <c:v>2003.50000000052</c:v>
                </c:pt>
                <c:pt idx="643">
                  <c:v>2003.5833333338501</c:v>
                </c:pt>
                <c:pt idx="644">
                  <c:v>2003.6666666671799</c:v>
                </c:pt>
                <c:pt idx="645">
                  <c:v>2003.75000000051</c:v>
                </c:pt>
                <c:pt idx="646">
                  <c:v>2003.8333333338401</c:v>
                </c:pt>
                <c:pt idx="647">
                  <c:v>2003.9166666671699</c:v>
                </c:pt>
                <c:pt idx="648">
                  <c:v>2004.0000000005</c:v>
                </c:pt>
                <c:pt idx="649">
                  <c:v>2004.0833333338301</c:v>
                </c:pt>
                <c:pt idx="650">
                  <c:v>2004.1666666671599</c:v>
                </c:pt>
                <c:pt idx="651">
                  <c:v>2004.25000000049</c:v>
                </c:pt>
                <c:pt idx="652">
                  <c:v>2004.3333333338201</c:v>
                </c:pt>
                <c:pt idx="653">
                  <c:v>2004.4166666671499</c:v>
                </c:pt>
                <c:pt idx="654">
                  <c:v>2004.50000000048</c:v>
                </c:pt>
                <c:pt idx="655">
                  <c:v>2004.5833333338101</c:v>
                </c:pt>
                <c:pt idx="656">
                  <c:v>2004.6666666671399</c:v>
                </c:pt>
                <c:pt idx="657">
                  <c:v>2004.75000000047</c:v>
                </c:pt>
                <c:pt idx="658">
                  <c:v>2004.8333333338001</c:v>
                </c:pt>
                <c:pt idx="659">
                  <c:v>2004.9166666671299</c:v>
                </c:pt>
                <c:pt idx="660">
                  <c:v>2005.00000000046</c:v>
                </c:pt>
                <c:pt idx="661">
                  <c:v>2005.0833333337901</c:v>
                </c:pt>
                <c:pt idx="662">
                  <c:v>2005.1666666671199</c:v>
                </c:pt>
                <c:pt idx="663">
                  <c:v>2005.25000000045</c:v>
                </c:pt>
                <c:pt idx="664">
                  <c:v>2005.33333333378</c:v>
                </c:pt>
                <c:pt idx="665">
                  <c:v>2005.4166666671099</c:v>
                </c:pt>
                <c:pt idx="666">
                  <c:v>2005.50000000044</c:v>
                </c:pt>
                <c:pt idx="667">
                  <c:v>2005.58333333377</c:v>
                </c:pt>
                <c:pt idx="668">
                  <c:v>2005.6666666670999</c:v>
                </c:pt>
                <c:pt idx="669">
                  <c:v>2005.75000000043</c:v>
                </c:pt>
                <c:pt idx="670">
                  <c:v>2005.83333333376</c:v>
                </c:pt>
                <c:pt idx="671">
                  <c:v>2005.9166666670901</c:v>
                </c:pt>
                <c:pt idx="672">
                  <c:v>2006.00000000042</c:v>
                </c:pt>
                <c:pt idx="673">
                  <c:v>2006.08333333375</c:v>
                </c:pt>
                <c:pt idx="674">
                  <c:v>2006.1666666670801</c:v>
                </c:pt>
                <c:pt idx="675">
                  <c:v>2006.25000000041</c:v>
                </c:pt>
                <c:pt idx="676">
                  <c:v>2006.33333333374</c:v>
                </c:pt>
                <c:pt idx="677">
                  <c:v>2006.4166666670701</c:v>
                </c:pt>
                <c:pt idx="678">
                  <c:v>2006.5000000004</c:v>
                </c:pt>
                <c:pt idx="679">
                  <c:v>2006.58333333373</c:v>
                </c:pt>
                <c:pt idx="680">
                  <c:v>2006.6666666670601</c:v>
                </c:pt>
                <c:pt idx="681">
                  <c:v>2006.7500000003899</c:v>
                </c:pt>
                <c:pt idx="682">
                  <c:v>2006.83333333372</c:v>
                </c:pt>
                <c:pt idx="683">
                  <c:v>2006.9166666670501</c:v>
                </c:pt>
                <c:pt idx="684">
                  <c:v>2007.0000000003799</c:v>
                </c:pt>
                <c:pt idx="685">
                  <c:v>2007.08333333371</c:v>
                </c:pt>
                <c:pt idx="686">
                  <c:v>2007.1666666670401</c:v>
                </c:pt>
                <c:pt idx="687">
                  <c:v>2007.2500000003699</c:v>
                </c:pt>
                <c:pt idx="688">
                  <c:v>2007.3333333337</c:v>
                </c:pt>
                <c:pt idx="689">
                  <c:v>2007.4166666670301</c:v>
                </c:pt>
                <c:pt idx="690">
                  <c:v>2007.5000000003599</c:v>
                </c:pt>
                <c:pt idx="691">
                  <c:v>2007.58333333369</c:v>
                </c:pt>
                <c:pt idx="692">
                  <c:v>2007.6666666670201</c:v>
                </c:pt>
                <c:pt idx="693">
                  <c:v>2007.7500000003499</c:v>
                </c:pt>
                <c:pt idx="694">
                  <c:v>2007.83333333368</c:v>
                </c:pt>
                <c:pt idx="695">
                  <c:v>2007.9166666670101</c:v>
                </c:pt>
                <c:pt idx="696">
                  <c:v>2008.0000000003399</c:v>
                </c:pt>
                <c:pt idx="697">
                  <c:v>2008.08333333367</c:v>
                </c:pt>
                <c:pt idx="698">
                  <c:v>2008.1666666670001</c:v>
                </c:pt>
                <c:pt idx="699">
                  <c:v>2008.2500000003299</c:v>
                </c:pt>
                <c:pt idx="700">
                  <c:v>2008.33333333366</c:v>
                </c:pt>
                <c:pt idx="701">
                  <c:v>2008.4166666669901</c:v>
                </c:pt>
                <c:pt idx="702">
                  <c:v>2008.5000000003199</c:v>
                </c:pt>
                <c:pt idx="703">
                  <c:v>2008.58333333365</c:v>
                </c:pt>
                <c:pt idx="704">
                  <c:v>2008.6666666669801</c:v>
                </c:pt>
                <c:pt idx="705">
                  <c:v>2008.7500000003099</c:v>
                </c:pt>
                <c:pt idx="706">
                  <c:v>2008.83333333364</c:v>
                </c:pt>
                <c:pt idx="707">
                  <c:v>2008.9166666669701</c:v>
                </c:pt>
                <c:pt idx="708">
                  <c:v>2009.0000000002999</c:v>
                </c:pt>
                <c:pt idx="709">
                  <c:v>2009.08333333363</c:v>
                </c:pt>
                <c:pt idx="710">
                  <c:v>2009.1666666669601</c:v>
                </c:pt>
                <c:pt idx="711">
                  <c:v>2009.2500000002899</c:v>
                </c:pt>
                <c:pt idx="712">
                  <c:v>2009.33333333362</c:v>
                </c:pt>
                <c:pt idx="713">
                  <c:v>2009.4166666669501</c:v>
                </c:pt>
                <c:pt idx="714">
                  <c:v>2009.5000000002799</c:v>
                </c:pt>
                <c:pt idx="715">
                  <c:v>2009.58333333361</c:v>
                </c:pt>
                <c:pt idx="716">
                  <c:v>2009.66666666694</c:v>
                </c:pt>
                <c:pt idx="717">
                  <c:v>2009.7500000002699</c:v>
                </c:pt>
                <c:pt idx="718">
                  <c:v>2009.8333333336</c:v>
                </c:pt>
                <c:pt idx="719">
                  <c:v>2009.91666666693</c:v>
                </c:pt>
                <c:pt idx="720">
                  <c:v>2010.0000000002599</c:v>
                </c:pt>
                <c:pt idx="721">
                  <c:v>2010.08333333359</c:v>
                </c:pt>
                <c:pt idx="722">
                  <c:v>2010.16666666692</c:v>
                </c:pt>
                <c:pt idx="723">
                  <c:v>2010.2500000002501</c:v>
                </c:pt>
                <c:pt idx="724">
                  <c:v>2010.33333333358</c:v>
                </c:pt>
                <c:pt idx="725">
                  <c:v>2010.41666666691</c:v>
                </c:pt>
                <c:pt idx="726">
                  <c:v>2010.5000000002401</c:v>
                </c:pt>
                <c:pt idx="727">
                  <c:v>2010.58333333357</c:v>
                </c:pt>
                <c:pt idx="728">
                  <c:v>2010.6666666669</c:v>
                </c:pt>
                <c:pt idx="729">
                  <c:v>2010.7500000002301</c:v>
                </c:pt>
                <c:pt idx="730">
                  <c:v>2010.8333333335599</c:v>
                </c:pt>
                <c:pt idx="731">
                  <c:v>2010.91666666689</c:v>
                </c:pt>
                <c:pt idx="732">
                  <c:v>2011.0000000002201</c:v>
                </c:pt>
                <c:pt idx="733">
                  <c:v>2011.0833333335499</c:v>
                </c:pt>
                <c:pt idx="734">
                  <c:v>2011.16666666689</c:v>
                </c:pt>
                <c:pt idx="735">
                  <c:v>2011.2500000002201</c:v>
                </c:pt>
                <c:pt idx="736">
                  <c:v>2011.3333333335499</c:v>
                </c:pt>
                <c:pt idx="737">
                  <c:v>2011.41666666688</c:v>
                </c:pt>
                <c:pt idx="738">
                  <c:v>2011.5000000002101</c:v>
                </c:pt>
                <c:pt idx="739">
                  <c:v>2011.5833333335399</c:v>
                </c:pt>
                <c:pt idx="740">
                  <c:v>2011.66666666687</c:v>
                </c:pt>
                <c:pt idx="741">
                  <c:v>2011.7500000002001</c:v>
                </c:pt>
                <c:pt idx="742">
                  <c:v>2011.8333333335299</c:v>
                </c:pt>
                <c:pt idx="743">
                  <c:v>2011.91666666686</c:v>
                </c:pt>
                <c:pt idx="744">
                  <c:v>2012.0000000001901</c:v>
                </c:pt>
                <c:pt idx="745">
                  <c:v>2012.0833333335199</c:v>
                </c:pt>
                <c:pt idx="746">
                  <c:v>2012.16666666685</c:v>
                </c:pt>
                <c:pt idx="747">
                  <c:v>2012.2500000001801</c:v>
                </c:pt>
                <c:pt idx="748">
                  <c:v>2012.3333333335099</c:v>
                </c:pt>
                <c:pt idx="749">
                  <c:v>2012.41666666684</c:v>
                </c:pt>
                <c:pt idx="750">
                  <c:v>2012.5000000001701</c:v>
                </c:pt>
                <c:pt idx="751">
                  <c:v>2012.5833333334999</c:v>
                </c:pt>
                <c:pt idx="752">
                  <c:v>2012.66666666683</c:v>
                </c:pt>
                <c:pt idx="753">
                  <c:v>2012.7500000001601</c:v>
                </c:pt>
                <c:pt idx="754">
                  <c:v>2012.8333333334899</c:v>
                </c:pt>
                <c:pt idx="755">
                  <c:v>2012.91666666682</c:v>
                </c:pt>
              </c:numCache>
            </c:numRef>
          </c:xVal>
          <c:yVal>
            <c:numRef>
              <c:f>HadISST1!$D$2:$D$757</c:f>
              <c:numCache>
                <c:formatCode>0.00</c:formatCode>
                <c:ptCount val="756"/>
                <c:pt idx="0">
                  <c:v>26.356407000000001</c:v>
                </c:pt>
                <c:pt idx="1">
                  <c:v>26.126427</c:v>
                </c:pt>
                <c:pt idx="2">
                  <c:v>26.528521999999999</c:v>
                </c:pt>
                <c:pt idx="3">
                  <c:v>26.793478</c:v>
                </c:pt>
                <c:pt idx="4">
                  <c:v>27.647210000000001</c:v>
                </c:pt>
                <c:pt idx="5">
                  <c:v>28.136794999999999</c:v>
                </c:pt>
                <c:pt idx="6">
                  <c:v>27.741499000000001</c:v>
                </c:pt>
                <c:pt idx="7">
                  <c:v>28.178238</c:v>
                </c:pt>
                <c:pt idx="8">
                  <c:v>28.880917</c:v>
                </c:pt>
                <c:pt idx="9">
                  <c:v>28.699985999999999</c:v>
                </c:pt>
                <c:pt idx="10">
                  <c:v>28.573665999999999</c:v>
                </c:pt>
                <c:pt idx="11">
                  <c:v>27.662776999999998</c:v>
                </c:pt>
                <c:pt idx="12">
                  <c:v>27.125397</c:v>
                </c:pt>
                <c:pt idx="13">
                  <c:v>26.689254999999999</c:v>
                </c:pt>
                <c:pt idx="14">
                  <c:v>26.483592999999999</c:v>
                </c:pt>
                <c:pt idx="15">
                  <c:v>27.419464000000001</c:v>
                </c:pt>
                <c:pt idx="16">
                  <c:v>28.57837</c:v>
                </c:pt>
                <c:pt idx="17">
                  <c:v>28.707280999999998</c:v>
                </c:pt>
                <c:pt idx="18">
                  <c:v>28.545216</c:v>
                </c:pt>
                <c:pt idx="19">
                  <c:v>28.755545000000001</c:v>
                </c:pt>
                <c:pt idx="20">
                  <c:v>29.098420000000001</c:v>
                </c:pt>
                <c:pt idx="21">
                  <c:v>28.85529</c:v>
                </c:pt>
                <c:pt idx="22">
                  <c:v>28.782222999999998</c:v>
                </c:pt>
                <c:pt idx="23">
                  <c:v>27.86459</c:v>
                </c:pt>
                <c:pt idx="24">
                  <c:v>26.715765000000001</c:v>
                </c:pt>
                <c:pt idx="25">
                  <c:v>26.857979</c:v>
                </c:pt>
                <c:pt idx="26">
                  <c:v>26.978850999999999</c:v>
                </c:pt>
                <c:pt idx="27">
                  <c:v>27.578576999999999</c:v>
                </c:pt>
                <c:pt idx="28">
                  <c:v>28.716728</c:v>
                </c:pt>
                <c:pt idx="29">
                  <c:v>28.908642</c:v>
                </c:pt>
                <c:pt idx="30">
                  <c:v>28.545203999999998</c:v>
                </c:pt>
                <c:pt idx="31">
                  <c:v>28.760035999999999</c:v>
                </c:pt>
                <c:pt idx="32">
                  <c:v>29.063278</c:v>
                </c:pt>
                <c:pt idx="33">
                  <c:v>29.206356</c:v>
                </c:pt>
                <c:pt idx="34">
                  <c:v>28.968292000000002</c:v>
                </c:pt>
                <c:pt idx="35">
                  <c:v>27.841702999999999</c:v>
                </c:pt>
                <c:pt idx="36">
                  <c:v>26.99287</c:v>
                </c:pt>
                <c:pt idx="37">
                  <c:v>26.707027</c:v>
                </c:pt>
                <c:pt idx="38">
                  <c:v>26.413506999999999</c:v>
                </c:pt>
                <c:pt idx="39">
                  <c:v>27.411937999999999</c:v>
                </c:pt>
                <c:pt idx="40">
                  <c:v>28.296250000000001</c:v>
                </c:pt>
                <c:pt idx="41">
                  <c:v>28.565704</c:v>
                </c:pt>
                <c:pt idx="42">
                  <c:v>28.423645</c:v>
                </c:pt>
                <c:pt idx="43">
                  <c:v>28.413478999999999</c:v>
                </c:pt>
                <c:pt idx="44">
                  <c:v>28.895423999999998</c:v>
                </c:pt>
                <c:pt idx="45">
                  <c:v>29.070879999999999</c:v>
                </c:pt>
                <c:pt idx="46">
                  <c:v>28.826778000000001</c:v>
                </c:pt>
                <c:pt idx="47">
                  <c:v>28.199314000000001</c:v>
                </c:pt>
                <c:pt idx="48">
                  <c:v>27.182971999999999</c:v>
                </c:pt>
                <c:pt idx="49">
                  <c:v>26.765903000000002</c:v>
                </c:pt>
                <c:pt idx="50">
                  <c:v>27.113303999999999</c:v>
                </c:pt>
                <c:pt idx="51">
                  <c:v>27.443425999999999</c:v>
                </c:pt>
                <c:pt idx="52">
                  <c:v>28.362912999999999</c:v>
                </c:pt>
                <c:pt idx="53">
                  <c:v>28.727388000000001</c:v>
                </c:pt>
                <c:pt idx="54">
                  <c:v>28.231102</c:v>
                </c:pt>
                <c:pt idx="55">
                  <c:v>28.394843999999999</c:v>
                </c:pt>
                <c:pt idx="56">
                  <c:v>28.824017000000001</c:v>
                </c:pt>
                <c:pt idx="57">
                  <c:v>28.556839</c:v>
                </c:pt>
                <c:pt idx="58">
                  <c:v>28.406009999999998</c:v>
                </c:pt>
                <c:pt idx="59">
                  <c:v>27.531766999999999</c:v>
                </c:pt>
                <c:pt idx="60">
                  <c:v>27.055759999999999</c:v>
                </c:pt>
                <c:pt idx="61">
                  <c:v>26.717483999999999</c:v>
                </c:pt>
                <c:pt idx="62">
                  <c:v>26.437494000000001</c:v>
                </c:pt>
                <c:pt idx="63">
                  <c:v>27.234386000000001</c:v>
                </c:pt>
                <c:pt idx="64">
                  <c:v>28.008379999999999</c:v>
                </c:pt>
                <c:pt idx="65">
                  <c:v>28.252459000000002</c:v>
                </c:pt>
                <c:pt idx="66">
                  <c:v>28.021281999999999</c:v>
                </c:pt>
                <c:pt idx="67">
                  <c:v>28.489211999999998</c:v>
                </c:pt>
                <c:pt idx="68">
                  <c:v>28.870773</c:v>
                </c:pt>
                <c:pt idx="69">
                  <c:v>28.964835999999998</c:v>
                </c:pt>
                <c:pt idx="70">
                  <c:v>28.615241999999999</c:v>
                </c:pt>
                <c:pt idx="71">
                  <c:v>27.507639000000001</c:v>
                </c:pt>
                <c:pt idx="72">
                  <c:v>26.875129999999999</c:v>
                </c:pt>
                <c:pt idx="73">
                  <c:v>26.700862999999998</c:v>
                </c:pt>
                <c:pt idx="74">
                  <c:v>26.65916</c:v>
                </c:pt>
                <c:pt idx="75">
                  <c:v>27.428505000000001</c:v>
                </c:pt>
                <c:pt idx="76">
                  <c:v>27.840263</c:v>
                </c:pt>
                <c:pt idx="77">
                  <c:v>28.409420000000001</c:v>
                </c:pt>
                <c:pt idx="78">
                  <c:v>27.847624</c:v>
                </c:pt>
                <c:pt idx="79">
                  <c:v>27.881502000000001</c:v>
                </c:pt>
                <c:pt idx="80">
                  <c:v>28.388110999999999</c:v>
                </c:pt>
                <c:pt idx="81">
                  <c:v>28.569873999999999</c:v>
                </c:pt>
                <c:pt idx="82">
                  <c:v>28.438604000000002</c:v>
                </c:pt>
                <c:pt idx="83">
                  <c:v>27.642181000000001</c:v>
                </c:pt>
                <c:pt idx="84">
                  <c:v>26.669730000000001</c:v>
                </c:pt>
                <c:pt idx="85">
                  <c:v>25.773323000000001</c:v>
                </c:pt>
                <c:pt idx="86">
                  <c:v>26.993870000000001</c:v>
                </c:pt>
                <c:pt idx="87">
                  <c:v>26.880375000000001</c:v>
                </c:pt>
                <c:pt idx="88">
                  <c:v>27.727533000000001</c:v>
                </c:pt>
                <c:pt idx="89">
                  <c:v>28.550896000000002</c:v>
                </c:pt>
                <c:pt idx="90">
                  <c:v>28.332858999999999</c:v>
                </c:pt>
                <c:pt idx="91">
                  <c:v>28.644043</c:v>
                </c:pt>
                <c:pt idx="92">
                  <c:v>28.872826</c:v>
                </c:pt>
                <c:pt idx="93">
                  <c:v>29.320868000000001</c:v>
                </c:pt>
                <c:pt idx="94">
                  <c:v>28.674807000000001</c:v>
                </c:pt>
                <c:pt idx="95">
                  <c:v>27.83418</c:v>
                </c:pt>
                <c:pt idx="96">
                  <c:v>27.749324999999999</c:v>
                </c:pt>
                <c:pt idx="97">
                  <c:v>27.589801999999999</c:v>
                </c:pt>
                <c:pt idx="98">
                  <c:v>27.799702</c:v>
                </c:pt>
                <c:pt idx="99">
                  <c:v>28.202895999999999</c:v>
                </c:pt>
                <c:pt idx="100">
                  <c:v>29.162496999999998</c:v>
                </c:pt>
                <c:pt idx="101">
                  <c:v>29.763983</c:v>
                </c:pt>
                <c:pt idx="102">
                  <c:v>28.773392000000001</c:v>
                </c:pt>
                <c:pt idx="103">
                  <c:v>28.850597</c:v>
                </c:pt>
                <c:pt idx="104">
                  <c:v>29.147597999999999</c:v>
                </c:pt>
                <c:pt idx="105">
                  <c:v>29.120450000000002</c:v>
                </c:pt>
                <c:pt idx="106">
                  <c:v>28.748200000000001</c:v>
                </c:pt>
                <c:pt idx="107">
                  <c:v>27.91339</c:v>
                </c:pt>
                <c:pt idx="108">
                  <c:v>27.162434000000001</c:v>
                </c:pt>
                <c:pt idx="109">
                  <c:v>26.846319999999999</c:v>
                </c:pt>
                <c:pt idx="110">
                  <c:v>26.899567000000001</c:v>
                </c:pt>
                <c:pt idx="111">
                  <c:v>27.452836999999999</c:v>
                </c:pt>
                <c:pt idx="112">
                  <c:v>27.909804999999999</c:v>
                </c:pt>
                <c:pt idx="113">
                  <c:v>28.406094</c:v>
                </c:pt>
                <c:pt idx="114">
                  <c:v>28.154067999999999</c:v>
                </c:pt>
                <c:pt idx="115">
                  <c:v>28.150528000000001</c:v>
                </c:pt>
                <c:pt idx="116">
                  <c:v>28.60135</c:v>
                </c:pt>
                <c:pt idx="117">
                  <c:v>28.706951</c:v>
                </c:pt>
                <c:pt idx="118">
                  <c:v>28.573264999999999</c:v>
                </c:pt>
                <c:pt idx="119">
                  <c:v>27.992457999999999</c:v>
                </c:pt>
                <c:pt idx="120">
                  <c:v>27.381208000000001</c:v>
                </c:pt>
                <c:pt idx="121">
                  <c:v>27.572299999999998</c:v>
                </c:pt>
                <c:pt idx="122">
                  <c:v>27.431813999999999</c:v>
                </c:pt>
                <c:pt idx="123">
                  <c:v>27.729161999999999</c:v>
                </c:pt>
                <c:pt idx="124">
                  <c:v>28.918209999999998</c:v>
                </c:pt>
                <c:pt idx="125">
                  <c:v>29.148790000000002</c:v>
                </c:pt>
                <c:pt idx="126">
                  <c:v>28.599136000000001</c:v>
                </c:pt>
                <c:pt idx="127">
                  <c:v>28.63514</c:v>
                </c:pt>
                <c:pt idx="128">
                  <c:v>29.040330000000001</c:v>
                </c:pt>
                <c:pt idx="129">
                  <c:v>29.004028000000002</c:v>
                </c:pt>
                <c:pt idx="130">
                  <c:v>28.619586999999999</c:v>
                </c:pt>
                <c:pt idx="131">
                  <c:v>27.752445000000002</c:v>
                </c:pt>
                <c:pt idx="132">
                  <c:v>27.311126999999999</c:v>
                </c:pt>
                <c:pt idx="133">
                  <c:v>27.033394000000001</c:v>
                </c:pt>
                <c:pt idx="134">
                  <c:v>27.320055</c:v>
                </c:pt>
                <c:pt idx="135">
                  <c:v>27.654699999999998</c:v>
                </c:pt>
                <c:pt idx="136">
                  <c:v>28.231660000000002</c:v>
                </c:pt>
                <c:pt idx="137">
                  <c:v>28.26763</c:v>
                </c:pt>
                <c:pt idx="138">
                  <c:v>28.172432000000001</c:v>
                </c:pt>
                <c:pt idx="139">
                  <c:v>28.609074</c:v>
                </c:pt>
                <c:pt idx="140">
                  <c:v>28.771318000000001</c:v>
                </c:pt>
                <c:pt idx="141">
                  <c:v>28.900846000000001</c:v>
                </c:pt>
                <c:pt idx="142">
                  <c:v>28.480170999999999</c:v>
                </c:pt>
                <c:pt idx="143">
                  <c:v>27.980160000000001</c:v>
                </c:pt>
                <c:pt idx="144">
                  <c:v>27.248867000000001</c:v>
                </c:pt>
                <c:pt idx="145">
                  <c:v>26.94407</c:v>
                </c:pt>
                <c:pt idx="146">
                  <c:v>27.254759</c:v>
                </c:pt>
                <c:pt idx="147">
                  <c:v>27.442882999999998</c:v>
                </c:pt>
                <c:pt idx="148">
                  <c:v>28.032426999999998</c:v>
                </c:pt>
                <c:pt idx="149">
                  <c:v>28.496047999999998</c:v>
                </c:pt>
                <c:pt idx="150">
                  <c:v>28.299168000000002</c:v>
                </c:pt>
                <c:pt idx="151">
                  <c:v>28.657364000000001</c:v>
                </c:pt>
                <c:pt idx="152">
                  <c:v>28.795881000000001</c:v>
                </c:pt>
                <c:pt idx="153">
                  <c:v>28.878613999999999</c:v>
                </c:pt>
                <c:pt idx="154">
                  <c:v>28.639744</c:v>
                </c:pt>
                <c:pt idx="155">
                  <c:v>28.102499999999999</c:v>
                </c:pt>
                <c:pt idx="156">
                  <c:v>27.297771000000001</c:v>
                </c:pt>
                <c:pt idx="157">
                  <c:v>27.197811000000002</c:v>
                </c:pt>
                <c:pt idx="158">
                  <c:v>27.320347000000002</c:v>
                </c:pt>
                <c:pt idx="159">
                  <c:v>27.740735999999998</c:v>
                </c:pt>
                <c:pt idx="160">
                  <c:v>28.199759</c:v>
                </c:pt>
                <c:pt idx="161">
                  <c:v>28.658875999999999</c:v>
                </c:pt>
                <c:pt idx="162">
                  <c:v>28.29862</c:v>
                </c:pt>
                <c:pt idx="163">
                  <c:v>28.598158000000002</c:v>
                </c:pt>
                <c:pt idx="164">
                  <c:v>28.903917</c:v>
                </c:pt>
                <c:pt idx="165">
                  <c:v>29.077421000000001</c:v>
                </c:pt>
                <c:pt idx="166">
                  <c:v>28.966681999999999</c:v>
                </c:pt>
                <c:pt idx="167">
                  <c:v>28.201799999999999</c:v>
                </c:pt>
                <c:pt idx="168">
                  <c:v>27.265322000000001</c:v>
                </c:pt>
                <c:pt idx="169">
                  <c:v>27.069970000000001</c:v>
                </c:pt>
                <c:pt idx="170">
                  <c:v>26.942474000000001</c:v>
                </c:pt>
                <c:pt idx="171">
                  <c:v>27.474352</c:v>
                </c:pt>
                <c:pt idx="172">
                  <c:v>28.025126</c:v>
                </c:pt>
                <c:pt idx="173">
                  <c:v>28.258913</c:v>
                </c:pt>
                <c:pt idx="174">
                  <c:v>28.314934000000001</c:v>
                </c:pt>
                <c:pt idx="175">
                  <c:v>28.298683</c:v>
                </c:pt>
                <c:pt idx="176">
                  <c:v>28.600950000000001</c:v>
                </c:pt>
                <c:pt idx="177">
                  <c:v>28.862738</c:v>
                </c:pt>
                <c:pt idx="178">
                  <c:v>28.222770000000001</c:v>
                </c:pt>
                <c:pt idx="179">
                  <c:v>27.297961999999998</c:v>
                </c:pt>
                <c:pt idx="180">
                  <c:v>26.373477999999999</c:v>
                </c:pt>
                <c:pt idx="181">
                  <c:v>26.094754999999999</c:v>
                </c:pt>
                <c:pt idx="182">
                  <c:v>26.352934000000001</c:v>
                </c:pt>
                <c:pt idx="183">
                  <c:v>26.975704</c:v>
                </c:pt>
                <c:pt idx="184">
                  <c:v>27.800080000000001</c:v>
                </c:pt>
                <c:pt idx="185">
                  <c:v>28.262810000000002</c:v>
                </c:pt>
                <c:pt idx="186">
                  <c:v>28.151888</c:v>
                </c:pt>
                <c:pt idx="187">
                  <c:v>28.099143999999999</c:v>
                </c:pt>
                <c:pt idx="188">
                  <c:v>28.652636999999999</c:v>
                </c:pt>
                <c:pt idx="189">
                  <c:v>28.851461</c:v>
                </c:pt>
                <c:pt idx="190">
                  <c:v>28.399426999999999</c:v>
                </c:pt>
                <c:pt idx="191">
                  <c:v>27.727705</c:v>
                </c:pt>
                <c:pt idx="192">
                  <c:v>27.388726999999999</c:v>
                </c:pt>
                <c:pt idx="193">
                  <c:v>27.197706</c:v>
                </c:pt>
                <c:pt idx="194">
                  <c:v>26.789856</c:v>
                </c:pt>
                <c:pt idx="195">
                  <c:v>27.526423999999999</c:v>
                </c:pt>
                <c:pt idx="196">
                  <c:v>28.140716999999999</c:v>
                </c:pt>
                <c:pt idx="197">
                  <c:v>28.637854000000001</c:v>
                </c:pt>
                <c:pt idx="198">
                  <c:v>28.414401999999999</c:v>
                </c:pt>
                <c:pt idx="199">
                  <c:v>28.410982000000001</c:v>
                </c:pt>
                <c:pt idx="200">
                  <c:v>28.701609999999999</c:v>
                </c:pt>
                <c:pt idx="201">
                  <c:v>29.081271999999998</c:v>
                </c:pt>
                <c:pt idx="202">
                  <c:v>28.793254999999998</c:v>
                </c:pt>
                <c:pt idx="203">
                  <c:v>27.839780000000001</c:v>
                </c:pt>
                <c:pt idx="204">
                  <c:v>27.032845999999999</c:v>
                </c:pt>
                <c:pt idx="205">
                  <c:v>26.709381</c:v>
                </c:pt>
                <c:pt idx="206">
                  <c:v>26.720590000000001</c:v>
                </c:pt>
                <c:pt idx="207">
                  <c:v>27.171565999999999</c:v>
                </c:pt>
                <c:pt idx="208">
                  <c:v>27.821249999999999</c:v>
                </c:pt>
                <c:pt idx="209">
                  <c:v>28.285274999999999</c:v>
                </c:pt>
                <c:pt idx="210">
                  <c:v>28.104074000000001</c:v>
                </c:pt>
                <c:pt idx="211">
                  <c:v>28.132853000000001</c:v>
                </c:pt>
                <c:pt idx="212">
                  <c:v>28.632576</c:v>
                </c:pt>
                <c:pt idx="213">
                  <c:v>28.769401999999999</c:v>
                </c:pt>
                <c:pt idx="214">
                  <c:v>28.784164000000001</c:v>
                </c:pt>
                <c:pt idx="215">
                  <c:v>27.624846999999999</c:v>
                </c:pt>
                <c:pt idx="216">
                  <c:v>26.628746</c:v>
                </c:pt>
                <c:pt idx="217">
                  <c:v>26.416347999999999</c:v>
                </c:pt>
                <c:pt idx="218">
                  <c:v>26.664639000000001</c:v>
                </c:pt>
                <c:pt idx="219">
                  <c:v>27.068860000000001</c:v>
                </c:pt>
                <c:pt idx="220">
                  <c:v>27.917501000000001</c:v>
                </c:pt>
                <c:pt idx="221">
                  <c:v>28.377869</c:v>
                </c:pt>
                <c:pt idx="222">
                  <c:v>28.113530000000001</c:v>
                </c:pt>
                <c:pt idx="223">
                  <c:v>28.172905</c:v>
                </c:pt>
                <c:pt idx="224">
                  <c:v>28.667757000000002</c:v>
                </c:pt>
                <c:pt idx="225">
                  <c:v>28.789324000000001</c:v>
                </c:pt>
                <c:pt idx="226">
                  <c:v>28.499127999999999</c:v>
                </c:pt>
                <c:pt idx="227">
                  <c:v>27.947528999999999</c:v>
                </c:pt>
                <c:pt idx="228">
                  <c:v>26.954985000000001</c:v>
                </c:pt>
                <c:pt idx="229">
                  <c:v>27.026426000000001</c:v>
                </c:pt>
                <c:pt idx="230">
                  <c:v>27.636641999999998</c:v>
                </c:pt>
                <c:pt idx="231">
                  <c:v>27.785419999999998</c:v>
                </c:pt>
                <c:pt idx="232">
                  <c:v>29.221077000000001</c:v>
                </c:pt>
                <c:pt idx="233">
                  <c:v>29.614554999999999</c:v>
                </c:pt>
                <c:pt idx="234">
                  <c:v>28.970848</c:v>
                </c:pt>
                <c:pt idx="235">
                  <c:v>28.812961999999999</c:v>
                </c:pt>
                <c:pt idx="236">
                  <c:v>29.296275999999999</c:v>
                </c:pt>
                <c:pt idx="237">
                  <c:v>29.149667999999998</c:v>
                </c:pt>
                <c:pt idx="238">
                  <c:v>29.107073</c:v>
                </c:pt>
                <c:pt idx="239">
                  <c:v>28.121445000000001</c:v>
                </c:pt>
                <c:pt idx="240">
                  <c:v>27.345226</c:v>
                </c:pt>
                <c:pt idx="241">
                  <c:v>27.354984000000002</c:v>
                </c:pt>
                <c:pt idx="242">
                  <c:v>27.160647999999998</c:v>
                </c:pt>
                <c:pt idx="243">
                  <c:v>27.628278999999999</c:v>
                </c:pt>
                <c:pt idx="244">
                  <c:v>28.204163000000001</c:v>
                </c:pt>
                <c:pt idx="245">
                  <c:v>28.517997999999999</c:v>
                </c:pt>
                <c:pt idx="246">
                  <c:v>28.321027999999998</c:v>
                </c:pt>
                <c:pt idx="247">
                  <c:v>28.439274000000001</c:v>
                </c:pt>
                <c:pt idx="248">
                  <c:v>28.482664</c:v>
                </c:pt>
                <c:pt idx="249">
                  <c:v>28.728401000000002</c:v>
                </c:pt>
                <c:pt idx="250">
                  <c:v>28.610082999999999</c:v>
                </c:pt>
                <c:pt idx="251">
                  <c:v>27.653873000000001</c:v>
                </c:pt>
                <c:pt idx="252">
                  <c:v>26.851825999999999</c:v>
                </c:pt>
                <c:pt idx="253">
                  <c:v>26.599415</c:v>
                </c:pt>
                <c:pt idx="254">
                  <c:v>26.792303</c:v>
                </c:pt>
                <c:pt idx="255">
                  <c:v>27.209002999999999</c:v>
                </c:pt>
                <c:pt idx="256">
                  <c:v>28.035247999999999</c:v>
                </c:pt>
                <c:pt idx="257">
                  <c:v>28.179216</c:v>
                </c:pt>
                <c:pt idx="258">
                  <c:v>27.815002</c:v>
                </c:pt>
                <c:pt idx="259">
                  <c:v>27.995933999999998</c:v>
                </c:pt>
                <c:pt idx="260">
                  <c:v>28.280259999999998</c:v>
                </c:pt>
                <c:pt idx="261">
                  <c:v>28.564919</c:v>
                </c:pt>
                <c:pt idx="262">
                  <c:v>28.486238</c:v>
                </c:pt>
                <c:pt idx="263">
                  <c:v>27.388817</c:v>
                </c:pt>
                <c:pt idx="264">
                  <c:v>26.688637</c:v>
                </c:pt>
                <c:pt idx="265">
                  <c:v>26.78661</c:v>
                </c:pt>
                <c:pt idx="266">
                  <c:v>27.04945</c:v>
                </c:pt>
                <c:pt idx="267">
                  <c:v>27.422367000000001</c:v>
                </c:pt>
                <c:pt idx="268">
                  <c:v>28.175564000000001</c:v>
                </c:pt>
                <c:pt idx="269">
                  <c:v>28.570872999999999</c:v>
                </c:pt>
                <c:pt idx="270">
                  <c:v>28.057511999999999</c:v>
                </c:pt>
                <c:pt idx="271">
                  <c:v>28.078385999999998</c:v>
                </c:pt>
                <c:pt idx="272">
                  <c:v>27.955736000000002</c:v>
                </c:pt>
                <c:pt idx="273">
                  <c:v>28.893898</c:v>
                </c:pt>
                <c:pt idx="274">
                  <c:v>28.886209999999998</c:v>
                </c:pt>
                <c:pt idx="275">
                  <c:v>27.867424</c:v>
                </c:pt>
                <c:pt idx="276">
                  <c:v>27.333057</c:v>
                </c:pt>
                <c:pt idx="277">
                  <c:v>27.183261999999999</c:v>
                </c:pt>
                <c:pt idx="278">
                  <c:v>27.305336</c:v>
                </c:pt>
                <c:pt idx="279">
                  <c:v>27.473057000000001</c:v>
                </c:pt>
                <c:pt idx="280">
                  <c:v>28.593658000000001</c:v>
                </c:pt>
                <c:pt idx="281">
                  <c:v>28.478480000000001</c:v>
                </c:pt>
                <c:pt idx="282">
                  <c:v>28.377106000000001</c:v>
                </c:pt>
                <c:pt idx="283">
                  <c:v>28.635414000000001</c:v>
                </c:pt>
                <c:pt idx="284">
                  <c:v>28.641044999999998</c:v>
                </c:pt>
                <c:pt idx="285">
                  <c:v>28.846651000000001</c:v>
                </c:pt>
                <c:pt idx="286">
                  <c:v>28.506117</c:v>
                </c:pt>
                <c:pt idx="287">
                  <c:v>27.546516</c:v>
                </c:pt>
                <c:pt idx="288">
                  <c:v>26.765740000000001</c:v>
                </c:pt>
                <c:pt idx="289">
                  <c:v>26.545544</c:v>
                </c:pt>
                <c:pt idx="290">
                  <c:v>26.782803000000001</c:v>
                </c:pt>
                <c:pt idx="291">
                  <c:v>26.859853999999999</c:v>
                </c:pt>
                <c:pt idx="292">
                  <c:v>27.794540000000001</c:v>
                </c:pt>
                <c:pt idx="293">
                  <c:v>28.115410000000001</c:v>
                </c:pt>
                <c:pt idx="294">
                  <c:v>27.660734000000001</c:v>
                </c:pt>
                <c:pt idx="295">
                  <c:v>27.987347</c:v>
                </c:pt>
                <c:pt idx="296">
                  <c:v>28.6206</c:v>
                </c:pt>
                <c:pt idx="297">
                  <c:v>28.439436000000001</c:v>
                </c:pt>
                <c:pt idx="298">
                  <c:v>28.037071000000001</c:v>
                </c:pt>
                <c:pt idx="299">
                  <c:v>27.50441</c:v>
                </c:pt>
                <c:pt idx="300">
                  <c:v>26.792973</c:v>
                </c:pt>
                <c:pt idx="301">
                  <c:v>26.369834999999998</c:v>
                </c:pt>
                <c:pt idx="302">
                  <c:v>26.691276999999999</c:v>
                </c:pt>
                <c:pt idx="303">
                  <c:v>26.936104</c:v>
                </c:pt>
                <c:pt idx="304">
                  <c:v>27.607254000000001</c:v>
                </c:pt>
                <c:pt idx="305">
                  <c:v>28.298615999999999</c:v>
                </c:pt>
                <c:pt idx="306">
                  <c:v>27.851398</c:v>
                </c:pt>
                <c:pt idx="307">
                  <c:v>28.081810000000001</c:v>
                </c:pt>
                <c:pt idx="308">
                  <c:v>28.43291</c:v>
                </c:pt>
                <c:pt idx="309">
                  <c:v>28.397797000000001</c:v>
                </c:pt>
                <c:pt idx="310">
                  <c:v>28.09085</c:v>
                </c:pt>
                <c:pt idx="311">
                  <c:v>27.156631000000001</c:v>
                </c:pt>
                <c:pt idx="312">
                  <c:v>26.661617</c:v>
                </c:pt>
                <c:pt idx="313">
                  <c:v>26.242004000000001</c:v>
                </c:pt>
                <c:pt idx="314">
                  <c:v>26.217545000000001</c:v>
                </c:pt>
                <c:pt idx="315">
                  <c:v>26.772110000000001</c:v>
                </c:pt>
                <c:pt idx="316">
                  <c:v>27.661669</c:v>
                </c:pt>
                <c:pt idx="317">
                  <c:v>27.915295</c:v>
                </c:pt>
                <c:pt idx="318">
                  <c:v>27.422272</c:v>
                </c:pt>
                <c:pt idx="319">
                  <c:v>27.991972000000001</c:v>
                </c:pt>
                <c:pt idx="320">
                  <c:v>28.188393000000001</c:v>
                </c:pt>
                <c:pt idx="321">
                  <c:v>28.782544999999999</c:v>
                </c:pt>
                <c:pt idx="322">
                  <c:v>28.710121000000001</c:v>
                </c:pt>
                <c:pt idx="323">
                  <c:v>27.608066999999998</c:v>
                </c:pt>
                <c:pt idx="324">
                  <c:v>26.898754</c:v>
                </c:pt>
                <c:pt idx="325">
                  <c:v>26.911798000000001</c:v>
                </c:pt>
                <c:pt idx="326">
                  <c:v>26.811250000000001</c:v>
                </c:pt>
                <c:pt idx="327">
                  <c:v>27.167826000000002</c:v>
                </c:pt>
                <c:pt idx="328">
                  <c:v>28.009426000000001</c:v>
                </c:pt>
                <c:pt idx="329">
                  <c:v>28.432835000000001</c:v>
                </c:pt>
                <c:pt idx="330">
                  <c:v>27.756536000000001</c:v>
                </c:pt>
                <c:pt idx="331">
                  <c:v>28.015353999999999</c:v>
                </c:pt>
                <c:pt idx="332">
                  <c:v>28.333176000000002</c:v>
                </c:pt>
                <c:pt idx="333">
                  <c:v>28.592316</c:v>
                </c:pt>
                <c:pt idx="334">
                  <c:v>28.646356999999998</c:v>
                </c:pt>
                <c:pt idx="335">
                  <c:v>27.712969999999999</c:v>
                </c:pt>
                <c:pt idx="336">
                  <c:v>27.264517000000001</c:v>
                </c:pt>
                <c:pt idx="337">
                  <c:v>27.261524000000001</c:v>
                </c:pt>
                <c:pt idx="338">
                  <c:v>27.325665000000001</c:v>
                </c:pt>
                <c:pt idx="339">
                  <c:v>27.622406000000002</c:v>
                </c:pt>
                <c:pt idx="340">
                  <c:v>28.672716000000001</c:v>
                </c:pt>
                <c:pt idx="341">
                  <c:v>28.353933000000001</c:v>
                </c:pt>
                <c:pt idx="342">
                  <c:v>28.089182000000001</c:v>
                </c:pt>
                <c:pt idx="343">
                  <c:v>28.211459999999999</c:v>
                </c:pt>
                <c:pt idx="344">
                  <c:v>28.158617</c:v>
                </c:pt>
                <c:pt idx="345">
                  <c:v>28.525145999999999</c:v>
                </c:pt>
                <c:pt idx="346">
                  <c:v>28.622420999999999</c:v>
                </c:pt>
                <c:pt idx="347">
                  <c:v>27.561254999999999</c:v>
                </c:pt>
                <c:pt idx="348">
                  <c:v>26.861004000000001</c:v>
                </c:pt>
                <c:pt idx="349">
                  <c:v>26.909672</c:v>
                </c:pt>
                <c:pt idx="350">
                  <c:v>26.905308000000002</c:v>
                </c:pt>
                <c:pt idx="351">
                  <c:v>27.118216</c:v>
                </c:pt>
                <c:pt idx="352">
                  <c:v>28.291654999999999</c:v>
                </c:pt>
                <c:pt idx="353">
                  <c:v>28.622676999999999</c:v>
                </c:pt>
                <c:pt idx="354">
                  <c:v>28.579032999999999</c:v>
                </c:pt>
                <c:pt idx="355">
                  <c:v>28.296282000000001</c:v>
                </c:pt>
                <c:pt idx="356">
                  <c:v>28.731574999999999</c:v>
                </c:pt>
                <c:pt idx="357">
                  <c:v>28.743378</c:v>
                </c:pt>
                <c:pt idx="358">
                  <c:v>28.791801</c:v>
                </c:pt>
                <c:pt idx="359">
                  <c:v>27.990691999999999</c:v>
                </c:pt>
                <c:pt idx="360">
                  <c:v>27.253899000000001</c:v>
                </c:pt>
                <c:pt idx="361">
                  <c:v>26.906555000000001</c:v>
                </c:pt>
                <c:pt idx="362">
                  <c:v>26.592037000000001</c:v>
                </c:pt>
                <c:pt idx="363">
                  <c:v>27.172215000000001</c:v>
                </c:pt>
                <c:pt idx="364">
                  <c:v>28.698509999999999</c:v>
                </c:pt>
                <c:pt idx="365">
                  <c:v>28.870646000000001</c:v>
                </c:pt>
                <c:pt idx="366">
                  <c:v>28.581654</c:v>
                </c:pt>
                <c:pt idx="367">
                  <c:v>28.55077</c:v>
                </c:pt>
                <c:pt idx="368">
                  <c:v>28.820509999999999</c:v>
                </c:pt>
                <c:pt idx="369">
                  <c:v>28.700056</c:v>
                </c:pt>
                <c:pt idx="370">
                  <c:v>28.681742</c:v>
                </c:pt>
                <c:pt idx="371">
                  <c:v>27.690110000000001</c:v>
                </c:pt>
                <c:pt idx="372">
                  <c:v>27.302422</c:v>
                </c:pt>
                <c:pt idx="373">
                  <c:v>27.065819000000001</c:v>
                </c:pt>
                <c:pt idx="374">
                  <c:v>27.641193000000001</c:v>
                </c:pt>
                <c:pt idx="375">
                  <c:v>27.56223</c:v>
                </c:pt>
                <c:pt idx="376">
                  <c:v>28.898409999999998</c:v>
                </c:pt>
                <c:pt idx="377">
                  <c:v>28.902926999999998</c:v>
                </c:pt>
                <c:pt idx="378">
                  <c:v>28.536498999999999</c:v>
                </c:pt>
                <c:pt idx="379">
                  <c:v>28.467770000000002</c:v>
                </c:pt>
                <c:pt idx="380">
                  <c:v>28.831500999999999</c:v>
                </c:pt>
                <c:pt idx="381">
                  <c:v>28.780743000000001</c:v>
                </c:pt>
                <c:pt idx="382">
                  <c:v>28.377061999999999</c:v>
                </c:pt>
                <c:pt idx="383">
                  <c:v>27.829985000000001</c:v>
                </c:pt>
                <c:pt idx="384">
                  <c:v>27.228565</c:v>
                </c:pt>
                <c:pt idx="385">
                  <c:v>27.009761999999998</c:v>
                </c:pt>
                <c:pt idx="386">
                  <c:v>26.834885</c:v>
                </c:pt>
                <c:pt idx="387">
                  <c:v>27.535212999999999</c:v>
                </c:pt>
                <c:pt idx="388">
                  <c:v>28.335847999999999</c:v>
                </c:pt>
                <c:pt idx="389">
                  <c:v>28.584976000000001</c:v>
                </c:pt>
                <c:pt idx="390">
                  <c:v>27.928457000000002</c:v>
                </c:pt>
                <c:pt idx="391">
                  <c:v>27.933047999999999</c:v>
                </c:pt>
                <c:pt idx="392">
                  <c:v>28.399704</c:v>
                </c:pt>
                <c:pt idx="393">
                  <c:v>28.556156000000001</c:v>
                </c:pt>
                <c:pt idx="394">
                  <c:v>28.297533000000001</c:v>
                </c:pt>
                <c:pt idx="395">
                  <c:v>27.314194000000001</c:v>
                </c:pt>
                <c:pt idx="396">
                  <c:v>26.974377</c:v>
                </c:pt>
                <c:pt idx="397">
                  <c:v>26.744598</c:v>
                </c:pt>
                <c:pt idx="398">
                  <c:v>27.299713000000001</c:v>
                </c:pt>
                <c:pt idx="399">
                  <c:v>27.905666</c:v>
                </c:pt>
                <c:pt idx="400">
                  <c:v>28.765336999999999</c:v>
                </c:pt>
                <c:pt idx="401">
                  <c:v>29.250540000000001</c:v>
                </c:pt>
                <c:pt idx="402">
                  <c:v>28.50544</c:v>
                </c:pt>
                <c:pt idx="403">
                  <c:v>28.514420000000001</c:v>
                </c:pt>
                <c:pt idx="404">
                  <c:v>28.658867000000001</c:v>
                </c:pt>
                <c:pt idx="405">
                  <c:v>28.807379999999998</c:v>
                </c:pt>
                <c:pt idx="406">
                  <c:v>28.718912</c:v>
                </c:pt>
                <c:pt idx="407">
                  <c:v>27.767216000000001</c:v>
                </c:pt>
                <c:pt idx="408">
                  <c:v>27.36628</c:v>
                </c:pt>
                <c:pt idx="409">
                  <c:v>27.060241999999999</c:v>
                </c:pt>
                <c:pt idx="410">
                  <c:v>27.135601000000001</c:v>
                </c:pt>
                <c:pt idx="411">
                  <c:v>27.550076000000001</c:v>
                </c:pt>
                <c:pt idx="412">
                  <c:v>28.131042000000001</c:v>
                </c:pt>
                <c:pt idx="413">
                  <c:v>28.069008</c:v>
                </c:pt>
                <c:pt idx="414">
                  <c:v>27.933865000000001</c:v>
                </c:pt>
                <c:pt idx="415">
                  <c:v>28.109867000000001</c:v>
                </c:pt>
                <c:pt idx="416">
                  <c:v>28.300379</c:v>
                </c:pt>
                <c:pt idx="417">
                  <c:v>28.159077</c:v>
                </c:pt>
                <c:pt idx="418">
                  <c:v>27.987850000000002</c:v>
                </c:pt>
                <c:pt idx="419">
                  <c:v>27.029693999999999</c:v>
                </c:pt>
                <c:pt idx="420">
                  <c:v>26.096679999999999</c:v>
                </c:pt>
                <c:pt idx="421">
                  <c:v>26.421638000000002</c:v>
                </c:pt>
                <c:pt idx="422">
                  <c:v>26.229607000000001</c:v>
                </c:pt>
                <c:pt idx="423">
                  <c:v>26.904177000000001</c:v>
                </c:pt>
                <c:pt idx="424">
                  <c:v>27.899887</c:v>
                </c:pt>
                <c:pt idx="425">
                  <c:v>28.208447</c:v>
                </c:pt>
                <c:pt idx="426">
                  <c:v>28.003826</c:v>
                </c:pt>
                <c:pt idx="427">
                  <c:v>28.068059999999999</c:v>
                </c:pt>
                <c:pt idx="428">
                  <c:v>28.385859</c:v>
                </c:pt>
                <c:pt idx="429">
                  <c:v>28.344597</c:v>
                </c:pt>
                <c:pt idx="430">
                  <c:v>27.878197</c:v>
                </c:pt>
                <c:pt idx="431">
                  <c:v>27.245971999999998</c:v>
                </c:pt>
                <c:pt idx="432">
                  <c:v>26.453082999999999</c:v>
                </c:pt>
                <c:pt idx="433">
                  <c:v>26.251438</c:v>
                </c:pt>
                <c:pt idx="434">
                  <c:v>26.381073000000001</c:v>
                </c:pt>
                <c:pt idx="435">
                  <c:v>27.155024999999998</c:v>
                </c:pt>
                <c:pt idx="436">
                  <c:v>28.080646999999999</c:v>
                </c:pt>
                <c:pt idx="437">
                  <c:v>28.42773</c:v>
                </c:pt>
                <c:pt idx="438">
                  <c:v>27.797011999999999</c:v>
                </c:pt>
                <c:pt idx="439">
                  <c:v>28.042576</c:v>
                </c:pt>
                <c:pt idx="440">
                  <c:v>28.452005</c:v>
                </c:pt>
                <c:pt idx="441">
                  <c:v>28.503032999999999</c:v>
                </c:pt>
                <c:pt idx="442">
                  <c:v>28.061070000000001</c:v>
                </c:pt>
                <c:pt idx="443">
                  <c:v>27.205338000000001</c:v>
                </c:pt>
                <c:pt idx="444">
                  <c:v>26.907608</c:v>
                </c:pt>
                <c:pt idx="445">
                  <c:v>26.76116</c:v>
                </c:pt>
                <c:pt idx="446">
                  <c:v>27.103563000000001</c:v>
                </c:pt>
                <c:pt idx="447">
                  <c:v>27.661086999999998</c:v>
                </c:pt>
                <c:pt idx="448">
                  <c:v>28.794291999999999</c:v>
                </c:pt>
                <c:pt idx="449">
                  <c:v>29.119105999999999</c:v>
                </c:pt>
                <c:pt idx="450">
                  <c:v>28.532698</c:v>
                </c:pt>
                <c:pt idx="451">
                  <c:v>28.876339999999999</c:v>
                </c:pt>
                <c:pt idx="452">
                  <c:v>29.046396000000001</c:v>
                </c:pt>
                <c:pt idx="453">
                  <c:v>29.300514</c:v>
                </c:pt>
                <c:pt idx="454">
                  <c:v>28.763072999999999</c:v>
                </c:pt>
                <c:pt idx="455">
                  <c:v>28.097216</c:v>
                </c:pt>
                <c:pt idx="456">
                  <c:v>27.169080000000001</c:v>
                </c:pt>
                <c:pt idx="457">
                  <c:v>27.052219999999998</c:v>
                </c:pt>
                <c:pt idx="458">
                  <c:v>27.139492000000001</c:v>
                </c:pt>
                <c:pt idx="459">
                  <c:v>27.590651999999999</c:v>
                </c:pt>
                <c:pt idx="460">
                  <c:v>28.653555000000001</c:v>
                </c:pt>
                <c:pt idx="461">
                  <c:v>28.977024</c:v>
                </c:pt>
                <c:pt idx="462">
                  <c:v>28.588062000000001</c:v>
                </c:pt>
                <c:pt idx="463">
                  <c:v>28.689496999999999</c:v>
                </c:pt>
                <c:pt idx="464">
                  <c:v>28.857769000000001</c:v>
                </c:pt>
                <c:pt idx="465">
                  <c:v>28.717724</c:v>
                </c:pt>
                <c:pt idx="466">
                  <c:v>28.411228000000001</c:v>
                </c:pt>
                <c:pt idx="467">
                  <c:v>27.266145999999999</c:v>
                </c:pt>
                <c:pt idx="468">
                  <c:v>26.728110000000001</c:v>
                </c:pt>
                <c:pt idx="469">
                  <c:v>26.394656999999999</c:v>
                </c:pt>
                <c:pt idx="470">
                  <c:v>26.214655</c:v>
                </c:pt>
                <c:pt idx="471">
                  <c:v>26.806018999999999</c:v>
                </c:pt>
                <c:pt idx="472">
                  <c:v>27.854078000000001</c:v>
                </c:pt>
                <c:pt idx="473">
                  <c:v>28.129704</c:v>
                </c:pt>
                <c:pt idx="474">
                  <c:v>27.92024</c:v>
                </c:pt>
                <c:pt idx="475">
                  <c:v>28.569210000000002</c:v>
                </c:pt>
                <c:pt idx="476">
                  <c:v>28.668156</c:v>
                </c:pt>
                <c:pt idx="477">
                  <c:v>28.470669000000001</c:v>
                </c:pt>
                <c:pt idx="478">
                  <c:v>28.517444999999999</c:v>
                </c:pt>
                <c:pt idx="479">
                  <c:v>27.523340000000001</c:v>
                </c:pt>
                <c:pt idx="480">
                  <c:v>27.100798000000001</c:v>
                </c:pt>
                <c:pt idx="481">
                  <c:v>26.502728000000001</c:v>
                </c:pt>
                <c:pt idx="482">
                  <c:v>26.766666000000001</c:v>
                </c:pt>
                <c:pt idx="483">
                  <c:v>27.372534000000002</c:v>
                </c:pt>
                <c:pt idx="484">
                  <c:v>28.14134</c:v>
                </c:pt>
                <c:pt idx="485">
                  <c:v>28.557456999999999</c:v>
                </c:pt>
                <c:pt idx="486">
                  <c:v>28.185023999999999</c:v>
                </c:pt>
                <c:pt idx="487">
                  <c:v>28.511348999999999</c:v>
                </c:pt>
                <c:pt idx="488">
                  <c:v>28.873536999999999</c:v>
                </c:pt>
                <c:pt idx="489">
                  <c:v>28.929722000000002</c:v>
                </c:pt>
                <c:pt idx="490">
                  <c:v>28.699667000000002</c:v>
                </c:pt>
                <c:pt idx="491">
                  <c:v>27.638186999999999</c:v>
                </c:pt>
                <c:pt idx="492">
                  <c:v>26.725667999999999</c:v>
                </c:pt>
                <c:pt idx="493">
                  <c:v>26.800629000000001</c:v>
                </c:pt>
                <c:pt idx="494">
                  <c:v>26.861784</c:v>
                </c:pt>
                <c:pt idx="495">
                  <c:v>27.43328</c:v>
                </c:pt>
                <c:pt idx="496">
                  <c:v>28.061271999999999</c:v>
                </c:pt>
                <c:pt idx="497">
                  <c:v>28.352810000000002</c:v>
                </c:pt>
                <c:pt idx="498">
                  <c:v>27.819365999999999</c:v>
                </c:pt>
                <c:pt idx="499">
                  <c:v>28.10549</c:v>
                </c:pt>
                <c:pt idx="500">
                  <c:v>28.425203</c:v>
                </c:pt>
                <c:pt idx="501">
                  <c:v>28.660633000000001</c:v>
                </c:pt>
                <c:pt idx="502">
                  <c:v>28.525556999999999</c:v>
                </c:pt>
                <c:pt idx="503">
                  <c:v>27.356276999999999</c:v>
                </c:pt>
                <c:pt idx="504">
                  <c:v>26.734821</c:v>
                </c:pt>
                <c:pt idx="505">
                  <c:v>26.744986999999998</c:v>
                </c:pt>
                <c:pt idx="506">
                  <c:v>26.734273999999999</c:v>
                </c:pt>
                <c:pt idx="507">
                  <c:v>27.414646000000001</c:v>
                </c:pt>
                <c:pt idx="508">
                  <c:v>28.337070000000001</c:v>
                </c:pt>
                <c:pt idx="509">
                  <c:v>28.596867</c:v>
                </c:pt>
                <c:pt idx="510">
                  <c:v>27.974834000000001</c:v>
                </c:pt>
                <c:pt idx="511">
                  <c:v>28.267208</c:v>
                </c:pt>
                <c:pt idx="512">
                  <c:v>28.676563000000002</c:v>
                </c:pt>
                <c:pt idx="513">
                  <c:v>28.799296999999999</c:v>
                </c:pt>
                <c:pt idx="514">
                  <c:v>28.560661</c:v>
                </c:pt>
                <c:pt idx="515">
                  <c:v>27.694216000000001</c:v>
                </c:pt>
                <c:pt idx="516">
                  <c:v>27.107855000000001</c:v>
                </c:pt>
                <c:pt idx="517">
                  <c:v>26.868487999999999</c:v>
                </c:pt>
                <c:pt idx="518">
                  <c:v>26.927567</c:v>
                </c:pt>
                <c:pt idx="519">
                  <c:v>27.950142</c:v>
                </c:pt>
                <c:pt idx="520">
                  <c:v>28.787512</c:v>
                </c:pt>
                <c:pt idx="521">
                  <c:v>29.062488999999999</c:v>
                </c:pt>
                <c:pt idx="522">
                  <c:v>28.247907999999999</c:v>
                </c:pt>
                <c:pt idx="523">
                  <c:v>28.524956</c:v>
                </c:pt>
                <c:pt idx="524">
                  <c:v>28.745933999999998</c:v>
                </c:pt>
                <c:pt idx="525">
                  <c:v>28.845434000000001</c:v>
                </c:pt>
                <c:pt idx="526">
                  <c:v>28.551247</c:v>
                </c:pt>
                <c:pt idx="527">
                  <c:v>27.675215000000001</c:v>
                </c:pt>
                <c:pt idx="528">
                  <c:v>26.998756</c:v>
                </c:pt>
                <c:pt idx="529">
                  <c:v>26.582369</c:v>
                </c:pt>
                <c:pt idx="530">
                  <c:v>26.864509999999999</c:v>
                </c:pt>
                <c:pt idx="531">
                  <c:v>27.414017000000001</c:v>
                </c:pt>
                <c:pt idx="532">
                  <c:v>28.216442000000001</c:v>
                </c:pt>
                <c:pt idx="533">
                  <c:v>28.462057000000001</c:v>
                </c:pt>
                <c:pt idx="534">
                  <c:v>27.998660999999998</c:v>
                </c:pt>
                <c:pt idx="535">
                  <c:v>28.235440000000001</c:v>
                </c:pt>
                <c:pt idx="536">
                  <c:v>28.571362000000001</c:v>
                </c:pt>
                <c:pt idx="537">
                  <c:v>28.904247000000002</c:v>
                </c:pt>
                <c:pt idx="538">
                  <c:v>28.612185</c:v>
                </c:pt>
                <c:pt idx="539">
                  <c:v>27.805050000000001</c:v>
                </c:pt>
                <c:pt idx="540">
                  <c:v>27.284130000000001</c:v>
                </c:pt>
                <c:pt idx="541">
                  <c:v>27.112738</c:v>
                </c:pt>
                <c:pt idx="542">
                  <c:v>27.377182000000001</c:v>
                </c:pt>
                <c:pt idx="543">
                  <c:v>27.807023999999998</c:v>
                </c:pt>
                <c:pt idx="544">
                  <c:v>28.602460000000001</c:v>
                </c:pt>
                <c:pt idx="545">
                  <c:v>29.007117999999998</c:v>
                </c:pt>
                <c:pt idx="546">
                  <c:v>28.697051999999999</c:v>
                </c:pt>
                <c:pt idx="547">
                  <c:v>28.871324999999999</c:v>
                </c:pt>
                <c:pt idx="548">
                  <c:v>28.932924</c:v>
                </c:pt>
                <c:pt idx="549">
                  <c:v>29.092924</c:v>
                </c:pt>
                <c:pt idx="550">
                  <c:v>28.912303999999999</c:v>
                </c:pt>
                <c:pt idx="551">
                  <c:v>28.104153</c:v>
                </c:pt>
                <c:pt idx="552">
                  <c:v>27.703735000000002</c:v>
                </c:pt>
                <c:pt idx="553">
                  <c:v>27.209606000000001</c:v>
                </c:pt>
                <c:pt idx="554">
                  <c:v>27.268969999999999</c:v>
                </c:pt>
                <c:pt idx="555">
                  <c:v>27.657910000000001</c:v>
                </c:pt>
                <c:pt idx="556">
                  <c:v>28.376728</c:v>
                </c:pt>
                <c:pt idx="557">
                  <c:v>28.796707000000001</c:v>
                </c:pt>
                <c:pt idx="558">
                  <c:v>28.343678000000001</c:v>
                </c:pt>
                <c:pt idx="559">
                  <c:v>28.405017999999998</c:v>
                </c:pt>
                <c:pt idx="560">
                  <c:v>28.809937000000001</c:v>
                </c:pt>
                <c:pt idx="561">
                  <c:v>28.765609999999999</c:v>
                </c:pt>
                <c:pt idx="562">
                  <c:v>28.459136999999998</c:v>
                </c:pt>
                <c:pt idx="563">
                  <c:v>27.653341000000001</c:v>
                </c:pt>
                <c:pt idx="564">
                  <c:v>27.178028000000001</c:v>
                </c:pt>
                <c:pt idx="565">
                  <c:v>26.930568999999998</c:v>
                </c:pt>
                <c:pt idx="566">
                  <c:v>26.858093</c:v>
                </c:pt>
                <c:pt idx="567">
                  <c:v>27.389868</c:v>
                </c:pt>
                <c:pt idx="568">
                  <c:v>28.317820000000001</c:v>
                </c:pt>
                <c:pt idx="569">
                  <c:v>28.73631</c:v>
                </c:pt>
                <c:pt idx="570">
                  <c:v>28.393802999999998</c:v>
                </c:pt>
                <c:pt idx="571">
                  <c:v>28.438068000000001</c:v>
                </c:pt>
                <c:pt idx="572">
                  <c:v>28.914299</c:v>
                </c:pt>
                <c:pt idx="573">
                  <c:v>29.191174</c:v>
                </c:pt>
                <c:pt idx="574">
                  <c:v>28.978885999999999</c:v>
                </c:pt>
                <c:pt idx="575">
                  <c:v>28.053778000000001</c:v>
                </c:pt>
                <c:pt idx="576">
                  <c:v>27.386194</c:v>
                </c:pt>
                <c:pt idx="577">
                  <c:v>27.492370000000001</c:v>
                </c:pt>
                <c:pt idx="578">
                  <c:v>27.566013000000002</c:v>
                </c:pt>
                <c:pt idx="579">
                  <c:v>27.934906000000002</c:v>
                </c:pt>
                <c:pt idx="580">
                  <c:v>28.859881999999999</c:v>
                </c:pt>
                <c:pt idx="581">
                  <c:v>29.120782999999999</c:v>
                </c:pt>
                <c:pt idx="582">
                  <c:v>28.865658</c:v>
                </c:pt>
                <c:pt idx="583">
                  <c:v>29.319911999999999</c:v>
                </c:pt>
                <c:pt idx="584">
                  <c:v>29.418707000000001</c:v>
                </c:pt>
                <c:pt idx="585">
                  <c:v>29.101966999999998</c:v>
                </c:pt>
                <c:pt idx="586">
                  <c:v>28.998287000000001</c:v>
                </c:pt>
                <c:pt idx="587">
                  <c:v>28.066917</c:v>
                </c:pt>
                <c:pt idx="588">
                  <c:v>27.152920000000002</c:v>
                </c:pt>
                <c:pt idx="589">
                  <c:v>26.596931000000001</c:v>
                </c:pt>
                <c:pt idx="590">
                  <c:v>26.935252999999999</c:v>
                </c:pt>
                <c:pt idx="591">
                  <c:v>27.552143000000001</c:v>
                </c:pt>
                <c:pt idx="592">
                  <c:v>28.198405999999999</c:v>
                </c:pt>
                <c:pt idx="593">
                  <c:v>28.782764</c:v>
                </c:pt>
                <c:pt idx="594">
                  <c:v>28.540585</c:v>
                </c:pt>
                <c:pt idx="595">
                  <c:v>28.797606999999999</c:v>
                </c:pt>
                <c:pt idx="596">
                  <c:v>28.978497999999998</c:v>
                </c:pt>
                <c:pt idx="597">
                  <c:v>28.966629000000001</c:v>
                </c:pt>
                <c:pt idx="598">
                  <c:v>28.303477999999998</c:v>
                </c:pt>
                <c:pt idx="599">
                  <c:v>27.89828</c:v>
                </c:pt>
                <c:pt idx="600">
                  <c:v>26.800830000000001</c:v>
                </c:pt>
                <c:pt idx="601">
                  <c:v>26.750644999999999</c:v>
                </c:pt>
                <c:pt idx="602">
                  <c:v>26.734048999999999</c:v>
                </c:pt>
                <c:pt idx="603">
                  <c:v>27.356756000000001</c:v>
                </c:pt>
                <c:pt idx="604">
                  <c:v>28.207857000000001</c:v>
                </c:pt>
                <c:pt idx="605">
                  <c:v>28.437287999999999</c:v>
                </c:pt>
                <c:pt idx="606">
                  <c:v>28.283096</c:v>
                </c:pt>
                <c:pt idx="607">
                  <c:v>28.584655999999999</c:v>
                </c:pt>
                <c:pt idx="608">
                  <c:v>28.852404</c:v>
                </c:pt>
                <c:pt idx="609">
                  <c:v>28.932037000000001</c:v>
                </c:pt>
                <c:pt idx="610">
                  <c:v>28.679812999999999</c:v>
                </c:pt>
                <c:pt idx="611">
                  <c:v>27.563030000000001</c:v>
                </c:pt>
                <c:pt idx="612">
                  <c:v>26.886410000000001</c:v>
                </c:pt>
                <c:pt idx="613">
                  <c:v>26.538681</c:v>
                </c:pt>
                <c:pt idx="614">
                  <c:v>26.661549999999998</c:v>
                </c:pt>
                <c:pt idx="615">
                  <c:v>27.255444000000001</c:v>
                </c:pt>
                <c:pt idx="616">
                  <c:v>28.235503999999999</c:v>
                </c:pt>
                <c:pt idx="617">
                  <c:v>28.822624000000001</c:v>
                </c:pt>
                <c:pt idx="618">
                  <c:v>28.398060000000001</c:v>
                </c:pt>
                <c:pt idx="619">
                  <c:v>28.618646999999999</c:v>
                </c:pt>
                <c:pt idx="620">
                  <c:v>29.025096999999999</c:v>
                </c:pt>
                <c:pt idx="621">
                  <c:v>29.12182</c:v>
                </c:pt>
                <c:pt idx="622">
                  <c:v>28.679912999999999</c:v>
                </c:pt>
                <c:pt idx="623">
                  <c:v>28.049526</c:v>
                </c:pt>
                <c:pt idx="624">
                  <c:v>27.337869999999999</c:v>
                </c:pt>
                <c:pt idx="625">
                  <c:v>27.000133999999999</c:v>
                </c:pt>
                <c:pt idx="626">
                  <c:v>27.082336000000002</c:v>
                </c:pt>
                <c:pt idx="627">
                  <c:v>27.583283999999999</c:v>
                </c:pt>
                <c:pt idx="628">
                  <c:v>28.155992999999999</c:v>
                </c:pt>
                <c:pt idx="629">
                  <c:v>28.497033999999999</c:v>
                </c:pt>
                <c:pt idx="630">
                  <c:v>28.217649999999999</c:v>
                </c:pt>
                <c:pt idx="631">
                  <c:v>28.328240000000001</c:v>
                </c:pt>
                <c:pt idx="632">
                  <c:v>28.773917999999998</c:v>
                </c:pt>
                <c:pt idx="633">
                  <c:v>29.102944999999998</c:v>
                </c:pt>
                <c:pt idx="634">
                  <c:v>28.888596</c:v>
                </c:pt>
                <c:pt idx="635">
                  <c:v>27.961327000000001</c:v>
                </c:pt>
                <c:pt idx="636">
                  <c:v>27.290151999999999</c:v>
                </c:pt>
                <c:pt idx="637">
                  <c:v>27.115856000000001</c:v>
                </c:pt>
                <c:pt idx="638">
                  <c:v>27.146273000000001</c:v>
                </c:pt>
                <c:pt idx="639">
                  <c:v>28.064848000000001</c:v>
                </c:pt>
                <c:pt idx="640">
                  <c:v>28.372574</c:v>
                </c:pt>
                <c:pt idx="641">
                  <c:v>28.6553</c:v>
                </c:pt>
                <c:pt idx="642">
                  <c:v>28.433136000000001</c:v>
                </c:pt>
                <c:pt idx="643">
                  <c:v>28.791232999999998</c:v>
                </c:pt>
                <c:pt idx="644">
                  <c:v>29.224972000000001</c:v>
                </c:pt>
                <c:pt idx="645">
                  <c:v>29.477181999999999</c:v>
                </c:pt>
                <c:pt idx="646">
                  <c:v>29.012756</c:v>
                </c:pt>
                <c:pt idx="647">
                  <c:v>28.002147999999998</c:v>
                </c:pt>
                <c:pt idx="648">
                  <c:v>27.271975999999999</c:v>
                </c:pt>
                <c:pt idx="649">
                  <c:v>27.071808000000001</c:v>
                </c:pt>
                <c:pt idx="650">
                  <c:v>27.052551000000001</c:v>
                </c:pt>
                <c:pt idx="651">
                  <c:v>27.874420000000001</c:v>
                </c:pt>
                <c:pt idx="652">
                  <c:v>28.419525</c:v>
                </c:pt>
                <c:pt idx="653">
                  <c:v>28.625893000000001</c:v>
                </c:pt>
                <c:pt idx="654">
                  <c:v>28.47953</c:v>
                </c:pt>
                <c:pt idx="655">
                  <c:v>28.810718999999999</c:v>
                </c:pt>
                <c:pt idx="656">
                  <c:v>29.209610000000001</c:v>
                </c:pt>
                <c:pt idx="657">
                  <c:v>29.338363999999999</c:v>
                </c:pt>
                <c:pt idx="658">
                  <c:v>28.907586999999999</c:v>
                </c:pt>
                <c:pt idx="659">
                  <c:v>28.138020999999998</c:v>
                </c:pt>
                <c:pt idx="660">
                  <c:v>27.331130999999999</c:v>
                </c:pt>
                <c:pt idx="661">
                  <c:v>26.825703000000001</c:v>
                </c:pt>
                <c:pt idx="662">
                  <c:v>27.556049999999999</c:v>
                </c:pt>
                <c:pt idx="663">
                  <c:v>28.38344</c:v>
                </c:pt>
                <c:pt idx="664">
                  <c:v>29.238060000000001</c:v>
                </c:pt>
                <c:pt idx="665">
                  <c:v>29.407322000000001</c:v>
                </c:pt>
                <c:pt idx="666">
                  <c:v>28.986820000000002</c:v>
                </c:pt>
                <c:pt idx="667">
                  <c:v>29.166789999999999</c:v>
                </c:pt>
                <c:pt idx="668">
                  <c:v>29.377977000000001</c:v>
                </c:pt>
                <c:pt idx="669">
                  <c:v>29.280418000000001</c:v>
                </c:pt>
                <c:pt idx="670">
                  <c:v>28.921579999999999</c:v>
                </c:pt>
                <c:pt idx="671">
                  <c:v>28.159420000000001</c:v>
                </c:pt>
                <c:pt idx="672">
                  <c:v>27.270935000000001</c:v>
                </c:pt>
                <c:pt idx="673">
                  <c:v>26.998588999999999</c:v>
                </c:pt>
                <c:pt idx="674">
                  <c:v>27.057026</c:v>
                </c:pt>
                <c:pt idx="675">
                  <c:v>27.712506999999999</c:v>
                </c:pt>
                <c:pt idx="676">
                  <c:v>28.656092000000001</c:v>
                </c:pt>
                <c:pt idx="677">
                  <c:v>29.124960000000002</c:v>
                </c:pt>
                <c:pt idx="678">
                  <c:v>28.700240999999998</c:v>
                </c:pt>
                <c:pt idx="679">
                  <c:v>28.920438999999998</c:v>
                </c:pt>
                <c:pt idx="680">
                  <c:v>29.190449000000001</c:v>
                </c:pt>
                <c:pt idx="681">
                  <c:v>29.268916999999998</c:v>
                </c:pt>
                <c:pt idx="682">
                  <c:v>29.271367999999999</c:v>
                </c:pt>
                <c:pt idx="683">
                  <c:v>28.172557999999999</c:v>
                </c:pt>
                <c:pt idx="684">
                  <c:v>27.232132</c:v>
                </c:pt>
                <c:pt idx="685">
                  <c:v>27.185345000000002</c:v>
                </c:pt>
                <c:pt idx="686">
                  <c:v>27.194614000000001</c:v>
                </c:pt>
                <c:pt idx="687">
                  <c:v>27.767769000000001</c:v>
                </c:pt>
                <c:pt idx="688">
                  <c:v>28.571280000000002</c:v>
                </c:pt>
                <c:pt idx="689">
                  <c:v>28.711490000000001</c:v>
                </c:pt>
                <c:pt idx="690">
                  <c:v>28.413506000000002</c:v>
                </c:pt>
                <c:pt idx="691">
                  <c:v>28.627700000000001</c:v>
                </c:pt>
                <c:pt idx="692">
                  <c:v>29.03689</c:v>
                </c:pt>
                <c:pt idx="693">
                  <c:v>29.111529999999998</c:v>
                </c:pt>
                <c:pt idx="694">
                  <c:v>28.80339</c:v>
                </c:pt>
                <c:pt idx="695">
                  <c:v>27.852543000000001</c:v>
                </c:pt>
                <c:pt idx="696">
                  <c:v>26.972602999999999</c:v>
                </c:pt>
                <c:pt idx="697">
                  <c:v>26.865704000000001</c:v>
                </c:pt>
                <c:pt idx="698">
                  <c:v>26.876124999999998</c:v>
                </c:pt>
                <c:pt idx="699">
                  <c:v>27.526384</c:v>
                </c:pt>
                <c:pt idx="700">
                  <c:v>28.076474999999999</c:v>
                </c:pt>
                <c:pt idx="701">
                  <c:v>28.670237</c:v>
                </c:pt>
                <c:pt idx="702">
                  <c:v>28.503761000000001</c:v>
                </c:pt>
                <c:pt idx="703">
                  <c:v>28.858027</c:v>
                </c:pt>
                <c:pt idx="704">
                  <c:v>29.244125</c:v>
                </c:pt>
                <c:pt idx="705">
                  <c:v>29.35286</c:v>
                </c:pt>
                <c:pt idx="706">
                  <c:v>28.880538999999999</c:v>
                </c:pt>
                <c:pt idx="707">
                  <c:v>27.704483</c:v>
                </c:pt>
                <c:pt idx="708">
                  <c:v>27.034991999999999</c:v>
                </c:pt>
                <c:pt idx="709">
                  <c:v>26.613071000000001</c:v>
                </c:pt>
                <c:pt idx="710">
                  <c:v>26.465076</c:v>
                </c:pt>
                <c:pt idx="711">
                  <c:v>27.107899</c:v>
                </c:pt>
                <c:pt idx="712">
                  <c:v>27.956102000000001</c:v>
                </c:pt>
                <c:pt idx="713">
                  <c:v>29.064436000000001</c:v>
                </c:pt>
                <c:pt idx="714">
                  <c:v>28.544537999999999</c:v>
                </c:pt>
                <c:pt idx="715">
                  <c:v>28.690538</c:v>
                </c:pt>
                <c:pt idx="716">
                  <c:v>29.004158</c:v>
                </c:pt>
                <c:pt idx="717">
                  <c:v>29.089919999999999</c:v>
                </c:pt>
                <c:pt idx="718">
                  <c:v>29.162089999999999</c:v>
                </c:pt>
                <c:pt idx="719">
                  <c:v>28.329805</c:v>
                </c:pt>
                <c:pt idx="720">
                  <c:v>27.593599999999999</c:v>
                </c:pt>
                <c:pt idx="721">
                  <c:v>27.98096</c:v>
                </c:pt>
                <c:pt idx="722">
                  <c:v>28.356617</c:v>
                </c:pt>
                <c:pt idx="723">
                  <c:v>28.180336</c:v>
                </c:pt>
                <c:pt idx="724">
                  <c:v>29.356506</c:v>
                </c:pt>
                <c:pt idx="725">
                  <c:v>29.24973</c:v>
                </c:pt>
                <c:pt idx="726">
                  <c:v>29.273273</c:v>
                </c:pt>
                <c:pt idx="727">
                  <c:v>29.337439</c:v>
                </c:pt>
                <c:pt idx="728">
                  <c:v>29.393719999999998</c:v>
                </c:pt>
                <c:pt idx="729">
                  <c:v>29.50854</c:v>
                </c:pt>
                <c:pt idx="730">
                  <c:v>29.055800000000001</c:v>
                </c:pt>
                <c:pt idx="731">
                  <c:v>27.950785</c:v>
                </c:pt>
                <c:pt idx="732">
                  <c:v>27.596831999999999</c:v>
                </c:pt>
                <c:pt idx="733">
                  <c:v>27.516311999999999</c:v>
                </c:pt>
                <c:pt idx="734">
                  <c:v>27.348398</c:v>
                </c:pt>
                <c:pt idx="735">
                  <c:v>27.722183000000001</c:v>
                </c:pt>
                <c:pt idx="736">
                  <c:v>28.625941999999998</c:v>
                </c:pt>
                <c:pt idx="737">
                  <c:v>29.025691999999999</c:v>
                </c:pt>
                <c:pt idx="738">
                  <c:v>28.574192</c:v>
                </c:pt>
                <c:pt idx="739">
                  <c:v>28.852049000000001</c:v>
                </c:pt>
                <c:pt idx="740">
                  <c:v>29.176784999999999</c:v>
                </c:pt>
                <c:pt idx="741">
                  <c:v>29.321407000000001</c:v>
                </c:pt>
                <c:pt idx="742">
                  <c:v>29.308039999999998</c:v>
                </c:pt>
                <c:pt idx="743">
                  <c:v>28.073639</c:v>
                </c:pt>
                <c:pt idx="744">
                  <c:v>27.202068000000001</c:v>
                </c:pt>
                <c:pt idx="745">
                  <c:v>27.037662999999998</c:v>
                </c:pt>
                <c:pt idx="746">
                  <c:v>26.82704</c:v>
                </c:pt>
                <c:pt idx="747">
                  <c:v>27.742134</c:v>
                </c:pt>
                <c:pt idx="748">
                  <c:v>28.609591999999999</c:v>
                </c:pt>
                <c:pt idx="749">
                  <c:v>28.727872999999999</c:v>
                </c:pt>
                <c:pt idx="750">
                  <c:v>28.560043</c:v>
                </c:pt>
                <c:pt idx="751">
                  <c:v>28.836069999999999</c:v>
                </c:pt>
                <c:pt idx="752">
                  <c:v>29.272096999999999</c:v>
                </c:pt>
                <c:pt idx="753">
                  <c:v>29.136683999999999</c:v>
                </c:pt>
                <c:pt idx="754">
                  <c:v>29.116371000000001</c:v>
                </c:pt>
                <c:pt idx="755">
                  <c:v>28.103085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E2-4115-9E40-E2BBDFFE5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686000"/>
        <c:axId val="848689808"/>
      </c:scatterChart>
      <c:valAx>
        <c:axId val="848686000"/>
        <c:scaling>
          <c:orientation val="minMax"/>
          <c:max val="2015"/>
          <c:min val="1950"/>
        </c:scaling>
        <c:delete val="0"/>
        <c:axPos val="b"/>
        <c:numFmt formatCode="0.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689808"/>
        <c:crosses val="autoZero"/>
        <c:crossBetween val="midCat"/>
        <c:minorUnit val="5"/>
      </c:valAx>
      <c:valAx>
        <c:axId val="848689808"/>
        <c:scaling>
          <c:orientation val="minMax"/>
          <c:max val="30"/>
          <c:min val="25.5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68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Climatologia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'Temp-aire'!$I$10:$I$21</c:f>
                <c:numCache>
                  <c:formatCode>General</c:formatCode>
                  <c:ptCount val="12"/>
                  <c:pt idx="0">
                    <c:v>0.57260159721150283</c:v>
                  </c:pt>
                  <c:pt idx="1">
                    <c:v>0.51337753863520474</c:v>
                  </c:pt>
                  <c:pt idx="2">
                    <c:v>0.5656754374771561</c:v>
                  </c:pt>
                  <c:pt idx="3">
                    <c:v>0.47401101324543715</c:v>
                  </c:pt>
                  <c:pt idx="4">
                    <c:v>0.37465992112471191</c:v>
                  </c:pt>
                  <c:pt idx="5">
                    <c:v>0.42405095099474538</c:v>
                  </c:pt>
                  <c:pt idx="6">
                    <c:v>0.37239111327062829</c:v>
                  </c:pt>
                  <c:pt idx="7">
                    <c:v>0.47856600770302715</c:v>
                  </c:pt>
                  <c:pt idx="8">
                    <c:v>0.44372269550753723</c:v>
                  </c:pt>
                  <c:pt idx="9">
                    <c:v>0.48068630314779937</c:v>
                  </c:pt>
                  <c:pt idx="10">
                    <c:v>0.56190505259838464</c:v>
                  </c:pt>
                  <c:pt idx="11">
                    <c:v>0.59648090806346055</c:v>
                  </c:pt>
                </c:numCache>
              </c:numRef>
            </c:plus>
            <c:minus>
              <c:numRef>
                <c:f>'Temp-aire'!$I$10:$I$21</c:f>
                <c:numCache>
                  <c:formatCode>General</c:formatCode>
                  <c:ptCount val="12"/>
                  <c:pt idx="0">
                    <c:v>0.57260159721150283</c:v>
                  </c:pt>
                  <c:pt idx="1">
                    <c:v>0.51337753863520474</c:v>
                  </c:pt>
                  <c:pt idx="2">
                    <c:v>0.5656754374771561</c:v>
                  </c:pt>
                  <c:pt idx="3">
                    <c:v>0.47401101324543715</c:v>
                  </c:pt>
                  <c:pt idx="4">
                    <c:v>0.37465992112471191</c:v>
                  </c:pt>
                  <c:pt idx="5">
                    <c:v>0.42405095099474538</c:v>
                  </c:pt>
                  <c:pt idx="6">
                    <c:v>0.37239111327062829</c:v>
                  </c:pt>
                  <c:pt idx="7">
                    <c:v>0.47856600770302715</c:v>
                  </c:pt>
                  <c:pt idx="8">
                    <c:v>0.44372269550753723</c:v>
                  </c:pt>
                  <c:pt idx="9">
                    <c:v>0.48068630314779937</c:v>
                  </c:pt>
                  <c:pt idx="10">
                    <c:v>0.56190505259838464</c:v>
                  </c:pt>
                  <c:pt idx="11">
                    <c:v>0.59648090806346055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'Temp-aire'!$G$10:$G$21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'Temp-aire'!$H$10:$H$21</c:f>
              <c:numCache>
                <c:formatCode>0.00</c:formatCode>
                <c:ptCount val="12"/>
                <c:pt idx="0">
                  <c:v>26.972881355932209</c:v>
                </c:pt>
                <c:pt idx="1">
                  <c:v>26.901666666666678</c:v>
                </c:pt>
                <c:pt idx="2">
                  <c:v>27.236666666666679</c:v>
                </c:pt>
                <c:pt idx="3">
                  <c:v>27.685000000000002</c:v>
                </c:pt>
                <c:pt idx="4">
                  <c:v>28.178333333333338</c:v>
                </c:pt>
                <c:pt idx="5">
                  <c:v>28.353333333333332</c:v>
                </c:pt>
                <c:pt idx="6">
                  <c:v>28.211666666666662</c:v>
                </c:pt>
                <c:pt idx="7">
                  <c:v>28.17499999999999</c:v>
                </c:pt>
                <c:pt idx="8">
                  <c:v>28.214999999999996</c:v>
                </c:pt>
                <c:pt idx="9">
                  <c:v>27.911864406779664</c:v>
                </c:pt>
                <c:pt idx="10">
                  <c:v>27.832203389830507</c:v>
                </c:pt>
                <c:pt idx="11">
                  <c:v>27.400000000000002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B7-4130-9CE8-16D434D95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09616"/>
        <c:axId val="189211696"/>
      </c:scatterChart>
      <c:valAx>
        <c:axId val="18920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1696"/>
        <c:crosses val="autoZero"/>
        <c:crossBetween val="midCat"/>
      </c:valAx>
      <c:valAx>
        <c:axId val="189211696"/>
        <c:scaling>
          <c:orientation val="minMax"/>
          <c:min val="2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644639968493211E-2"/>
          <c:y val="0.15330358073471859"/>
          <c:w val="0.9012562991582368"/>
          <c:h val="0.73874059966330918"/>
        </c:manualLayout>
      </c:layout>
      <c:scatterChart>
        <c:scatterStyle val="lineMarker"/>
        <c:varyColors val="0"/>
        <c:ser>
          <c:idx val="0"/>
          <c:order val="0"/>
          <c:tx>
            <c:v>AirT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'Temp-aire'!$K$12:$K$71</c:f>
              <c:numCache>
                <c:formatCode>General</c:formatCode>
                <c:ptCount val="60"/>
                <c:pt idx="0">
                  <c:v>2013</c:v>
                </c:pt>
                <c:pt idx="1">
                  <c:v>2012</c:v>
                </c:pt>
                <c:pt idx="2">
                  <c:v>2011</c:v>
                </c:pt>
                <c:pt idx="3">
                  <c:v>2010</c:v>
                </c:pt>
                <c:pt idx="4">
                  <c:v>2009</c:v>
                </c:pt>
                <c:pt idx="5">
                  <c:v>2008</c:v>
                </c:pt>
                <c:pt idx="6">
                  <c:v>2007</c:v>
                </c:pt>
                <c:pt idx="7">
                  <c:v>2006</c:v>
                </c:pt>
                <c:pt idx="8">
                  <c:v>2005</c:v>
                </c:pt>
                <c:pt idx="9">
                  <c:v>2004</c:v>
                </c:pt>
                <c:pt idx="10">
                  <c:v>2003</c:v>
                </c:pt>
                <c:pt idx="11">
                  <c:v>2002</c:v>
                </c:pt>
                <c:pt idx="12">
                  <c:v>2001</c:v>
                </c:pt>
                <c:pt idx="13">
                  <c:v>2000</c:v>
                </c:pt>
                <c:pt idx="14">
                  <c:v>1999</c:v>
                </c:pt>
                <c:pt idx="15">
                  <c:v>1998</c:v>
                </c:pt>
                <c:pt idx="16">
                  <c:v>1997</c:v>
                </c:pt>
                <c:pt idx="17">
                  <c:v>1996</c:v>
                </c:pt>
                <c:pt idx="18">
                  <c:v>1995</c:v>
                </c:pt>
                <c:pt idx="19">
                  <c:v>1994</c:v>
                </c:pt>
                <c:pt idx="20">
                  <c:v>1993</c:v>
                </c:pt>
                <c:pt idx="21">
                  <c:v>1992</c:v>
                </c:pt>
                <c:pt idx="22">
                  <c:v>1991</c:v>
                </c:pt>
                <c:pt idx="23">
                  <c:v>1990</c:v>
                </c:pt>
                <c:pt idx="24">
                  <c:v>1989</c:v>
                </c:pt>
                <c:pt idx="25">
                  <c:v>1988</c:v>
                </c:pt>
                <c:pt idx="26">
                  <c:v>1987</c:v>
                </c:pt>
                <c:pt idx="27">
                  <c:v>1986</c:v>
                </c:pt>
                <c:pt idx="28">
                  <c:v>1985</c:v>
                </c:pt>
                <c:pt idx="29">
                  <c:v>1984</c:v>
                </c:pt>
                <c:pt idx="30">
                  <c:v>1983</c:v>
                </c:pt>
                <c:pt idx="31">
                  <c:v>1982</c:v>
                </c:pt>
                <c:pt idx="32">
                  <c:v>1981</c:v>
                </c:pt>
                <c:pt idx="33">
                  <c:v>1980</c:v>
                </c:pt>
                <c:pt idx="34">
                  <c:v>1979</c:v>
                </c:pt>
                <c:pt idx="35">
                  <c:v>1978</c:v>
                </c:pt>
                <c:pt idx="36">
                  <c:v>1977</c:v>
                </c:pt>
                <c:pt idx="37">
                  <c:v>1976</c:v>
                </c:pt>
                <c:pt idx="38">
                  <c:v>1975</c:v>
                </c:pt>
                <c:pt idx="39">
                  <c:v>1974</c:v>
                </c:pt>
                <c:pt idx="40">
                  <c:v>1973</c:v>
                </c:pt>
                <c:pt idx="41">
                  <c:v>1972</c:v>
                </c:pt>
                <c:pt idx="42">
                  <c:v>1971</c:v>
                </c:pt>
                <c:pt idx="43">
                  <c:v>1970</c:v>
                </c:pt>
                <c:pt idx="44">
                  <c:v>1969</c:v>
                </c:pt>
                <c:pt idx="45">
                  <c:v>1968</c:v>
                </c:pt>
                <c:pt idx="46">
                  <c:v>1967</c:v>
                </c:pt>
                <c:pt idx="47">
                  <c:v>1966</c:v>
                </c:pt>
                <c:pt idx="48">
                  <c:v>1965</c:v>
                </c:pt>
                <c:pt idx="49">
                  <c:v>1964</c:v>
                </c:pt>
                <c:pt idx="50">
                  <c:v>1963</c:v>
                </c:pt>
                <c:pt idx="51">
                  <c:v>1962</c:v>
                </c:pt>
                <c:pt idx="52">
                  <c:v>1961</c:v>
                </c:pt>
                <c:pt idx="53">
                  <c:v>1960</c:v>
                </c:pt>
                <c:pt idx="54">
                  <c:v>1959</c:v>
                </c:pt>
                <c:pt idx="55">
                  <c:v>1958</c:v>
                </c:pt>
                <c:pt idx="56">
                  <c:v>1957</c:v>
                </c:pt>
                <c:pt idx="57">
                  <c:v>1956</c:v>
                </c:pt>
                <c:pt idx="58">
                  <c:v>1955</c:v>
                </c:pt>
                <c:pt idx="59">
                  <c:v>1954</c:v>
                </c:pt>
              </c:numCache>
            </c:numRef>
          </c:xVal>
          <c:yVal>
            <c:numRef>
              <c:f>'Temp-aire'!$L$12:$L$71</c:f>
              <c:numCache>
                <c:formatCode>General</c:formatCode>
                <c:ptCount val="60"/>
                <c:pt idx="0">
                  <c:v>28.191666666666674</c:v>
                </c:pt>
                <c:pt idx="1">
                  <c:v>28.122222222222224</c:v>
                </c:pt>
                <c:pt idx="2">
                  <c:v>27.763636363636365</c:v>
                </c:pt>
                <c:pt idx="3">
                  <c:v>28.133333333333329</c:v>
                </c:pt>
                <c:pt idx="4">
                  <c:v>28.166666666666661</c:v>
                </c:pt>
                <c:pt idx="5">
                  <c:v>27.633333333333336</c:v>
                </c:pt>
                <c:pt idx="6">
                  <c:v>27.775000000000002</c:v>
                </c:pt>
                <c:pt idx="7">
                  <c:v>27.974999999999998</c:v>
                </c:pt>
                <c:pt idx="8">
                  <c:v>28.133333333333329</c:v>
                </c:pt>
                <c:pt idx="9">
                  <c:v>27.858333333333338</c:v>
                </c:pt>
                <c:pt idx="10">
                  <c:v>28.025000000000002</c:v>
                </c:pt>
                <c:pt idx="11">
                  <c:v>28.05</c:v>
                </c:pt>
                <c:pt idx="12">
                  <c:v>27.708333333333332</c:v>
                </c:pt>
                <c:pt idx="13">
                  <c:v>27.390909090909087</c:v>
                </c:pt>
                <c:pt idx="14">
                  <c:v>27.408333333333331</c:v>
                </c:pt>
                <c:pt idx="15">
                  <c:v>28.100000000000005</c:v>
                </c:pt>
                <c:pt idx="16">
                  <c:v>27.766666666666666</c:v>
                </c:pt>
                <c:pt idx="17">
                  <c:v>27.691666666666666</c:v>
                </c:pt>
                <c:pt idx="18">
                  <c:v>27.791666666666668</c:v>
                </c:pt>
                <c:pt idx="19">
                  <c:v>27.5</c:v>
                </c:pt>
                <c:pt idx="20">
                  <c:v>27.791666666666661</c:v>
                </c:pt>
                <c:pt idx="21">
                  <c:v>27.774999999999995</c:v>
                </c:pt>
                <c:pt idx="22">
                  <c:v>27.624999999999996</c:v>
                </c:pt>
                <c:pt idx="23">
                  <c:v>27.474999999999998</c:v>
                </c:pt>
                <c:pt idx="24">
                  <c:v>27.575000000000003</c:v>
                </c:pt>
                <c:pt idx="25">
                  <c:v>27.508333333333329</c:v>
                </c:pt>
                <c:pt idx="26">
                  <c:v>27.966666666666669</c:v>
                </c:pt>
                <c:pt idx="27">
                  <c:v>27.666666666666671</c:v>
                </c:pt>
                <c:pt idx="28">
                  <c:v>27.466666666666665</c:v>
                </c:pt>
                <c:pt idx="29">
                  <c:v>27.391666666666666</c:v>
                </c:pt>
                <c:pt idx="30">
                  <c:v>28.116666666666664</c:v>
                </c:pt>
                <c:pt idx="31">
                  <c:v>27.591666666666669</c:v>
                </c:pt>
                <c:pt idx="32">
                  <c:v>27.858333333333334</c:v>
                </c:pt>
                <c:pt idx="33">
                  <c:v>28.108333333333334</c:v>
                </c:pt>
                <c:pt idx="34">
                  <c:v>28.099999999999998</c:v>
                </c:pt>
                <c:pt idx="35">
                  <c:v>28.133333333333329</c:v>
                </c:pt>
                <c:pt idx="36">
                  <c:v>27.691666666666663</c:v>
                </c:pt>
                <c:pt idx="37">
                  <c:v>27.224999999999998</c:v>
                </c:pt>
                <c:pt idx="38">
                  <c:v>27.058333333333337</c:v>
                </c:pt>
                <c:pt idx="39">
                  <c:v>27.783333333333331</c:v>
                </c:pt>
                <c:pt idx="40">
                  <c:v>27.933333333333334</c:v>
                </c:pt>
                <c:pt idx="41">
                  <c:v>28.416666666666668</c:v>
                </c:pt>
                <c:pt idx="42">
                  <c:v>27.866666666666664</c:v>
                </c:pt>
                <c:pt idx="43">
                  <c:v>27.574999999999999</c:v>
                </c:pt>
                <c:pt idx="44">
                  <c:v>27.5</c:v>
                </c:pt>
                <c:pt idx="45">
                  <c:v>27.258333333333336</c:v>
                </c:pt>
                <c:pt idx="46">
                  <c:v>27.691666666666666</c:v>
                </c:pt>
                <c:pt idx="47">
                  <c:v>27.474999999999998</c:v>
                </c:pt>
                <c:pt idx="48">
                  <c:v>27.641666666666666</c:v>
                </c:pt>
                <c:pt idx="49">
                  <c:v>27.45</c:v>
                </c:pt>
                <c:pt idx="50">
                  <c:v>27.841666666666669</c:v>
                </c:pt>
                <c:pt idx="51">
                  <c:v>27.858333333333334</c:v>
                </c:pt>
                <c:pt idx="52">
                  <c:v>27.341666666666669</c:v>
                </c:pt>
                <c:pt idx="53">
                  <c:v>27.900000000000002</c:v>
                </c:pt>
                <c:pt idx="54">
                  <c:v>27.474999999999998</c:v>
                </c:pt>
                <c:pt idx="55">
                  <c:v>28.333333333333329</c:v>
                </c:pt>
                <c:pt idx="56">
                  <c:v>28.108333333333334</c:v>
                </c:pt>
                <c:pt idx="57">
                  <c:v>27.299999999999997</c:v>
                </c:pt>
                <c:pt idx="58">
                  <c:v>27.641666666666666</c:v>
                </c:pt>
                <c:pt idx="59">
                  <c:v>27.833333333333332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B-4D50-B5AC-1B895EDA97FC}"/>
            </c:ext>
          </c:extLst>
        </c:ser>
        <c:ser>
          <c:idx val="1"/>
          <c:order val="1"/>
          <c:tx>
            <c:strRef>
              <c:f>HadISST1!$D$1</c:f>
              <c:strCache>
                <c:ptCount val="1"/>
                <c:pt idx="0">
                  <c:v>HADISST (°C)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HadISST1!$K$2:$K$66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HadISST1!$L$2:$L$66</c:f>
              <c:numCache>
                <c:formatCode>0.0</c:formatCode>
                <c:ptCount val="65"/>
                <c:pt idx="0">
                  <c:v>28.355173833333328</c:v>
                </c:pt>
                <c:pt idx="1">
                  <c:v>28.293394333333335</c:v>
                </c:pt>
                <c:pt idx="2">
                  <c:v>28.339949749999999</c:v>
                </c:pt>
                <c:pt idx="3">
                  <c:v>28.264226666666669</c:v>
                </c:pt>
                <c:pt idx="4">
                  <c:v>28.428455916666667</c:v>
                </c:pt>
                <c:pt idx="5">
                  <c:v>28.769775499999994</c:v>
                </c:pt>
                <c:pt idx="6">
                  <c:v>28.08855208333333</c:v>
                </c:pt>
                <c:pt idx="7">
                  <c:v>28.12761025</c:v>
                </c:pt>
                <c:pt idx="8">
                  <c:v>28.209015750000002</c:v>
                </c:pt>
                <c:pt idx="9">
                  <c:v>28.362006749999995</c:v>
                </c:pt>
                <c:pt idx="10">
                  <c:v>28.552892583333332</c:v>
                </c:pt>
                <c:pt idx="11">
                  <c:v>28.266666999999998</c:v>
                </c:pt>
                <c:pt idx="12">
                  <c:v>28.298869166666666</c:v>
                </c:pt>
                <c:pt idx="13">
                  <c:v>28.077443916666667</c:v>
                </c:pt>
                <c:pt idx="14">
                  <c:v>28.024439666666666</c:v>
                </c:pt>
                <c:pt idx="15">
                  <c:v>27.931871750000003</c:v>
                </c:pt>
                <c:pt idx="16">
                  <c:v>28.058624499999997</c:v>
                </c:pt>
                <c:pt idx="17">
                  <c:v>28.510966333333329</c:v>
                </c:pt>
                <c:pt idx="18">
                  <c:v>28.115058000000005</c:v>
                </c:pt>
                <c:pt idx="19">
                  <c:v>28.120864749999999</c:v>
                </c:pt>
                <c:pt idx="20">
                  <c:v>28.316777833333333</c:v>
                </c:pt>
                <c:pt idx="21">
                  <c:v>27.888758000000006</c:v>
                </c:pt>
                <c:pt idx="22">
                  <c:v>28.107895583333331</c:v>
                </c:pt>
                <c:pt idx="23">
                  <c:v>27.87795366666667</c:v>
                </c:pt>
                <c:pt idx="24">
                  <c:v>27.760664083333335</c:v>
                </c:pt>
                <c:pt idx="25">
                  <c:v>27.93991741666667</c:v>
                </c:pt>
                <c:pt idx="26">
                  <c:v>27.649690250000006</c:v>
                </c:pt>
                <c:pt idx="27">
                  <c:v>28.092704083333331</c:v>
                </c:pt>
                <c:pt idx="28">
                  <c:v>28.246921083333337</c:v>
                </c:pt>
                <c:pt idx="29">
                  <c:v>27.5675025</c:v>
                </c:pt>
                <c:pt idx="30">
                  <c:v>27.473912250000001</c:v>
                </c:pt>
                <c:pt idx="31">
                  <c:v>27.73608175</c:v>
                </c:pt>
                <c:pt idx="32">
                  <c:v>28.159372166666667</c:v>
                </c:pt>
                <c:pt idx="33">
                  <c:v>27.829861749999996</c:v>
                </c:pt>
                <c:pt idx="34">
                  <c:v>28.183046750000003</c:v>
                </c:pt>
                <c:pt idx="35">
                  <c:v>28.043225333333336</c:v>
                </c:pt>
                <c:pt idx="36">
                  <c:v>27.986774416666673</c:v>
                </c:pt>
                <c:pt idx="37">
                  <c:v>27.972403499999999</c:v>
                </c:pt>
                <c:pt idx="38">
                  <c:v>27.774049833333336</c:v>
                </c:pt>
                <c:pt idx="39">
                  <c:v>27.514467499999999</c:v>
                </c:pt>
                <c:pt idx="40">
                  <c:v>27.558954583333332</c:v>
                </c:pt>
                <c:pt idx="41">
                  <c:v>27.592790750000002</c:v>
                </c:pt>
                <c:pt idx="42">
                  <c:v>28.07664158333333</c:v>
                </c:pt>
                <c:pt idx="43">
                  <c:v>27.869388916666669</c:v>
                </c:pt>
                <c:pt idx="44">
                  <c:v>27.683181750000003</c:v>
                </c:pt>
                <c:pt idx="45">
                  <c:v>28.037218416666665</c:v>
                </c:pt>
                <c:pt idx="46">
                  <c:v>28.474781416666669</c:v>
                </c:pt>
                <c:pt idx="47">
                  <c:v>27.772011333333335</c:v>
                </c:pt>
                <c:pt idx="48">
                  <c:v>27.815735333333333</c:v>
                </c:pt>
                <c:pt idx="49">
                  <c:v>28.076882083333331</c:v>
                </c:pt>
                <c:pt idx="50">
                  <c:v>27.645168583333341</c:v>
                </c:pt>
                <c:pt idx="51">
                  <c:v>27.886182833333336</c:v>
                </c:pt>
                <c:pt idx="52">
                  <c:v>28.205158166666664</c:v>
                </c:pt>
                <c:pt idx="53">
                  <c:v>28.066027083333335</c:v>
                </c:pt>
                <c:pt idx="54">
                  <c:v>28.061047250000001</c:v>
                </c:pt>
                <c:pt idx="55">
                  <c:v>28.31934583333334</c:v>
                </c:pt>
                <c:pt idx="56">
                  <c:v>27.904639749999998</c:v>
                </c:pt>
                <c:pt idx="57">
                  <c:v>28.568485999999996</c:v>
                </c:pt>
                <c:pt idx="58">
                  <c:v>27.856275833333331</c:v>
                </c:pt>
                <c:pt idx="59">
                  <c:v>27.723436416666669</c:v>
                </c:pt>
                <c:pt idx="60">
                  <c:v>27.847912249999997</c:v>
                </c:pt>
                <c:pt idx="61">
                  <c:v>27.961707083333334</c:v>
                </c:pt>
                <c:pt idx="62">
                  <c:v>28.018068</c:v>
                </c:pt>
                <c:pt idx="63">
                  <c:v>28.178450916666666</c:v>
                </c:pt>
                <c:pt idx="64">
                  <c:v>28.075387000000003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B-4D50-B5AC-1B895EDA9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686000"/>
        <c:axId val="848689808"/>
      </c:scatterChart>
      <c:scatterChart>
        <c:scatterStyle val="lineMarker"/>
        <c:varyColors val="0"/>
        <c:ser>
          <c:idx val="2"/>
          <c:order val="2"/>
          <c:tx>
            <c:strRef>
              <c:f>MODIS_Terra!$O$1</c:f>
              <c:strCache>
                <c:ptCount val="1"/>
                <c:pt idx="0">
                  <c:v>N</c:v>
                </c:pt>
              </c:strCache>
            </c:strRef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MODIS_Terra!$L$2:$L$14</c:f>
              <c:numCache>
                <c:formatCode>General</c:formatCode>
                <c:ptCount val="13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</c:numCache>
            </c:numRef>
          </c:xVal>
          <c:yVal>
            <c:numRef>
              <c:f>MODIS_Terra!$O$2:$O$14</c:f>
              <c:numCache>
                <c:formatCode>0</c:formatCode>
                <c:ptCount val="13"/>
                <c:pt idx="0">
                  <c:v>171</c:v>
                </c:pt>
                <c:pt idx="1">
                  <c:v>156</c:v>
                </c:pt>
                <c:pt idx="2">
                  <c:v>143</c:v>
                </c:pt>
                <c:pt idx="3">
                  <c:v>149</c:v>
                </c:pt>
                <c:pt idx="4">
                  <c:v>125</c:v>
                </c:pt>
                <c:pt idx="5">
                  <c:v>89</c:v>
                </c:pt>
                <c:pt idx="6">
                  <c:v>151</c:v>
                </c:pt>
                <c:pt idx="7">
                  <c:v>121</c:v>
                </c:pt>
                <c:pt idx="8">
                  <c:v>125</c:v>
                </c:pt>
                <c:pt idx="9">
                  <c:v>148</c:v>
                </c:pt>
                <c:pt idx="10">
                  <c:v>130</c:v>
                </c:pt>
                <c:pt idx="11">
                  <c:v>143</c:v>
                </c:pt>
                <c:pt idx="12">
                  <c:v>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7B-4D50-B5AC-1B895EDA97FC}"/>
            </c:ext>
          </c:extLst>
        </c:ser>
        <c:ser>
          <c:idx val="3"/>
          <c:order val="3"/>
          <c:tx>
            <c:strRef>
              <c:f>MODIS_Terra!$N$1</c:f>
              <c:strCache>
                <c:ptCount val="1"/>
                <c:pt idx="0">
                  <c:v>STDV</c:v>
                </c:pt>
              </c:strCache>
            </c:strRef>
          </c:tx>
          <c:spPr>
            <a:ln w="254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MODIS_Terra!$L$2:$L$16</c:f>
              <c:numCache>
                <c:formatCode>General</c:formatCode>
                <c:ptCount val="1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</c:numCache>
            </c:numRef>
          </c:xVal>
          <c:yVal>
            <c:numRef>
              <c:f>MODIS_Terra!$N$2:$N$16</c:f>
              <c:numCache>
                <c:formatCode>0.00</c:formatCode>
                <c:ptCount val="15"/>
                <c:pt idx="0">
                  <c:v>1.076113785242006</c:v>
                </c:pt>
                <c:pt idx="1">
                  <c:v>1.0632980817278199</c:v>
                </c:pt>
                <c:pt idx="2">
                  <c:v>1.1043992470885238</c:v>
                </c:pt>
                <c:pt idx="3">
                  <c:v>1.0140789932472982</c:v>
                </c:pt>
                <c:pt idx="4">
                  <c:v>0.98675716210711961</c:v>
                </c:pt>
                <c:pt idx="5">
                  <c:v>0.92016933553591407</c:v>
                </c:pt>
                <c:pt idx="6">
                  <c:v>1.1079842740378358</c:v>
                </c:pt>
                <c:pt idx="7">
                  <c:v>0.93274922333731425</c:v>
                </c:pt>
                <c:pt idx="8">
                  <c:v>1.0217459618741151</c:v>
                </c:pt>
                <c:pt idx="9">
                  <c:v>1.0709948186219909</c:v>
                </c:pt>
                <c:pt idx="10">
                  <c:v>1.2185727959752379</c:v>
                </c:pt>
                <c:pt idx="11">
                  <c:v>1.0831737423241969</c:v>
                </c:pt>
                <c:pt idx="12">
                  <c:v>0.87548308309634382</c:v>
                </c:pt>
                <c:pt idx="13">
                  <c:v>1.0111596253207438</c:v>
                </c:pt>
                <c:pt idx="14">
                  <c:v>0.92356881501088284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7B-4D50-B5AC-1B895EDA9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959407"/>
        <c:axId val="1206961327"/>
      </c:scatterChart>
      <c:valAx>
        <c:axId val="848686000"/>
        <c:scaling>
          <c:orientation val="minMax"/>
          <c:max val="2017"/>
          <c:min val="1950"/>
        </c:scaling>
        <c:delete val="0"/>
        <c:axPos val="b"/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689808"/>
        <c:crosses val="autoZero"/>
        <c:crossBetween val="midCat"/>
        <c:minorUnit val="5"/>
      </c:valAx>
      <c:valAx>
        <c:axId val="848689808"/>
        <c:scaling>
          <c:orientation val="minMax"/>
          <c:max val="29"/>
          <c:min val="27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686000"/>
        <c:crosses val="autoZero"/>
        <c:crossBetween val="midCat"/>
        <c:majorUnit val="0.5"/>
      </c:valAx>
      <c:valAx>
        <c:axId val="1206961327"/>
        <c:scaling>
          <c:orientation val="minMax"/>
          <c:max val="31"/>
          <c:min val="29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59407"/>
        <c:crosses val="max"/>
        <c:crossBetween val="midCat"/>
      </c:valAx>
      <c:valAx>
        <c:axId val="1206959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696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STDA Air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'Temp-aire'!$C$10:$C$729</c:f>
              <c:numCache>
                <c:formatCode>0.0</c:formatCode>
                <c:ptCount val="720"/>
                <c:pt idx="0">
                  <c:v>1953.99999998459</c:v>
                </c:pt>
                <c:pt idx="1">
                  <c:v>1954.0833333179501</c:v>
                </c:pt>
                <c:pt idx="2">
                  <c:v>1954.1666666513099</c:v>
                </c:pt>
                <c:pt idx="3">
                  <c:v>1954.24999998467</c:v>
                </c:pt>
                <c:pt idx="4">
                  <c:v>1954.3333333180301</c:v>
                </c:pt>
                <c:pt idx="5">
                  <c:v>1954.41666665139</c:v>
                </c:pt>
                <c:pt idx="6">
                  <c:v>1954.49999998475</c:v>
                </c:pt>
                <c:pt idx="7">
                  <c:v>1954.5833333181099</c:v>
                </c:pt>
                <c:pt idx="8">
                  <c:v>1954.66666665147</c:v>
                </c:pt>
                <c:pt idx="9">
                  <c:v>1954.7499999848301</c:v>
                </c:pt>
                <c:pt idx="10">
                  <c:v>1954.8333333181899</c:v>
                </c:pt>
                <c:pt idx="11">
                  <c:v>1954.91666665155</c:v>
                </c:pt>
                <c:pt idx="12">
                  <c:v>1954.9999999849099</c:v>
                </c:pt>
                <c:pt idx="13">
                  <c:v>1955.08333331827</c:v>
                </c:pt>
                <c:pt idx="14">
                  <c:v>1955.1666666516301</c:v>
                </c:pt>
                <c:pt idx="15">
                  <c:v>1955.2499999849899</c:v>
                </c:pt>
                <c:pt idx="16">
                  <c:v>1955.33333331835</c:v>
                </c:pt>
                <c:pt idx="17">
                  <c:v>1955.4166666517101</c:v>
                </c:pt>
                <c:pt idx="18">
                  <c:v>1955.49999998507</c:v>
                </c:pt>
                <c:pt idx="19">
                  <c:v>1955.58333331843</c:v>
                </c:pt>
                <c:pt idx="20">
                  <c:v>1955.6666666517899</c:v>
                </c:pt>
                <c:pt idx="21">
                  <c:v>1955.74999998515</c:v>
                </c:pt>
                <c:pt idx="22">
                  <c:v>1955.8333333185101</c:v>
                </c:pt>
                <c:pt idx="23">
                  <c:v>1955.9166666518699</c:v>
                </c:pt>
                <c:pt idx="24">
                  <c:v>1955.99999998523</c:v>
                </c:pt>
                <c:pt idx="25">
                  <c:v>1956.0833333185899</c:v>
                </c:pt>
                <c:pt idx="26">
                  <c:v>1956.16666665195</c:v>
                </c:pt>
                <c:pt idx="27">
                  <c:v>1956.2499999853101</c:v>
                </c:pt>
                <c:pt idx="28">
                  <c:v>1956.3333333186699</c:v>
                </c:pt>
                <c:pt idx="29">
                  <c:v>1956.41666665203</c:v>
                </c:pt>
                <c:pt idx="30">
                  <c:v>1956.4999999853901</c:v>
                </c:pt>
                <c:pt idx="31">
                  <c:v>1956.58333331875</c:v>
                </c:pt>
                <c:pt idx="32">
                  <c:v>1956.6666666521101</c:v>
                </c:pt>
                <c:pt idx="33">
                  <c:v>1956.7499999854699</c:v>
                </c:pt>
                <c:pt idx="34">
                  <c:v>1956.83333331883</c:v>
                </c:pt>
                <c:pt idx="35">
                  <c:v>1956.9166666521901</c:v>
                </c:pt>
                <c:pt idx="36">
                  <c:v>1956.9999999855499</c:v>
                </c:pt>
                <c:pt idx="37">
                  <c:v>1957.08333331891</c:v>
                </c:pt>
                <c:pt idx="38">
                  <c:v>1957.1666666522699</c:v>
                </c:pt>
                <c:pt idx="39">
                  <c:v>1957.24999998563</c:v>
                </c:pt>
                <c:pt idx="40">
                  <c:v>1957.3333333189901</c:v>
                </c:pt>
                <c:pt idx="41">
                  <c:v>1957.4166666523499</c:v>
                </c:pt>
                <c:pt idx="42">
                  <c:v>1957.49999998571</c:v>
                </c:pt>
                <c:pt idx="43">
                  <c:v>1957.5833333190701</c:v>
                </c:pt>
                <c:pt idx="44">
                  <c:v>1957.66666665243</c:v>
                </c:pt>
                <c:pt idx="45">
                  <c:v>1957.7499999857901</c:v>
                </c:pt>
                <c:pt idx="46">
                  <c:v>1957.8333333191499</c:v>
                </c:pt>
                <c:pt idx="47">
                  <c:v>1957.91666665251</c:v>
                </c:pt>
                <c:pt idx="48">
                  <c:v>1957.9999999858701</c:v>
                </c:pt>
                <c:pt idx="49">
                  <c:v>1958.08333331923</c:v>
                </c:pt>
                <c:pt idx="50">
                  <c:v>1958.16666665259</c:v>
                </c:pt>
                <c:pt idx="51">
                  <c:v>1958.2499999859499</c:v>
                </c:pt>
                <c:pt idx="52">
                  <c:v>1958.33333331931</c:v>
                </c:pt>
                <c:pt idx="53">
                  <c:v>1958.4166666526701</c:v>
                </c:pt>
                <c:pt idx="54">
                  <c:v>1958.4999999860299</c:v>
                </c:pt>
                <c:pt idx="55">
                  <c:v>1958.58333331939</c:v>
                </c:pt>
                <c:pt idx="56">
                  <c:v>1958.6666666527501</c:v>
                </c:pt>
                <c:pt idx="57">
                  <c:v>1958.74999998611</c:v>
                </c:pt>
                <c:pt idx="58">
                  <c:v>1958.8333333194701</c:v>
                </c:pt>
                <c:pt idx="59">
                  <c:v>1958.9166666528299</c:v>
                </c:pt>
                <c:pt idx="60">
                  <c:v>1958.99999998619</c:v>
                </c:pt>
                <c:pt idx="61">
                  <c:v>1959.0833333195501</c:v>
                </c:pt>
                <c:pt idx="62">
                  <c:v>1959.16666665291</c:v>
                </c:pt>
                <c:pt idx="63">
                  <c:v>1959.24999998628</c:v>
                </c:pt>
                <c:pt idx="64">
                  <c:v>1959.3333333196399</c:v>
                </c:pt>
                <c:pt idx="65">
                  <c:v>1959.416666653</c:v>
                </c:pt>
                <c:pt idx="66">
                  <c:v>1959.4999999863601</c:v>
                </c:pt>
                <c:pt idx="67">
                  <c:v>1959.5833333197199</c:v>
                </c:pt>
                <c:pt idx="68">
                  <c:v>1959.66666665308</c:v>
                </c:pt>
                <c:pt idx="69">
                  <c:v>1959.7499999864399</c:v>
                </c:pt>
                <c:pt idx="70">
                  <c:v>1959.8333333198</c:v>
                </c:pt>
                <c:pt idx="71">
                  <c:v>1959.9166666531601</c:v>
                </c:pt>
                <c:pt idx="72">
                  <c:v>1959.9999999865199</c:v>
                </c:pt>
                <c:pt idx="73">
                  <c:v>1960.08333331988</c:v>
                </c:pt>
                <c:pt idx="74">
                  <c:v>1960.1666666532401</c:v>
                </c:pt>
                <c:pt idx="75">
                  <c:v>1960.2499999866</c:v>
                </c:pt>
                <c:pt idx="76">
                  <c:v>1960.33333331996</c:v>
                </c:pt>
                <c:pt idx="77">
                  <c:v>1960.4166666533199</c:v>
                </c:pt>
                <c:pt idx="78">
                  <c:v>1960.49999998668</c:v>
                </c:pt>
                <c:pt idx="79">
                  <c:v>1960.5833333200401</c:v>
                </c:pt>
                <c:pt idx="80">
                  <c:v>1960.6666666533999</c:v>
                </c:pt>
                <c:pt idx="81">
                  <c:v>1960.74999998676</c:v>
                </c:pt>
                <c:pt idx="82">
                  <c:v>1960.8333333201199</c:v>
                </c:pt>
                <c:pt idx="83">
                  <c:v>1960.91666665348</c:v>
                </c:pt>
                <c:pt idx="84">
                  <c:v>1960.9999999868401</c:v>
                </c:pt>
                <c:pt idx="85">
                  <c:v>1961.0833333201999</c:v>
                </c:pt>
                <c:pt idx="86">
                  <c:v>1961.16666665356</c:v>
                </c:pt>
                <c:pt idx="87">
                  <c:v>1961.2499999869201</c:v>
                </c:pt>
                <c:pt idx="88">
                  <c:v>1961.33333332028</c:v>
                </c:pt>
                <c:pt idx="89">
                  <c:v>1961.41666665364</c:v>
                </c:pt>
                <c:pt idx="90">
                  <c:v>1961.4999999869999</c:v>
                </c:pt>
                <c:pt idx="91">
                  <c:v>1961.58333332036</c:v>
                </c:pt>
                <c:pt idx="92">
                  <c:v>1961.6666666537201</c:v>
                </c:pt>
                <c:pt idx="93">
                  <c:v>1961.7499999870799</c:v>
                </c:pt>
                <c:pt idx="94">
                  <c:v>1961.83333332044</c:v>
                </c:pt>
                <c:pt idx="95">
                  <c:v>1961.9166666537999</c:v>
                </c:pt>
                <c:pt idx="96">
                  <c:v>1961.99999998716</c:v>
                </c:pt>
                <c:pt idx="97">
                  <c:v>1962.0833333205201</c:v>
                </c:pt>
                <c:pt idx="98">
                  <c:v>1962.1666666538799</c:v>
                </c:pt>
                <c:pt idx="99">
                  <c:v>1962.24999998724</c:v>
                </c:pt>
                <c:pt idx="100">
                  <c:v>1962.3333333205999</c:v>
                </c:pt>
                <c:pt idx="101">
                  <c:v>1962.41666665396</c:v>
                </c:pt>
                <c:pt idx="102">
                  <c:v>1962.4999999873201</c:v>
                </c:pt>
                <c:pt idx="103">
                  <c:v>1962.5833333206799</c:v>
                </c:pt>
                <c:pt idx="104">
                  <c:v>1962.66666665404</c:v>
                </c:pt>
                <c:pt idx="105">
                  <c:v>1962.7499999874001</c:v>
                </c:pt>
                <c:pt idx="106">
                  <c:v>1962.8333333207599</c:v>
                </c:pt>
                <c:pt idx="107">
                  <c:v>1962.91666665412</c:v>
                </c:pt>
                <c:pt idx="108">
                  <c:v>1962.9999999874799</c:v>
                </c:pt>
                <c:pt idx="109">
                  <c:v>1963.08333332084</c:v>
                </c:pt>
                <c:pt idx="110">
                  <c:v>1963.1666666542001</c:v>
                </c:pt>
                <c:pt idx="111">
                  <c:v>1963.2499999875599</c:v>
                </c:pt>
                <c:pt idx="112">
                  <c:v>1963.33333332092</c:v>
                </c:pt>
                <c:pt idx="113">
                  <c:v>1963.4166666542801</c:v>
                </c:pt>
                <c:pt idx="114">
                  <c:v>1963.49999998764</c:v>
                </c:pt>
                <c:pt idx="115">
                  <c:v>1963.5833333210001</c:v>
                </c:pt>
                <c:pt idx="116">
                  <c:v>1963.6666666543599</c:v>
                </c:pt>
                <c:pt idx="117">
                  <c:v>1963.74999998772</c:v>
                </c:pt>
                <c:pt idx="118">
                  <c:v>1963.8333333210801</c:v>
                </c:pt>
                <c:pt idx="119">
                  <c:v>1963.91666665444</c:v>
                </c:pt>
                <c:pt idx="120">
                  <c:v>1963.9999999878</c:v>
                </c:pt>
                <c:pt idx="121">
                  <c:v>1964.0833333211599</c:v>
                </c:pt>
                <c:pt idx="122">
                  <c:v>1964.16666665452</c:v>
                </c:pt>
                <c:pt idx="123">
                  <c:v>1964.2499999878801</c:v>
                </c:pt>
                <c:pt idx="124">
                  <c:v>1964.3333333212399</c:v>
                </c:pt>
                <c:pt idx="125">
                  <c:v>1964.4166666546</c:v>
                </c:pt>
                <c:pt idx="126">
                  <c:v>1964.4999999879601</c:v>
                </c:pt>
                <c:pt idx="127">
                  <c:v>1964.58333332132</c:v>
                </c:pt>
                <c:pt idx="128">
                  <c:v>1964.6666666546801</c:v>
                </c:pt>
                <c:pt idx="129">
                  <c:v>1964.7499999880399</c:v>
                </c:pt>
                <c:pt idx="130">
                  <c:v>1964.8333333214</c:v>
                </c:pt>
                <c:pt idx="131">
                  <c:v>1964.9166666547601</c:v>
                </c:pt>
                <c:pt idx="132">
                  <c:v>1964.99999998812</c:v>
                </c:pt>
                <c:pt idx="133">
                  <c:v>1965.08333332148</c:v>
                </c:pt>
                <c:pt idx="134">
                  <c:v>1965.1666666548399</c:v>
                </c:pt>
                <c:pt idx="135">
                  <c:v>1965.2499999882</c:v>
                </c:pt>
                <c:pt idx="136">
                  <c:v>1965.3333333215601</c:v>
                </c:pt>
                <c:pt idx="137">
                  <c:v>1965.4166666549199</c:v>
                </c:pt>
                <c:pt idx="138">
                  <c:v>1965.49999998828</c:v>
                </c:pt>
                <c:pt idx="139">
                  <c:v>1965.5833333216401</c:v>
                </c:pt>
                <c:pt idx="140">
                  <c:v>1965.666666655</c:v>
                </c:pt>
                <c:pt idx="141">
                  <c:v>1965.7499999883601</c:v>
                </c:pt>
                <c:pt idx="142">
                  <c:v>1965.8333333217199</c:v>
                </c:pt>
                <c:pt idx="143">
                  <c:v>1965.91666665508</c:v>
                </c:pt>
                <c:pt idx="144">
                  <c:v>1965.9999999884401</c:v>
                </c:pt>
                <c:pt idx="145">
                  <c:v>1966.0833333218</c:v>
                </c:pt>
                <c:pt idx="146">
                  <c:v>1966.16666665516</c:v>
                </c:pt>
                <c:pt idx="147">
                  <c:v>1966.2499999885199</c:v>
                </c:pt>
                <c:pt idx="148">
                  <c:v>1966.33333332188</c:v>
                </c:pt>
                <c:pt idx="149">
                  <c:v>1966.4166666552401</c:v>
                </c:pt>
                <c:pt idx="150">
                  <c:v>1966.4999999885999</c:v>
                </c:pt>
                <c:pt idx="151">
                  <c:v>1966.58333332196</c:v>
                </c:pt>
                <c:pt idx="152">
                  <c:v>1966.6666666553199</c:v>
                </c:pt>
                <c:pt idx="153">
                  <c:v>1966.74999998868</c:v>
                </c:pt>
                <c:pt idx="154">
                  <c:v>1966.8333333220401</c:v>
                </c:pt>
                <c:pt idx="155">
                  <c:v>1966.9166666553999</c:v>
                </c:pt>
                <c:pt idx="156">
                  <c:v>1966.99999998876</c:v>
                </c:pt>
                <c:pt idx="157">
                  <c:v>1967.0833333221201</c:v>
                </c:pt>
                <c:pt idx="158">
                  <c:v>1967.16666665548</c:v>
                </c:pt>
                <c:pt idx="159">
                  <c:v>1967.24999998884</c:v>
                </c:pt>
                <c:pt idx="160">
                  <c:v>1967.3333333221999</c:v>
                </c:pt>
                <c:pt idx="161">
                  <c:v>1967.41666665556</c:v>
                </c:pt>
                <c:pt idx="162">
                  <c:v>1967.4999999889201</c:v>
                </c:pt>
                <c:pt idx="163">
                  <c:v>1967.5833333222799</c:v>
                </c:pt>
                <c:pt idx="164">
                  <c:v>1967.66666665564</c:v>
                </c:pt>
                <c:pt idx="165">
                  <c:v>1967.7499999889999</c:v>
                </c:pt>
                <c:pt idx="166">
                  <c:v>1967.83333332236</c:v>
                </c:pt>
                <c:pt idx="167">
                  <c:v>1967.9166666557201</c:v>
                </c:pt>
                <c:pt idx="168">
                  <c:v>1967.9999999890799</c:v>
                </c:pt>
                <c:pt idx="169">
                  <c:v>1968.08333332244</c:v>
                </c:pt>
                <c:pt idx="170">
                  <c:v>1968.1666666558001</c:v>
                </c:pt>
                <c:pt idx="171">
                  <c:v>1968.24999998916</c:v>
                </c:pt>
                <c:pt idx="172">
                  <c:v>1968.33333332252</c:v>
                </c:pt>
                <c:pt idx="173">
                  <c:v>1968.4166666558799</c:v>
                </c:pt>
                <c:pt idx="174">
                  <c:v>1968.49999998924</c:v>
                </c:pt>
                <c:pt idx="175">
                  <c:v>1968.5833333226001</c:v>
                </c:pt>
                <c:pt idx="176">
                  <c:v>1968.6666666559599</c:v>
                </c:pt>
                <c:pt idx="177">
                  <c:v>1968.74999998933</c:v>
                </c:pt>
                <c:pt idx="178">
                  <c:v>1968.8333333226899</c:v>
                </c:pt>
                <c:pt idx="179">
                  <c:v>1968.91666665605</c:v>
                </c:pt>
                <c:pt idx="180">
                  <c:v>1968.9999999894101</c:v>
                </c:pt>
                <c:pt idx="181">
                  <c:v>1969.0833333227699</c:v>
                </c:pt>
                <c:pt idx="182">
                  <c:v>1969.16666665613</c:v>
                </c:pt>
                <c:pt idx="183">
                  <c:v>1969.2499999894901</c:v>
                </c:pt>
                <c:pt idx="184">
                  <c:v>1969.33333332285</c:v>
                </c:pt>
                <c:pt idx="185">
                  <c:v>1969.4166666562101</c:v>
                </c:pt>
                <c:pt idx="186">
                  <c:v>1969.4999999895699</c:v>
                </c:pt>
                <c:pt idx="187">
                  <c:v>1969.58333332293</c:v>
                </c:pt>
                <c:pt idx="188">
                  <c:v>1969.6666666562901</c:v>
                </c:pt>
                <c:pt idx="189">
                  <c:v>1969.74999998965</c:v>
                </c:pt>
                <c:pt idx="190">
                  <c:v>1969.83333332301</c:v>
                </c:pt>
                <c:pt idx="191">
                  <c:v>1969.9166666563699</c:v>
                </c:pt>
                <c:pt idx="192">
                  <c:v>1969.99999998973</c:v>
                </c:pt>
                <c:pt idx="193">
                  <c:v>1970.0833333230901</c:v>
                </c:pt>
                <c:pt idx="194">
                  <c:v>1970.1666666564499</c:v>
                </c:pt>
                <c:pt idx="195">
                  <c:v>1970.24999998981</c:v>
                </c:pt>
                <c:pt idx="196">
                  <c:v>1970.3333333231701</c:v>
                </c:pt>
                <c:pt idx="197">
                  <c:v>1970.41666665653</c:v>
                </c:pt>
                <c:pt idx="198">
                  <c:v>1970.4999999898901</c:v>
                </c:pt>
                <c:pt idx="199">
                  <c:v>1970.5833333232499</c:v>
                </c:pt>
                <c:pt idx="200">
                  <c:v>1970.66666665661</c:v>
                </c:pt>
                <c:pt idx="201">
                  <c:v>1970.7499999899701</c:v>
                </c:pt>
                <c:pt idx="202">
                  <c:v>1970.83333332333</c:v>
                </c:pt>
                <c:pt idx="203">
                  <c:v>1970.91666665669</c:v>
                </c:pt>
                <c:pt idx="204">
                  <c:v>1970.9999999900499</c:v>
                </c:pt>
                <c:pt idx="205">
                  <c:v>1971.08333332341</c:v>
                </c:pt>
                <c:pt idx="206">
                  <c:v>1971.1666666567701</c:v>
                </c:pt>
                <c:pt idx="207">
                  <c:v>1971.2499999901299</c:v>
                </c:pt>
                <c:pt idx="208">
                  <c:v>1971.33333332349</c:v>
                </c:pt>
                <c:pt idx="209">
                  <c:v>1971.4166666568501</c:v>
                </c:pt>
                <c:pt idx="210">
                  <c:v>1971.49999999021</c:v>
                </c:pt>
                <c:pt idx="211">
                  <c:v>1971.5833333235701</c:v>
                </c:pt>
                <c:pt idx="212">
                  <c:v>1971.6666666569299</c:v>
                </c:pt>
                <c:pt idx="213">
                  <c:v>1971.74999999029</c:v>
                </c:pt>
                <c:pt idx="214">
                  <c:v>1971.8333333236501</c:v>
                </c:pt>
                <c:pt idx="215">
                  <c:v>1971.91666665701</c:v>
                </c:pt>
                <c:pt idx="216">
                  <c:v>1971.99999999037</c:v>
                </c:pt>
                <c:pt idx="217">
                  <c:v>1972.0833333237299</c:v>
                </c:pt>
                <c:pt idx="218">
                  <c:v>1972.16666665709</c:v>
                </c:pt>
                <c:pt idx="219">
                  <c:v>1972.2499999904501</c:v>
                </c:pt>
                <c:pt idx="220">
                  <c:v>1972.3333333238099</c:v>
                </c:pt>
                <c:pt idx="221">
                  <c:v>1972.41666665717</c:v>
                </c:pt>
                <c:pt idx="222">
                  <c:v>1972.4999999905299</c:v>
                </c:pt>
                <c:pt idx="223">
                  <c:v>1972.58333332389</c:v>
                </c:pt>
                <c:pt idx="224">
                  <c:v>1972.6666666572501</c:v>
                </c:pt>
                <c:pt idx="225">
                  <c:v>1972.7499999906099</c:v>
                </c:pt>
                <c:pt idx="226">
                  <c:v>1972.83333332397</c:v>
                </c:pt>
                <c:pt idx="227">
                  <c:v>1972.9166666573301</c:v>
                </c:pt>
                <c:pt idx="228">
                  <c:v>1972.99999999069</c:v>
                </c:pt>
                <c:pt idx="229">
                  <c:v>1973.08333332405</c:v>
                </c:pt>
                <c:pt idx="230">
                  <c:v>1973.1666666574099</c:v>
                </c:pt>
                <c:pt idx="231">
                  <c:v>1973.24999999077</c:v>
                </c:pt>
                <c:pt idx="232">
                  <c:v>1973.3333333241301</c:v>
                </c:pt>
                <c:pt idx="233">
                  <c:v>1973.4166666574899</c:v>
                </c:pt>
                <c:pt idx="234">
                  <c:v>1973.49999999085</c:v>
                </c:pt>
                <c:pt idx="235">
                  <c:v>1973.5833333242099</c:v>
                </c:pt>
                <c:pt idx="236">
                  <c:v>1973.66666665757</c:v>
                </c:pt>
                <c:pt idx="237">
                  <c:v>1973.7499999909301</c:v>
                </c:pt>
                <c:pt idx="238">
                  <c:v>1973.8333333242899</c:v>
                </c:pt>
                <c:pt idx="239">
                  <c:v>1973.91666665765</c:v>
                </c:pt>
                <c:pt idx="240">
                  <c:v>1973.9999999910101</c:v>
                </c:pt>
                <c:pt idx="241">
                  <c:v>1974.08333332437</c:v>
                </c:pt>
                <c:pt idx="242">
                  <c:v>1974.16666665773</c:v>
                </c:pt>
                <c:pt idx="243">
                  <c:v>1974.2499999910899</c:v>
                </c:pt>
                <c:pt idx="244">
                  <c:v>1974.33333332445</c:v>
                </c:pt>
                <c:pt idx="245">
                  <c:v>1974.4166666578101</c:v>
                </c:pt>
                <c:pt idx="246">
                  <c:v>1974.4999999911699</c:v>
                </c:pt>
                <c:pt idx="247">
                  <c:v>1974.58333332453</c:v>
                </c:pt>
                <c:pt idx="248">
                  <c:v>1974.6666666578899</c:v>
                </c:pt>
                <c:pt idx="249">
                  <c:v>1974.74999999125</c:v>
                </c:pt>
                <c:pt idx="250">
                  <c:v>1974.8333333246101</c:v>
                </c:pt>
                <c:pt idx="251">
                  <c:v>1974.9166666579699</c:v>
                </c:pt>
                <c:pt idx="252">
                  <c:v>1974.99999999133</c:v>
                </c:pt>
                <c:pt idx="253">
                  <c:v>1975.0833333246901</c:v>
                </c:pt>
                <c:pt idx="254">
                  <c:v>1975.16666665805</c:v>
                </c:pt>
                <c:pt idx="255">
                  <c:v>1975.24999999141</c:v>
                </c:pt>
                <c:pt idx="256">
                  <c:v>1975.3333333247699</c:v>
                </c:pt>
                <c:pt idx="257">
                  <c:v>1975.41666665813</c:v>
                </c:pt>
                <c:pt idx="258">
                  <c:v>1975.4999999914901</c:v>
                </c:pt>
                <c:pt idx="259">
                  <c:v>1975.5833333248499</c:v>
                </c:pt>
                <c:pt idx="260">
                  <c:v>1975.66666665821</c:v>
                </c:pt>
                <c:pt idx="261">
                  <c:v>1975.7499999915699</c:v>
                </c:pt>
                <c:pt idx="262">
                  <c:v>1975.83333332493</c:v>
                </c:pt>
                <c:pt idx="263">
                  <c:v>1975.9166666582901</c:v>
                </c:pt>
                <c:pt idx="264">
                  <c:v>1975.9999999916499</c:v>
                </c:pt>
                <c:pt idx="265">
                  <c:v>1976.08333332501</c:v>
                </c:pt>
                <c:pt idx="266">
                  <c:v>1976.1666666583701</c:v>
                </c:pt>
                <c:pt idx="267">
                  <c:v>1976.24999999173</c:v>
                </c:pt>
                <c:pt idx="268">
                  <c:v>1976.3333333250901</c:v>
                </c:pt>
                <c:pt idx="269">
                  <c:v>1976.4166666584499</c:v>
                </c:pt>
                <c:pt idx="270">
                  <c:v>1976.49999999181</c:v>
                </c:pt>
                <c:pt idx="271">
                  <c:v>1976.5833333251701</c:v>
                </c:pt>
                <c:pt idx="272">
                  <c:v>1976.6666666585299</c:v>
                </c:pt>
                <c:pt idx="273">
                  <c:v>1976.74999999189</c:v>
                </c:pt>
                <c:pt idx="274">
                  <c:v>1976.8333333252499</c:v>
                </c:pt>
                <c:pt idx="275">
                  <c:v>1976.91666665861</c:v>
                </c:pt>
                <c:pt idx="276">
                  <c:v>1976.9999999919701</c:v>
                </c:pt>
                <c:pt idx="277">
                  <c:v>1977.0833333253299</c:v>
                </c:pt>
                <c:pt idx="278">
                  <c:v>1977.16666665869</c:v>
                </c:pt>
                <c:pt idx="279">
                  <c:v>1977.2499999920501</c:v>
                </c:pt>
                <c:pt idx="280">
                  <c:v>1977.33333332541</c:v>
                </c:pt>
                <c:pt idx="281">
                  <c:v>1977.4166666587701</c:v>
                </c:pt>
                <c:pt idx="282">
                  <c:v>1977.4999999921299</c:v>
                </c:pt>
                <c:pt idx="283">
                  <c:v>1977.58333332549</c:v>
                </c:pt>
                <c:pt idx="284">
                  <c:v>1977.6666666588501</c:v>
                </c:pt>
                <c:pt idx="285">
                  <c:v>1977.74999999221</c:v>
                </c:pt>
                <c:pt idx="286">
                  <c:v>1977.83333332557</c:v>
                </c:pt>
                <c:pt idx="287">
                  <c:v>1977.9166666589297</c:v>
                </c:pt>
                <c:pt idx="288">
                  <c:v>1977.99999999229</c:v>
                </c:pt>
                <c:pt idx="289">
                  <c:v>1978.0833333256503</c:v>
                </c:pt>
                <c:pt idx="290">
                  <c:v>1978.1666666590106</c:v>
                </c:pt>
                <c:pt idx="291">
                  <c:v>1978.2499999923707</c:v>
                </c:pt>
                <c:pt idx="292">
                  <c:v>1978.333333325731</c:v>
                </c:pt>
                <c:pt idx="293">
                  <c:v>1978.4166666590913</c:v>
                </c:pt>
                <c:pt idx="294">
                  <c:v>1978.4999999924516</c:v>
                </c:pt>
                <c:pt idx="295">
                  <c:v>1978.583333325812</c:v>
                </c:pt>
                <c:pt idx="296">
                  <c:v>1978.6666666591721</c:v>
                </c:pt>
                <c:pt idx="297">
                  <c:v>1978.7499999925324</c:v>
                </c:pt>
                <c:pt idx="298">
                  <c:v>1978.8333333258927</c:v>
                </c:pt>
                <c:pt idx="299">
                  <c:v>1978.916666659253</c:v>
                </c:pt>
                <c:pt idx="300">
                  <c:v>1978.9999999926133</c:v>
                </c:pt>
                <c:pt idx="301">
                  <c:v>1979.0833333259736</c:v>
                </c:pt>
                <c:pt idx="302">
                  <c:v>1979.1666666593337</c:v>
                </c:pt>
                <c:pt idx="303">
                  <c:v>1979.249999992694</c:v>
                </c:pt>
                <c:pt idx="304">
                  <c:v>1979.3333333260543</c:v>
                </c:pt>
                <c:pt idx="305">
                  <c:v>1979.4166666594147</c:v>
                </c:pt>
                <c:pt idx="306">
                  <c:v>1979.499999992775</c:v>
                </c:pt>
                <c:pt idx="307">
                  <c:v>1979.5833333261351</c:v>
                </c:pt>
                <c:pt idx="308">
                  <c:v>1979.6666666594954</c:v>
                </c:pt>
                <c:pt idx="309">
                  <c:v>1979.7499999928557</c:v>
                </c:pt>
                <c:pt idx="310">
                  <c:v>1979.833333326216</c:v>
                </c:pt>
                <c:pt idx="311">
                  <c:v>1979.9166666595763</c:v>
                </c:pt>
                <c:pt idx="312">
                  <c:v>1979.9999999929364</c:v>
                </c:pt>
                <c:pt idx="313">
                  <c:v>1980.0833333262967</c:v>
                </c:pt>
                <c:pt idx="314">
                  <c:v>1980.166666659657</c:v>
                </c:pt>
                <c:pt idx="315">
                  <c:v>1980.2499999930174</c:v>
                </c:pt>
                <c:pt idx="316">
                  <c:v>1980.3333333263777</c:v>
                </c:pt>
                <c:pt idx="317">
                  <c:v>1980.416666659738</c:v>
                </c:pt>
                <c:pt idx="318">
                  <c:v>1980.4999999930981</c:v>
                </c:pt>
                <c:pt idx="319">
                  <c:v>1980.5833333264584</c:v>
                </c:pt>
                <c:pt idx="320">
                  <c:v>1980.6666666598187</c:v>
                </c:pt>
                <c:pt idx="321">
                  <c:v>1980.749999993179</c:v>
                </c:pt>
                <c:pt idx="322">
                  <c:v>1980.8333333265393</c:v>
                </c:pt>
                <c:pt idx="323">
                  <c:v>1980.9166666598994</c:v>
                </c:pt>
                <c:pt idx="324">
                  <c:v>1980.9999999932597</c:v>
                </c:pt>
                <c:pt idx="325">
                  <c:v>1981.08333332662</c:v>
                </c:pt>
                <c:pt idx="326">
                  <c:v>1981.1666666599799</c:v>
                </c:pt>
                <c:pt idx="327">
                  <c:v>1981.24999999334</c:v>
                </c:pt>
                <c:pt idx="328">
                  <c:v>1981.3333333267001</c:v>
                </c:pt>
                <c:pt idx="329">
                  <c:v>1981.4166666600599</c:v>
                </c:pt>
                <c:pt idx="330">
                  <c:v>1981.49999999342</c:v>
                </c:pt>
                <c:pt idx="331">
                  <c:v>1981.5833333267799</c:v>
                </c:pt>
                <c:pt idx="332">
                  <c:v>1981.66666666014</c:v>
                </c:pt>
                <c:pt idx="333">
                  <c:v>1981.7499999935001</c:v>
                </c:pt>
                <c:pt idx="334">
                  <c:v>1981.8333333268599</c:v>
                </c:pt>
                <c:pt idx="335">
                  <c:v>1981.91666666022</c:v>
                </c:pt>
                <c:pt idx="336">
                  <c:v>1981.9999999935801</c:v>
                </c:pt>
                <c:pt idx="337">
                  <c:v>1982.08333332694</c:v>
                </c:pt>
                <c:pt idx="338">
                  <c:v>1982.1666666603001</c:v>
                </c:pt>
                <c:pt idx="339">
                  <c:v>1982.2499999936599</c:v>
                </c:pt>
                <c:pt idx="340">
                  <c:v>1982.33333332702</c:v>
                </c:pt>
                <c:pt idx="341">
                  <c:v>1982.4166666603801</c:v>
                </c:pt>
                <c:pt idx="342">
                  <c:v>1982.4999999937399</c:v>
                </c:pt>
                <c:pt idx="343">
                  <c:v>1982.5833333271</c:v>
                </c:pt>
                <c:pt idx="344">
                  <c:v>1982.6666666604599</c:v>
                </c:pt>
                <c:pt idx="345">
                  <c:v>1982.74999999382</c:v>
                </c:pt>
                <c:pt idx="346">
                  <c:v>1982.8333333271801</c:v>
                </c:pt>
                <c:pt idx="347">
                  <c:v>1982.9166666605399</c:v>
                </c:pt>
                <c:pt idx="348">
                  <c:v>1982.9999999939</c:v>
                </c:pt>
                <c:pt idx="349">
                  <c:v>1983.0833333272601</c:v>
                </c:pt>
                <c:pt idx="350">
                  <c:v>1983.16666666062</c:v>
                </c:pt>
                <c:pt idx="351">
                  <c:v>1983.2499999939801</c:v>
                </c:pt>
                <c:pt idx="352">
                  <c:v>1983.3333333273399</c:v>
                </c:pt>
                <c:pt idx="353">
                  <c:v>1983.4166666607</c:v>
                </c:pt>
                <c:pt idx="354">
                  <c:v>1983.4999999940601</c:v>
                </c:pt>
                <c:pt idx="355">
                  <c:v>1983.58333332742</c:v>
                </c:pt>
                <c:pt idx="356">
                  <c:v>1983.66666666078</c:v>
                </c:pt>
                <c:pt idx="357">
                  <c:v>1983.7499999941399</c:v>
                </c:pt>
                <c:pt idx="358">
                  <c:v>1983.8333333275</c:v>
                </c:pt>
                <c:pt idx="359">
                  <c:v>1983.9166666608601</c:v>
                </c:pt>
                <c:pt idx="360">
                  <c:v>1983.9999999942199</c:v>
                </c:pt>
                <c:pt idx="361">
                  <c:v>1984.08333332758</c:v>
                </c:pt>
                <c:pt idx="362">
                  <c:v>1984.1666666609401</c:v>
                </c:pt>
                <c:pt idx="363">
                  <c:v>1984.2499999943</c:v>
                </c:pt>
                <c:pt idx="364">
                  <c:v>1984.3333333276601</c:v>
                </c:pt>
                <c:pt idx="365">
                  <c:v>1984.4166666610199</c:v>
                </c:pt>
                <c:pt idx="366">
                  <c:v>1984.49999999438</c:v>
                </c:pt>
                <c:pt idx="367">
                  <c:v>1984.5833333277401</c:v>
                </c:pt>
                <c:pt idx="368">
                  <c:v>1984.6666666611</c:v>
                </c:pt>
                <c:pt idx="369">
                  <c:v>1984.74999999446</c:v>
                </c:pt>
                <c:pt idx="370">
                  <c:v>1984.8333333278199</c:v>
                </c:pt>
                <c:pt idx="371">
                  <c:v>1984.91666666118</c:v>
                </c:pt>
                <c:pt idx="372">
                  <c:v>1984.9999999945401</c:v>
                </c:pt>
                <c:pt idx="373">
                  <c:v>1985.0833333278999</c:v>
                </c:pt>
                <c:pt idx="374">
                  <c:v>1985.16666666126</c:v>
                </c:pt>
                <c:pt idx="375">
                  <c:v>1985.2499999946201</c:v>
                </c:pt>
                <c:pt idx="376">
                  <c:v>1985.33333332798</c:v>
                </c:pt>
                <c:pt idx="377">
                  <c:v>1985.4166666613401</c:v>
                </c:pt>
                <c:pt idx="378">
                  <c:v>1985.4999999946999</c:v>
                </c:pt>
                <c:pt idx="379">
                  <c:v>1985.58333332806</c:v>
                </c:pt>
                <c:pt idx="380">
                  <c:v>1985.6666666614201</c:v>
                </c:pt>
                <c:pt idx="381">
                  <c:v>1985.74999999478</c:v>
                </c:pt>
                <c:pt idx="382">
                  <c:v>1985.83333332814</c:v>
                </c:pt>
                <c:pt idx="383">
                  <c:v>1985.9166666614999</c:v>
                </c:pt>
                <c:pt idx="384">
                  <c:v>1985.99999999486</c:v>
                </c:pt>
                <c:pt idx="385">
                  <c:v>1986.0833333282201</c:v>
                </c:pt>
                <c:pt idx="386">
                  <c:v>1986.1666666615799</c:v>
                </c:pt>
                <c:pt idx="387">
                  <c:v>1986.24999999494</c:v>
                </c:pt>
                <c:pt idx="388">
                  <c:v>1986.3333333282999</c:v>
                </c:pt>
                <c:pt idx="389">
                  <c:v>1986.41666666166</c:v>
                </c:pt>
                <c:pt idx="390">
                  <c:v>1986.4999999950201</c:v>
                </c:pt>
                <c:pt idx="391">
                  <c:v>1986.5833333283799</c:v>
                </c:pt>
                <c:pt idx="392">
                  <c:v>1986.66666666174</c:v>
                </c:pt>
                <c:pt idx="393">
                  <c:v>1986.7499999951001</c:v>
                </c:pt>
                <c:pt idx="394">
                  <c:v>1986.83333332846</c:v>
                </c:pt>
                <c:pt idx="395">
                  <c:v>1986.91666666182</c:v>
                </c:pt>
                <c:pt idx="396">
                  <c:v>1986.9999999951799</c:v>
                </c:pt>
                <c:pt idx="397">
                  <c:v>1987.08333332854</c:v>
                </c:pt>
                <c:pt idx="398">
                  <c:v>1987.1666666619001</c:v>
                </c:pt>
                <c:pt idx="399">
                  <c:v>1987.2499999952599</c:v>
                </c:pt>
                <c:pt idx="400">
                  <c:v>1987.33333332862</c:v>
                </c:pt>
                <c:pt idx="401">
                  <c:v>1987.4166666619799</c:v>
                </c:pt>
                <c:pt idx="402">
                  <c:v>1987.49999999534</c:v>
                </c:pt>
                <c:pt idx="403">
                  <c:v>1987.5833333287001</c:v>
                </c:pt>
                <c:pt idx="404">
                  <c:v>1987.6666666620599</c:v>
                </c:pt>
                <c:pt idx="405">
                  <c:v>1987.74999999543</c:v>
                </c:pt>
                <c:pt idx="406">
                  <c:v>1987.8333333287901</c:v>
                </c:pt>
                <c:pt idx="407">
                  <c:v>1987.9166666621497</c:v>
                </c:pt>
                <c:pt idx="408">
                  <c:v>1987.9999999955098</c:v>
                </c:pt>
                <c:pt idx="409">
                  <c:v>1988.0833333288699</c:v>
                </c:pt>
                <c:pt idx="410">
                  <c:v>1988.1666666622298</c:v>
                </c:pt>
                <c:pt idx="411">
                  <c:v>1988.2499999955899</c:v>
                </c:pt>
                <c:pt idx="412">
                  <c:v>1988.3333333289497</c:v>
                </c:pt>
                <c:pt idx="413">
                  <c:v>1988.4166666623098</c:v>
                </c:pt>
                <c:pt idx="414">
                  <c:v>1988.4999999956699</c:v>
                </c:pt>
                <c:pt idx="415">
                  <c:v>1988.5833333290298</c:v>
                </c:pt>
                <c:pt idx="416">
                  <c:v>1988.6666666623898</c:v>
                </c:pt>
                <c:pt idx="417">
                  <c:v>1988.7499999957499</c:v>
                </c:pt>
                <c:pt idx="418">
                  <c:v>1988.8333333291098</c:v>
                </c:pt>
                <c:pt idx="419">
                  <c:v>1988.9166666624699</c:v>
                </c:pt>
                <c:pt idx="420">
                  <c:v>1988.9999999958297</c:v>
                </c:pt>
                <c:pt idx="421">
                  <c:v>1989.0833333291898</c:v>
                </c:pt>
                <c:pt idx="422">
                  <c:v>1989.1666666625499</c:v>
                </c:pt>
                <c:pt idx="423">
                  <c:v>1989.2499999959098</c:v>
                </c:pt>
                <c:pt idx="424">
                  <c:v>1989.3333333292699</c:v>
                </c:pt>
                <c:pt idx="425">
                  <c:v>1989.41666666263</c:v>
                </c:pt>
                <c:pt idx="426">
                  <c:v>1989.4999999959898</c:v>
                </c:pt>
                <c:pt idx="427">
                  <c:v>1989.5833333293499</c:v>
                </c:pt>
                <c:pt idx="428">
                  <c:v>1989.6666666627098</c:v>
                </c:pt>
                <c:pt idx="429">
                  <c:v>1989.7499999960698</c:v>
                </c:pt>
                <c:pt idx="430">
                  <c:v>1989.8333333294299</c:v>
                </c:pt>
                <c:pt idx="431">
                  <c:v>1989.9166666627898</c:v>
                </c:pt>
                <c:pt idx="432">
                  <c:v>1989.9999999961499</c:v>
                </c:pt>
                <c:pt idx="433">
                  <c:v>1990.08333332951</c:v>
                </c:pt>
                <c:pt idx="434">
                  <c:v>1990.1666666628698</c:v>
                </c:pt>
                <c:pt idx="435">
                  <c:v>1990.2499999962299</c:v>
                </c:pt>
                <c:pt idx="436">
                  <c:v>1990.3333333295898</c:v>
                </c:pt>
                <c:pt idx="437">
                  <c:v>1990.4166666629499</c:v>
                </c:pt>
                <c:pt idx="438">
                  <c:v>1990.49999999631</c:v>
                </c:pt>
                <c:pt idx="439">
                  <c:v>1990.5833333296698</c:v>
                </c:pt>
                <c:pt idx="440">
                  <c:v>1990.6666666630299</c:v>
                </c:pt>
                <c:pt idx="441">
                  <c:v>1990.74999999639</c:v>
                </c:pt>
                <c:pt idx="442">
                  <c:v>1990.8333333297498</c:v>
                </c:pt>
                <c:pt idx="443">
                  <c:v>1990.9166666631099</c:v>
                </c:pt>
                <c:pt idx="444">
                  <c:v>1990.9999999964698</c:v>
                </c:pt>
                <c:pt idx="445">
                  <c:v>1991.0833333298301</c:v>
                </c:pt>
                <c:pt idx="446">
                  <c:v>1991.16666666319</c:v>
                </c:pt>
                <c:pt idx="447">
                  <c:v>1991.2499999965501</c:v>
                </c:pt>
                <c:pt idx="448">
                  <c:v>1991.3333333299099</c:v>
                </c:pt>
                <c:pt idx="449">
                  <c:v>1991.41666666327</c:v>
                </c:pt>
                <c:pt idx="450">
                  <c:v>1991.4999999966301</c:v>
                </c:pt>
                <c:pt idx="451">
                  <c:v>1991.58333332999</c:v>
                </c:pt>
                <c:pt idx="452">
                  <c:v>1991.66666666335</c:v>
                </c:pt>
                <c:pt idx="453">
                  <c:v>1991.7499999967099</c:v>
                </c:pt>
                <c:pt idx="454">
                  <c:v>1991.83333333007</c:v>
                </c:pt>
                <c:pt idx="455">
                  <c:v>1991.9166666634301</c:v>
                </c:pt>
                <c:pt idx="456">
                  <c:v>1991.9999999967899</c:v>
                </c:pt>
                <c:pt idx="457">
                  <c:v>1992.08333333015</c:v>
                </c:pt>
                <c:pt idx="458">
                  <c:v>1992.1666666635101</c:v>
                </c:pt>
                <c:pt idx="459">
                  <c:v>1992.24999999687</c:v>
                </c:pt>
                <c:pt idx="460">
                  <c:v>1992.3333333302301</c:v>
                </c:pt>
                <c:pt idx="461">
                  <c:v>1992.4166666635899</c:v>
                </c:pt>
                <c:pt idx="462">
                  <c:v>1992.49999999695</c:v>
                </c:pt>
                <c:pt idx="463">
                  <c:v>1992.5833333303101</c:v>
                </c:pt>
                <c:pt idx="464">
                  <c:v>1992.66666666367</c:v>
                </c:pt>
                <c:pt idx="465">
                  <c:v>1992.74999999703</c:v>
                </c:pt>
                <c:pt idx="466">
                  <c:v>1992.8333333303899</c:v>
                </c:pt>
                <c:pt idx="467">
                  <c:v>1992.91666666375</c:v>
                </c:pt>
                <c:pt idx="468">
                  <c:v>1992.9999999971101</c:v>
                </c:pt>
                <c:pt idx="469">
                  <c:v>1993.0833333304699</c:v>
                </c:pt>
                <c:pt idx="470">
                  <c:v>1993.16666666383</c:v>
                </c:pt>
                <c:pt idx="471">
                  <c:v>1993.2499999971899</c:v>
                </c:pt>
                <c:pt idx="472">
                  <c:v>1993.33333333055</c:v>
                </c:pt>
                <c:pt idx="473">
                  <c:v>1993.4166666639101</c:v>
                </c:pt>
                <c:pt idx="474">
                  <c:v>1993.4999999972699</c:v>
                </c:pt>
                <c:pt idx="475">
                  <c:v>1993.58333333063</c:v>
                </c:pt>
                <c:pt idx="476">
                  <c:v>1993.6666666639901</c:v>
                </c:pt>
                <c:pt idx="477">
                  <c:v>1993.74999999735</c:v>
                </c:pt>
                <c:pt idx="478">
                  <c:v>1993.83333333071</c:v>
                </c:pt>
                <c:pt idx="479">
                  <c:v>1993.9166666640699</c:v>
                </c:pt>
                <c:pt idx="480">
                  <c:v>1993.99999999743</c:v>
                </c:pt>
                <c:pt idx="481">
                  <c:v>1994.0833333307901</c:v>
                </c:pt>
                <c:pt idx="482">
                  <c:v>1994.1666666641499</c:v>
                </c:pt>
                <c:pt idx="483">
                  <c:v>1994.24999999751</c:v>
                </c:pt>
                <c:pt idx="484">
                  <c:v>1994.3333333308699</c:v>
                </c:pt>
                <c:pt idx="485">
                  <c:v>1994.41666666423</c:v>
                </c:pt>
                <c:pt idx="486">
                  <c:v>1994.4999999975901</c:v>
                </c:pt>
                <c:pt idx="487">
                  <c:v>1994.5833333309499</c:v>
                </c:pt>
                <c:pt idx="488">
                  <c:v>1994.66666666431</c:v>
                </c:pt>
                <c:pt idx="489">
                  <c:v>1994.7499999976701</c:v>
                </c:pt>
                <c:pt idx="490">
                  <c:v>1994.83333333103</c:v>
                </c:pt>
                <c:pt idx="491">
                  <c:v>1994.91666666439</c:v>
                </c:pt>
                <c:pt idx="492">
                  <c:v>1994.9999999977499</c:v>
                </c:pt>
                <c:pt idx="493">
                  <c:v>1995.08333333111</c:v>
                </c:pt>
                <c:pt idx="494">
                  <c:v>1995.1666666644701</c:v>
                </c:pt>
                <c:pt idx="495">
                  <c:v>1995.2499999978299</c:v>
                </c:pt>
                <c:pt idx="496">
                  <c:v>1995.33333333119</c:v>
                </c:pt>
                <c:pt idx="497">
                  <c:v>1995.4166666645499</c:v>
                </c:pt>
                <c:pt idx="498">
                  <c:v>1995.49999999791</c:v>
                </c:pt>
                <c:pt idx="499">
                  <c:v>1995.5833333312701</c:v>
                </c:pt>
                <c:pt idx="500">
                  <c:v>1995.6666666646299</c:v>
                </c:pt>
                <c:pt idx="501">
                  <c:v>1995.74999999799</c:v>
                </c:pt>
                <c:pt idx="502">
                  <c:v>1995.8333333313501</c:v>
                </c:pt>
                <c:pt idx="503">
                  <c:v>1995.91666666471</c:v>
                </c:pt>
                <c:pt idx="504">
                  <c:v>1995.9999999980701</c:v>
                </c:pt>
                <c:pt idx="505">
                  <c:v>1996.0833333314299</c:v>
                </c:pt>
                <c:pt idx="506">
                  <c:v>1996.16666666479</c:v>
                </c:pt>
                <c:pt idx="507">
                  <c:v>1996.2499999981501</c:v>
                </c:pt>
                <c:pt idx="508">
                  <c:v>1996.3333333315099</c:v>
                </c:pt>
                <c:pt idx="509">
                  <c:v>1996.41666666487</c:v>
                </c:pt>
                <c:pt idx="510">
                  <c:v>1996.4999999982299</c:v>
                </c:pt>
                <c:pt idx="511">
                  <c:v>1996.58333333159</c:v>
                </c:pt>
                <c:pt idx="512">
                  <c:v>1996.6666666649501</c:v>
                </c:pt>
                <c:pt idx="513">
                  <c:v>1996.7499999983099</c:v>
                </c:pt>
                <c:pt idx="514">
                  <c:v>1996.83333333167</c:v>
                </c:pt>
                <c:pt idx="515">
                  <c:v>1996.9166666650301</c:v>
                </c:pt>
                <c:pt idx="516">
                  <c:v>1996.99999999839</c:v>
                </c:pt>
                <c:pt idx="517">
                  <c:v>1997.0833333317501</c:v>
                </c:pt>
                <c:pt idx="518">
                  <c:v>1997.1666666651099</c:v>
                </c:pt>
                <c:pt idx="519">
                  <c:v>1997.24999999848</c:v>
                </c:pt>
                <c:pt idx="520">
                  <c:v>1997.3333333318401</c:v>
                </c:pt>
                <c:pt idx="521">
                  <c:v>1997.4166666652</c:v>
                </c:pt>
                <c:pt idx="522">
                  <c:v>1997.49999999856</c:v>
                </c:pt>
                <c:pt idx="523">
                  <c:v>1997.5833333319199</c:v>
                </c:pt>
                <c:pt idx="524">
                  <c:v>1997.66666666528</c:v>
                </c:pt>
                <c:pt idx="525">
                  <c:v>1997.7499999986401</c:v>
                </c:pt>
                <c:pt idx="526">
                  <c:v>1997.8333333319999</c:v>
                </c:pt>
                <c:pt idx="527">
                  <c:v>1997.91666666536</c:v>
                </c:pt>
                <c:pt idx="528">
                  <c:v>1997.9999999987201</c:v>
                </c:pt>
                <c:pt idx="529">
                  <c:v>1998.08333333208</c:v>
                </c:pt>
                <c:pt idx="530">
                  <c:v>1998.1666666654401</c:v>
                </c:pt>
                <c:pt idx="531">
                  <c:v>1998.2499999987999</c:v>
                </c:pt>
                <c:pt idx="532">
                  <c:v>1998.33333333216</c:v>
                </c:pt>
                <c:pt idx="533">
                  <c:v>1998.4166666655201</c:v>
                </c:pt>
                <c:pt idx="534">
                  <c:v>1998.49999999888</c:v>
                </c:pt>
                <c:pt idx="535">
                  <c:v>1998.58333333224</c:v>
                </c:pt>
                <c:pt idx="536">
                  <c:v>1998.6666666655999</c:v>
                </c:pt>
                <c:pt idx="537">
                  <c:v>1998.74999999896</c:v>
                </c:pt>
                <c:pt idx="538">
                  <c:v>1998.8333333323201</c:v>
                </c:pt>
                <c:pt idx="539">
                  <c:v>1998.9166666656799</c:v>
                </c:pt>
                <c:pt idx="540">
                  <c:v>1998.99999999904</c:v>
                </c:pt>
                <c:pt idx="541">
                  <c:v>1999.0833333323999</c:v>
                </c:pt>
                <c:pt idx="542">
                  <c:v>1999.16666666576</c:v>
                </c:pt>
                <c:pt idx="543">
                  <c:v>1999.2499999991201</c:v>
                </c:pt>
                <c:pt idx="544">
                  <c:v>1999.3333333324799</c:v>
                </c:pt>
                <c:pt idx="545">
                  <c:v>1999.41666666584</c:v>
                </c:pt>
                <c:pt idx="546">
                  <c:v>1999.4999999992001</c:v>
                </c:pt>
                <c:pt idx="547">
                  <c:v>1999.58333333256</c:v>
                </c:pt>
                <c:pt idx="548">
                  <c:v>1999.66666666592</c:v>
                </c:pt>
                <c:pt idx="549">
                  <c:v>1999.7499999992799</c:v>
                </c:pt>
                <c:pt idx="550">
                  <c:v>1999.83333333264</c:v>
                </c:pt>
                <c:pt idx="551">
                  <c:v>1999.9166666660001</c:v>
                </c:pt>
                <c:pt idx="552">
                  <c:v>2000</c:v>
                </c:pt>
                <c:pt idx="553">
                  <c:v>2000.0833333333101</c:v>
                </c:pt>
                <c:pt idx="554">
                  <c:v>2000.1666666666399</c:v>
                </c:pt>
                <c:pt idx="555">
                  <c:v>2000.24999999997</c:v>
                </c:pt>
                <c:pt idx="556">
                  <c:v>2000.3333333333101</c:v>
                </c:pt>
                <c:pt idx="557">
                  <c:v>2000.4166666666399</c:v>
                </c:pt>
                <c:pt idx="558">
                  <c:v>2000.49999999997</c:v>
                </c:pt>
                <c:pt idx="559">
                  <c:v>2000.5833333333101</c:v>
                </c:pt>
                <c:pt idx="560">
                  <c:v>2000.6666666666399</c:v>
                </c:pt>
                <c:pt idx="561">
                  <c:v>2000.74999999997</c:v>
                </c:pt>
                <c:pt idx="562">
                  <c:v>2000.8333333333101</c:v>
                </c:pt>
                <c:pt idx="563">
                  <c:v>2000.9166666666399</c:v>
                </c:pt>
                <c:pt idx="564">
                  <c:v>2001</c:v>
                </c:pt>
                <c:pt idx="565">
                  <c:v>2001.0833333333101</c:v>
                </c:pt>
                <c:pt idx="566">
                  <c:v>2001.1666666666399</c:v>
                </c:pt>
                <c:pt idx="567">
                  <c:v>2001.24999999997</c:v>
                </c:pt>
                <c:pt idx="568">
                  <c:v>2001.3333333333101</c:v>
                </c:pt>
                <c:pt idx="569">
                  <c:v>2001.4166666666399</c:v>
                </c:pt>
                <c:pt idx="570">
                  <c:v>2001.49999999998</c:v>
                </c:pt>
                <c:pt idx="571">
                  <c:v>2001.5833333333101</c:v>
                </c:pt>
                <c:pt idx="572">
                  <c:v>2001.6666666666399</c:v>
                </c:pt>
                <c:pt idx="573">
                  <c:v>2001.74999999998</c:v>
                </c:pt>
                <c:pt idx="574">
                  <c:v>2001.8333333333101</c:v>
                </c:pt>
                <c:pt idx="575">
                  <c:v>2001.9166666666399</c:v>
                </c:pt>
                <c:pt idx="576">
                  <c:v>2002</c:v>
                </c:pt>
                <c:pt idx="577">
                  <c:v>2002.0833333333101</c:v>
                </c:pt>
                <c:pt idx="578">
                  <c:v>2002.1666666666399</c:v>
                </c:pt>
                <c:pt idx="579">
                  <c:v>2002.24999999998</c:v>
                </c:pt>
                <c:pt idx="580">
                  <c:v>2002.3333333333101</c:v>
                </c:pt>
                <c:pt idx="581">
                  <c:v>2002.4166666666399</c:v>
                </c:pt>
                <c:pt idx="582">
                  <c:v>2002.49999999998</c:v>
                </c:pt>
                <c:pt idx="583">
                  <c:v>2002.5833333333101</c:v>
                </c:pt>
                <c:pt idx="584">
                  <c:v>2002.6666666666399</c:v>
                </c:pt>
                <c:pt idx="585">
                  <c:v>2002.74999999998</c:v>
                </c:pt>
                <c:pt idx="586">
                  <c:v>2002.8333333333101</c:v>
                </c:pt>
                <c:pt idx="587">
                  <c:v>2002.9166666666399</c:v>
                </c:pt>
                <c:pt idx="588">
                  <c:v>2003</c:v>
                </c:pt>
                <c:pt idx="589">
                  <c:v>2003.0833333333101</c:v>
                </c:pt>
                <c:pt idx="590">
                  <c:v>2003.1666666666499</c:v>
                </c:pt>
                <c:pt idx="591">
                  <c:v>2003.24999999998</c:v>
                </c:pt>
                <c:pt idx="592">
                  <c:v>2003.3333333333101</c:v>
                </c:pt>
                <c:pt idx="593">
                  <c:v>2003.4166666666499</c:v>
                </c:pt>
                <c:pt idx="594">
                  <c:v>2003.49999999998</c:v>
                </c:pt>
                <c:pt idx="595">
                  <c:v>2003.5833333333101</c:v>
                </c:pt>
                <c:pt idx="596">
                  <c:v>2003.6666666666499</c:v>
                </c:pt>
                <c:pt idx="597">
                  <c:v>2003.74999999998</c:v>
                </c:pt>
                <c:pt idx="598">
                  <c:v>2003.8333333333101</c:v>
                </c:pt>
                <c:pt idx="599">
                  <c:v>2003.9166666666499</c:v>
                </c:pt>
                <c:pt idx="600">
                  <c:v>2004</c:v>
                </c:pt>
                <c:pt idx="601">
                  <c:v>2004.0833333333101</c:v>
                </c:pt>
                <c:pt idx="602">
                  <c:v>2004.1666666666499</c:v>
                </c:pt>
                <c:pt idx="603">
                  <c:v>2004.24999999998</c:v>
                </c:pt>
                <c:pt idx="604">
                  <c:v>2004.3333333333101</c:v>
                </c:pt>
                <c:pt idx="605">
                  <c:v>2004.4166666666499</c:v>
                </c:pt>
                <c:pt idx="606">
                  <c:v>2004.49999999998</c:v>
                </c:pt>
                <c:pt idx="607">
                  <c:v>2004.5833333333101</c:v>
                </c:pt>
                <c:pt idx="608">
                  <c:v>2004.6666666666499</c:v>
                </c:pt>
                <c:pt idx="609">
                  <c:v>2004.74999999998</c:v>
                </c:pt>
                <c:pt idx="610">
                  <c:v>2004.8333333333101</c:v>
                </c:pt>
                <c:pt idx="611">
                  <c:v>2004.9166666666499</c:v>
                </c:pt>
                <c:pt idx="612">
                  <c:v>2005</c:v>
                </c:pt>
                <c:pt idx="613">
                  <c:v>2005.0833333333201</c:v>
                </c:pt>
                <c:pt idx="614">
                  <c:v>2005.1666666666499</c:v>
                </c:pt>
                <c:pt idx="615">
                  <c:v>2005.24999999998</c:v>
                </c:pt>
                <c:pt idx="616">
                  <c:v>2005.3333333333201</c:v>
                </c:pt>
                <c:pt idx="617">
                  <c:v>2005.4166666666499</c:v>
                </c:pt>
                <c:pt idx="618">
                  <c:v>2005.49999999998</c:v>
                </c:pt>
                <c:pt idx="619">
                  <c:v>2005.5833333333201</c:v>
                </c:pt>
                <c:pt idx="620">
                  <c:v>2005.6666666666499</c:v>
                </c:pt>
                <c:pt idx="621">
                  <c:v>2005.74999999998</c:v>
                </c:pt>
                <c:pt idx="622">
                  <c:v>2005.8333333333201</c:v>
                </c:pt>
                <c:pt idx="623">
                  <c:v>2005.9166666666499</c:v>
                </c:pt>
                <c:pt idx="624">
                  <c:v>2006</c:v>
                </c:pt>
                <c:pt idx="625">
                  <c:v>2006.0833333333201</c:v>
                </c:pt>
                <c:pt idx="626">
                  <c:v>2006.1666666666499</c:v>
                </c:pt>
                <c:pt idx="627">
                  <c:v>2006.24999999998</c:v>
                </c:pt>
                <c:pt idx="628">
                  <c:v>2006.3333333333201</c:v>
                </c:pt>
                <c:pt idx="629">
                  <c:v>2006.4166666666499</c:v>
                </c:pt>
                <c:pt idx="630">
                  <c:v>2006.49999999998</c:v>
                </c:pt>
                <c:pt idx="631">
                  <c:v>2006.5833333333201</c:v>
                </c:pt>
                <c:pt idx="632">
                  <c:v>2006.6666666666499</c:v>
                </c:pt>
                <c:pt idx="633">
                  <c:v>2006.74999999998</c:v>
                </c:pt>
                <c:pt idx="634">
                  <c:v>2006.8333333333201</c:v>
                </c:pt>
                <c:pt idx="635">
                  <c:v>2006.9166666666499</c:v>
                </c:pt>
                <c:pt idx="636">
                  <c:v>2007</c:v>
                </c:pt>
                <c:pt idx="637">
                  <c:v>2007.0833333333201</c:v>
                </c:pt>
                <c:pt idx="638">
                  <c:v>2007.1666666666499</c:v>
                </c:pt>
                <c:pt idx="639">
                  <c:v>2007.24999999999</c:v>
                </c:pt>
                <c:pt idx="640">
                  <c:v>2007.3333333333201</c:v>
                </c:pt>
                <c:pt idx="641">
                  <c:v>2007.4166666666499</c:v>
                </c:pt>
                <c:pt idx="642">
                  <c:v>2007.49999999999</c:v>
                </c:pt>
                <c:pt idx="643">
                  <c:v>2007.5833333333201</c:v>
                </c:pt>
                <c:pt idx="644">
                  <c:v>2007.6666666666499</c:v>
                </c:pt>
                <c:pt idx="645">
                  <c:v>2007.74999999999</c:v>
                </c:pt>
                <c:pt idx="646">
                  <c:v>2007.8333333333201</c:v>
                </c:pt>
                <c:pt idx="647">
                  <c:v>2007.9166666666499</c:v>
                </c:pt>
                <c:pt idx="648">
                  <c:v>2008</c:v>
                </c:pt>
                <c:pt idx="649">
                  <c:v>2008.0833333333201</c:v>
                </c:pt>
                <c:pt idx="650">
                  <c:v>2008.1666666666499</c:v>
                </c:pt>
                <c:pt idx="651">
                  <c:v>2008.24999999999</c:v>
                </c:pt>
                <c:pt idx="652">
                  <c:v>2008.3333333333201</c:v>
                </c:pt>
                <c:pt idx="653">
                  <c:v>2008.4166666666499</c:v>
                </c:pt>
                <c:pt idx="654">
                  <c:v>2008.49999999999</c:v>
                </c:pt>
                <c:pt idx="655">
                  <c:v>2008.5833333333201</c:v>
                </c:pt>
                <c:pt idx="656">
                  <c:v>2008.6666666666599</c:v>
                </c:pt>
                <c:pt idx="657">
                  <c:v>2008.74999999999</c:v>
                </c:pt>
                <c:pt idx="658">
                  <c:v>2008.8333333333201</c:v>
                </c:pt>
                <c:pt idx="659">
                  <c:v>2008.9166666666599</c:v>
                </c:pt>
                <c:pt idx="660">
                  <c:v>2009</c:v>
                </c:pt>
                <c:pt idx="661">
                  <c:v>2009.0833333333201</c:v>
                </c:pt>
                <c:pt idx="662">
                  <c:v>2009.1666666666599</c:v>
                </c:pt>
                <c:pt idx="663">
                  <c:v>2009.24999999999</c:v>
                </c:pt>
                <c:pt idx="664">
                  <c:v>2009.3333333333201</c:v>
                </c:pt>
                <c:pt idx="665">
                  <c:v>2009.4166666666599</c:v>
                </c:pt>
                <c:pt idx="666">
                  <c:v>2009.49999999999</c:v>
                </c:pt>
                <c:pt idx="667">
                  <c:v>2009.5833333333201</c:v>
                </c:pt>
                <c:pt idx="668">
                  <c:v>2009.6666666666599</c:v>
                </c:pt>
                <c:pt idx="669">
                  <c:v>2009.74999999999</c:v>
                </c:pt>
                <c:pt idx="670">
                  <c:v>2009.8333333333201</c:v>
                </c:pt>
                <c:pt idx="671">
                  <c:v>2009.9166666666599</c:v>
                </c:pt>
                <c:pt idx="672">
                  <c:v>2010</c:v>
                </c:pt>
                <c:pt idx="673">
                  <c:v>2010.0833333333201</c:v>
                </c:pt>
                <c:pt idx="674">
                  <c:v>2010.1666666666599</c:v>
                </c:pt>
                <c:pt idx="675">
                  <c:v>2010.24999999999</c:v>
                </c:pt>
                <c:pt idx="676">
                  <c:v>2010.3333333333201</c:v>
                </c:pt>
                <c:pt idx="677">
                  <c:v>2010.4166666666599</c:v>
                </c:pt>
                <c:pt idx="678">
                  <c:v>2010.49999999999</c:v>
                </c:pt>
                <c:pt idx="679">
                  <c:v>2010.5833333333301</c:v>
                </c:pt>
                <c:pt idx="680">
                  <c:v>2010.6666666666599</c:v>
                </c:pt>
                <c:pt idx="681">
                  <c:v>2010.74999999999</c:v>
                </c:pt>
                <c:pt idx="682">
                  <c:v>2010.8333333333301</c:v>
                </c:pt>
                <c:pt idx="683">
                  <c:v>2010.9166666666599</c:v>
                </c:pt>
                <c:pt idx="684">
                  <c:v>2011</c:v>
                </c:pt>
                <c:pt idx="685">
                  <c:v>2011.0833333333301</c:v>
                </c:pt>
                <c:pt idx="686">
                  <c:v>2011.1666666666599</c:v>
                </c:pt>
                <c:pt idx="687">
                  <c:v>2011.24999999999</c:v>
                </c:pt>
                <c:pt idx="688">
                  <c:v>2011.3333333333301</c:v>
                </c:pt>
                <c:pt idx="689">
                  <c:v>2011.4166666666599</c:v>
                </c:pt>
                <c:pt idx="690">
                  <c:v>2011.49999999999</c:v>
                </c:pt>
                <c:pt idx="691">
                  <c:v>2011.5833333333301</c:v>
                </c:pt>
                <c:pt idx="692">
                  <c:v>2011.6666666666599</c:v>
                </c:pt>
                <c:pt idx="693">
                  <c:v>2011.74999999999</c:v>
                </c:pt>
                <c:pt idx="694">
                  <c:v>2011.8333333333301</c:v>
                </c:pt>
                <c:pt idx="695">
                  <c:v>2011.9166666666599</c:v>
                </c:pt>
                <c:pt idx="696">
                  <c:v>2012</c:v>
                </c:pt>
                <c:pt idx="697">
                  <c:v>2012.0833333333301</c:v>
                </c:pt>
                <c:pt idx="698">
                  <c:v>2012.1666666666599</c:v>
                </c:pt>
                <c:pt idx="699">
                  <c:v>2012.24999999999</c:v>
                </c:pt>
                <c:pt idx="700">
                  <c:v>2012.3333333333301</c:v>
                </c:pt>
                <c:pt idx="701">
                  <c:v>2012.4166666666599</c:v>
                </c:pt>
                <c:pt idx="702">
                  <c:v>2012.5</c:v>
                </c:pt>
                <c:pt idx="703">
                  <c:v>2012.5833333333301</c:v>
                </c:pt>
                <c:pt idx="704">
                  <c:v>2012.6666666666599</c:v>
                </c:pt>
                <c:pt idx="705">
                  <c:v>2012.75</c:v>
                </c:pt>
                <c:pt idx="706">
                  <c:v>2012.8333333333301</c:v>
                </c:pt>
                <c:pt idx="707">
                  <c:v>2012.9166666666599</c:v>
                </c:pt>
                <c:pt idx="708">
                  <c:v>2013</c:v>
                </c:pt>
                <c:pt idx="709">
                  <c:v>2013.0833333333301</c:v>
                </c:pt>
                <c:pt idx="710">
                  <c:v>2013.1666666666599</c:v>
                </c:pt>
                <c:pt idx="711">
                  <c:v>2013.25</c:v>
                </c:pt>
                <c:pt idx="712">
                  <c:v>2013.3333333333301</c:v>
                </c:pt>
                <c:pt idx="713">
                  <c:v>2013.4166666666599</c:v>
                </c:pt>
                <c:pt idx="714">
                  <c:v>2013.5</c:v>
                </c:pt>
                <c:pt idx="715">
                  <c:v>2013.5833333333301</c:v>
                </c:pt>
                <c:pt idx="716">
                  <c:v>2013.6666666666599</c:v>
                </c:pt>
                <c:pt idx="717">
                  <c:v>2013.75</c:v>
                </c:pt>
                <c:pt idx="718">
                  <c:v>2013.8333333333301</c:v>
                </c:pt>
                <c:pt idx="719">
                  <c:v>2013.9166666666599</c:v>
                </c:pt>
              </c:numCache>
            </c:numRef>
          </c:xVal>
          <c:yVal>
            <c:numRef>
              <c:f>'Temp-aire'!$F$10:$F$729</c:f>
              <c:numCache>
                <c:formatCode>0.00</c:formatCode>
                <c:ptCount val="720"/>
                <c:pt idx="0">
                  <c:v>-1.1751300716048563</c:v>
                </c:pt>
                <c:pt idx="1">
                  <c:v>-0.58761173593345406</c:v>
                </c:pt>
                <c:pt idx="2">
                  <c:v>0.28874036684669685</c:v>
                </c:pt>
                <c:pt idx="3">
                  <c:v>0.24261039677669438</c:v>
                </c:pt>
                <c:pt idx="4">
                  <c:v>0.32473894272284271</c:v>
                </c:pt>
                <c:pt idx="5">
                  <c:v>0.81751182458959581</c:v>
                </c:pt>
                <c:pt idx="6">
                  <c:v>1.5798801646100991</c:v>
                </c:pt>
                <c:pt idx="7">
                  <c:v>1.0970273516078821</c:v>
                </c:pt>
                <c:pt idx="8">
                  <c:v>0.64229304222092143</c:v>
                </c:pt>
                <c:pt idx="9">
                  <c:v>-0.23271810752067018</c:v>
                </c:pt>
                <c:pt idx="10">
                  <c:v>-5.731108784587409E-2</c:v>
                </c:pt>
                <c:pt idx="11">
                  <c:v>-0.16764995936695137</c:v>
                </c:pt>
                <c:pt idx="12">
                  <c:v>-0.12728109087912701</c:v>
                </c:pt>
                <c:pt idx="13">
                  <c:v>0.38633036782362029</c:v>
                </c:pt>
                <c:pt idx="14">
                  <c:v>-1.6558376139577458</c:v>
                </c:pt>
                <c:pt idx="15">
                  <c:v>-1.0231829777104269</c:v>
                </c:pt>
                <c:pt idx="16">
                  <c:v>-0.20907849736951745</c:v>
                </c:pt>
                <c:pt idx="17">
                  <c:v>-0.83323320583169747</c:v>
                </c:pt>
                <c:pt idx="18">
                  <c:v>-3.1329068420020617E-2</c:v>
                </c:pt>
                <c:pt idx="19">
                  <c:v>0.88806976082543654</c:v>
                </c:pt>
                <c:pt idx="20">
                  <c:v>0.19156108276765069</c:v>
                </c:pt>
                <c:pt idx="21">
                  <c:v>-0.85682575950791229</c:v>
                </c:pt>
                <c:pt idx="22">
                  <c:v>0.12065492178079455</c:v>
                </c:pt>
                <c:pt idx="23">
                  <c:v>0.33529991873389681</c:v>
                </c:pt>
                <c:pt idx="24">
                  <c:v>-1.0004885748172379</c:v>
                </c:pt>
                <c:pt idx="25">
                  <c:v>-0.58761173593345406</c:v>
                </c:pt>
                <c:pt idx="26">
                  <c:v>-0.9487183482106768</c:v>
                </c:pt>
                <c:pt idx="27">
                  <c:v>-0.17932072805234356</c:v>
                </c:pt>
                <c:pt idx="28">
                  <c:v>-1.2767133775542472</c:v>
                </c:pt>
                <c:pt idx="29">
                  <c:v>-1.304874643094923</c:v>
                </c:pt>
                <c:pt idx="30">
                  <c:v>-0.29986394059170085</c:v>
                </c:pt>
                <c:pt idx="31">
                  <c:v>-1.4104637377815172</c:v>
                </c:pt>
                <c:pt idx="32">
                  <c:v>-0.48453685641225946</c:v>
                </c:pt>
                <c:pt idx="33">
                  <c:v>-2.1050410634823962</c:v>
                </c:pt>
                <c:pt idx="34">
                  <c:v>-0.76917512635256757</c:v>
                </c:pt>
                <c:pt idx="35">
                  <c:v>-0.83824979683475098</c:v>
                </c:pt>
                <c:pt idx="36">
                  <c:v>2.1430583673599624</c:v>
                </c:pt>
                <c:pt idx="37">
                  <c:v>-1.5615538396905284</c:v>
                </c:pt>
                <c:pt idx="38">
                  <c:v>0.64229999972023755</c:v>
                </c:pt>
                <c:pt idx="39">
                  <c:v>-2.2889763521975408</c:v>
                </c:pt>
                <c:pt idx="40">
                  <c:v>0.59164766276901803</c:v>
                </c:pt>
                <c:pt idx="41">
                  <c:v>0.58169110595798723</c:v>
                </c:pt>
                <c:pt idx="42">
                  <c:v>1.5798801646100991</c:v>
                </c:pt>
                <c:pt idx="43">
                  <c:v>1.9328577147376871</c:v>
                </c:pt>
                <c:pt idx="44">
                  <c:v>1.5437569611274631</c:v>
                </c:pt>
                <c:pt idx="45">
                  <c:v>1.0154971964538066</c:v>
                </c:pt>
                <c:pt idx="46">
                  <c:v>1.3664169891675066</c:v>
                </c:pt>
                <c:pt idx="47">
                  <c:v>1.0058997562016905</c:v>
                </c:pt>
                <c:pt idx="48">
                  <c:v>0.92056788984660853</c:v>
                </c:pt>
                <c:pt idx="49">
                  <c:v>0.58111878857503096</c:v>
                </c:pt>
                <c:pt idx="50">
                  <c:v>1.1726394490305361</c:v>
                </c:pt>
                <c:pt idx="51">
                  <c:v>1.5084037712638081</c:v>
                </c:pt>
                <c:pt idx="52">
                  <c:v>0.85855638281520286</c:v>
                </c:pt>
                <c:pt idx="53">
                  <c:v>1.760794699116055</c:v>
                </c:pt>
                <c:pt idx="54">
                  <c:v>2.1169499089534689</c:v>
                </c:pt>
                <c:pt idx="55">
                  <c:v>1.0970273516078821</c:v>
                </c:pt>
                <c:pt idx="56">
                  <c:v>2.2198549003073733</c:v>
                </c:pt>
                <c:pt idx="57">
                  <c:v>1.8476407324367985</c:v>
                </c:pt>
                <c:pt idx="58">
                  <c:v>1.1884509795408318</c:v>
                </c:pt>
                <c:pt idx="59">
                  <c:v>-0.33529991873390275</c:v>
                </c:pt>
                <c:pt idx="60">
                  <c:v>-1.0004885748172379</c:v>
                </c:pt>
                <c:pt idx="61">
                  <c:v>-2.7302843641990204</c:v>
                </c:pt>
                <c:pt idx="62">
                  <c:v>-1.3022779810842111</c:v>
                </c:pt>
                <c:pt idx="63">
                  <c:v>-1.0231829777104269</c:v>
                </c:pt>
                <c:pt idx="64">
                  <c:v>-1.0098046575080624</c:v>
                </c:pt>
                <c:pt idx="65">
                  <c:v>-0.36159176856847203</c:v>
                </c:pt>
                <c:pt idx="66">
                  <c:v>-0.56839881276339066</c:v>
                </c:pt>
                <c:pt idx="67">
                  <c:v>5.2239397695631823E-2</c:v>
                </c:pt>
                <c:pt idx="68">
                  <c:v>0.41692706249428207</c:v>
                </c:pt>
                <c:pt idx="69">
                  <c:v>0.18335366047082208</c:v>
                </c:pt>
                <c:pt idx="70">
                  <c:v>0.12065492178079455</c:v>
                </c:pt>
                <c:pt idx="71">
                  <c:v>0.33529991873389681</c:v>
                </c:pt>
                <c:pt idx="72">
                  <c:v>-0.65120558124198857</c:v>
                </c:pt>
                <c:pt idx="73">
                  <c:v>1.3602724715806946</c:v>
                </c:pt>
                <c:pt idx="74">
                  <c:v>-0.77193853177390648</c:v>
                </c:pt>
                <c:pt idx="75">
                  <c:v>1.7193693336783309</c:v>
                </c:pt>
                <c:pt idx="76">
                  <c:v>1.1254651028613878</c:v>
                </c:pt>
                <c:pt idx="77">
                  <c:v>0.11004966869475344</c:v>
                </c:pt>
                <c:pt idx="78">
                  <c:v>0.77427554809503918</c:v>
                </c:pt>
                <c:pt idx="79">
                  <c:v>0.4701545792605305</c:v>
                </c:pt>
                <c:pt idx="80">
                  <c:v>0.41692706249428207</c:v>
                </c:pt>
                <c:pt idx="81">
                  <c:v>0.39138954446657193</c:v>
                </c:pt>
                <c:pt idx="82">
                  <c:v>-0.23527709747254905</c:v>
                </c:pt>
                <c:pt idx="83">
                  <c:v>-0.33529991873390275</c:v>
                </c:pt>
                <c:pt idx="84">
                  <c:v>-0.12728109087912701</c:v>
                </c:pt>
                <c:pt idx="85">
                  <c:v>-1.3667654189391176</c:v>
                </c:pt>
                <c:pt idx="86">
                  <c:v>-2.3629568797048206</c:v>
                </c:pt>
                <c:pt idx="87">
                  <c:v>-1.0231829777104269</c:v>
                </c:pt>
                <c:pt idx="88">
                  <c:v>-0.47598721741570227</c:v>
                </c:pt>
                <c:pt idx="89">
                  <c:v>1.0533325432212126</c:v>
                </c:pt>
                <c:pt idx="90">
                  <c:v>-3.1329068420020617E-2</c:v>
                </c:pt>
                <c:pt idx="91">
                  <c:v>0.26119698847808487</c:v>
                </c:pt>
                <c:pt idx="92">
                  <c:v>-0.25917087668562011</c:v>
                </c:pt>
                <c:pt idx="93">
                  <c:v>0.18335366047082208</c:v>
                </c:pt>
                <c:pt idx="94">
                  <c:v>-3.4386652707526539</c:v>
                </c:pt>
                <c:pt idx="95">
                  <c:v>-1.3411996749355932</c:v>
                </c:pt>
                <c:pt idx="96">
                  <c:v>-0.82584707802961321</c:v>
                </c:pt>
                <c:pt idx="97">
                  <c:v>0.19154194707220265</c:v>
                </c:pt>
                <c:pt idx="98">
                  <c:v>0.99585963259377197</c:v>
                </c:pt>
                <c:pt idx="99">
                  <c:v>-0.17932072805234356</c:v>
                </c:pt>
                <c:pt idx="100">
                  <c:v>2.1930999830461082</c:v>
                </c:pt>
                <c:pt idx="101">
                  <c:v>-2.7197989548846078</c:v>
                </c:pt>
                <c:pt idx="102">
                  <c:v>-3.1329068420020617E-2</c:v>
                </c:pt>
                <c:pt idx="103">
                  <c:v>-0.15671819308681381</c:v>
                </c:pt>
                <c:pt idx="104">
                  <c:v>0.19156108276765069</c:v>
                </c:pt>
                <c:pt idx="105">
                  <c:v>1.4315689644453062</c:v>
                </c:pt>
                <c:pt idx="106">
                  <c:v>1.0104849699141567</c:v>
                </c:pt>
                <c:pt idx="107">
                  <c:v>0.33529991873389681</c:v>
                </c:pt>
                <c:pt idx="108">
                  <c:v>2.317699864147587</c:v>
                </c:pt>
                <c:pt idx="109">
                  <c:v>2.1394261545863511</c:v>
                </c:pt>
                <c:pt idx="110">
                  <c:v>1.7029788983408409</c:v>
                </c:pt>
                <c:pt idx="111">
                  <c:v>0.45357595919120958</c:v>
                </c:pt>
                <c:pt idx="112">
                  <c:v>-1.0098046575080624</c:v>
                </c:pt>
                <c:pt idx="113">
                  <c:v>-1.5406953617265398</c:v>
                </c:pt>
                <c:pt idx="114">
                  <c:v>-1.1054685571067606</c:v>
                </c:pt>
                <c:pt idx="115">
                  <c:v>-0.78359096543416551</c:v>
                </c:pt>
                <c:pt idx="116">
                  <c:v>-0.93526881586553023</c:v>
                </c:pt>
                <c:pt idx="117">
                  <c:v>-0.23271810752067018</c:v>
                </c:pt>
                <c:pt idx="118">
                  <c:v>-0.5912091167258926</c:v>
                </c:pt>
                <c:pt idx="119">
                  <c:v>0.16764995936694543</c:v>
                </c:pt>
                <c:pt idx="120">
                  <c:v>-0.30192258766674546</c:v>
                </c:pt>
                <c:pt idx="121">
                  <c:v>0.38633036782362029</c:v>
                </c:pt>
                <c:pt idx="122">
                  <c:v>-0.418378898900372</c:v>
                </c:pt>
                <c:pt idx="123">
                  <c:v>0.66454152160573232</c:v>
                </c:pt>
                <c:pt idx="124">
                  <c:v>5.783022267665789E-2</c:v>
                </c:pt>
                <c:pt idx="125">
                  <c:v>-0.59741248720008056</c:v>
                </c:pt>
                <c:pt idx="126">
                  <c:v>-0.83693368493508047</c:v>
                </c:pt>
                <c:pt idx="127">
                  <c:v>-1.4104637377815172</c:v>
                </c:pt>
                <c:pt idx="128">
                  <c:v>-1.1606347955921696</c:v>
                </c:pt>
                <c:pt idx="129">
                  <c:v>-1.064861643503662</c:v>
                </c:pt>
                <c:pt idx="130">
                  <c:v>-1.1251071456059112</c:v>
                </c:pt>
                <c:pt idx="131">
                  <c:v>-1.5088496343025446</c:v>
                </c:pt>
                <c:pt idx="132">
                  <c:v>-1.1751300716048563</c:v>
                </c:pt>
                <c:pt idx="133">
                  <c:v>-0.39282331518204333</c:v>
                </c:pt>
                <c:pt idx="134">
                  <c:v>-0.24159908246360165</c:v>
                </c:pt>
                <c:pt idx="135">
                  <c:v>-0.17932072805234356</c:v>
                </c:pt>
                <c:pt idx="136">
                  <c:v>-0.47598721741570227</c:v>
                </c:pt>
                <c:pt idx="137">
                  <c:v>-0.36159176856847203</c:v>
                </c:pt>
                <c:pt idx="138">
                  <c:v>0.77427554809503918</c:v>
                </c:pt>
                <c:pt idx="139">
                  <c:v>-0.15671819308681381</c:v>
                </c:pt>
                <c:pt idx="140">
                  <c:v>0.41692706249428207</c:v>
                </c:pt>
                <c:pt idx="141">
                  <c:v>0.18335366047082208</c:v>
                </c:pt>
                <c:pt idx="142">
                  <c:v>-1.1251071456059112</c:v>
                </c:pt>
                <c:pt idx="143">
                  <c:v>0.33529991873389681</c:v>
                </c:pt>
                <c:pt idx="144">
                  <c:v>1.4444923802094762</c:v>
                </c:pt>
                <c:pt idx="145">
                  <c:v>1.3602724715806946</c:v>
                </c:pt>
                <c:pt idx="146">
                  <c:v>-0.9487183482106768</c:v>
                </c:pt>
                <c:pt idx="147">
                  <c:v>0.87550708402025501</c:v>
                </c:pt>
                <c:pt idx="148">
                  <c:v>-0.47598721741570227</c:v>
                </c:pt>
                <c:pt idx="149">
                  <c:v>-1.5406953617265398</c:v>
                </c:pt>
                <c:pt idx="150">
                  <c:v>-0.29986394059170085</c:v>
                </c:pt>
                <c:pt idx="151">
                  <c:v>-0.36567578386926686</c:v>
                </c:pt>
                <c:pt idx="152">
                  <c:v>-0.93526881586553023</c:v>
                </c:pt>
                <c:pt idx="153">
                  <c:v>-1.064861643503662</c:v>
                </c:pt>
                <c:pt idx="154">
                  <c:v>-2.0149371937392733</c:v>
                </c:pt>
                <c:pt idx="155">
                  <c:v>-2.6823993498711864</c:v>
                </c:pt>
                <c:pt idx="156">
                  <c:v>-1.0004885748172379</c:v>
                </c:pt>
                <c:pt idx="157">
                  <c:v>-0.39282331518204333</c:v>
                </c:pt>
                <c:pt idx="158">
                  <c:v>0.28874036684669685</c:v>
                </c:pt>
                <c:pt idx="159">
                  <c:v>0.45357595919120958</c:v>
                </c:pt>
                <c:pt idx="160">
                  <c:v>0.32473894272284271</c:v>
                </c:pt>
                <c:pt idx="161">
                  <c:v>0.11004966869475344</c:v>
                </c:pt>
                <c:pt idx="162">
                  <c:v>0.50574067592334937</c:v>
                </c:pt>
                <c:pt idx="163">
                  <c:v>5.2239397695631823E-2</c:v>
                </c:pt>
                <c:pt idx="164">
                  <c:v>-0.48453685641225946</c:v>
                </c:pt>
                <c:pt idx="165">
                  <c:v>-0.44075399151641997</c:v>
                </c:pt>
                <c:pt idx="166">
                  <c:v>-0.5912091167258926</c:v>
                </c:pt>
                <c:pt idx="167">
                  <c:v>-5.9561230389330787E-15</c:v>
                </c:pt>
                <c:pt idx="168">
                  <c:v>-1.1751300716048563</c:v>
                </c:pt>
                <c:pt idx="169">
                  <c:v>-0.78240015668487162</c:v>
                </c:pt>
                <c:pt idx="170">
                  <c:v>-0.418378898900372</c:v>
                </c:pt>
                <c:pt idx="171">
                  <c:v>-2.9218730394411012</c:v>
                </c:pt>
                <c:pt idx="172">
                  <c:v>-3.9458005780160574</c:v>
                </c:pt>
                <c:pt idx="173">
                  <c:v>-1.304874643094923</c:v>
                </c:pt>
                <c:pt idx="174">
                  <c:v>-1.1054685571067606</c:v>
                </c:pt>
                <c:pt idx="175">
                  <c:v>-0.78359096543416551</c:v>
                </c:pt>
                <c:pt idx="176">
                  <c:v>-0.93526881586553023</c:v>
                </c:pt>
                <c:pt idx="177">
                  <c:v>-0.44075399151641997</c:v>
                </c:pt>
                <c:pt idx="178">
                  <c:v>-0.23527709747254905</c:v>
                </c:pt>
                <c:pt idx="179">
                  <c:v>0.50294987810084224</c:v>
                </c:pt>
                <c:pt idx="180">
                  <c:v>0.22200190269612233</c:v>
                </c:pt>
                <c:pt idx="181">
                  <c:v>0.77590720932644863</c:v>
                </c:pt>
                <c:pt idx="182">
                  <c:v>1.1726394490305361</c:v>
                </c:pt>
                <c:pt idx="183">
                  <c:v>0.87550708402025501</c:v>
                </c:pt>
                <c:pt idx="184">
                  <c:v>0.32473894272284271</c:v>
                </c:pt>
                <c:pt idx="185">
                  <c:v>-1.5406953617265398</c:v>
                </c:pt>
                <c:pt idx="186">
                  <c:v>-2.1796080457935103</c:v>
                </c:pt>
                <c:pt idx="187">
                  <c:v>-1.8283789193464159</c:v>
                </c:pt>
                <c:pt idx="188">
                  <c:v>-1.1606347955921696</c:v>
                </c:pt>
                <c:pt idx="189">
                  <c:v>-1.4809334114951542</c:v>
                </c:pt>
                <c:pt idx="190">
                  <c:v>-1.4810391648592549</c:v>
                </c:pt>
                <c:pt idx="191">
                  <c:v>-0.67059983746779961</c:v>
                </c:pt>
                <c:pt idx="192">
                  <c:v>-0.65120558124198857</c:v>
                </c:pt>
                <c:pt idx="193">
                  <c:v>0.19154194707220265</c:v>
                </c:pt>
                <c:pt idx="194">
                  <c:v>0.11196055040993279</c:v>
                </c:pt>
                <c:pt idx="195">
                  <c:v>0.24261039677669438</c:v>
                </c:pt>
                <c:pt idx="196">
                  <c:v>-1.0098046575080624</c:v>
                </c:pt>
                <c:pt idx="197">
                  <c:v>-0.12577104993685509</c:v>
                </c:pt>
                <c:pt idx="198">
                  <c:v>-0.83693368493508047</c:v>
                </c:pt>
                <c:pt idx="199">
                  <c:v>-3.0821244640411192</c:v>
                </c:pt>
                <c:pt idx="200">
                  <c:v>-1.6113667550454405</c:v>
                </c:pt>
                <c:pt idx="201">
                  <c:v>0.39138954446657193</c:v>
                </c:pt>
                <c:pt idx="202">
                  <c:v>0.12065492178079455</c:v>
                </c:pt>
                <c:pt idx="203">
                  <c:v>1.0058997562016905</c:v>
                </c:pt>
                <c:pt idx="204">
                  <c:v>1.4444923802094762</c:v>
                </c:pt>
                <c:pt idx="205">
                  <c:v>1.3602724715806946</c:v>
                </c:pt>
                <c:pt idx="206">
                  <c:v>1.5261990819040767</c:v>
                </c:pt>
                <c:pt idx="207">
                  <c:v>0.87550708402025501</c:v>
                </c:pt>
                <c:pt idx="208">
                  <c:v>5.783022267665789E-2</c:v>
                </c:pt>
                <c:pt idx="209">
                  <c:v>-0.12577104993685509</c:v>
                </c:pt>
                <c:pt idx="210">
                  <c:v>-0.56839881276339066</c:v>
                </c:pt>
                <c:pt idx="211">
                  <c:v>-0.57463337465171993</c:v>
                </c:pt>
                <c:pt idx="212">
                  <c:v>-0.48453685641225946</c:v>
                </c:pt>
                <c:pt idx="213">
                  <c:v>-0.23271810752067018</c:v>
                </c:pt>
                <c:pt idx="214">
                  <c:v>-0.76917512635256757</c:v>
                </c:pt>
                <c:pt idx="215">
                  <c:v>-0.33529991873390275</c:v>
                </c:pt>
                <c:pt idx="216">
                  <c:v>-0.82584707802961321</c:v>
                </c:pt>
                <c:pt idx="217">
                  <c:v>-1.7563422604419459</c:v>
                </c:pt>
                <c:pt idx="218">
                  <c:v>-0.418378898900372</c:v>
                </c:pt>
                <c:pt idx="219">
                  <c:v>-0.60125185288138894</c:v>
                </c:pt>
                <c:pt idx="220">
                  <c:v>-1.2767133775542472</c:v>
                </c:pt>
                <c:pt idx="221">
                  <c:v>1.9966154177476636</c:v>
                </c:pt>
                <c:pt idx="222">
                  <c:v>2.6540196532968392</c:v>
                </c:pt>
                <c:pt idx="223">
                  <c:v>2.7686880778674845</c:v>
                </c:pt>
                <c:pt idx="224">
                  <c:v>3.5720507786671933</c:v>
                </c:pt>
                <c:pt idx="225">
                  <c:v>3.7199636883985172</c:v>
                </c:pt>
                <c:pt idx="226">
                  <c:v>2.9681110758075562</c:v>
                </c:pt>
                <c:pt idx="227">
                  <c:v>3.5206491467059253</c:v>
                </c:pt>
                <c:pt idx="228">
                  <c:v>3.3655488448733166</c:v>
                </c:pt>
                <c:pt idx="229">
                  <c:v>0.97069563007785931</c:v>
                </c:pt>
                <c:pt idx="230">
                  <c:v>2.0565385312143754</c:v>
                </c:pt>
                <c:pt idx="231">
                  <c:v>-0.17932072805234356</c:v>
                </c:pt>
                <c:pt idx="232">
                  <c:v>-1.0098046575080624</c:v>
                </c:pt>
                <c:pt idx="233">
                  <c:v>-0.83323320583169747</c:v>
                </c:pt>
                <c:pt idx="234">
                  <c:v>-1.1054685571067606</c:v>
                </c:pt>
                <c:pt idx="235">
                  <c:v>-0.57463337465171993</c:v>
                </c:pt>
                <c:pt idx="236">
                  <c:v>-0.25917087668562011</c:v>
                </c:pt>
                <c:pt idx="237">
                  <c:v>0.18335366047082208</c:v>
                </c:pt>
                <c:pt idx="238">
                  <c:v>-0.23527709747254905</c:v>
                </c:pt>
                <c:pt idx="239">
                  <c:v>0.33529991873389681</c:v>
                </c:pt>
                <c:pt idx="240">
                  <c:v>4.7360405908497653E-2</c:v>
                </c:pt>
                <c:pt idx="241">
                  <c:v>0.19154194707220265</c:v>
                </c:pt>
                <c:pt idx="242">
                  <c:v>0.81907981615700165</c:v>
                </c:pt>
                <c:pt idx="243">
                  <c:v>3.1644834362171657E-2</c:v>
                </c:pt>
                <c:pt idx="244">
                  <c:v>1.1254651028613878</c:v>
                </c:pt>
                <c:pt idx="245">
                  <c:v>-0.59741248720008056</c:v>
                </c:pt>
                <c:pt idx="246">
                  <c:v>-0.83693368493508047</c:v>
                </c:pt>
                <c:pt idx="247">
                  <c:v>-0.57463337465171993</c:v>
                </c:pt>
                <c:pt idx="248">
                  <c:v>-0.25917087668562011</c:v>
                </c:pt>
                <c:pt idx="249">
                  <c:v>0.18335366047082208</c:v>
                </c:pt>
                <c:pt idx="250">
                  <c:v>-0.23527709747254905</c:v>
                </c:pt>
                <c:pt idx="251">
                  <c:v>0.50294987810084224</c:v>
                </c:pt>
                <c:pt idx="252">
                  <c:v>-0.12728109087912701</c:v>
                </c:pt>
                <c:pt idx="253">
                  <c:v>-0.78240015668487162</c:v>
                </c:pt>
                <c:pt idx="254">
                  <c:v>-1.1254981646474409</c:v>
                </c:pt>
                <c:pt idx="255">
                  <c:v>-1.2341485401249421</c:v>
                </c:pt>
                <c:pt idx="256">
                  <c:v>-1.0098046575080624</c:v>
                </c:pt>
                <c:pt idx="257">
                  <c:v>-1.7765160803581483</c:v>
                </c:pt>
                <c:pt idx="258">
                  <c:v>-2.1796080457935103</c:v>
                </c:pt>
                <c:pt idx="259">
                  <c:v>-2.0373365101288692</c:v>
                </c:pt>
                <c:pt idx="260">
                  <c:v>-1.6113667550454405</c:v>
                </c:pt>
                <c:pt idx="261">
                  <c:v>-2.5211128314738884</c:v>
                </c:pt>
                <c:pt idx="262">
                  <c:v>-1.3030731552325798</c:v>
                </c:pt>
                <c:pt idx="263">
                  <c:v>-1.8441495530364413</c:v>
                </c:pt>
                <c:pt idx="264">
                  <c:v>-1.5244130651800996</c:v>
                </c:pt>
                <c:pt idx="265">
                  <c:v>-2.5354959434476028</c:v>
                </c:pt>
                <c:pt idx="266">
                  <c:v>-1.832617430394516</c:v>
                </c:pt>
                <c:pt idx="267">
                  <c:v>-2.2889763521975408</c:v>
                </c:pt>
                <c:pt idx="268">
                  <c:v>-1.0098046575080624</c:v>
                </c:pt>
                <c:pt idx="269">
                  <c:v>-2.2481575176213822</c:v>
                </c:pt>
                <c:pt idx="270">
                  <c:v>-1.6425383014501307</c:v>
                </c:pt>
                <c:pt idx="271">
                  <c:v>-0.57463337465171993</c:v>
                </c:pt>
                <c:pt idx="272">
                  <c:v>-0.48453685641225946</c:v>
                </c:pt>
                <c:pt idx="273">
                  <c:v>-0.23271810752067018</c:v>
                </c:pt>
                <c:pt idx="274">
                  <c:v>1.1884509795408318</c:v>
                </c:pt>
                <c:pt idx="275">
                  <c:v>-0.33529991873390275</c:v>
                </c:pt>
                <c:pt idx="276">
                  <c:v>-0.30192258766674546</c:v>
                </c:pt>
                <c:pt idx="277">
                  <c:v>-0.58761173593345406</c:v>
                </c:pt>
                <c:pt idx="278">
                  <c:v>-1.1254981646474409</c:v>
                </c:pt>
                <c:pt idx="279">
                  <c:v>-1.2341485401249421</c:v>
                </c:pt>
                <c:pt idx="280">
                  <c:v>-1.2767133775542472</c:v>
                </c:pt>
                <c:pt idx="281">
                  <c:v>-0.36159176856847203</c:v>
                </c:pt>
                <c:pt idx="282">
                  <c:v>-1.1054685571067606</c:v>
                </c:pt>
                <c:pt idx="283">
                  <c:v>-0.57463337465171993</c:v>
                </c:pt>
                <c:pt idx="284">
                  <c:v>1.3183909814008317</c:v>
                </c:pt>
                <c:pt idx="285">
                  <c:v>1.0154971964538066</c:v>
                </c:pt>
                <c:pt idx="286">
                  <c:v>1.0104849699141567</c:v>
                </c:pt>
                <c:pt idx="287">
                  <c:v>1.0058997562016905</c:v>
                </c:pt>
                <c:pt idx="288">
                  <c:v>0.92056788984660853</c:v>
                </c:pt>
                <c:pt idx="289">
                  <c:v>0.77590720932644863</c:v>
                </c:pt>
                <c:pt idx="290">
                  <c:v>0.81907981615700165</c:v>
                </c:pt>
                <c:pt idx="291">
                  <c:v>0.66454152160573232</c:v>
                </c:pt>
                <c:pt idx="292">
                  <c:v>0.85855638281520286</c:v>
                </c:pt>
                <c:pt idx="293">
                  <c:v>0.34587038732637038</c:v>
                </c:pt>
                <c:pt idx="294">
                  <c:v>0.50574067592334937</c:v>
                </c:pt>
                <c:pt idx="295">
                  <c:v>0.26119698847808487</c:v>
                </c:pt>
                <c:pt idx="296">
                  <c:v>0.86765902194756084</c:v>
                </c:pt>
                <c:pt idx="297">
                  <c:v>1.0154971964538066</c:v>
                </c:pt>
                <c:pt idx="298">
                  <c:v>1.0104849699141567</c:v>
                </c:pt>
                <c:pt idx="299">
                  <c:v>1.0058997562016905</c:v>
                </c:pt>
                <c:pt idx="300">
                  <c:v>0.92056788984660853</c:v>
                </c:pt>
                <c:pt idx="301">
                  <c:v>0.58111878857503096</c:v>
                </c:pt>
                <c:pt idx="302">
                  <c:v>0.81907981615700165</c:v>
                </c:pt>
                <c:pt idx="303">
                  <c:v>0.45357595919120958</c:v>
                </c:pt>
                <c:pt idx="304">
                  <c:v>0.85855638281520286</c:v>
                </c:pt>
                <c:pt idx="305">
                  <c:v>0.34587038732637038</c:v>
                </c:pt>
                <c:pt idx="306">
                  <c:v>0.50574067592334937</c:v>
                </c:pt>
                <c:pt idx="307">
                  <c:v>0.26119698847808487</c:v>
                </c:pt>
                <c:pt idx="308">
                  <c:v>0.86765902194756084</c:v>
                </c:pt>
                <c:pt idx="309">
                  <c:v>1.0154971964538066</c:v>
                </c:pt>
                <c:pt idx="310">
                  <c:v>1.0104849699141567</c:v>
                </c:pt>
                <c:pt idx="311">
                  <c:v>0.67059983746779361</c:v>
                </c:pt>
                <c:pt idx="312">
                  <c:v>0.74592639305898389</c:v>
                </c:pt>
                <c:pt idx="313">
                  <c:v>0.77590720932644863</c:v>
                </c:pt>
                <c:pt idx="314">
                  <c:v>0.64229999972023755</c:v>
                </c:pt>
                <c:pt idx="315">
                  <c:v>0.45357595919120958</c:v>
                </c:pt>
                <c:pt idx="316">
                  <c:v>0.85855638281520286</c:v>
                </c:pt>
                <c:pt idx="317">
                  <c:v>0.58169110595798723</c:v>
                </c:pt>
                <c:pt idx="318">
                  <c:v>0.77427554809503918</c:v>
                </c:pt>
                <c:pt idx="319">
                  <c:v>0.4701545792605305</c:v>
                </c:pt>
                <c:pt idx="320">
                  <c:v>0.86765902194756084</c:v>
                </c:pt>
                <c:pt idx="321">
                  <c:v>0.80746131245806418</c:v>
                </c:pt>
                <c:pt idx="322">
                  <c:v>1.0104849699141567</c:v>
                </c:pt>
                <c:pt idx="323">
                  <c:v>0.67059983746779361</c:v>
                </c:pt>
                <c:pt idx="324">
                  <c:v>0.74592639305898389</c:v>
                </c:pt>
                <c:pt idx="325">
                  <c:v>0.38633036782362029</c:v>
                </c:pt>
                <c:pt idx="326">
                  <c:v>0.64229999972023755</c:v>
                </c:pt>
                <c:pt idx="327">
                  <c:v>-0.17932072805234356</c:v>
                </c:pt>
                <c:pt idx="328">
                  <c:v>-0.47598721741570227</c:v>
                </c:pt>
                <c:pt idx="329">
                  <c:v>-0.59741248720008056</c:v>
                </c:pt>
                <c:pt idx="330">
                  <c:v>0.50574067592334937</c:v>
                </c:pt>
                <c:pt idx="331">
                  <c:v>-0.57463337465171993</c:v>
                </c:pt>
                <c:pt idx="332">
                  <c:v>0.19156108276765069</c:v>
                </c:pt>
                <c:pt idx="333">
                  <c:v>-2.468222352492774E-2</c:v>
                </c:pt>
                <c:pt idx="334">
                  <c:v>0.83251896028748806</c:v>
                </c:pt>
                <c:pt idx="335">
                  <c:v>0.50294987810084224</c:v>
                </c:pt>
                <c:pt idx="336">
                  <c:v>-0.4765640844543701</c:v>
                </c:pt>
                <c:pt idx="337">
                  <c:v>-0.19803489443062569</c:v>
                </c:pt>
                <c:pt idx="338">
                  <c:v>-1.1254981646474409</c:v>
                </c:pt>
                <c:pt idx="339">
                  <c:v>-0.81221741529590419</c:v>
                </c:pt>
                <c:pt idx="340">
                  <c:v>-0.47598721741570227</c:v>
                </c:pt>
                <c:pt idx="341">
                  <c:v>0.11004966869475344</c:v>
                </c:pt>
                <c:pt idx="342">
                  <c:v>-0.29986394059170085</c:v>
                </c:pt>
                <c:pt idx="343">
                  <c:v>0.26119698847808487</c:v>
                </c:pt>
                <c:pt idx="344">
                  <c:v>0.19156108276765069</c:v>
                </c:pt>
                <c:pt idx="345">
                  <c:v>-0.64878987551216238</c:v>
                </c:pt>
                <c:pt idx="346">
                  <c:v>0.29862093140746954</c:v>
                </c:pt>
                <c:pt idx="347">
                  <c:v>-0.67059983746779961</c:v>
                </c:pt>
                <c:pt idx="348">
                  <c:v>0.74592639305898389</c:v>
                </c:pt>
                <c:pt idx="349">
                  <c:v>0.38633036782362029</c:v>
                </c:pt>
                <c:pt idx="350">
                  <c:v>1.3494192654673065</c:v>
                </c:pt>
                <c:pt idx="351">
                  <c:v>0.87550708402025501</c:v>
                </c:pt>
                <c:pt idx="352">
                  <c:v>1.1254651028613878</c:v>
                </c:pt>
                <c:pt idx="353">
                  <c:v>1.9966154177476636</c:v>
                </c:pt>
                <c:pt idx="354">
                  <c:v>1.3113452924384092</c:v>
                </c:pt>
                <c:pt idx="355">
                  <c:v>0.88806976082543654</c:v>
                </c:pt>
                <c:pt idx="356">
                  <c:v>0.19156108276765069</c:v>
                </c:pt>
                <c:pt idx="357">
                  <c:v>-0.44075399151641997</c:v>
                </c:pt>
                <c:pt idx="358">
                  <c:v>0.83251896028748806</c:v>
                </c:pt>
                <c:pt idx="359">
                  <c:v>-5.9561230389330787E-15</c:v>
                </c:pt>
                <c:pt idx="360">
                  <c:v>-0.30192258766674546</c:v>
                </c:pt>
                <c:pt idx="361">
                  <c:v>0.58111878857503096</c:v>
                </c:pt>
                <c:pt idx="362">
                  <c:v>-0.59515871533714237</c:v>
                </c:pt>
                <c:pt idx="363">
                  <c:v>-0.39028629046686625</c:v>
                </c:pt>
                <c:pt idx="364">
                  <c:v>-0.20907849736951745</c:v>
                </c:pt>
                <c:pt idx="365">
                  <c:v>-0.36159176856847203</c:v>
                </c:pt>
                <c:pt idx="366">
                  <c:v>-1.3740034292784504</c:v>
                </c:pt>
                <c:pt idx="367">
                  <c:v>-1.2015061469990642</c:v>
                </c:pt>
                <c:pt idx="368">
                  <c:v>-1.6113667550454405</c:v>
                </c:pt>
                <c:pt idx="369">
                  <c:v>-0.85682575950791229</c:v>
                </c:pt>
                <c:pt idx="370">
                  <c:v>-0.76917512635256757</c:v>
                </c:pt>
                <c:pt idx="371">
                  <c:v>-1.8441495530364413</c:v>
                </c:pt>
                <c:pt idx="372">
                  <c:v>-1.8736960587553488</c:v>
                </c:pt>
                <c:pt idx="373">
                  <c:v>-0.78240015668487162</c:v>
                </c:pt>
                <c:pt idx="374">
                  <c:v>-0.9487183482106768</c:v>
                </c:pt>
                <c:pt idx="375">
                  <c:v>-1.4451141025394647</c:v>
                </c:pt>
                <c:pt idx="376">
                  <c:v>5.783022267665789E-2</c:v>
                </c:pt>
                <c:pt idx="377">
                  <c:v>0.34587038732637038</c:v>
                </c:pt>
                <c:pt idx="378">
                  <c:v>0.23720580375166916</c:v>
                </c:pt>
                <c:pt idx="379">
                  <c:v>-0.57463337465171993</c:v>
                </c:pt>
                <c:pt idx="380">
                  <c:v>-0.93526881586553023</c:v>
                </c:pt>
                <c:pt idx="381">
                  <c:v>0.59942542846231428</c:v>
                </c:pt>
                <c:pt idx="382">
                  <c:v>-0.23527709747254905</c:v>
                </c:pt>
                <c:pt idx="383">
                  <c:v>-0.83824979683475098</c:v>
                </c:pt>
                <c:pt idx="384">
                  <c:v>-0.82584707802961321</c:v>
                </c:pt>
                <c:pt idx="385">
                  <c:v>-0.58761173593345406</c:v>
                </c:pt>
                <c:pt idx="386">
                  <c:v>-0.418378898900372</c:v>
                </c:pt>
                <c:pt idx="387">
                  <c:v>-0.17932072805234356</c:v>
                </c:pt>
                <c:pt idx="388">
                  <c:v>0.32473894272284271</c:v>
                </c:pt>
                <c:pt idx="389">
                  <c:v>0.11004966869475344</c:v>
                </c:pt>
                <c:pt idx="390">
                  <c:v>0.23720580375166916</c:v>
                </c:pt>
                <c:pt idx="391">
                  <c:v>0.4701545792605305</c:v>
                </c:pt>
                <c:pt idx="392">
                  <c:v>0.19156108276765069</c:v>
                </c:pt>
                <c:pt idx="393">
                  <c:v>-0.64878987551216238</c:v>
                </c:pt>
                <c:pt idx="394">
                  <c:v>0.12065492178079455</c:v>
                </c:pt>
                <c:pt idx="395">
                  <c:v>-0.50294987810084812</c:v>
                </c:pt>
                <c:pt idx="396">
                  <c:v>0.22200190269612233</c:v>
                </c:pt>
                <c:pt idx="397">
                  <c:v>0.97069563007785931</c:v>
                </c:pt>
                <c:pt idx="398">
                  <c:v>0.64229999972023755</c:v>
                </c:pt>
                <c:pt idx="399">
                  <c:v>0.87550708402025501</c:v>
                </c:pt>
                <c:pt idx="400">
                  <c:v>-0.20907849736951745</c:v>
                </c:pt>
                <c:pt idx="401">
                  <c:v>2.2324361363792806</c:v>
                </c:pt>
                <c:pt idx="402">
                  <c:v>1.3113452924384092</c:v>
                </c:pt>
                <c:pt idx="403">
                  <c:v>1.0970273516078821</c:v>
                </c:pt>
                <c:pt idx="404">
                  <c:v>-0.48453685641225946</c:v>
                </c:pt>
                <c:pt idx="405">
                  <c:v>-0.44075399151641997</c:v>
                </c:pt>
                <c:pt idx="406">
                  <c:v>-5.731108784587409E-2</c:v>
                </c:pt>
                <c:pt idx="407">
                  <c:v>-0.50294987810084812</c:v>
                </c:pt>
                <c:pt idx="408">
                  <c:v>-0.4765640844543701</c:v>
                </c:pt>
                <c:pt idx="409">
                  <c:v>-0.39282331518204333</c:v>
                </c:pt>
                <c:pt idx="410">
                  <c:v>-0.418378898900372</c:v>
                </c:pt>
                <c:pt idx="411">
                  <c:v>-0.81221741529590419</c:v>
                </c:pt>
                <c:pt idx="412">
                  <c:v>-0.47598721741570227</c:v>
                </c:pt>
                <c:pt idx="413">
                  <c:v>-0.36159176856847203</c:v>
                </c:pt>
                <c:pt idx="414">
                  <c:v>-0.56839881276339066</c:v>
                </c:pt>
                <c:pt idx="415">
                  <c:v>-0.57463337465171993</c:v>
                </c:pt>
                <c:pt idx="416">
                  <c:v>-0.70990283613889893</c:v>
                </c:pt>
                <c:pt idx="417">
                  <c:v>-0.44075399151641997</c:v>
                </c:pt>
                <c:pt idx="418">
                  <c:v>-0.23527709747254905</c:v>
                </c:pt>
                <c:pt idx="419">
                  <c:v>-0.67059983746779961</c:v>
                </c:pt>
                <c:pt idx="420">
                  <c:v>-0.4765640844543701</c:v>
                </c:pt>
                <c:pt idx="421">
                  <c:v>-0.39282331518204333</c:v>
                </c:pt>
                <c:pt idx="422">
                  <c:v>-0.418378898900372</c:v>
                </c:pt>
                <c:pt idx="423">
                  <c:v>-0.60125185288138894</c:v>
                </c:pt>
                <c:pt idx="424">
                  <c:v>-0.47598721741570227</c:v>
                </c:pt>
                <c:pt idx="425">
                  <c:v>-0.12577104993685509</c:v>
                </c:pt>
                <c:pt idx="426">
                  <c:v>-0.56839881276339066</c:v>
                </c:pt>
                <c:pt idx="427">
                  <c:v>-0.57463337465171993</c:v>
                </c:pt>
                <c:pt idx="428">
                  <c:v>-0.70990283613889893</c:v>
                </c:pt>
                <c:pt idx="429">
                  <c:v>-0.64878987551216238</c:v>
                </c:pt>
                <c:pt idx="430">
                  <c:v>-0.23527709747254905</c:v>
                </c:pt>
                <c:pt idx="431">
                  <c:v>0.50294987810084224</c:v>
                </c:pt>
                <c:pt idx="432">
                  <c:v>-0.65120558124198857</c:v>
                </c:pt>
                <c:pt idx="433">
                  <c:v>-0.39282331518204333</c:v>
                </c:pt>
                <c:pt idx="434">
                  <c:v>-0.418378898900372</c:v>
                </c:pt>
                <c:pt idx="435">
                  <c:v>-0.81221741529590419</c:v>
                </c:pt>
                <c:pt idx="436">
                  <c:v>-0.74289593746188709</c:v>
                </c:pt>
                <c:pt idx="437">
                  <c:v>-0.36159176856847203</c:v>
                </c:pt>
                <c:pt idx="438">
                  <c:v>-0.56839881276339066</c:v>
                </c:pt>
                <c:pt idx="439">
                  <c:v>-0.57463337465171993</c:v>
                </c:pt>
                <c:pt idx="440">
                  <c:v>-0.70990283613889893</c:v>
                </c:pt>
                <c:pt idx="441">
                  <c:v>-0.64878987551216238</c:v>
                </c:pt>
                <c:pt idx="442">
                  <c:v>-0.23527709747254905</c:v>
                </c:pt>
                <c:pt idx="443">
                  <c:v>-0.83824979683475098</c:v>
                </c:pt>
                <c:pt idx="444">
                  <c:v>-0.4765640844543701</c:v>
                </c:pt>
                <c:pt idx="445">
                  <c:v>-0.39282331518204333</c:v>
                </c:pt>
                <c:pt idx="446">
                  <c:v>-0.418378898900372</c:v>
                </c:pt>
                <c:pt idx="447">
                  <c:v>-0.17932072805234356</c:v>
                </c:pt>
                <c:pt idx="448">
                  <c:v>-0.20907849736951745</c:v>
                </c:pt>
                <c:pt idx="449">
                  <c:v>0.11004966869475344</c:v>
                </c:pt>
                <c:pt idx="450">
                  <c:v>-3.1329068420020617E-2</c:v>
                </c:pt>
                <c:pt idx="451">
                  <c:v>0.4701545792605305</c:v>
                </c:pt>
                <c:pt idx="452">
                  <c:v>-3.3804896958988702E-2</c:v>
                </c:pt>
                <c:pt idx="453">
                  <c:v>-0.23271810752067018</c:v>
                </c:pt>
                <c:pt idx="454">
                  <c:v>-0.23527709747254905</c:v>
                </c:pt>
                <c:pt idx="455">
                  <c:v>-1.1735497155686476</c:v>
                </c:pt>
                <c:pt idx="456">
                  <c:v>-0.65120558124198857</c:v>
                </c:pt>
                <c:pt idx="457">
                  <c:v>0.38633036782362029</c:v>
                </c:pt>
                <c:pt idx="458">
                  <c:v>0.28874036684669685</c:v>
                </c:pt>
                <c:pt idx="459">
                  <c:v>1.0864726464347703</c:v>
                </c:pt>
                <c:pt idx="460">
                  <c:v>0.59164766276901803</c:v>
                </c:pt>
                <c:pt idx="461">
                  <c:v>0.81751182458959581</c:v>
                </c:pt>
                <c:pt idx="462">
                  <c:v>-0.83693368493508047</c:v>
                </c:pt>
                <c:pt idx="463">
                  <c:v>-0.36567578386926686</c:v>
                </c:pt>
                <c:pt idx="464">
                  <c:v>-0.93526881586553023</c:v>
                </c:pt>
                <c:pt idx="465">
                  <c:v>-2.468222352492774E-2</c:v>
                </c:pt>
                <c:pt idx="466">
                  <c:v>0.12065492178079455</c:v>
                </c:pt>
                <c:pt idx="467">
                  <c:v>-5.9561230389330787E-15</c:v>
                </c:pt>
                <c:pt idx="468">
                  <c:v>0.22200190269612233</c:v>
                </c:pt>
                <c:pt idx="469">
                  <c:v>0.19154194707220265</c:v>
                </c:pt>
                <c:pt idx="470">
                  <c:v>0.11196055040993279</c:v>
                </c:pt>
                <c:pt idx="471">
                  <c:v>0.45357595919120958</c:v>
                </c:pt>
                <c:pt idx="472">
                  <c:v>-0.20907849736951745</c:v>
                </c:pt>
                <c:pt idx="473">
                  <c:v>0.58169110595798723</c:v>
                </c:pt>
                <c:pt idx="474">
                  <c:v>-3.1329068420020617E-2</c:v>
                </c:pt>
                <c:pt idx="475">
                  <c:v>0.67911217004298352</c:v>
                </c:pt>
                <c:pt idx="476">
                  <c:v>-1.3860007753188011</c:v>
                </c:pt>
                <c:pt idx="477">
                  <c:v>0.80746131245806418</c:v>
                </c:pt>
                <c:pt idx="478">
                  <c:v>-0.5912091167258926</c:v>
                </c:pt>
                <c:pt idx="479">
                  <c:v>-5.9561230389330787E-15</c:v>
                </c:pt>
                <c:pt idx="480">
                  <c:v>-0.82584707802961321</c:v>
                </c:pt>
                <c:pt idx="481">
                  <c:v>-0.97718857743628929</c:v>
                </c:pt>
                <c:pt idx="482">
                  <c:v>-0.418378898900372</c:v>
                </c:pt>
                <c:pt idx="483">
                  <c:v>-0.81221741529590419</c:v>
                </c:pt>
                <c:pt idx="484">
                  <c:v>-0.20907849736951745</c:v>
                </c:pt>
                <c:pt idx="485">
                  <c:v>-0.12577104993685509</c:v>
                </c:pt>
                <c:pt idx="486">
                  <c:v>-0.56839881276339066</c:v>
                </c:pt>
                <c:pt idx="487">
                  <c:v>-0.15671819308681381</c:v>
                </c:pt>
                <c:pt idx="488">
                  <c:v>-3.3804896958988702E-2</c:v>
                </c:pt>
                <c:pt idx="489">
                  <c:v>-0.64878987551216238</c:v>
                </c:pt>
                <c:pt idx="490">
                  <c:v>-0.5912091167258926</c:v>
                </c:pt>
                <c:pt idx="491">
                  <c:v>-0.67059983746779961</c:v>
                </c:pt>
                <c:pt idx="492">
                  <c:v>4.7360405908497653E-2</c:v>
                </c:pt>
                <c:pt idx="493">
                  <c:v>-0.39282331518204333</c:v>
                </c:pt>
                <c:pt idx="494">
                  <c:v>-6.4819266026837574E-2</c:v>
                </c:pt>
                <c:pt idx="495">
                  <c:v>0.45357595919120958</c:v>
                </c:pt>
                <c:pt idx="496">
                  <c:v>0.59164766276901803</c:v>
                </c:pt>
                <c:pt idx="497">
                  <c:v>0.34587038732637038</c:v>
                </c:pt>
                <c:pt idx="498">
                  <c:v>-0.56839881276339066</c:v>
                </c:pt>
                <c:pt idx="499">
                  <c:v>-0.36567578386926686</c:v>
                </c:pt>
                <c:pt idx="500">
                  <c:v>0.86765902194756084</c:v>
                </c:pt>
                <c:pt idx="501">
                  <c:v>-0.44075399151641997</c:v>
                </c:pt>
                <c:pt idx="502">
                  <c:v>0.29862093140746954</c:v>
                </c:pt>
                <c:pt idx="503">
                  <c:v>0.16764995936694543</c:v>
                </c:pt>
                <c:pt idx="504">
                  <c:v>0.57128489627136547</c:v>
                </c:pt>
                <c:pt idx="505">
                  <c:v>0.58111878857503096</c:v>
                </c:pt>
                <c:pt idx="506">
                  <c:v>0.28874036684669685</c:v>
                </c:pt>
                <c:pt idx="507">
                  <c:v>0.45357595919120958</c:v>
                </c:pt>
                <c:pt idx="508">
                  <c:v>-0.74289593746188709</c:v>
                </c:pt>
                <c:pt idx="509">
                  <c:v>0.11004966869475344</c:v>
                </c:pt>
                <c:pt idx="510">
                  <c:v>-0.56839881276339066</c:v>
                </c:pt>
                <c:pt idx="511">
                  <c:v>-0.36567578386926686</c:v>
                </c:pt>
                <c:pt idx="512">
                  <c:v>-0.48453685641225946</c:v>
                </c:pt>
                <c:pt idx="513">
                  <c:v>-0.23271810752067018</c:v>
                </c:pt>
                <c:pt idx="514">
                  <c:v>-0.5912091167258926</c:v>
                </c:pt>
                <c:pt idx="515">
                  <c:v>-0.83824979683475098</c:v>
                </c:pt>
                <c:pt idx="516">
                  <c:v>-0.82584707802961321</c:v>
                </c:pt>
                <c:pt idx="517">
                  <c:v>0.19154194707220265</c:v>
                </c:pt>
                <c:pt idx="518">
                  <c:v>-1.4790577975209815</c:v>
                </c:pt>
                <c:pt idx="519">
                  <c:v>-1.0231829777104269</c:v>
                </c:pt>
                <c:pt idx="520">
                  <c:v>5.783022267665789E-2</c:v>
                </c:pt>
                <c:pt idx="521">
                  <c:v>-0.59741248720008056</c:v>
                </c:pt>
                <c:pt idx="522">
                  <c:v>0.50574067592334937</c:v>
                </c:pt>
                <c:pt idx="523">
                  <c:v>0.88806976082543654</c:v>
                </c:pt>
                <c:pt idx="524">
                  <c:v>0.64229304222092143</c:v>
                </c:pt>
                <c:pt idx="525">
                  <c:v>1.2235330804495563</c:v>
                </c:pt>
                <c:pt idx="526">
                  <c:v>0.29862093140746954</c:v>
                </c:pt>
                <c:pt idx="527">
                  <c:v>0.67059983746779361</c:v>
                </c:pt>
                <c:pt idx="528">
                  <c:v>0.74592639305898389</c:v>
                </c:pt>
                <c:pt idx="529">
                  <c:v>1.5550608923321052</c:v>
                </c:pt>
                <c:pt idx="530">
                  <c:v>0.46552018328346723</c:v>
                </c:pt>
                <c:pt idx="531">
                  <c:v>1.5084037712638081</c:v>
                </c:pt>
                <c:pt idx="532">
                  <c:v>0.85855638281520286</c:v>
                </c:pt>
                <c:pt idx="533">
                  <c:v>0.58169110595798723</c:v>
                </c:pt>
                <c:pt idx="534">
                  <c:v>0.23720580375166916</c:v>
                </c:pt>
                <c:pt idx="535">
                  <c:v>1.5149425331727808</c:v>
                </c:pt>
                <c:pt idx="536">
                  <c:v>0.41692706249428207</c:v>
                </c:pt>
                <c:pt idx="537">
                  <c:v>0.59942542846231428</c:v>
                </c:pt>
                <c:pt idx="538">
                  <c:v>0.29862093140746954</c:v>
                </c:pt>
                <c:pt idx="539">
                  <c:v>-0.16764995936695137</c:v>
                </c:pt>
                <c:pt idx="540">
                  <c:v>-0.30192258766674546</c:v>
                </c:pt>
                <c:pt idx="541">
                  <c:v>-1.1719769981877</c:v>
                </c:pt>
                <c:pt idx="542">
                  <c:v>0.11196055040993279</c:v>
                </c:pt>
                <c:pt idx="543">
                  <c:v>0.24261039677669438</c:v>
                </c:pt>
                <c:pt idx="544">
                  <c:v>5.783022267665789E-2</c:v>
                </c:pt>
                <c:pt idx="545">
                  <c:v>-0.83323320583169747</c:v>
                </c:pt>
                <c:pt idx="546">
                  <c:v>-0.29986394059170085</c:v>
                </c:pt>
                <c:pt idx="547">
                  <c:v>-1.2015061469990642</c:v>
                </c:pt>
                <c:pt idx="548">
                  <c:v>-1.8367327347720799</c:v>
                </c:pt>
                <c:pt idx="549">
                  <c:v>-1.4809334114951542</c:v>
                </c:pt>
                <c:pt idx="550">
                  <c:v>-0.76917512635256757</c:v>
                </c:pt>
                <c:pt idx="551">
                  <c:v>-1.0058997562016962</c:v>
                </c:pt>
                <c:pt idx="552">
                  <c:v>-1.5244130651800996</c:v>
                </c:pt>
                <c:pt idx="553">
                  <c:v>-1.1719769981877</c:v>
                </c:pt>
                <c:pt idx="554">
                  <c:v>-1.4790577975209815</c:v>
                </c:pt>
                <c:pt idx="555">
                  <c:v>-0.81221741529590419</c:v>
                </c:pt>
                <c:pt idx="556">
                  <c:v>-0.74289593746188709</c:v>
                </c:pt>
                <c:pt idx="557">
                  <c:v>-0.59741248720008056</c:v>
                </c:pt>
                <c:pt idx="558">
                  <c:v>-1.1054685571067606</c:v>
                </c:pt>
                <c:pt idx="559">
                  <c:v>5.2239397695631823E-2</c:v>
                </c:pt>
                <c:pt idx="560">
                  <c:v>-1.1606347955921696</c:v>
                </c:pt>
                <c:pt idx="561">
                  <c:v>-0.23271810752067018</c:v>
                </c:pt>
                <c:pt idx="562">
                  <c:v>-0.23527709747254905</c:v>
                </c:pt>
                <c:pt idx="564">
                  <c:v>-0.12728109087912701</c:v>
                </c:pt>
                <c:pt idx="565">
                  <c:v>-1.7563422604419459</c:v>
                </c:pt>
                <c:pt idx="566">
                  <c:v>-0.9487183482106768</c:v>
                </c:pt>
                <c:pt idx="567">
                  <c:v>-0.81221741529590419</c:v>
                </c:pt>
                <c:pt idx="568">
                  <c:v>-0.47598721741570227</c:v>
                </c:pt>
                <c:pt idx="569">
                  <c:v>-0.36159176856847203</c:v>
                </c:pt>
                <c:pt idx="570">
                  <c:v>0.23720580375166916</c:v>
                </c:pt>
                <c:pt idx="571">
                  <c:v>1.3059849423903354</c:v>
                </c:pt>
                <c:pt idx="572">
                  <c:v>-3.3804896958988702E-2</c:v>
                </c:pt>
                <c:pt idx="573">
                  <c:v>0.39138954446657193</c:v>
                </c:pt>
                <c:pt idx="574">
                  <c:v>0.47658694103414445</c:v>
                </c:pt>
                <c:pt idx="575">
                  <c:v>0.83824979683473899</c:v>
                </c:pt>
                <c:pt idx="576">
                  <c:v>1.2698508834218516</c:v>
                </c:pt>
                <c:pt idx="577">
                  <c:v>-0.39282331518204333</c:v>
                </c:pt>
                <c:pt idx="578">
                  <c:v>-0.418378898900372</c:v>
                </c:pt>
                <c:pt idx="579">
                  <c:v>3.1644834362171657E-2</c:v>
                </c:pt>
                <c:pt idx="580">
                  <c:v>0.85855638281520286</c:v>
                </c:pt>
                <c:pt idx="581">
                  <c:v>0.81751182458959581</c:v>
                </c:pt>
                <c:pt idx="582">
                  <c:v>0.50574067592334937</c:v>
                </c:pt>
                <c:pt idx="583">
                  <c:v>1.3059849423903354</c:v>
                </c:pt>
                <c:pt idx="584">
                  <c:v>0.64229304222092143</c:v>
                </c:pt>
                <c:pt idx="585">
                  <c:v>1.0154971964538066</c:v>
                </c:pt>
                <c:pt idx="586">
                  <c:v>0.83251896028748806</c:v>
                </c:pt>
                <c:pt idx="587">
                  <c:v>0.83824979683473899</c:v>
                </c:pt>
                <c:pt idx="588">
                  <c:v>0.57128489627136547</c:v>
                </c:pt>
                <c:pt idx="589">
                  <c:v>0.97069563007785931</c:v>
                </c:pt>
                <c:pt idx="590">
                  <c:v>0.46552018328346723</c:v>
                </c:pt>
                <c:pt idx="591">
                  <c:v>0.45357595919120958</c:v>
                </c:pt>
                <c:pt idx="592">
                  <c:v>1.3923738229075631</c:v>
                </c:pt>
                <c:pt idx="593">
                  <c:v>-0.12577104993685509</c:v>
                </c:pt>
                <c:pt idx="594">
                  <c:v>-3.1329068420020617E-2</c:v>
                </c:pt>
                <c:pt idx="595">
                  <c:v>0.4701545792605305</c:v>
                </c:pt>
                <c:pt idx="596">
                  <c:v>0.86765902194756084</c:v>
                </c:pt>
                <c:pt idx="597">
                  <c:v>-2.468222352492774E-2</c:v>
                </c:pt>
                <c:pt idx="598">
                  <c:v>0.83251896028748806</c:v>
                </c:pt>
                <c:pt idx="599">
                  <c:v>0.67059983746779361</c:v>
                </c:pt>
                <c:pt idx="600">
                  <c:v>4.7360405908497653E-2</c:v>
                </c:pt>
                <c:pt idx="601">
                  <c:v>0.97069563007785931</c:v>
                </c:pt>
                <c:pt idx="602">
                  <c:v>-0.24159908246360165</c:v>
                </c:pt>
                <c:pt idx="603">
                  <c:v>0.24261039677669438</c:v>
                </c:pt>
                <c:pt idx="604">
                  <c:v>5.783022267665789E-2</c:v>
                </c:pt>
                <c:pt idx="605">
                  <c:v>0.34587038732637038</c:v>
                </c:pt>
                <c:pt idx="606">
                  <c:v>-3.1329068420020617E-2</c:v>
                </c:pt>
                <c:pt idx="607">
                  <c:v>0.88806976082543654</c:v>
                </c:pt>
                <c:pt idx="608">
                  <c:v>0.19156108276765069</c:v>
                </c:pt>
                <c:pt idx="609">
                  <c:v>0.18335366047082208</c:v>
                </c:pt>
                <c:pt idx="610">
                  <c:v>-0.41324310709921769</c:v>
                </c:pt>
                <c:pt idx="611">
                  <c:v>0.33529991873389681</c:v>
                </c:pt>
                <c:pt idx="612">
                  <c:v>0.74592639305898389</c:v>
                </c:pt>
                <c:pt idx="613">
                  <c:v>0.77590720932644863</c:v>
                </c:pt>
                <c:pt idx="614">
                  <c:v>1.7029788983408409</c:v>
                </c:pt>
                <c:pt idx="615">
                  <c:v>1.2974382088492928</c:v>
                </c:pt>
                <c:pt idx="616">
                  <c:v>0.85855638281520286</c:v>
                </c:pt>
                <c:pt idx="617">
                  <c:v>1.0533325432212126</c:v>
                </c:pt>
                <c:pt idx="618">
                  <c:v>1.3113452924384092</c:v>
                </c:pt>
                <c:pt idx="619">
                  <c:v>0.88806976082543654</c:v>
                </c:pt>
                <c:pt idx="620">
                  <c:v>0.64229304222092143</c:v>
                </c:pt>
                <c:pt idx="621">
                  <c:v>-0.23271810752067018</c:v>
                </c:pt>
                <c:pt idx="622">
                  <c:v>0.29862093140746954</c:v>
                </c:pt>
                <c:pt idx="623">
                  <c:v>0.16764995936694543</c:v>
                </c:pt>
                <c:pt idx="624">
                  <c:v>0.39664339948374078</c:v>
                </c:pt>
                <c:pt idx="625">
                  <c:v>-0.19803489443062569</c:v>
                </c:pt>
                <c:pt idx="626">
                  <c:v>-0.24159908246360165</c:v>
                </c:pt>
                <c:pt idx="627">
                  <c:v>-0.17932072805234356</c:v>
                </c:pt>
                <c:pt idx="628">
                  <c:v>0.32473894272284271</c:v>
                </c:pt>
                <c:pt idx="629">
                  <c:v>0.34587038732637038</c:v>
                </c:pt>
                <c:pt idx="630">
                  <c:v>1.042810420266729</c:v>
                </c:pt>
                <c:pt idx="631">
                  <c:v>1.0970273516078821</c:v>
                </c:pt>
                <c:pt idx="632">
                  <c:v>0.64229304222092143</c:v>
                </c:pt>
                <c:pt idx="633">
                  <c:v>1.0154971964538066</c:v>
                </c:pt>
                <c:pt idx="634">
                  <c:v>0.65455295066081309</c:v>
                </c:pt>
                <c:pt idx="635">
                  <c:v>0.67059983746779361</c:v>
                </c:pt>
                <c:pt idx="636">
                  <c:v>-0.12728109087912701</c:v>
                </c:pt>
                <c:pt idx="637">
                  <c:v>0.38633036782362029</c:v>
                </c:pt>
                <c:pt idx="638">
                  <c:v>0.28874036684669685</c:v>
                </c:pt>
                <c:pt idx="639">
                  <c:v>0.24261039677669438</c:v>
                </c:pt>
                <c:pt idx="640">
                  <c:v>-0.74289593746188709</c:v>
                </c:pt>
                <c:pt idx="641">
                  <c:v>0.81751182458959581</c:v>
                </c:pt>
                <c:pt idx="642">
                  <c:v>0.50574067592334937</c:v>
                </c:pt>
                <c:pt idx="643">
                  <c:v>-0.78359096543416551</c:v>
                </c:pt>
                <c:pt idx="644">
                  <c:v>-0.48453685641225946</c:v>
                </c:pt>
                <c:pt idx="645">
                  <c:v>-0.85682575950791229</c:v>
                </c:pt>
                <c:pt idx="646">
                  <c:v>0.65455295066081309</c:v>
                </c:pt>
                <c:pt idx="647">
                  <c:v>0.33529991873389681</c:v>
                </c:pt>
                <c:pt idx="648">
                  <c:v>4.7360405908497653E-2</c:v>
                </c:pt>
                <c:pt idx="649">
                  <c:v>-3.2464736792149761E-3</c:v>
                </c:pt>
                <c:pt idx="650">
                  <c:v>-0.418378898900372</c:v>
                </c:pt>
                <c:pt idx="651">
                  <c:v>3.1644834362171657E-2</c:v>
                </c:pt>
                <c:pt idx="652">
                  <c:v>-0.47598721741570227</c:v>
                </c:pt>
                <c:pt idx="653">
                  <c:v>-0.36159176856847203</c:v>
                </c:pt>
                <c:pt idx="654">
                  <c:v>-0.56839881276339066</c:v>
                </c:pt>
                <c:pt idx="655">
                  <c:v>-0.78359096543416551</c:v>
                </c:pt>
                <c:pt idx="656">
                  <c:v>-3.3804896958988702E-2</c:v>
                </c:pt>
                <c:pt idx="657">
                  <c:v>0.18335366047082208</c:v>
                </c:pt>
                <c:pt idx="658">
                  <c:v>-0.23527709747254905</c:v>
                </c:pt>
                <c:pt idx="659">
                  <c:v>-0.50294987810084812</c:v>
                </c:pt>
                <c:pt idx="660">
                  <c:v>-0.4765640844543701</c:v>
                </c:pt>
                <c:pt idx="661">
                  <c:v>0.19154194707220265</c:v>
                </c:pt>
                <c:pt idx="662">
                  <c:v>0.28874036684669685</c:v>
                </c:pt>
                <c:pt idx="663">
                  <c:v>0.66454152160573232</c:v>
                </c:pt>
                <c:pt idx="664">
                  <c:v>1.3923738229075631</c:v>
                </c:pt>
                <c:pt idx="665">
                  <c:v>0.58169110595798723</c:v>
                </c:pt>
                <c:pt idx="666">
                  <c:v>1.5798801646100991</c:v>
                </c:pt>
                <c:pt idx="667">
                  <c:v>0.88806976082543654</c:v>
                </c:pt>
                <c:pt idx="668">
                  <c:v>1.7691229408541025</c:v>
                </c:pt>
                <c:pt idx="669">
                  <c:v>0.80746131245806418</c:v>
                </c:pt>
                <c:pt idx="670">
                  <c:v>1.1884509795408318</c:v>
                </c:pt>
                <c:pt idx="671">
                  <c:v>1.676499593669484</c:v>
                </c:pt>
                <c:pt idx="672">
                  <c:v>1.6191338769970949</c:v>
                </c:pt>
                <c:pt idx="673">
                  <c:v>2.1394261545863511</c:v>
                </c:pt>
                <c:pt idx="674">
                  <c:v>2.4100981640879162</c:v>
                </c:pt>
                <c:pt idx="675">
                  <c:v>2.3522660209218915</c:v>
                </c:pt>
                <c:pt idx="676">
                  <c:v>2.1930999830461082</c:v>
                </c:pt>
                <c:pt idx="677">
                  <c:v>0.81751182458959581</c:v>
                </c:pt>
                <c:pt idx="678">
                  <c:v>-0.29986394059170085</c:v>
                </c:pt>
                <c:pt idx="679">
                  <c:v>-0.15671819308681381</c:v>
                </c:pt>
                <c:pt idx="680">
                  <c:v>-3.3804896958988702E-2</c:v>
                </c:pt>
                <c:pt idx="681">
                  <c:v>-2.468222352492774E-2</c:v>
                </c:pt>
                <c:pt idx="682">
                  <c:v>-1.3030731552325798</c:v>
                </c:pt>
                <c:pt idx="683">
                  <c:v>-0.33529991873390275</c:v>
                </c:pt>
                <c:pt idx="685">
                  <c:v>0.38633036782362029</c:v>
                </c:pt>
                <c:pt idx="686">
                  <c:v>0.11196055040993279</c:v>
                </c:pt>
                <c:pt idx="687">
                  <c:v>0.66454152160573232</c:v>
                </c:pt>
                <c:pt idx="688">
                  <c:v>0.32473894272284271</c:v>
                </c:pt>
                <c:pt idx="689">
                  <c:v>0.58169110595798723</c:v>
                </c:pt>
                <c:pt idx="690">
                  <c:v>-0.29986394059170085</c:v>
                </c:pt>
                <c:pt idx="691">
                  <c:v>-0.15671819308681381</c:v>
                </c:pt>
                <c:pt idx="692">
                  <c:v>-3.3804896958988702E-2</c:v>
                </c:pt>
                <c:pt idx="693">
                  <c:v>-1.2728975274994045</c:v>
                </c:pt>
                <c:pt idx="694">
                  <c:v>-0.94714113597923622</c:v>
                </c:pt>
                <c:pt idx="695">
                  <c:v>-0.50294987810084812</c:v>
                </c:pt>
                <c:pt idx="696">
                  <c:v>-0.12728109087912701</c:v>
                </c:pt>
                <c:pt idx="697">
                  <c:v>-0.39282331518204333</c:v>
                </c:pt>
                <c:pt idx="698">
                  <c:v>0.28874036684669685</c:v>
                </c:pt>
                <c:pt idx="699">
                  <c:v>0.66454152160573232</c:v>
                </c:pt>
                <c:pt idx="700">
                  <c:v>1.9261912629999232</c:v>
                </c:pt>
                <c:pt idx="701">
                  <c:v>1.5249739804844382</c:v>
                </c:pt>
                <c:pt idx="702">
                  <c:v>1.8484150367817793</c:v>
                </c:pt>
                <c:pt idx="703">
                  <c:v>0.4701545792605305</c:v>
                </c:pt>
                <c:pt idx="704">
                  <c:v>1.5437569611274631</c:v>
                </c:pt>
                <c:pt idx="708">
                  <c:v>4.7360405908497653E-2</c:v>
                </c:pt>
                <c:pt idx="709">
                  <c:v>0.58111878857503096</c:v>
                </c:pt>
                <c:pt idx="710">
                  <c:v>1.5261990819040767</c:v>
                </c:pt>
                <c:pt idx="711">
                  <c:v>1.2974382088492928</c:v>
                </c:pt>
                <c:pt idx="712">
                  <c:v>-0.20907849736951745</c:v>
                </c:pt>
                <c:pt idx="713">
                  <c:v>1.0533325432212126</c:v>
                </c:pt>
                <c:pt idx="714">
                  <c:v>0.23720580375166916</c:v>
                </c:pt>
                <c:pt idx="715">
                  <c:v>5.2239397695631823E-2</c:v>
                </c:pt>
                <c:pt idx="716">
                  <c:v>0.19156108276765069</c:v>
                </c:pt>
                <c:pt idx="717">
                  <c:v>1.0154971964538066</c:v>
                </c:pt>
                <c:pt idx="718">
                  <c:v>1.7223490084208501</c:v>
                </c:pt>
                <c:pt idx="719">
                  <c:v>2.3470994311372837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96-4C4D-91EE-BFC9729F9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718032"/>
        <c:axId val="571713872"/>
      </c:scatterChart>
      <c:valAx>
        <c:axId val="571718032"/>
        <c:scaling>
          <c:orientation val="minMax"/>
          <c:max val="2015"/>
          <c:min val="19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13872"/>
        <c:crosses val="autoZero"/>
        <c:crossBetween val="midCat"/>
      </c:valAx>
      <c:valAx>
        <c:axId val="57171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1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SST mean (Aqua)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MODIS_Aqua!$C$2:$C$181</c:f>
              <c:numCache>
                <c:formatCode>0.0</c:formatCode>
                <c:ptCount val="180"/>
                <c:pt idx="0">
                  <c:v>2003</c:v>
                </c:pt>
                <c:pt idx="1">
                  <c:v>2003.0833333333101</c:v>
                </c:pt>
                <c:pt idx="2">
                  <c:v>2003.1666666666499</c:v>
                </c:pt>
                <c:pt idx="3">
                  <c:v>2003.24999999998</c:v>
                </c:pt>
                <c:pt idx="4">
                  <c:v>2003.3333333333101</c:v>
                </c:pt>
                <c:pt idx="5">
                  <c:v>2003.4166666666499</c:v>
                </c:pt>
                <c:pt idx="6">
                  <c:v>2003.49999999998</c:v>
                </c:pt>
                <c:pt idx="7">
                  <c:v>2003.5833333333101</c:v>
                </c:pt>
                <c:pt idx="8">
                  <c:v>2003.6666666666499</c:v>
                </c:pt>
                <c:pt idx="9">
                  <c:v>2003.74999999998</c:v>
                </c:pt>
                <c:pt idx="10">
                  <c:v>2003.8333333333101</c:v>
                </c:pt>
                <c:pt idx="11">
                  <c:v>2003.9166666666499</c:v>
                </c:pt>
                <c:pt idx="12">
                  <c:v>2004</c:v>
                </c:pt>
                <c:pt idx="13">
                  <c:v>2004.0833333333101</c:v>
                </c:pt>
                <c:pt idx="14">
                  <c:v>2004.1666666666499</c:v>
                </c:pt>
                <c:pt idx="15">
                  <c:v>2004.24999999998</c:v>
                </c:pt>
                <c:pt idx="16">
                  <c:v>2004.3333333333101</c:v>
                </c:pt>
                <c:pt idx="17">
                  <c:v>2004.4166666666499</c:v>
                </c:pt>
                <c:pt idx="18">
                  <c:v>2004.49999999998</c:v>
                </c:pt>
                <c:pt idx="19">
                  <c:v>2004.5833333333101</c:v>
                </c:pt>
                <c:pt idx="20">
                  <c:v>2004.6666666666499</c:v>
                </c:pt>
                <c:pt idx="21">
                  <c:v>2004.74999999998</c:v>
                </c:pt>
                <c:pt idx="22">
                  <c:v>2004.8333333333101</c:v>
                </c:pt>
                <c:pt idx="23">
                  <c:v>2004.9166666666499</c:v>
                </c:pt>
                <c:pt idx="24">
                  <c:v>2005</c:v>
                </c:pt>
                <c:pt idx="25">
                  <c:v>2005.0833333333201</c:v>
                </c:pt>
                <c:pt idx="26">
                  <c:v>2005.1666666666499</c:v>
                </c:pt>
                <c:pt idx="27">
                  <c:v>2005.24999999998</c:v>
                </c:pt>
                <c:pt idx="28">
                  <c:v>2005.3333333333201</c:v>
                </c:pt>
                <c:pt idx="29">
                  <c:v>2005.4166666666499</c:v>
                </c:pt>
                <c:pt idx="30">
                  <c:v>2005.49999999998</c:v>
                </c:pt>
                <c:pt idx="31">
                  <c:v>2005.5833333333201</c:v>
                </c:pt>
                <c:pt idx="32">
                  <c:v>2005.6666666666499</c:v>
                </c:pt>
                <c:pt idx="33">
                  <c:v>2005.74999999998</c:v>
                </c:pt>
                <c:pt idx="34">
                  <c:v>2005.8333333333201</c:v>
                </c:pt>
                <c:pt idx="35">
                  <c:v>2005.9166666666499</c:v>
                </c:pt>
                <c:pt idx="36">
                  <c:v>2006</c:v>
                </c:pt>
                <c:pt idx="37">
                  <c:v>2006.0833333333201</c:v>
                </c:pt>
                <c:pt idx="38">
                  <c:v>2006.1666666666499</c:v>
                </c:pt>
                <c:pt idx="39">
                  <c:v>2006.24999999998</c:v>
                </c:pt>
                <c:pt idx="40">
                  <c:v>2006.3333333333201</c:v>
                </c:pt>
                <c:pt idx="41">
                  <c:v>2006.4166666666499</c:v>
                </c:pt>
                <c:pt idx="42">
                  <c:v>2006.49999999998</c:v>
                </c:pt>
                <c:pt idx="43">
                  <c:v>2006.5833333333201</c:v>
                </c:pt>
                <c:pt idx="44">
                  <c:v>2006.6666666666499</c:v>
                </c:pt>
                <c:pt idx="45">
                  <c:v>2006.74999999998</c:v>
                </c:pt>
                <c:pt idx="46">
                  <c:v>2006.8333333333201</c:v>
                </c:pt>
                <c:pt idx="47">
                  <c:v>2006.9166666666499</c:v>
                </c:pt>
                <c:pt idx="48">
                  <c:v>2007</c:v>
                </c:pt>
                <c:pt idx="49">
                  <c:v>2007.0833333333201</c:v>
                </c:pt>
                <c:pt idx="50">
                  <c:v>2007.1666666666499</c:v>
                </c:pt>
                <c:pt idx="51">
                  <c:v>2007.24999999999</c:v>
                </c:pt>
                <c:pt idx="52">
                  <c:v>2007.3333333333201</c:v>
                </c:pt>
                <c:pt idx="53">
                  <c:v>2007.4166666666499</c:v>
                </c:pt>
                <c:pt idx="54">
                  <c:v>2007.49999999999</c:v>
                </c:pt>
                <c:pt idx="55">
                  <c:v>2007.5833333333201</c:v>
                </c:pt>
                <c:pt idx="56">
                  <c:v>2007.6666666666499</c:v>
                </c:pt>
                <c:pt idx="57">
                  <c:v>2007.74999999999</c:v>
                </c:pt>
                <c:pt idx="58">
                  <c:v>2007.8333333333201</c:v>
                </c:pt>
                <c:pt idx="59">
                  <c:v>2007.9166666666499</c:v>
                </c:pt>
                <c:pt idx="60">
                  <c:v>2008</c:v>
                </c:pt>
                <c:pt idx="61">
                  <c:v>2008.0833333333201</c:v>
                </c:pt>
                <c:pt idx="62">
                  <c:v>2008.1666666666499</c:v>
                </c:pt>
                <c:pt idx="63">
                  <c:v>2008.24999999999</c:v>
                </c:pt>
                <c:pt idx="64">
                  <c:v>2008.3333333333201</c:v>
                </c:pt>
                <c:pt idx="65">
                  <c:v>2008.4166666666499</c:v>
                </c:pt>
                <c:pt idx="66">
                  <c:v>2008.49999999999</c:v>
                </c:pt>
                <c:pt idx="67">
                  <c:v>2008.5833333333201</c:v>
                </c:pt>
                <c:pt idx="68">
                  <c:v>2008.6666666666599</c:v>
                </c:pt>
                <c:pt idx="69">
                  <c:v>2008.74999999999</c:v>
                </c:pt>
                <c:pt idx="70">
                  <c:v>2008.8333333333201</c:v>
                </c:pt>
                <c:pt idx="71">
                  <c:v>2008.9166666666599</c:v>
                </c:pt>
                <c:pt idx="72">
                  <c:v>2009</c:v>
                </c:pt>
                <c:pt idx="73">
                  <c:v>2009.0833333333201</c:v>
                </c:pt>
                <c:pt idx="74">
                  <c:v>2009.1666666666599</c:v>
                </c:pt>
                <c:pt idx="75">
                  <c:v>2009.24999999999</c:v>
                </c:pt>
                <c:pt idx="76">
                  <c:v>2009.3333333333201</c:v>
                </c:pt>
                <c:pt idx="77">
                  <c:v>2009.4166666666599</c:v>
                </c:pt>
                <c:pt idx="78">
                  <c:v>2009.49999999999</c:v>
                </c:pt>
                <c:pt idx="79">
                  <c:v>2009.5833333333201</c:v>
                </c:pt>
                <c:pt idx="80">
                  <c:v>2009.6666666666599</c:v>
                </c:pt>
                <c:pt idx="81">
                  <c:v>2009.74999999999</c:v>
                </c:pt>
                <c:pt idx="82">
                  <c:v>2009.8333333333201</c:v>
                </c:pt>
                <c:pt idx="83">
                  <c:v>2009.9166666666599</c:v>
                </c:pt>
                <c:pt idx="84">
                  <c:v>2010</c:v>
                </c:pt>
                <c:pt idx="85">
                  <c:v>2010.0833333333201</c:v>
                </c:pt>
                <c:pt idx="86">
                  <c:v>2010.1666666666599</c:v>
                </c:pt>
                <c:pt idx="87">
                  <c:v>2010.24999999999</c:v>
                </c:pt>
                <c:pt idx="88">
                  <c:v>2010.3333333333201</c:v>
                </c:pt>
                <c:pt idx="89">
                  <c:v>2010.4166666666599</c:v>
                </c:pt>
                <c:pt idx="90">
                  <c:v>2010.49999999999</c:v>
                </c:pt>
                <c:pt idx="91">
                  <c:v>2010.5833333333301</c:v>
                </c:pt>
                <c:pt idx="92">
                  <c:v>2010.6666666666599</c:v>
                </c:pt>
                <c:pt idx="93">
                  <c:v>2010.74999999999</c:v>
                </c:pt>
                <c:pt idx="94">
                  <c:v>2010.8333333333301</c:v>
                </c:pt>
                <c:pt idx="95">
                  <c:v>2010.9166666666599</c:v>
                </c:pt>
                <c:pt idx="96">
                  <c:v>2011</c:v>
                </c:pt>
                <c:pt idx="97">
                  <c:v>2011.0833333333301</c:v>
                </c:pt>
                <c:pt idx="98">
                  <c:v>2011.1666666666599</c:v>
                </c:pt>
                <c:pt idx="99">
                  <c:v>2011.24999999999</c:v>
                </c:pt>
                <c:pt idx="100">
                  <c:v>2011.3333333333301</c:v>
                </c:pt>
                <c:pt idx="101">
                  <c:v>2011.4166666666599</c:v>
                </c:pt>
                <c:pt idx="102">
                  <c:v>2011.49999999999</c:v>
                </c:pt>
                <c:pt idx="103">
                  <c:v>2011.5833333333301</c:v>
                </c:pt>
                <c:pt idx="104">
                  <c:v>2011.6666666666599</c:v>
                </c:pt>
                <c:pt idx="105">
                  <c:v>2011.74999999999</c:v>
                </c:pt>
                <c:pt idx="106">
                  <c:v>2011.8333333333301</c:v>
                </c:pt>
                <c:pt idx="107">
                  <c:v>2011.9166666666599</c:v>
                </c:pt>
                <c:pt idx="108">
                  <c:v>2012</c:v>
                </c:pt>
                <c:pt idx="109">
                  <c:v>2012.0833333333301</c:v>
                </c:pt>
                <c:pt idx="110">
                  <c:v>2012.1666666666599</c:v>
                </c:pt>
                <c:pt idx="111">
                  <c:v>2012.24999999999</c:v>
                </c:pt>
                <c:pt idx="112">
                  <c:v>2012.3333333333301</c:v>
                </c:pt>
                <c:pt idx="113">
                  <c:v>2012.4166666666599</c:v>
                </c:pt>
                <c:pt idx="114">
                  <c:v>2012.5</c:v>
                </c:pt>
                <c:pt idx="115">
                  <c:v>2012.5833333333301</c:v>
                </c:pt>
                <c:pt idx="116">
                  <c:v>2012.6666666666599</c:v>
                </c:pt>
                <c:pt idx="117">
                  <c:v>2012.75</c:v>
                </c:pt>
                <c:pt idx="118">
                  <c:v>2012.8333333333301</c:v>
                </c:pt>
                <c:pt idx="119">
                  <c:v>2012.9166666666599</c:v>
                </c:pt>
                <c:pt idx="120">
                  <c:v>2013</c:v>
                </c:pt>
                <c:pt idx="121">
                  <c:v>2013.0833333333301</c:v>
                </c:pt>
                <c:pt idx="122">
                  <c:v>2013.1666666666599</c:v>
                </c:pt>
                <c:pt idx="123">
                  <c:v>2013.25</c:v>
                </c:pt>
                <c:pt idx="124">
                  <c:v>2013.3333333333301</c:v>
                </c:pt>
                <c:pt idx="125">
                  <c:v>2013.4166666666599</c:v>
                </c:pt>
                <c:pt idx="126">
                  <c:v>2013.5</c:v>
                </c:pt>
                <c:pt idx="127">
                  <c:v>2013.5833333333301</c:v>
                </c:pt>
                <c:pt idx="128">
                  <c:v>2013.6666666666599</c:v>
                </c:pt>
                <c:pt idx="129">
                  <c:v>2013.75</c:v>
                </c:pt>
                <c:pt idx="130">
                  <c:v>2013.8333333333301</c:v>
                </c:pt>
                <c:pt idx="131">
                  <c:v>2013.9166666666599</c:v>
                </c:pt>
                <c:pt idx="132">
                  <c:v>2014</c:v>
                </c:pt>
                <c:pt idx="133">
                  <c:v>2014.0833333333333</c:v>
                </c:pt>
                <c:pt idx="134">
                  <c:v>2014.1666666666665</c:v>
                </c:pt>
                <c:pt idx="135">
                  <c:v>2014.25</c:v>
                </c:pt>
                <c:pt idx="136">
                  <c:v>2014.3333333333333</c:v>
                </c:pt>
                <c:pt idx="137">
                  <c:v>2014.4166666666665</c:v>
                </c:pt>
                <c:pt idx="138">
                  <c:v>2014.5</c:v>
                </c:pt>
                <c:pt idx="139">
                  <c:v>2014.5833333333333</c:v>
                </c:pt>
                <c:pt idx="140">
                  <c:v>2014.6666666666665</c:v>
                </c:pt>
                <c:pt idx="141">
                  <c:v>2014.75</c:v>
                </c:pt>
                <c:pt idx="142">
                  <c:v>2014.8333333333333</c:v>
                </c:pt>
                <c:pt idx="143">
                  <c:v>2014.9166666666665</c:v>
                </c:pt>
                <c:pt idx="144">
                  <c:v>2014.9999999999998</c:v>
                </c:pt>
                <c:pt idx="145">
                  <c:v>2015.083333333333</c:v>
                </c:pt>
                <c:pt idx="146">
                  <c:v>2015.1666666666665</c:v>
                </c:pt>
                <c:pt idx="147">
                  <c:v>2015.2499999999998</c:v>
                </c:pt>
                <c:pt idx="148">
                  <c:v>2015.3333333333333</c:v>
                </c:pt>
                <c:pt idx="149">
                  <c:v>2015.4166666666665</c:v>
                </c:pt>
                <c:pt idx="150">
                  <c:v>2015.4999999999998</c:v>
                </c:pt>
                <c:pt idx="151">
                  <c:v>2015.5833333333333</c:v>
                </c:pt>
                <c:pt idx="152">
                  <c:v>2015.6666666666665</c:v>
                </c:pt>
                <c:pt idx="153">
                  <c:v>2015.7499999999998</c:v>
                </c:pt>
                <c:pt idx="154">
                  <c:v>2015.8333333333333</c:v>
                </c:pt>
                <c:pt idx="155">
                  <c:v>2015.9166666666665</c:v>
                </c:pt>
              </c:numCache>
            </c:numRef>
          </c:xVal>
          <c:yVal>
            <c:numRef>
              <c:f>MODIS_Aqua!$D$2:$D$181</c:f>
              <c:numCache>
                <c:formatCode>General</c:formatCode>
                <c:ptCount val="180"/>
                <c:pt idx="0">
                  <c:v>28.186</c:v>
                </c:pt>
                <c:pt idx="1">
                  <c:v>27.972999999999999</c:v>
                </c:pt>
                <c:pt idx="2">
                  <c:v>28.050999999999998</c:v>
                </c:pt>
                <c:pt idx="3">
                  <c:v>28.254000000000001</c:v>
                </c:pt>
                <c:pt idx="4">
                  <c:v>30.050999999999998</c:v>
                </c:pt>
                <c:pt idx="5">
                  <c:v>30.373000000000001</c:v>
                </c:pt>
                <c:pt idx="6">
                  <c:v>29.864000000000001</c:v>
                </c:pt>
                <c:pt idx="7">
                  <c:v>30.396999999999998</c:v>
                </c:pt>
                <c:pt idx="8">
                  <c:v>30.056000000000001</c:v>
                </c:pt>
                <c:pt idx="9">
                  <c:v>29.789000000000001</c:v>
                </c:pt>
                <c:pt idx="10">
                  <c:v>29.943999999999999</c:v>
                </c:pt>
                <c:pt idx="11">
                  <c:v>29.605</c:v>
                </c:pt>
                <c:pt idx="12">
                  <c:v>28.030999999999999</c:v>
                </c:pt>
                <c:pt idx="13">
                  <c:v>28.106999999999999</c:v>
                </c:pt>
                <c:pt idx="14">
                  <c:v>27.518000000000001</c:v>
                </c:pt>
                <c:pt idx="15">
                  <c:v>27.847000000000001</c:v>
                </c:pt>
                <c:pt idx="16">
                  <c:v>30.335000000000001</c:v>
                </c:pt>
                <c:pt idx="17">
                  <c:v>30.173999999999999</c:v>
                </c:pt>
                <c:pt idx="18">
                  <c:v>30.265000000000001</c:v>
                </c:pt>
                <c:pt idx="19">
                  <c:v>30.847000000000001</c:v>
                </c:pt>
                <c:pt idx="20">
                  <c:v>30.204000000000001</c:v>
                </c:pt>
                <c:pt idx="21">
                  <c:v>30.419</c:v>
                </c:pt>
                <c:pt idx="22">
                  <c:v>29.077999999999999</c:v>
                </c:pt>
                <c:pt idx="23">
                  <c:v>28.765999999999998</c:v>
                </c:pt>
                <c:pt idx="24">
                  <c:v>27.768000000000001</c:v>
                </c:pt>
                <c:pt idx="25">
                  <c:v>26.978000000000002</c:v>
                </c:pt>
                <c:pt idx="26">
                  <c:v>28.138000000000002</c:v>
                </c:pt>
                <c:pt idx="27">
                  <c:v>28.83</c:v>
                </c:pt>
                <c:pt idx="28">
                  <c:v>29.591000000000001</c:v>
                </c:pt>
                <c:pt idx="29">
                  <c:v>30.582999999999998</c:v>
                </c:pt>
                <c:pt idx="30">
                  <c:v>30.91</c:v>
                </c:pt>
                <c:pt idx="31">
                  <c:v>30.448</c:v>
                </c:pt>
                <c:pt idx="32">
                  <c:v>30.74</c:v>
                </c:pt>
                <c:pt idx="33">
                  <c:v>30.12</c:v>
                </c:pt>
                <c:pt idx="34">
                  <c:v>29.663</c:v>
                </c:pt>
                <c:pt idx="35">
                  <c:v>29.56</c:v>
                </c:pt>
                <c:pt idx="36">
                  <c:v>28.849</c:v>
                </c:pt>
                <c:pt idx="37">
                  <c:v>27.62</c:v>
                </c:pt>
                <c:pt idx="38">
                  <c:v>27.367999999999999</c:v>
                </c:pt>
                <c:pt idx="39">
                  <c:v>28.283999999999999</c:v>
                </c:pt>
                <c:pt idx="40">
                  <c:v>29.327000000000002</c:v>
                </c:pt>
                <c:pt idx="41">
                  <c:v>30.396999999999998</c:v>
                </c:pt>
                <c:pt idx="42">
                  <c:v>30.759</c:v>
                </c:pt>
                <c:pt idx="43">
                  <c:v>30.408000000000001</c:v>
                </c:pt>
                <c:pt idx="44">
                  <c:v>30.17</c:v>
                </c:pt>
                <c:pt idx="45">
                  <c:v>30.297000000000001</c:v>
                </c:pt>
                <c:pt idx="46">
                  <c:v>29.734000000000002</c:v>
                </c:pt>
                <c:pt idx="47">
                  <c:v>29.423999999999999</c:v>
                </c:pt>
                <c:pt idx="48">
                  <c:v>27.923999999999999</c:v>
                </c:pt>
                <c:pt idx="49">
                  <c:v>27.757999999999999</c:v>
                </c:pt>
                <c:pt idx="50">
                  <c:v>27.625</c:v>
                </c:pt>
                <c:pt idx="51">
                  <c:v>28.231999999999999</c:v>
                </c:pt>
                <c:pt idx="52">
                  <c:v>29.704999999999998</c:v>
                </c:pt>
                <c:pt idx="53">
                  <c:v>29.995000000000001</c:v>
                </c:pt>
                <c:pt idx="54">
                  <c:v>30.716999999999999</c:v>
                </c:pt>
                <c:pt idx="55">
                  <c:v>30.05</c:v>
                </c:pt>
                <c:pt idx="56">
                  <c:v>30.577000000000002</c:v>
                </c:pt>
                <c:pt idx="57">
                  <c:v>29.896999999999998</c:v>
                </c:pt>
                <c:pt idx="58">
                  <c:v>29.661999999999999</c:v>
                </c:pt>
                <c:pt idx="59">
                  <c:v>29.206</c:v>
                </c:pt>
                <c:pt idx="60">
                  <c:v>27.98</c:v>
                </c:pt>
                <c:pt idx="61">
                  <c:v>27.876000000000001</c:v>
                </c:pt>
                <c:pt idx="62">
                  <c:v>28.148</c:v>
                </c:pt>
                <c:pt idx="63">
                  <c:v>28.463000000000001</c:v>
                </c:pt>
                <c:pt idx="64">
                  <c:v>29.001000000000001</c:v>
                </c:pt>
                <c:pt idx="65">
                  <c:v>29.791</c:v>
                </c:pt>
                <c:pt idx="66">
                  <c:v>30.382999999999999</c:v>
                </c:pt>
                <c:pt idx="67">
                  <c:v>29.908000000000001</c:v>
                </c:pt>
                <c:pt idx="68">
                  <c:v>30.341000000000001</c:v>
                </c:pt>
                <c:pt idx="69">
                  <c:v>30.181000000000001</c:v>
                </c:pt>
                <c:pt idx="70">
                  <c:v>29.603000000000002</c:v>
                </c:pt>
                <c:pt idx="71">
                  <c:v>28.771999999999998</c:v>
                </c:pt>
                <c:pt idx="72">
                  <c:v>28.007000000000001</c:v>
                </c:pt>
                <c:pt idx="73">
                  <c:v>27.216000000000001</c:v>
                </c:pt>
                <c:pt idx="74">
                  <c:v>27.052</c:v>
                </c:pt>
                <c:pt idx="75">
                  <c:v>28.036999999999999</c:v>
                </c:pt>
                <c:pt idx="76">
                  <c:v>29.324000000000002</c:v>
                </c:pt>
                <c:pt idx="77">
                  <c:v>30.114000000000001</c:v>
                </c:pt>
                <c:pt idx="78">
                  <c:v>29.542999999999999</c:v>
                </c:pt>
                <c:pt idx="79">
                  <c:v>30.245000000000001</c:v>
                </c:pt>
                <c:pt idx="80">
                  <c:v>30.44</c:v>
                </c:pt>
                <c:pt idx="81">
                  <c:v>30.056999999999999</c:v>
                </c:pt>
                <c:pt idx="82">
                  <c:v>29.751000000000001</c:v>
                </c:pt>
                <c:pt idx="83">
                  <c:v>29.387</c:v>
                </c:pt>
                <c:pt idx="84">
                  <c:v>28.26</c:v>
                </c:pt>
                <c:pt idx="85">
                  <c:v>27.731000000000002</c:v>
                </c:pt>
                <c:pt idx="86">
                  <c:v>28.132999999999999</c:v>
                </c:pt>
                <c:pt idx="87">
                  <c:v>29.015000000000001</c:v>
                </c:pt>
                <c:pt idx="88">
                  <c:v>30.068999999999999</c:v>
                </c:pt>
                <c:pt idx="89">
                  <c:v>30.597000000000001</c:v>
                </c:pt>
                <c:pt idx="90">
                  <c:v>30.364999999999998</c:v>
                </c:pt>
                <c:pt idx="91">
                  <c:v>30.565999999999999</c:v>
                </c:pt>
                <c:pt idx="92">
                  <c:v>30.492000000000001</c:v>
                </c:pt>
                <c:pt idx="93">
                  <c:v>29.640999999999998</c:v>
                </c:pt>
                <c:pt idx="94">
                  <c:v>29.388000000000002</c:v>
                </c:pt>
                <c:pt idx="95">
                  <c:v>28.791</c:v>
                </c:pt>
                <c:pt idx="96">
                  <c:v>28.45</c:v>
                </c:pt>
                <c:pt idx="97">
                  <c:v>27.911999999999999</c:v>
                </c:pt>
                <c:pt idx="98">
                  <c:v>27.302</c:v>
                </c:pt>
                <c:pt idx="99">
                  <c:v>28.062999999999999</c:v>
                </c:pt>
                <c:pt idx="100">
                  <c:v>29.141999999999999</c:v>
                </c:pt>
                <c:pt idx="101">
                  <c:v>30.271000000000001</c:v>
                </c:pt>
                <c:pt idx="102">
                  <c:v>30.337</c:v>
                </c:pt>
                <c:pt idx="103">
                  <c:v>30.434000000000001</c:v>
                </c:pt>
                <c:pt idx="104">
                  <c:v>30.33</c:v>
                </c:pt>
                <c:pt idx="105">
                  <c:v>29.058</c:v>
                </c:pt>
                <c:pt idx="106">
                  <c:v>29.88</c:v>
                </c:pt>
                <c:pt idx="107">
                  <c:v>29.044</c:v>
                </c:pt>
                <c:pt idx="108">
                  <c:v>28.234999999999999</c:v>
                </c:pt>
                <c:pt idx="109">
                  <c:v>27.503</c:v>
                </c:pt>
                <c:pt idx="110">
                  <c:v>27.422999999999998</c:v>
                </c:pt>
                <c:pt idx="111">
                  <c:v>28.233000000000001</c:v>
                </c:pt>
                <c:pt idx="112">
                  <c:v>30.193000000000001</c:v>
                </c:pt>
                <c:pt idx="113">
                  <c:v>30.216000000000001</c:v>
                </c:pt>
                <c:pt idx="114">
                  <c:v>30.169</c:v>
                </c:pt>
                <c:pt idx="115">
                  <c:v>30.373999999999999</c:v>
                </c:pt>
                <c:pt idx="116">
                  <c:v>30.321000000000002</c:v>
                </c:pt>
                <c:pt idx="117">
                  <c:v>28.175000000000001</c:v>
                </c:pt>
                <c:pt idx="118">
                  <c:v>29.553999999999998</c:v>
                </c:pt>
                <c:pt idx="119">
                  <c:v>28.992999999999999</c:v>
                </c:pt>
                <c:pt idx="120">
                  <c:v>27.896999999999998</c:v>
                </c:pt>
                <c:pt idx="121">
                  <c:v>27.74</c:v>
                </c:pt>
                <c:pt idx="122">
                  <c:v>27.443999999999999</c:v>
                </c:pt>
                <c:pt idx="123">
                  <c:v>28.337</c:v>
                </c:pt>
                <c:pt idx="124">
                  <c:v>29.405000000000001</c:v>
                </c:pt>
                <c:pt idx="125">
                  <c:v>30.297000000000001</c:v>
                </c:pt>
                <c:pt idx="126">
                  <c:v>29.922000000000001</c:v>
                </c:pt>
                <c:pt idx="127">
                  <c:v>30.048999999999999</c:v>
                </c:pt>
                <c:pt idx="128">
                  <c:v>30.058</c:v>
                </c:pt>
                <c:pt idx="129">
                  <c:v>30.169</c:v>
                </c:pt>
                <c:pt idx="130">
                  <c:v>29.783999999999999</c:v>
                </c:pt>
                <c:pt idx="131">
                  <c:v>29.49</c:v>
                </c:pt>
                <c:pt idx="132">
                  <c:v>28.6</c:v>
                </c:pt>
                <c:pt idx="133">
                  <c:v>28.016999999999999</c:v>
                </c:pt>
                <c:pt idx="134">
                  <c:v>27.762</c:v>
                </c:pt>
                <c:pt idx="135">
                  <c:v>28.202000000000002</c:v>
                </c:pt>
                <c:pt idx="136">
                  <c:v>29.388000000000002</c:v>
                </c:pt>
                <c:pt idx="137">
                  <c:v>30.318999999999999</c:v>
                </c:pt>
                <c:pt idx="138">
                  <c:v>30.050999999999998</c:v>
                </c:pt>
                <c:pt idx="139">
                  <c:v>29.831</c:v>
                </c:pt>
                <c:pt idx="140">
                  <c:v>30.652000000000001</c:v>
                </c:pt>
                <c:pt idx="141">
                  <c:v>30.187999999999999</c:v>
                </c:pt>
                <c:pt idx="142">
                  <c:v>29.911999999999999</c:v>
                </c:pt>
                <c:pt idx="143">
                  <c:v>28.779</c:v>
                </c:pt>
                <c:pt idx="144">
                  <c:v>28.024999999999999</c:v>
                </c:pt>
                <c:pt idx="145">
                  <c:v>27.867000000000001</c:v>
                </c:pt>
                <c:pt idx="146">
                  <c:v>27.673999999999999</c:v>
                </c:pt>
                <c:pt idx="147">
                  <c:v>28.146000000000001</c:v>
                </c:pt>
                <c:pt idx="148">
                  <c:v>29.45</c:v>
                </c:pt>
                <c:pt idx="149">
                  <c:v>29.994</c:v>
                </c:pt>
                <c:pt idx="150">
                  <c:v>29.783000000000001</c:v>
                </c:pt>
                <c:pt idx="151">
                  <c:v>29.963000000000001</c:v>
                </c:pt>
                <c:pt idx="152">
                  <c:v>30.975000000000001</c:v>
                </c:pt>
                <c:pt idx="153">
                  <c:v>30.3</c:v>
                </c:pt>
                <c:pt idx="154">
                  <c:v>29.773</c:v>
                </c:pt>
                <c:pt idx="155">
                  <c:v>29.994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83-4389-A115-3DF258966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707784"/>
        <c:axId val="643707456"/>
      </c:scatterChart>
      <c:valAx>
        <c:axId val="64370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07456"/>
        <c:crosses val="autoZero"/>
        <c:crossBetween val="midCat"/>
      </c:valAx>
      <c:valAx>
        <c:axId val="6437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07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Climatology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MODIS_Aqua!$J$2:$J$13</c:f>
                <c:numCache>
                  <c:formatCode>General</c:formatCode>
                  <c:ptCount val="12"/>
                  <c:pt idx="0">
                    <c:v>0.30775879249661497</c:v>
                  </c:pt>
                  <c:pt idx="1">
                    <c:v>0.32250766240151862</c:v>
                  </c:pt>
                  <c:pt idx="2">
                    <c:v>0.360657412554864</c:v>
                  </c:pt>
                  <c:pt idx="3">
                    <c:v>0.31560428403708973</c:v>
                  </c:pt>
                  <c:pt idx="4">
                    <c:v>0.42313915393135543</c:v>
                  </c:pt>
                  <c:pt idx="5">
                    <c:v>0.23109105764411741</c:v>
                  </c:pt>
                  <c:pt idx="6">
                    <c:v>0.40513475124539305</c:v>
                  </c:pt>
                  <c:pt idx="7">
                    <c:v>0.29453159248942884</c:v>
                  </c:pt>
                  <c:pt idx="8">
                    <c:v>0.27241022986175345</c:v>
                  </c:pt>
                  <c:pt idx="9">
                    <c:v>0.62218815688190543</c:v>
                  </c:pt>
                  <c:pt idx="10">
                    <c:v>0.2345258172874766</c:v>
                  </c:pt>
                  <c:pt idx="11">
                    <c:v>0.39509116117805743</c:v>
                  </c:pt>
                </c:numCache>
              </c:numRef>
            </c:plus>
            <c:minus>
              <c:numRef>
                <c:f>MODIS_Aqua!$J$2:$J$13</c:f>
                <c:numCache>
                  <c:formatCode>General</c:formatCode>
                  <c:ptCount val="12"/>
                  <c:pt idx="0">
                    <c:v>0.30775879249661497</c:v>
                  </c:pt>
                  <c:pt idx="1">
                    <c:v>0.32250766240151862</c:v>
                  </c:pt>
                  <c:pt idx="2">
                    <c:v>0.360657412554864</c:v>
                  </c:pt>
                  <c:pt idx="3">
                    <c:v>0.31560428403708973</c:v>
                  </c:pt>
                  <c:pt idx="4">
                    <c:v>0.42313915393135543</c:v>
                  </c:pt>
                  <c:pt idx="5">
                    <c:v>0.23109105764411741</c:v>
                  </c:pt>
                  <c:pt idx="6">
                    <c:v>0.40513475124539305</c:v>
                  </c:pt>
                  <c:pt idx="7">
                    <c:v>0.29453159248942884</c:v>
                  </c:pt>
                  <c:pt idx="8">
                    <c:v>0.27241022986175345</c:v>
                  </c:pt>
                  <c:pt idx="9">
                    <c:v>0.62218815688190543</c:v>
                  </c:pt>
                  <c:pt idx="10">
                    <c:v>0.2345258172874766</c:v>
                  </c:pt>
                  <c:pt idx="11">
                    <c:v>0.39509116117805743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MODIS_Aqua!$H$2:$H$13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MODIS_Aqua!$I$2:$I$13</c:f>
              <c:numCache>
                <c:formatCode>0.00</c:formatCode>
                <c:ptCount val="12"/>
                <c:pt idx="0">
                  <c:v>28.170153846153845</c:v>
                </c:pt>
                <c:pt idx="1">
                  <c:v>27.715230769230775</c:v>
                </c:pt>
                <c:pt idx="2">
                  <c:v>27.664461538461538</c:v>
                </c:pt>
                <c:pt idx="3">
                  <c:v>28.303307692307691</c:v>
                </c:pt>
                <c:pt idx="4">
                  <c:v>29.613923076923076</c:v>
                </c:pt>
                <c:pt idx="5">
                  <c:v>30.240076923076931</c:v>
                </c:pt>
                <c:pt idx="6">
                  <c:v>30.236000000000004</c:v>
                </c:pt>
                <c:pt idx="7">
                  <c:v>30.270769230769233</c:v>
                </c:pt>
                <c:pt idx="8">
                  <c:v>30.412000000000003</c:v>
                </c:pt>
                <c:pt idx="9">
                  <c:v>29.86853846153846</c:v>
                </c:pt>
                <c:pt idx="10">
                  <c:v>29.671230769230768</c:v>
                </c:pt>
                <c:pt idx="11">
                  <c:v>29.216230769230762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D4-41D4-ACD5-0ED3CD543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880248"/>
        <c:axId val="579883856"/>
      </c:scatterChart>
      <c:valAx>
        <c:axId val="579880248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83856"/>
        <c:crosses val="autoZero"/>
        <c:crossBetween val="midCat"/>
      </c:valAx>
      <c:valAx>
        <c:axId val="5798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80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SST mean (Terra)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MODIS_Terra!$C$2:$C$205</c:f>
              <c:numCache>
                <c:formatCode>0.0</c:formatCode>
                <c:ptCount val="204"/>
                <c:pt idx="0">
                  <c:v>2001</c:v>
                </c:pt>
                <c:pt idx="1">
                  <c:v>2001.0833333333101</c:v>
                </c:pt>
                <c:pt idx="2">
                  <c:v>2001.1666666666399</c:v>
                </c:pt>
                <c:pt idx="3">
                  <c:v>2001.24999999997</c:v>
                </c:pt>
                <c:pt idx="4">
                  <c:v>2001.3333333333101</c:v>
                </c:pt>
                <c:pt idx="5">
                  <c:v>2001.4166666666399</c:v>
                </c:pt>
                <c:pt idx="6">
                  <c:v>2001.49999999998</c:v>
                </c:pt>
                <c:pt idx="7">
                  <c:v>2001.5833333333101</c:v>
                </c:pt>
                <c:pt idx="8">
                  <c:v>2001.6666666666399</c:v>
                </c:pt>
                <c:pt idx="9">
                  <c:v>2001.74999999998</c:v>
                </c:pt>
                <c:pt idx="10">
                  <c:v>2001.8333333333101</c:v>
                </c:pt>
                <c:pt idx="11">
                  <c:v>2001.9166666666399</c:v>
                </c:pt>
                <c:pt idx="12">
                  <c:v>2002</c:v>
                </c:pt>
                <c:pt idx="13">
                  <c:v>2002.0833333333101</c:v>
                </c:pt>
                <c:pt idx="14">
                  <c:v>2002.1666666666399</c:v>
                </c:pt>
                <c:pt idx="15">
                  <c:v>2002.24999999998</c:v>
                </c:pt>
                <c:pt idx="16">
                  <c:v>2002.3333333333101</c:v>
                </c:pt>
                <c:pt idx="17">
                  <c:v>2002.4166666666399</c:v>
                </c:pt>
                <c:pt idx="18">
                  <c:v>2002.49999999998</c:v>
                </c:pt>
                <c:pt idx="19">
                  <c:v>2002.5833333333101</c:v>
                </c:pt>
                <c:pt idx="20">
                  <c:v>2002.6666666666399</c:v>
                </c:pt>
                <c:pt idx="21">
                  <c:v>2002.74999999998</c:v>
                </c:pt>
                <c:pt idx="22">
                  <c:v>2002.8333333333101</c:v>
                </c:pt>
                <c:pt idx="23">
                  <c:v>2002.9166666666399</c:v>
                </c:pt>
                <c:pt idx="24">
                  <c:v>2003</c:v>
                </c:pt>
                <c:pt idx="25">
                  <c:v>2003.0833333333101</c:v>
                </c:pt>
                <c:pt idx="26">
                  <c:v>2003.1666666666499</c:v>
                </c:pt>
                <c:pt idx="27">
                  <c:v>2003.24999999998</c:v>
                </c:pt>
                <c:pt idx="28">
                  <c:v>2003.3333333333101</c:v>
                </c:pt>
                <c:pt idx="29">
                  <c:v>2003.4166666666499</c:v>
                </c:pt>
                <c:pt idx="30">
                  <c:v>2003.49999999998</c:v>
                </c:pt>
                <c:pt idx="31">
                  <c:v>2003.5833333333101</c:v>
                </c:pt>
                <c:pt idx="32">
                  <c:v>2003.6666666666499</c:v>
                </c:pt>
                <c:pt idx="33">
                  <c:v>2003.74999999998</c:v>
                </c:pt>
                <c:pt idx="34">
                  <c:v>2003.8333333333101</c:v>
                </c:pt>
                <c:pt idx="35">
                  <c:v>2003.9166666666499</c:v>
                </c:pt>
                <c:pt idx="36">
                  <c:v>2004</c:v>
                </c:pt>
                <c:pt idx="37">
                  <c:v>2004.0833333333101</c:v>
                </c:pt>
                <c:pt idx="38">
                  <c:v>2004.1666666666499</c:v>
                </c:pt>
                <c:pt idx="39">
                  <c:v>2004.24999999998</c:v>
                </c:pt>
                <c:pt idx="40">
                  <c:v>2004.3333333333101</c:v>
                </c:pt>
                <c:pt idx="41">
                  <c:v>2004.4166666666499</c:v>
                </c:pt>
                <c:pt idx="42">
                  <c:v>2004.49999999998</c:v>
                </c:pt>
                <c:pt idx="43">
                  <c:v>2004.5833333333101</c:v>
                </c:pt>
                <c:pt idx="44">
                  <c:v>2004.6666666666499</c:v>
                </c:pt>
                <c:pt idx="45">
                  <c:v>2004.74999999998</c:v>
                </c:pt>
                <c:pt idx="46">
                  <c:v>2004.8333333333101</c:v>
                </c:pt>
                <c:pt idx="47">
                  <c:v>2004.9166666666499</c:v>
                </c:pt>
                <c:pt idx="48">
                  <c:v>2005</c:v>
                </c:pt>
                <c:pt idx="49">
                  <c:v>2005.0833333333201</c:v>
                </c:pt>
                <c:pt idx="50">
                  <c:v>2005.1666666666499</c:v>
                </c:pt>
                <c:pt idx="51">
                  <c:v>2005.24999999998</c:v>
                </c:pt>
                <c:pt idx="52">
                  <c:v>2005.3333333333201</c:v>
                </c:pt>
                <c:pt idx="53">
                  <c:v>2005.4166666666499</c:v>
                </c:pt>
                <c:pt idx="54">
                  <c:v>2005.49999999998</c:v>
                </c:pt>
                <c:pt idx="55">
                  <c:v>2005.5833333333201</c:v>
                </c:pt>
                <c:pt idx="56">
                  <c:v>2005.6666666666499</c:v>
                </c:pt>
                <c:pt idx="57">
                  <c:v>2005.74999999998</c:v>
                </c:pt>
                <c:pt idx="58">
                  <c:v>2005.8333333333201</c:v>
                </c:pt>
                <c:pt idx="59">
                  <c:v>2005.9166666666499</c:v>
                </c:pt>
                <c:pt idx="60">
                  <c:v>2006</c:v>
                </c:pt>
                <c:pt idx="61">
                  <c:v>2006.0833333333201</c:v>
                </c:pt>
                <c:pt idx="62">
                  <c:v>2006.1666666666499</c:v>
                </c:pt>
                <c:pt idx="63">
                  <c:v>2006.24999999998</c:v>
                </c:pt>
                <c:pt idx="64">
                  <c:v>2006.3333333333201</c:v>
                </c:pt>
                <c:pt idx="65">
                  <c:v>2006.4166666666499</c:v>
                </c:pt>
                <c:pt idx="66">
                  <c:v>2006.49999999998</c:v>
                </c:pt>
                <c:pt idx="67">
                  <c:v>2006.5833333333201</c:v>
                </c:pt>
                <c:pt idx="68">
                  <c:v>2006.6666666666499</c:v>
                </c:pt>
                <c:pt idx="69">
                  <c:v>2006.74999999998</c:v>
                </c:pt>
                <c:pt idx="70">
                  <c:v>2006.8333333333201</c:v>
                </c:pt>
                <c:pt idx="71">
                  <c:v>2006.9166666666499</c:v>
                </c:pt>
                <c:pt idx="72">
                  <c:v>2007</c:v>
                </c:pt>
                <c:pt idx="73">
                  <c:v>2007.0833333333201</c:v>
                </c:pt>
                <c:pt idx="74">
                  <c:v>2007.1666666666499</c:v>
                </c:pt>
                <c:pt idx="75">
                  <c:v>2007.24999999999</c:v>
                </c:pt>
                <c:pt idx="76">
                  <c:v>2007.3333333333201</c:v>
                </c:pt>
                <c:pt idx="77">
                  <c:v>2007.4166666666499</c:v>
                </c:pt>
                <c:pt idx="78">
                  <c:v>2007.49999999999</c:v>
                </c:pt>
                <c:pt idx="79">
                  <c:v>2007.5833333333201</c:v>
                </c:pt>
                <c:pt idx="80">
                  <c:v>2007.6666666666499</c:v>
                </c:pt>
                <c:pt idx="81">
                  <c:v>2007.74999999999</c:v>
                </c:pt>
                <c:pt idx="82">
                  <c:v>2007.8333333333201</c:v>
                </c:pt>
                <c:pt idx="83">
                  <c:v>2007.9166666666499</c:v>
                </c:pt>
                <c:pt idx="84">
                  <c:v>2008</c:v>
                </c:pt>
                <c:pt idx="85">
                  <c:v>2008.0833333333201</c:v>
                </c:pt>
                <c:pt idx="86">
                  <c:v>2008.1666666666499</c:v>
                </c:pt>
                <c:pt idx="87">
                  <c:v>2008.24999999999</c:v>
                </c:pt>
                <c:pt idx="88">
                  <c:v>2008.3333333333201</c:v>
                </c:pt>
                <c:pt idx="89">
                  <c:v>2008.4166666666499</c:v>
                </c:pt>
                <c:pt idx="90">
                  <c:v>2008.49999999999</c:v>
                </c:pt>
                <c:pt idx="91">
                  <c:v>2008.5833333333201</c:v>
                </c:pt>
                <c:pt idx="92">
                  <c:v>2008.6666666666599</c:v>
                </c:pt>
                <c:pt idx="93">
                  <c:v>2008.74999999999</c:v>
                </c:pt>
                <c:pt idx="94">
                  <c:v>2008.8333333333201</c:v>
                </c:pt>
                <c:pt idx="95">
                  <c:v>2008.9166666666599</c:v>
                </c:pt>
                <c:pt idx="96">
                  <c:v>2009</c:v>
                </c:pt>
                <c:pt idx="97">
                  <c:v>2009.0833333333201</c:v>
                </c:pt>
                <c:pt idx="98">
                  <c:v>2009.1666666666599</c:v>
                </c:pt>
                <c:pt idx="99">
                  <c:v>2009.24999999999</c:v>
                </c:pt>
                <c:pt idx="100">
                  <c:v>2009.3333333333201</c:v>
                </c:pt>
                <c:pt idx="101">
                  <c:v>2009.4166666666599</c:v>
                </c:pt>
                <c:pt idx="102">
                  <c:v>2009.49999999999</c:v>
                </c:pt>
                <c:pt idx="103">
                  <c:v>2009.5833333333201</c:v>
                </c:pt>
                <c:pt idx="104">
                  <c:v>2009.6666666666599</c:v>
                </c:pt>
                <c:pt idx="105">
                  <c:v>2009.74999999999</c:v>
                </c:pt>
                <c:pt idx="106">
                  <c:v>2009.8333333333201</c:v>
                </c:pt>
                <c:pt idx="107">
                  <c:v>2009.9166666666599</c:v>
                </c:pt>
                <c:pt idx="108">
                  <c:v>2010</c:v>
                </c:pt>
                <c:pt idx="109">
                  <c:v>2010.0833333333201</c:v>
                </c:pt>
                <c:pt idx="110">
                  <c:v>2010.1666666666599</c:v>
                </c:pt>
                <c:pt idx="111">
                  <c:v>2010.24999999999</c:v>
                </c:pt>
                <c:pt idx="112">
                  <c:v>2010.3333333333201</c:v>
                </c:pt>
                <c:pt idx="113">
                  <c:v>2010.4166666666599</c:v>
                </c:pt>
                <c:pt idx="114">
                  <c:v>2010.49999999999</c:v>
                </c:pt>
                <c:pt idx="115">
                  <c:v>2010.5833333333301</c:v>
                </c:pt>
                <c:pt idx="116">
                  <c:v>2010.6666666666599</c:v>
                </c:pt>
                <c:pt idx="117">
                  <c:v>2010.74999999999</c:v>
                </c:pt>
                <c:pt idx="118">
                  <c:v>2010.8333333333301</c:v>
                </c:pt>
                <c:pt idx="119">
                  <c:v>2010.9166666666599</c:v>
                </c:pt>
                <c:pt idx="120">
                  <c:v>2011</c:v>
                </c:pt>
                <c:pt idx="121">
                  <c:v>2011.0833333333301</c:v>
                </c:pt>
                <c:pt idx="122">
                  <c:v>2011.1666666666599</c:v>
                </c:pt>
                <c:pt idx="123">
                  <c:v>2011.24999999999</c:v>
                </c:pt>
                <c:pt idx="124">
                  <c:v>2011.3333333333301</c:v>
                </c:pt>
                <c:pt idx="125">
                  <c:v>2011.4166666666599</c:v>
                </c:pt>
                <c:pt idx="126">
                  <c:v>2011.49999999999</c:v>
                </c:pt>
                <c:pt idx="127">
                  <c:v>2011.5833333333301</c:v>
                </c:pt>
                <c:pt idx="128">
                  <c:v>2011.6666666666599</c:v>
                </c:pt>
                <c:pt idx="129">
                  <c:v>2011.74999999999</c:v>
                </c:pt>
                <c:pt idx="130">
                  <c:v>2011.8333333333301</c:v>
                </c:pt>
                <c:pt idx="131">
                  <c:v>2011.9166666666599</c:v>
                </c:pt>
                <c:pt idx="132">
                  <c:v>2012</c:v>
                </c:pt>
                <c:pt idx="133">
                  <c:v>2012.0833333333301</c:v>
                </c:pt>
                <c:pt idx="134">
                  <c:v>2012.1666666666599</c:v>
                </c:pt>
                <c:pt idx="135">
                  <c:v>2012.24999999999</c:v>
                </c:pt>
                <c:pt idx="136">
                  <c:v>2012.3333333333301</c:v>
                </c:pt>
                <c:pt idx="137">
                  <c:v>2012.4166666666599</c:v>
                </c:pt>
                <c:pt idx="138">
                  <c:v>2012.5</c:v>
                </c:pt>
                <c:pt idx="139">
                  <c:v>2012.5833333333301</c:v>
                </c:pt>
                <c:pt idx="140">
                  <c:v>2012.6666666666599</c:v>
                </c:pt>
                <c:pt idx="141">
                  <c:v>2012.75</c:v>
                </c:pt>
                <c:pt idx="142">
                  <c:v>2012.8333333333301</c:v>
                </c:pt>
                <c:pt idx="143">
                  <c:v>2012.9166666666599</c:v>
                </c:pt>
                <c:pt idx="144">
                  <c:v>2013</c:v>
                </c:pt>
                <c:pt idx="145">
                  <c:v>2013.0833333333301</c:v>
                </c:pt>
                <c:pt idx="146">
                  <c:v>2013.1666666666599</c:v>
                </c:pt>
                <c:pt idx="147">
                  <c:v>2013.25</c:v>
                </c:pt>
                <c:pt idx="148">
                  <c:v>2013.3333333333301</c:v>
                </c:pt>
                <c:pt idx="149">
                  <c:v>2013.4166666666599</c:v>
                </c:pt>
                <c:pt idx="150">
                  <c:v>2013.5</c:v>
                </c:pt>
                <c:pt idx="151">
                  <c:v>2013.5833333333301</c:v>
                </c:pt>
                <c:pt idx="152">
                  <c:v>2013.6666666666599</c:v>
                </c:pt>
                <c:pt idx="153">
                  <c:v>2013.75</c:v>
                </c:pt>
                <c:pt idx="154">
                  <c:v>2013.8333333333301</c:v>
                </c:pt>
                <c:pt idx="155">
                  <c:v>2013.9166666666599</c:v>
                </c:pt>
                <c:pt idx="156">
                  <c:v>2014</c:v>
                </c:pt>
                <c:pt idx="157">
                  <c:v>2014.0833333333333</c:v>
                </c:pt>
                <c:pt idx="158">
                  <c:v>2014.1666666666665</c:v>
                </c:pt>
                <c:pt idx="159">
                  <c:v>2014.25</c:v>
                </c:pt>
                <c:pt idx="160">
                  <c:v>2014.3333333333333</c:v>
                </c:pt>
                <c:pt idx="161">
                  <c:v>2014.4166666666665</c:v>
                </c:pt>
                <c:pt idx="162">
                  <c:v>2014.5</c:v>
                </c:pt>
                <c:pt idx="163">
                  <c:v>2014.5833333333333</c:v>
                </c:pt>
                <c:pt idx="164">
                  <c:v>2014.6666666666665</c:v>
                </c:pt>
                <c:pt idx="165">
                  <c:v>2014.75</c:v>
                </c:pt>
                <c:pt idx="166">
                  <c:v>2014.8333333333333</c:v>
                </c:pt>
                <c:pt idx="167">
                  <c:v>2014.9166666666665</c:v>
                </c:pt>
                <c:pt idx="168">
                  <c:v>2014.9999999999998</c:v>
                </c:pt>
                <c:pt idx="169">
                  <c:v>2015.083333333333</c:v>
                </c:pt>
                <c:pt idx="170">
                  <c:v>2015.1666666666665</c:v>
                </c:pt>
                <c:pt idx="171">
                  <c:v>2015.2499999999998</c:v>
                </c:pt>
                <c:pt idx="172">
                  <c:v>2015.3333333333333</c:v>
                </c:pt>
                <c:pt idx="173">
                  <c:v>2015.4166666666665</c:v>
                </c:pt>
                <c:pt idx="174">
                  <c:v>2015.4999999999998</c:v>
                </c:pt>
                <c:pt idx="175">
                  <c:v>2015.5833333333333</c:v>
                </c:pt>
                <c:pt idx="176">
                  <c:v>2015.6666666666665</c:v>
                </c:pt>
                <c:pt idx="177">
                  <c:v>2015.7499999999998</c:v>
                </c:pt>
                <c:pt idx="178">
                  <c:v>2015.8333333333333</c:v>
                </c:pt>
                <c:pt idx="179">
                  <c:v>2015.9166666666665</c:v>
                </c:pt>
              </c:numCache>
            </c:numRef>
          </c:xVal>
          <c:yVal>
            <c:numRef>
              <c:f>MODIS_Terra!$D$2:$D$205</c:f>
              <c:numCache>
                <c:formatCode>General</c:formatCode>
                <c:ptCount val="204"/>
                <c:pt idx="0">
                  <c:v>27.834</c:v>
                </c:pt>
                <c:pt idx="1">
                  <c:v>27.367000000000001</c:v>
                </c:pt>
                <c:pt idx="2">
                  <c:v>27.350999999999999</c:v>
                </c:pt>
                <c:pt idx="3">
                  <c:v>27.882999999999999</c:v>
                </c:pt>
                <c:pt idx="4">
                  <c:v>29.123000000000001</c:v>
                </c:pt>
                <c:pt idx="5">
                  <c:v>29.143000000000001</c:v>
                </c:pt>
                <c:pt idx="6">
                  <c:v>29.568000000000001</c:v>
                </c:pt>
                <c:pt idx="7">
                  <c:v>29.654</c:v>
                </c:pt>
                <c:pt idx="8">
                  <c:v>29.751999999999999</c:v>
                </c:pt>
                <c:pt idx="9">
                  <c:v>29.678999999999998</c:v>
                </c:pt>
                <c:pt idx="10">
                  <c:v>29.259</c:v>
                </c:pt>
                <c:pt idx="11">
                  <c:v>28.608000000000001</c:v>
                </c:pt>
                <c:pt idx="12">
                  <c:v>28.477</c:v>
                </c:pt>
                <c:pt idx="13">
                  <c:v>27.678000000000001</c:v>
                </c:pt>
                <c:pt idx="14">
                  <c:v>27.53</c:v>
                </c:pt>
                <c:pt idx="15">
                  <c:v>28.459</c:v>
                </c:pt>
                <c:pt idx="16">
                  <c:v>28.736000000000001</c:v>
                </c:pt>
                <c:pt idx="17">
                  <c:v>30.331</c:v>
                </c:pt>
                <c:pt idx="18">
                  <c:v>29.861000000000001</c:v>
                </c:pt>
                <c:pt idx="19">
                  <c:v>30.091000000000001</c:v>
                </c:pt>
                <c:pt idx="20">
                  <c:v>30.303999999999998</c:v>
                </c:pt>
                <c:pt idx="21">
                  <c:v>30.088000000000001</c:v>
                </c:pt>
                <c:pt idx="22">
                  <c:v>29.733000000000001</c:v>
                </c:pt>
                <c:pt idx="23">
                  <c:v>28.966000000000001</c:v>
                </c:pt>
                <c:pt idx="24">
                  <c:v>28.048999999999999</c:v>
                </c:pt>
                <c:pt idx="25">
                  <c:v>27.9</c:v>
                </c:pt>
                <c:pt idx="26">
                  <c:v>28.268999999999998</c:v>
                </c:pt>
                <c:pt idx="27">
                  <c:v>28.382999999999999</c:v>
                </c:pt>
                <c:pt idx="28">
                  <c:v>29.706</c:v>
                </c:pt>
                <c:pt idx="29">
                  <c:v>29.829000000000001</c:v>
                </c:pt>
                <c:pt idx="30">
                  <c:v>29.878</c:v>
                </c:pt>
                <c:pt idx="31">
                  <c:v>30.227</c:v>
                </c:pt>
                <c:pt idx="32">
                  <c:v>30.32</c:v>
                </c:pt>
                <c:pt idx="33">
                  <c:v>29.756</c:v>
                </c:pt>
                <c:pt idx="34">
                  <c:v>29.509</c:v>
                </c:pt>
                <c:pt idx="35">
                  <c:v>28.939</c:v>
                </c:pt>
                <c:pt idx="36">
                  <c:v>27.902999999999999</c:v>
                </c:pt>
                <c:pt idx="37">
                  <c:v>27.824999999999999</c:v>
                </c:pt>
                <c:pt idx="38">
                  <c:v>27.286000000000001</c:v>
                </c:pt>
                <c:pt idx="39">
                  <c:v>27.940999999999999</c:v>
                </c:pt>
                <c:pt idx="40">
                  <c:v>29.626000000000001</c:v>
                </c:pt>
                <c:pt idx="41">
                  <c:v>30.262</c:v>
                </c:pt>
                <c:pt idx="42">
                  <c:v>30.06</c:v>
                </c:pt>
                <c:pt idx="43">
                  <c:v>30.055</c:v>
                </c:pt>
                <c:pt idx="44">
                  <c:v>30.001999999999999</c:v>
                </c:pt>
                <c:pt idx="45">
                  <c:v>29.721</c:v>
                </c:pt>
                <c:pt idx="46">
                  <c:v>29.416</c:v>
                </c:pt>
                <c:pt idx="47">
                  <c:v>28.396000000000001</c:v>
                </c:pt>
                <c:pt idx="48">
                  <c:v>27.646999999999998</c:v>
                </c:pt>
                <c:pt idx="49">
                  <c:v>26.77</c:v>
                </c:pt>
                <c:pt idx="50">
                  <c:v>27.67</c:v>
                </c:pt>
                <c:pt idx="51">
                  <c:v>28.855</c:v>
                </c:pt>
                <c:pt idx="52">
                  <c:v>30.08</c:v>
                </c:pt>
                <c:pt idx="53">
                  <c:v>30.407</c:v>
                </c:pt>
                <c:pt idx="54">
                  <c:v>30.468</c:v>
                </c:pt>
                <c:pt idx="55">
                  <c:v>30.029</c:v>
                </c:pt>
                <c:pt idx="56">
                  <c:v>30.175000000000001</c:v>
                </c:pt>
                <c:pt idx="57">
                  <c:v>29.475999999999999</c:v>
                </c:pt>
                <c:pt idx="58">
                  <c:v>29.001999999999999</c:v>
                </c:pt>
                <c:pt idx="59">
                  <c:v>29.128</c:v>
                </c:pt>
                <c:pt idx="60">
                  <c:v>28.347000000000001</c:v>
                </c:pt>
                <c:pt idx="61">
                  <c:v>27.652000000000001</c:v>
                </c:pt>
                <c:pt idx="62">
                  <c:v>27.475000000000001</c:v>
                </c:pt>
                <c:pt idx="63">
                  <c:v>27.969000000000001</c:v>
                </c:pt>
                <c:pt idx="64">
                  <c:v>29.614000000000001</c:v>
                </c:pt>
                <c:pt idx="65">
                  <c:v>30.175000000000001</c:v>
                </c:pt>
                <c:pt idx="66">
                  <c:v>30.731000000000002</c:v>
                </c:pt>
                <c:pt idx="67">
                  <c:v>30.102</c:v>
                </c:pt>
                <c:pt idx="68">
                  <c:v>29.748999999999999</c:v>
                </c:pt>
                <c:pt idx="69">
                  <c:v>29.824000000000002</c:v>
                </c:pt>
                <c:pt idx="70">
                  <c:v>29.375</c:v>
                </c:pt>
                <c:pt idx="71">
                  <c:v>29.111999999999998</c:v>
                </c:pt>
                <c:pt idx="72">
                  <c:v>27.774999999999999</c:v>
                </c:pt>
                <c:pt idx="73">
                  <c:v>27.79</c:v>
                </c:pt>
                <c:pt idx="74">
                  <c:v>27.427</c:v>
                </c:pt>
                <c:pt idx="75">
                  <c:v>28.24</c:v>
                </c:pt>
                <c:pt idx="76">
                  <c:v>29.411000000000001</c:v>
                </c:pt>
                <c:pt idx="77">
                  <c:v>29.782</c:v>
                </c:pt>
                <c:pt idx="78">
                  <c:v>30.777999999999999</c:v>
                </c:pt>
                <c:pt idx="79">
                  <c:v>29.736999999999998</c:v>
                </c:pt>
                <c:pt idx="80">
                  <c:v>29.84</c:v>
                </c:pt>
                <c:pt idx="81">
                  <c:v>29.228999999999999</c:v>
                </c:pt>
                <c:pt idx="82">
                  <c:v>29.233000000000001</c:v>
                </c:pt>
                <c:pt idx="83">
                  <c:v>28.585000000000001</c:v>
                </c:pt>
                <c:pt idx="84">
                  <c:v>27.780999999999999</c:v>
                </c:pt>
                <c:pt idx="85">
                  <c:v>27.577000000000002</c:v>
                </c:pt>
                <c:pt idx="86">
                  <c:v>28.096</c:v>
                </c:pt>
                <c:pt idx="87">
                  <c:v>27.95</c:v>
                </c:pt>
                <c:pt idx="88">
                  <c:v>28.681999999999999</c:v>
                </c:pt>
                <c:pt idx="89">
                  <c:v>29.655999999999999</c:v>
                </c:pt>
                <c:pt idx="90">
                  <c:v>30.209</c:v>
                </c:pt>
                <c:pt idx="91">
                  <c:v>29.417999999999999</c:v>
                </c:pt>
                <c:pt idx="92">
                  <c:v>30.062999999999999</c:v>
                </c:pt>
                <c:pt idx="93">
                  <c:v>29.706</c:v>
                </c:pt>
                <c:pt idx="94">
                  <c:v>29.004000000000001</c:v>
                </c:pt>
                <c:pt idx="95">
                  <c:v>28.253</c:v>
                </c:pt>
                <c:pt idx="96">
                  <c:v>27.76</c:v>
                </c:pt>
                <c:pt idx="97">
                  <c:v>27.44</c:v>
                </c:pt>
                <c:pt idx="98">
                  <c:v>27.048999999999999</c:v>
                </c:pt>
                <c:pt idx="99">
                  <c:v>27.863</c:v>
                </c:pt>
                <c:pt idx="100">
                  <c:v>29.645</c:v>
                </c:pt>
                <c:pt idx="101">
                  <c:v>29.707000000000001</c:v>
                </c:pt>
                <c:pt idx="102">
                  <c:v>29.873999999999999</c:v>
                </c:pt>
                <c:pt idx="103">
                  <c:v>29.72</c:v>
                </c:pt>
                <c:pt idx="104">
                  <c:v>30.245999999999999</c:v>
                </c:pt>
                <c:pt idx="105">
                  <c:v>29.625</c:v>
                </c:pt>
                <c:pt idx="106">
                  <c:v>29.507999999999999</c:v>
                </c:pt>
                <c:pt idx="107">
                  <c:v>29.210999999999999</c:v>
                </c:pt>
                <c:pt idx="108">
                  <c:v>28.152000000000001</c:v>
                </c:pt>
                <c:pt idx="109">
                  <c:v>27.51</c:v>
                </c:pt>
                <c:pt idx="110">
                  <c:v>28.145</c:v>
                </c:pt>
                <c:pt idx="111">
                  <c:v>28.919</c:v>
                </c:pt>
                <c:pt idx="112">
                  <c:v>29.225999999999999</c:v>
                </c:pt>
                <c:pt idx="113">
                  <c:v>30.478999999999999</c:v>
                </c:pt>
                <c:pt idx="114">
                  <c:v>30.266999999999999</c:v>
                </c:pt>
                <c:pt idx="115">
                  <c:v>28.965</c:v>
                </c:pt>
                <c:pt idx="116">
                  <c:v>29.803000000000001</c:v>
                </c:pt>
                <c:pt idx="117">
                  <c:v>29.946000000000002</c:v>
                </c:pt>
                <c:pt idx="118">
                  <c:v>28.997</c:v>
                </c:pt>
                <c:pt idx="119">
                  <c:v>28.440999999999999</c:v>
                </c:pt>
                <c:pt idx="120">
                  <c:v>28.047000000000001</c:v>
                </c:pt>
                <c:pt idx="121">
                  <c:v>27.988</c:v>
                </c:pt>
                <c:pt idx="122">
                  <c:v>27.498000000000001</c:v>
                </c:pt>
                <c:pt idx="123">
                  <c:v>27.821000000000002</c:v>
                </c:pt>
                <c:pt idx="124">
                  <c:v>29.466000000000001</c:v>
                </c:pt>
                <c:pt idx="125">
                  <c:v>29.873999999999999</c:v>
                </c:pt>
                <c:pt idx="126">
                  <c:v>30.22</c:v>
                </c:pt>
                <c:pt idx="127">
                  <c:v>30.222000000000001</c:v>
                </c:pt>
                <c:pt idx="128">
                  <c:v>30.047000000000001</c:v>
                </c:pt>
                <c:pt idx="129">
                  <c:v>29.241</c:v>
                </c:pt>
                <c:pt idx="130">
                  <c:v>29.04</c:v>
                </c:pt>
                <c:pt idx="131">
                  <c:v>28.852</c:v>
                </c:pt>
                <c:pt idx="132">
                  <c:v>27.92</c:v>
                </c:pt>
                <c:pt idx="133">
                  <c:v>27.489000000000001</c:v>
                </c:pt>
                <c:pt idx="134">
                  <c:v>27.463999999999999</c:v>
                </c:pt>
                <c:pt idx="135">
                  <c:v>28.422999999999998</c:v>
                </c:pt>
                <c:pt idx="136">
                  <c:v>29.641999999999999</c:v>
                </c:pt>
                <c:pt idx="137">
                  <c:v>30.111999999999998</c:v>
                </c:pt>
                <c:pt idx="138">
                  <c:v>29.888999999999999</c:v>
                </c:pt>
                <c:pt idx="139">
                  <c:v>30.132999999999999</c:v>
                </c:pt>
                <c:pt idx="140">
                  <c:v>29.981999999999999</c:v>
                </c:pt>
                <c:pt idx="141">
                  <c:v>29.475000000000001</c:v>
                </c:pt>
                <c:pt idx="142">
                  <c:v>29.536000000000001</c:v>
                </c:pt>
                <c:pt idx="143">
                  <c:v>28.814</c:v>
                </c:pt>
                <c:pt idx="144">
                  <c:v>27.728000000000002</c:v>
                </c:pt>
                <c:pt idx="145">
                  <c:v>27.771999999999998</c:v>
                </c:pt>
                <c:pt idx="146">
                  <c:v>27.405999999999999</c:v>
                </c:pt>
                <c:pt idx="147">
                  <c:v>28.341999999999999</c:v>
                </c:pt>
                <c:pt idx="148">
                  <c:v>29.681000000000001</c:v>
                </c:pt>
                <c:pt idx="149">
                  <c:v>30.466000000000001</c:v>
                </c:pt>
                <c:pt idx="150">
                  <c:v>30.274000000000001</c:v>
                </c:pt>
                <c:pt idx="151">
                  <c:v>30.114000000000001</c:v>
                </c:pt>
                <c:pt idx="152">
                  <c:v>30.178999999999998</c:v>
                </c:pt>
                <c:pt idx="153">
                  <c:v>29.798999999999999</c:v>
                </c:pt>
                <c:pt idx="154">
                  <c:v>29.539000000000001</c:v>
                </c:pt>
                <c:pt idx="155">
                  <c:v>29.164000000000001</c:v>
                </c:pt>
                <c:pt idx="156">
                  <c:v>28.337</c:v>
                </c:pt>
                <c:pt idx="157">
                  <c:v>27.821999999999999</c:v>
                </c:pt>
                <c:pt idx="158">
                  <c:v>27.553000000000001</c:v>
                </c:pt>
                <c:pt idx="159">
                  <c:v>28.158999999999999</c:v>
                </c:pt>
                <c:pt idx="160">
                  <c:v>29.565999999999999</c:v>
                </c:pt>
                <c:pt idx="161">
                  <c:v>30.419</c:v>
                </c:pt>
                <c:pt idx="162">
                  <c:v>30.48</c:v>
                </c:pt>
                <c:pt idx="163">
                  <c:v>29.693000000000001</c:v>
                </c:pt>
                <c:pt idx="164">
                  <c:v>30.356000000000002</c:v>
                </c:pt>
                <c:pt idx="165">
                  <c:v>30.202000000000002</c:v>
                </c:pt>
                <c:pt idx="166">
                  <c:v>29.63</c:v>
                </c:pt>
                <c:pt idx="167">
                  <c:v>29.027999999999999</c:v>
                </c:pt>
                <c:pt idx="168">
                  <c:v>27.879000000000001</c:v>
                </c:pt>
                <c:pt idx="169">
                  <c:v>27.841999999999999</c:v>
                </c:pt>
                <c:pt idx="170">
                  <c:v>27.646000000000001</c:v>
                </c:pt>
                <c:pt idx="171">
                  <c:v>28.071999999999999</c:v>
                </c:pt>
                <c:pt idx="172">
                  <c:v>29.603000000000002</c:v>
                </c:pt>
                <c:pt idx="173">
                  <c:v>29.875</c:v>
                </c:pt>
                <c:pt idx="174">
                  <c:v>29.814</c:v>
                </c:pt>
                <c:pt idx="175">
                  <c:v>30.22</c:v>
                </c:pt>
                <c:pt idx="176">
                  <c:v>30.478999999999999</c:v>
                </c:pt>
                <c:pt idx="177">
                  <c:v>30.152999999999999</c:v>
                </c:pt>
                <c:pt idx="178">
                  <c:v>29.73</c:v>
                </c:pt>
                <c:pt idx="179">
                  <c:v>30.021000000000001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2D-4462-A43F-61C4719FC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707784"/>
        <c:axId val="643707456"/>
      </c:scatterChart>
      <c:valAx>
        <c:axId val="64370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07456"/>
        <c:crosses val="autoZero"/>
        <c:crossBetween val="midCat"/>
      </c:valAx>
      <c:valAx>
        <c:axId val="6437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07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Climatology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MODIS_Terra!$J$2:$J$13</c:f>
                <c:numCache>
                  <c:formatCode>General</c:formatCode>
                  <c:ptCount val="12"/>
                  <c:pt idx="0">
                    <c:v>0.25258279170732673</c:v>
                  </c:pt>
                  <c:pt idx="1">
                    <c:v>0.29896914954715997</c:v>
                  </c:pt>
                  <c:pt idx="2">
                    <c:v>0.33592090905875005</c:v>
                  </c:pt>
                  <c:pt idx="3">
                    <c:v>0.34553949536506368</c:v>
                  </c:pt>
                  <c:pt idx="4">
                    <c:v>0.37260745334160217</c:v>
                  </c:pt>
                  <c:pt idx="5">
                    <c:v>0.38156273902141419</c:v>
                  </c:pt>
                  <c:pt idx="6">
                    <c:v>0.35253783316053294</c:v>
                  </c:pt>
                  <c:pt idx="7">
                    <c:v>0.35846617692608068</c:v>
                  </c:pt>
                  <c:pt idx="8">
                    <c:v>0.23260139622067955</c:v>
                  </c:pt>
                  <c:pt idx="9">
                    <c:v>0.29576680003002398</c:v>
                  </c:pt>
                  <c:pt idx="10">
                    <c:v>0.26376255555761852</c:v>
                  </c:pt>
                  <c:pt idx="11">
                    <c:v>0.43257702864840814</c:v>
                  </c:pt>
                </c:numCache>
              </c:numRef>
            </c:plus>
            <c:minus>
              <c:numRef>
                <c:f>MODIS_Terra!$J$2:$J$13</c:f>
                <c:numCache>
                  <c:formatCode>General</c:formatCode>
                  <c:ptCount val="12"/>
                  <c:pt idx="0">
                    <c:v>0.25258279170732673</c:v>
                  </c:pt>
                  <c:pt idx="1">
                    <c:v>0.29896914954715997</c:v>
                  </c:pt>
                  <c:pt idx="2">
                    <c:v>0.33592090905875005</c:v>
                  </c:pt>
                  <c:pt idx="3">
                    <c:v>0.34553949536506368</c:v>
                  </c:pt>
                  <c:pt idx="4">
                    <c:v>0.37260745334160217</c:v>
                  </c:pt>
                  <c:pt idx="5">
                    <c:v>0.38156273902141419</c:v>
                  </c:pt>
                  <c:pt idx="6">
                    <c:v>0.35253783316053294</c:v>
                  </c:pt>
                  <c:pt idx="7">
                    <c:v>0.35846617692608068</c:v>
                  </c:pt>
                  <c:pt idx="8">
                    <c:v>0.23260139622067955</c:v>
                  </c:pt>
                  <c:pt idx="9">
                    <c:v>0.29576680003002398</c:v>
                  </c:pt>
                  <c:pt idx="10">
                    <c:v>0.26376255555761852</c:v>
                  </c:pt>
                  <c:pt idx="11">
                    <c:v>0.43257702864840814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MODIS_Terra!$H$2:$H$13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MODIS_Terra!$I$2:$I$13</c:f>
              <c:numCache>
                <c:formatCode>0.00</c:formatCode>
                <c:ptCount val="12"/>
                <c:pt idx="0">
                  <c:v>27.975733333333338</c:v>
                </c:pt>
                <c:pt idx="1">
                  <c:v>27.628133333333331</c:v>
                </c:pt>
                <c:pt idx="2">
                  <c:v>27.591000000000001</c:v>
                </c:pt>
                <c:pt idx="3">
                  <c:v>28.218599999999999</c:v>
                </c:pt>
                <c:pt idx="4">
                  <c:v>29.453799999999998</c:v>
                </c:pt>
                <c:pt idx="5">
                  <c:v>30.03446666666667</c:v>
                </c:pt>
                <c:pt idx="6">
                  <c:v>30.15806666666667</c:v>
                </c:pt>
                <c:pt idx="7">
                  <c:v>29.891999999999992</c:v>
                </c:pt>
                <c:pt idx="8">
                  <c:v>30.086466666666663</c:v>
                </c:pt>
                <c:pt idx="9">
                  <c:v>29.728000000000005</c:v>
                </c:pt>
                <c:pt idx="10">
                  <c:v>29.3674</c:v>
                </c:pt>
                <c:pt idx="11">
                  <c:v>28.901200000000003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38-49BA-9A82-1EBF5F5D4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880248"/>
        <c:axId val="579883856"/>
      </c:scatterChart>
      <c:valAx>
        <c:axId val="579880248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83856"/>
        <c:crosses val="autoZero"/>
        <c:crossBetween val="midCat"/>
      </c:valAx>
      <c:valAx>
        <c:axId val="5798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80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MODIS_Terra!$M$1</c:f>
              <c:strCache>
                <c:ptCount val="1"/>
                <c:pt idx="0">
                  <c:v>SST_Terra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MODIS_Terra!$L$2:$L$16</c:f>
              <c:numCache>
                <c:formatCode>General</c:formatCode>
                <c:ptCount val="1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</c:numCache>
            </c:numRef>
          </c:xVal>
          <c:yVal>
            <c:numRef>
              <c:f>MODIS_Terra!$M$2:$M$16</c:f>
              <c:numCache>
                <c:formatCode>0.00</c:formatCode>
                <c:ptCount val="15"/>
                <c:pt idx="0">
                  <c:v>29.277833333333337</c:v>
                </c:pt>
                <c:pt idx="1">
                  <c:v>29.270416666666673</c:v>
                </c:pt>
                <c:pt idx="2">
                  <c:v>29.205333333333328</c:v>
                </c:pt>
                <c:pt idx="3">
                  <c:v>29.073250000000005</c:v>
                </c:pt>
                <c:pt idx="4">
                  <c:v>29.02633333333333</c:v>
                </c:pt>
                <c:pt idx="5">
                  <c:v>29.070833333333336</c:v>
                </c:pt>
                <c:pt idx="6">
                  <c:v>28.970666666666663</c:v>
                </c:pt>
                <c:pt idx="7">
                  <c:v>28.866250000000004</c:v>
                </c:pt>
                <c:pt idx="8">
                  <c:v>28.985583333333327</c:v>
                </c:pt>
                <c:pt idx="9">
                  <c:v>29.177083333333339</c:v>
                </c:pt>
                <c:pt idx="10">
                  <c:v>29.142250000000001</c:v>
                </c:pt>
                <c:pt idx="11">
                  <c:v>29.041083333333333</c:v>
                </c:pt>
                <c:pt idx="12">
                  <c:v>29.23041666666667</c:v>
                </c:pt>
                <c:pt idx="13">
                  <c:v>29.187833333333334</c:v>
                </c:pt>
                <c:pt idx="14">
                  <c:v>28.768416666666667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D-4BAD-8F00-24CF8CB3CB87}"/>
            </c:ext>
          </c:extLst>
        </c:ser>
        <c:ser>
          <c:idx val="1"/>
          <c:order val="1"/>
          <c:tx>
            <c:strRef>
              <c:f>MODIS_Aqua!$M$1</c:f>
              <c:strCache>
                <c:ptCount val="1"/>
                <c:pt idx="0">
                  <c:v>SST_Aqua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MODIS_Aqua!$L$2:$L$14</c:f>
              <c:numCache>
                <c:formatCode>General</c:formatCode>
                <c:ptCount val="13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</c:numCache>
            </c:numRef>
          </c:xVal>
          <c:yVal>
            <c:numRef>
              <c:f>MODIS_Aqua!$M$2:$M$14</c:f>
              <c:numCache>
                <c:formatCode>0.00</c:formatCode>
                <c:ptCount val="13"/>
                <c:pt idx="0">
                  <c:v>29.328666666666674</c:v>
                </c:pt>
                <c:pt idx="1">
                  <c:v>29.308416666666659</c:v>
                </c:pt>
                <c:pt idx="2">
                  <c:v>29.215999999999998</c:v>
                </c:pt>
                <c:pt idx="3">
                  <c:v>29.115750000000002</c:v>
                </c:pt>
                <c:pt idx="4">
                  <c:v>29.185249999999996</c:v>
                </c:pt>
                <c:pt idx="5">
                  <c:v>29.420666666666666</c:v>
                </c:pt>
                <c:pt idx="6">
                  <c:v>29.097750000000005</c:v>
                </c:pt>
                <c:pt idx="7">
                  <c:v>29.203916666666668</c:v>
                </c:pt>
                <c:pt idx="8">
                  <c:v>29.279</c:v>
                </c:pt>
                <c:pt idx="9">
                  <c:v>29.386416666666666</c:v>
                </c:pt>
                <c:pt idx="10">
                  <c:v>29.444083333333335</c:v>
                </c:pt>
                <c:pt idx="11">
                  <c:v>29.299250000000001</c:v>
                </c:pt>
                <c:pt idx="12">
                  <c:v>29.378583333333335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1D-4BAD-8F00-24CF8CB3C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110447"/>
        <c:axId val="353110927"/>
      </c:scatterChart>
      <c:valAx>
        <c:axId val="353110447"/>
        <c:scaling>
          <c:orientation val="minMax"/>
          <c:max val="20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927"/>
        <c:crosses val="autoZero"/>
        <c:crossBetween val="midCat"/>
        <c:majorUnit val="2"/>
      </c:valAx>
      <c:valAx>
        <c:axId val="35311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44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SST - AVHRR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AVHRR!$L$1</c:f>
              <c:strCache>
                <c:ptCount val="1"/>
                <c:pt idx="0">
                  <c:v>Day (°C)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AVHRR!$K$2:$K$41</c:f>
              <c:numCache>
                <c:formatCode>General</c:formatCode>
                <c:ptCount val="40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AVHRR!$L$2:$L$41</c:f>
              <c:numCache>
                <c:formatCode>0.00</c:formatCode>
                <c:ptCount val="40"/>
                <c:pt idx="0">
                  <c:v>29.06364007429638</c:v>
                </c:pt>
                <c:pt idx="1">
                  <c:v>29.1170125007629</c:v>
                </c:pt>
                <c:pt idx="2">
                  <c:v>28.935736569491244</c:v>
                </c:pt>
                <c:pt idx="3">
                  <c:v>28.728213840060732</c:v>
                </c:pt>
                <c:pt idx="4">
                  <c:v>29.226914319125036</c:v>
                </c:pt>
                <c:pt idx="5">
                  <c:v>29.142249822616524</c:v>
                </c:pt>
                <c:pt idx="6">
                  <c:v>28.817932128906211</c:v>
                </c:pt>
                <c:pt idx="7">
                  <c:v>29.213550567626928</c:v>
                </c:pt>
                <c:pt idx="8">
                  <c:v>28.908529472351027</c:v>
                </c:pt>
                <c:pt idx="9">
                  <c:v>29.326892159201847</c:v>
                </c:pt>
                <c:pt idx="10">
                  <c:v>29.13868350982661</c:v>
                </c:pt>
                <c:pt idx="11">
                  <c:v>28.643902460733987</c:v>
                </c:pt>
                <c:pt idx="12">
                  <c:v>29.056025418368201</c:v>
                </c:pt>
                <c:pt idx="13">
                  <c:v>29.056127721613038</c:v>
                </c:pt>
                <c:pt idx="14">
                  <c:v>28.424877166748015</c:v>
                </c:pt>
                <c:pt idx="15">
                  <c:v>28.526633522727227</c:v>
                </c:pt>
                <c:pt idx="16">
                  <c:v>28.612716674804638</c:v>
                </c:pt>
                <c:pt idx="17">
                  <c:v>29.122372150421111</c:v>
                </c:pt>
                <c:pt idx="18">
                  <c:v>28.994994163513137</c:v>
                </c:pt>
                <c:pt idx="19">
                  <c:v>28.90657580982548</c:v>
                </c:pt>
                <c:pt idx="20">
                  <c:v>28.994747956593773</c:v>
                </c:pt>
                <c:pt idx="21">
                  <c:v>28.169099013010598</c:v>
                </c:pt>
                <c:pt idx="22">
                  <c:v>28.606674887917208</c:v>
                </c:pt>
                <c:pt idx="23">
                  <c:v>28.384878158569308</c:v>
                </c:pt>
                <c:pt idx="24">
                  <c:v>28.212684457952289</c:v>
                </c:pt>
                <c:pt idx="25">
                  <c:v>28.650403022766074</c:v>
                </c:pt>
                <c:pt idx="26">
                  <c:v>28.468821207682257</c:v>
                </c:pt>
                <c:pt idx="27">
                  <c:v>28.236415045601934</c:v>
                </c:pt>
                <c:pt idx="28">
                  <c:v>28.744200966574873</c:v>
                </c:pt>
                <c:pt idx="29">
                  <c:v>28.165576299031539</c:v>
                </c:pt>
                <c:pt idx="30">
                  <c:v>28.152151425679474</c:v>
                </c:pt>
                <c:pt idx="31">
                  <c:v>28.353416601816775</c:v>
                </c:pt>
                <c:pt idx="32">
                  <c:v>28.546311638571947</c:v>
                </c:pt>
                <c:pt idx="33">
                  <c:v>28.826059341430618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E3-48F2-8575-52395E5554DB}"/>
            </c:ext>
          </c:extLst>
        </c:ser>
        <c:ser>
          <c:idx val="2"/>
          <c:order val="1"/>
          <c:tx>
            <c:strRef>
              <c:f>AVHRR!$M$1</c:f>
              <c:strCache>
                <c:ptCount val="1"/>
                <c:pt idx="0">
                  <c:v>Night (°C)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AVHRR!$K$2:$K$41</c:f>
              <c:numCache>
                <c:formatCode>General</c:formatCode>
                <c:ptCount val="40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AVHRR!$M$2:$M$41</c:f>
              <c:numCache>
                <c:formatCode>0.00</c:formatCode>
                <c:ptCount val="40"/>
                <c:pt idx="0">
                  <c:v>28.651999950408907</c:v>
                </c:pt>
                <c:pt idx="1">
                  <c:v>28.408053311434614</c:v>
                </c:pt>
                <c:pt idx="2">
                  <c:v>28.599781036376886</c:v>
                </c:pt>
                <c:pt idx="3">
                  <c:v>28.523083114623979</c:v>
                </c:pt>
                <c:pt idx="4">
                  <c:v>28.381619071960408</c:v>
                </c:pt>
                <c:pt idx="5">
                  <c:v>27.377205530802367</c:v>
                </c:pt>
                <c:pt idx="6">
                  <c:v>28.009991073608358</c:v>
                </c:pt>
                <c:pt idx="7">
                  <c:v>27.480464696884098</c:v>
                </c:pt>
                <c:pt idx="8">
                  <c:v>28.100092649459796</c:v>
                </c:pt>
                <c:pt idx="9">
                  <c:v>28.330993461608841</c:v>
                </c:pt>
                <c:pt idx="10">
                  <c:v>28.374841054280544</c:v>
                </c:pt>
                <c:pt idx="11">
                  <c:v>28.278225812044958</c:v>
                </c:pt>
                <c:pt idx="12">
                  <c:v>28.570756218650079</c:v>
                </c:pt>
                <c:pt idx="13">
                  <c:v>28.177821592851082</c:v>
                </c:pt>
                <c:pt idx="14">
                  <c:v>27.314232720269057</c:v>
                </c:pt>
                <c:pt idx="15">
                  <c:v>27.588041623433394</c:v>
                </c:pt>
                <c:pt idx="16">
                  <c:v>27.879144880506679</c:v>
                </c:pt>
                <c:pt idx="17">
                  <c:v>28.265454292297317</c:v>
                </c:pt>
                <c:pt idx="18">
                  <c:v>28.005161921183241</c:v>
                </c:pt>
                <c:pt idx="19">
                  <c:v>27.859380722045866</c:v>
                </c:pt>
                <c:pt idx="20">
                  <c:v>27.901346842447875</c:v>
                </c:pt>
                <c:pt idx="21">
                  <c:v>27.805416679382279</c:v>
                </c:pt>
                <c:pt idx="22">
                  <c:v>27.526874780654865</c:v>
                </c:pt>
                <c:pt idx="23">
                  <c:v>27.321030356667226</c:v>
                </c:pt>
                <c:pt idx="24">
                  <c:v>27.411514975807833</c:v>
                </c:pt>
                <c:pt idx="25">
                  <c:v>27.426329294840468</c:v>
                </c:pt>
                <c:pt idx="26">
                  <c:v>27.349907133314314</c:v>
                </c:pt>
                <c:pt idx="27">
                  <c:v>27.836635589599563</c:v>
                </c:pt>
                <c:pt idx="28">
                  <c:v>28.097161398993542</c:v>
                </c:pt>
                <c:pt idx="29">
                  <c:v>27.729535362937181</c:v>
                </c:pt>
                <c:pt idx="30">
                  <c:v>27.323694610595673</c:v>
                </c:pt>
                <c:pt idx="31">
                  <c:v>27.602901034884944</c:v>
                </c:pt>
                <c:pt idx="32">
                  <c:v>28.044333197853735</c:v>
                </c:pt>
                <c:pt idx="33">
                  <c:v>28.000166893005321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E3-48F2-8575-52395E555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725151"/>
        <c:axId val="1997725631"/>
      </c:scatterChart>
      <c:valAx>
        <c:axId val="1997725151"/>
        <c:scaling>
          <c:orientation val="minMax"/>
          <c:max val="202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25631"/>
        <c:crosses val="autoZero"/>
        <c:crossBetween val="midCat"/>
      </c:valAx>
      <c:valAx>
        <c:axId val="199772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2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HadISST1!$C$2:$C$793</c:f>
              <c:numCache>
                <c:formatCode>0.0</c:formatCode>
                <c:ptCount val="792"/>
                <c:pt idx="0">
                  <c:v>1950.00000000261</c:v>
                </c:pt>
                <c:pt idx="1">
                  <c:v>1950.0833333359401</c:v>
                </c:pt>
                <c:pt idx="2">
                  <c:v>1950.1666666692699</c:v>
                </c:pt>
                <c:pt idx="3">
                  <c:v>1950.2500000026</c:v>
                </c:pt>
                <c:pt idx="4">
                  <c:v>1950.3333333359301</c:v>
                </c:pt>
                <c:pt idx="5">
                  <c:v>1950.4166666692599</c:v>
                </c:pt>
                <c:pt idx="6">
                  <c:v>1950.50000000259</c:v>
                </c:pt>
                <c:pt idx="7">
                  <c:v>1950.5833333359201</c:v>
                </c:pt>
                <c:pt idx="8">
                  <c:v>1950.6666666692499</c:v>
                </c:pt>
                <c:pt idx="9">
                  <c:v>1950.75000000258</c:v>
                </c:pt>
                <c:pt idx="10">
                  <c:v>1950.8333333359101</c:v>
                </c:pt>
                <c:pt idx="11">
                  <c:v>1950.9166666692399</c:v>
                </c:pt>
                <c:pt idx="12">
                  <c:v>1951.00000000257</c:v>
                </c:pt>
                <c:pt idx="13">
                  <c:v>1951.0833333359001</c:v>
                </c:pt>
                <c:pt idx="14">
                  <c:v>1951.1666666692299</c:v>
                </c:pt>
                <c:pt idx="15">
                  <c:v>1951.25000000256</c:v>
                </c:pt>
                <c:pt idx="16">
                  <c:v>1951.3333333358901</c:v>
                </c:pt>
                <c:pt idx="17">
                  <c:v>1951.4166666692199</c:v>
                </c:pt>
                <c:pt idx="18">
                  <c:v>1951.50000000255</c:v>
                </c:pt>
                <c:pt idx="19">
                  <c:v>1951.5833333358801</c:v>
                </c:pt>
                <c:pt idx="20">
                  <c:v>1951.6666666692099</c:v>
                </c:pt>
                <c:pt idx="21">
                  <c:v>1951.75000000254</c:v>
                </c:pt>
                <c:pt idx="22">
                  <c:v>1951.8333333358701</c:v>
                </c:pt>
                <c:pt idx="23">
                  <c:v>1951.9166666691999</c:v>
                </c:pt>
                <c:pt idx="24">
                  <c:v>1952.00000000253</c:v>
                </c:pt>
                <c:pt idx="25">
                  <c:v>1952.0833333358601</c:v>
                </c:pt>
                <c:pt idx="26">
                  <c:v>1952.1666666691899</c:v>
                </c:pt>
                <c:pt idx="27">
                  <c:v>1952.25000000252</c:v>
                </c:pt>
                <c:pt idx="28">
                  <c:v>1952.3333333358501</c:v>
                </c:pt>
                <c:pt idx="29">
                  <c:v>1952.4166666691799</c:v>
                </c:pt>
                <c:pt idx="30">
                  <c:v>1952.50000000251</c:v>
                </c:pt>
                <c:pt idx="31">
                  <c:v>1952.5833333358401</c:v>
                </c:pt>
                <c:pt idx="32">
                  <c:v>1952.6666666691699</c:v>
                </c:pt>
                <c:pt idx="33">
                  <c:v>1952.7500000025</c:v>
                </c:pt>
                <c:pt idx="34">
                  <c:v>1952.83333333583</c:v>
                </c:pt>
                <c:pt idx="35">
                  <c:v>1952.9166666691599</c:v>
                </c:pt>
                <c:pt idx="36">
                  <c:v>1953.00000000249</c:v>
                </c:pt>
                <c:pt idx="37">
                  <c:v>1953.08333333582</c:v>
                </c:pt>
                <c:pt idx="38">
                  <c:v>1953.1666666691499</c:v>
                </c:pt>
                <c:pt idx="39">
                  <c:v>1953.25000000248</c:v>
                </c:pt>
                <c:pt idx="40">
                  <c:v>1953.33333333581</c:v>
                </c:pt>
                <c:pt idx="41">
                  <c:v>1953.4166666691401</c:v>
                </c:pt>
                <c:pt idx="42">
                  <c:v>1953.50000000247</c:v>
                </c:pt>
                <c:pt idx="43">
                  <c:v>1953.5833333358</c:v>
                </c:pt>
                <c:pt idx="44">
                  <c:v>1953.6666666691301</c:v>
                </c:pt>
                <c:pt idx="45">
                  <c:v>1953.75000000246</c:v>
                </c:pt>
                <c:pt idx="46">
                  <c:v>1953.83333333579</c:v>
                </c:pt>
                <c:pt idx="47">
                  <c:v>1953.9166666691201</c:v>
                </c:pt>
                <c:pt idx="48">
                  <c:v>1954.00000000245</c:v>
                </c:pt>
                <c:pt idx="49">
                  <c:v>1954.08333333578</c:v>
                </c:pt>
                <c:pt idx="50">
                  <c:v>1954.1666666691101</c:v>
                </c:pt>
                <c:pt idx="51">
                  <c:v>1954.2500000024399</c:v>
                </c:pt>
                <c:pt idx="52">
                  <c:v>1954.33333333577</c:v>
                </c:pt>
                <c:pt idx="53">
                  <c:v>1954.4166666691001</c:v>
                </c:pt>
                <c:pt idx="54">
                  <c:v>1954.5000000024299</c:v>
                </c:pt>
                <c:pt idx="55">
                  <c:v>1954.58333333576</c:v>
                </c:pt>
                <c:pt idx="56">
                  <c:v>1954.6666666690901</c:v>
                </c:pt>
                <c:pt idx="57">
                  <c:v>1954.7500000024199</c:v>
                </c:pt>
                <c:pt idx="58">
                  <c:v>1954.83333333575</c:v>
                </c:pt>
                <c:pt idx="59">
                  <c:v>1954.9166666690801</c:v>
                </c:pt>
                <c:pt idx="60">
                  <c:v>1955.0000000024099</c:v>
                </c:pt>
                <c:pt idx="61">
                  <c:v>1955.08333333575</c:v>
                </c:pt>
                <c:pt idx="62">
                  <c:v>1955.1666666690801</c:v>
                </c:pt>
                <c:pt idx="63">
                  <c:v>1955.2500000024099</c:v>
                </c:pt>
                <c:pt idx="64">
                  <c:v>1955.33333333574</c:v>
                </c:pt>
                <c:pt idx="65">
                  <c:v>1955.4166666690701</c:v>
                </c:pt>
                <c:pt idx="66">
                  <c:v>1955.5000000023999</c:v>
                </c:pt>
                <c:pt idx="67">
                  <c:v>1955.58333333573</c:v>
                </c:pt>
                <c:pt idx="68">
                  <c:v>1955.6666666690601</c:v>
                </c:pt>
                <c:pt idx="69">
                  <c:v>1955.7500000023899</c:v>
                </c:pt>
                <c:pt idx="70">
                  <c:v>1955.83333333572</c:v>
                </c:pt>
                <c:pt idx="71">
                  <c:v>1955.9166666690501</c:v>
                </c:pt>
                <c:pt idx="72">
                  <c:v>1956.0000000023799</c:v>
                </c:pt>
                <c:pt idx="73">
                  <c:v>1956.08333333571</c:v>
                </c:pt>
                <c:pt idx="74">
                  <c:v>1956.1666666690401</c:v>
                </c:pt>
                <c:pt idx="75">
                  <c:v>1956.2500000023699</c:v>
                </c:pt>
                <c:pt idx="76">
                  <c:v>1956.3333333357</c:v>
                </c:pt>
                <c:pt idx="77">
                  <c:v>1956.4166666690301</c:v>
                </c:pt>
                <c:pt idx="78">
                  <c:v>1956.5000000023599</c:v>
                </c:pt>
                <c:pt idx="79">
                  <c:v>1956.58333333569</c:v>
                </c:pt>
                <c:pt idx="80">
                  <c:v>1956.6666666690201</c:v>
                </c:pt>
                <c:pt idx="81">
                  <c:v>1956.7500000023499</c:v>
                </c:pt>
                <c:pt idx="82">
                  <c:v>1956.83333333568</c:v>
                </c:pt>
                <c:pt idx="83">
                  <c:v>1956.9166666690101</c:v>
                </c:pt>
                <c:pt idx="84">
                  <c:v>1957.0000000023399</c:v>
                </c:pt>
                <c:pt idx="85">
                  <c:v>1957.08333333567</c:v>
                </c:pt>
                <c:pt idx="86">
                  <c:v>1957.1666666690001</c:v>
                </c:pt>
                <c:pt idx="87">
                  <c:v>1957.2500000023299</c:v>
                </c:pt>
                <c:pt idx="88">
                  <c:v>1957.33333333566</c:v>
                </c:pt>
                <c:pt idx="89">
                  <c:v>1957.41666666899</c:v>
                </c:pt>
                <c:pt idx="90">
                  <c:v>1957.5000000023199</c:v>
                </c:pt>
                <c:pt idx="91">
                  <c:v>1957.58333333565</c:v>
                </c:pt>
                <c:pt idx="92">
                  <c:v>1957.66666666898</c:v>
                </c:pt>
                <c:pt idx="93">
                  <c:v>1957.7500000023099</c:v>
                </c:pt>
                <c:pt idx="94">
                  <c:v>1957.83333333564</c:v>
                </c:pt>
                <c:pt idx="95">
                  <c:v>1957.91666666897</c:v>
                </c:pt>
                <c:pt idx="96">
                  <c:v>1958.0000000023001</c:v>
                </c:pt>
                <c:pt idx="97">
                  <c:v>1958.08333333563</c:v>
                </c:pt>
                <c:pt idx="98">
                  <c:v>1958.16666666896</c:v>
                </c:pt>
                <c:pt idx="99">
                  <c:v>1958.2500000022901</c:v>
                </c:pt>
                <c:pt idx="100">
                  <c:v>1958.33333333562</c:v>
                </c:pt>
                <c:pt idx="101">
                  <c:v>1958.41666666895</c:v>
                </c:pt>
                <c:pt idx="102">
                  <c:v>1958.5000000022801</c:v>
                </c:pt>
                <c:pt idx="103">
                  <c:v>1958.58333333561</c:v>
                </c:pt>
                <c:pt idx="104">
                  <c:v>1958.66666666894</c:v>
                </c:pt>
                <c:pt idx="105">
                  <c:v>1958.7500000022701</c:v>
                </c:pt>
                <c:pt idx="106">
                  <c:v>1958.8333333355999</c:v>
                </c:pt>
                <c:pt idx="107">
                  <c:v>1958.91666666893</c:v>
                </c:pt>
                <c:pt idx="108">
                  <c:v>1959.0000000022601</c:v>
                </c:pt>
                <c:pt idx="109">
                  <c:v>1959.0833333355899</c:v>
                </c:pt>
                <c:pt idx="110">
                  <c:v>1959.16666666892</c:v>
                </c:pt>
                <c:pt idx="111">
                  <c:v>1959.2500000022501</c:v>
                </c:pt>
                <c:pt idx="112">
                  <c:v>1959.3333333355799</c:v>
                </c:pt>
                <c:pt idx="113">
                  <c:v>1959.41666666891</c:v>
                </c:pt>
                <c:pt idx="114">
                  <c:v>1959.5000000022401</c:v>
                </c:pt>
                <c:pt idx="115">
                  <c:v>1959.5833333355699</c:v>
                </c:pt>
                <c:pt idx="116">
                  <c:v>1959.6666666689</c:v>
                </c:pt>
                <c:pt idx="117">
                  <c:v>1959.7500000022301</c:v>
                </c:pt>
                <c:pt idx="118">
                  <c:v>1959.8333333355599</c:v>
                </c:pt>
                <c:pt idx="119">
                  <c:v>1959.91666666889</c:v>
                </c:pt>
                <c:pt idx="120">
                  <c:v>1960.0000000022201</c:v>
                </c:pt>
                <c:pt idx="121">
                  <c:v>1960.0833333355499</c:v>
                </c:pt>
                <c:pt idx="122">
                  <c:v>1960.16666666888</c:v>
                </c:pt>
                <c:pt idx="123">
                  <c:v>1960.2500000022101</c:v>
                </c:pt>
                <c:pt idx="124">
                  <c:v>1960.3333333355399</c:v>
                </c:pt>
                <c:pt idx="125">
                  <c:v>1960.41666666887</c:v>
                </c:pt>
                <c:pt idx="126">
                  <c:v>1960.5000000022001</c:v>
                </c:pt>
                <c:pt idx="127">
                  <c:v>1960.5833333355299</c:v>
                </c:pt>
                <c:pt idx="128">
                  <c:v>1960.66666666886</c:v>
                </c:pt>
                <c:pt idx="129">
                  <c:v>1960.7500000021901</c:v>
                </c:pt>
                <c:pt idx="130">
                  <c:v>1960.8333333355199</c:v>
                </c:pt>
                <c:pt idx="131">
                  <c:v>1960.91666666885</c:v>
                </c:pt>
                <c:pt idx="132">
                  <c:v>1961.0000000021801</c:v>
                </c:pt>
                <c:pt idx="133">
                  <c:v>1961.0833333355099</c:v>
                </c:pt>
                <c:pt idx="134">
                  <c:v>1961.16666666884</c:v>
                </c:pt>
                <c:pt idx="135">
                  <c:v>1961.2500000021701</c:v>
                </c:pt>
                <c:pt idx="136">
                  <c:v>1961.3333333354999</c:v>
                </c:pt>
                <c:pt idx="137">
                  <c:v>1961.41666666883</c:v>
                </c:pt>
                <c:pt idx="138">
                  <c:v>1961.50000000216</c:v>
                </c:pt>
                <c:pt idx="139">
                  <c:v>1961.5833333354899</c:v>
                </c:pt>
                <c:pt idx="140">
                  <c:v>1961.66666666882</c:v>
                </c:pt>
                <c:pt idx="141">
                  <c:v>1961.75000000215</c:v>
                </c:pt>
                <c:pt idx="142">
                  <c:v>1961.8333333354799</c:v>
                </c:pt>
                <c:pt idx="143">
                  <c:v>1961.91666666881</c:v>
                </c:pt>
                <c:pt idx="144">
                  <c:v>1962.00000000214</c:v>
                </c:pt>
                <c:pt idx="145">
                  <c:v>1962.0833333354699</c:v>
                </c:pt>
                <c:pt idx="146">
                  <c:v>1962.1666666688</c:v>
                </c:pt>
                <c:pt idx="147">
                  <c:v>1962.25000000213</c:v>
                </c:pt>
                <c:pt idx="148">
                  <c:v>1962.3333333354601</c:v>
                </c:pt>
                <c:pt idx="149">
                  <c:v>1962.41666666879</c:v>
                </c:pt>
                <c:pt idx="150">
                  <c:v>1962.50000000212</c:v>
                </c:pt>
                <c:pt idx="151">
                  <c:v>1962.5833333354501</c:v>
                </c:pt>
                <c:pt idx="152">
                  <c:v>1962.66666666878</c:v>
                </c:pt>
                <c:pt idx="153">
                  <c:v>1962.75000000211</c:v>
                </c:pt>
                <c:pt idx="154">
                  <c:v>1962.8333333354401</c:v>
                </c:pt>
                <c:pt idx="155">
                  <c:v>1962.9166666687699</c:v>
                </c:pt>
                <c:pt idx="156">
                  <c:v>1963.0000000021</c:v>
                </c:pt>
                <c:pt idx="157">
                  <c:v>1963.0833333354301</c:v>
                </c:pt>
                <c:pt idx="158">
                  <c:v>1963.1666666687599</c:v>
                </c:pt>
                <c:pt idx="159">
                  <c:v>1963.25000000209</c:v>
                </c:pt>
                <c:pt idx="160">
                  <c:v>1963.3333333354201</c:v>
                </c:pt>
                <c:pt idx="161">
                  <c:v>1963.4166666687499</c:v>
                </c:pt>
                <c:pt idx="162">
                  <c:v>1963.50000000208</c:v>
                </c:pt>
                <c:pt idx="163">
                  <c:v>1963.5833333354101</c:v>
                </c:pt>
                <c:pt idx="164">
                  <c:v>1963.6666666687399</c:v>
                </c:pt>
                <c:pt idx="165">
                  <c:v>1963.75000000207</c:v>
                </c:pt>
                <c:pt idx="166">
                  <c:v>1963.8333333354001</c:v>
                </c:pt>
                <c:pt idx="167">
                  <c:v>1963.9166666687299</c:v>
                </c:pt>
                <c:pt idx="168">
                  <c:v>1964.00000000206</c:v>
                </c:pt>
                <c:pt idx="169">
                  <c:v>1964.0833333353901</c:v>
                </c:pt>
                <c:pt idx="170">
                  <c:v>1964.1666666687199</c:v>
                </c:pt>
                <c:pt idx="171">
                  <c:v>1964.25000000205</c:v>
                </c:pt>
                <c:pt idx="172">
                  <c:v>1964.3333333353801</c:v>
                </c:pt>
                <c:pt idx="173">
                  <c:v>1964.4166666687099</c:v>
                </c:pt>
                <c:pt idx="174">
                  <c:v>1964.50000000204</c:v>
                </c:pt>
                <c:pt idx="175">
                  <c:v>1964.5833333353701</c:v>
                </c:pt>
                <c:pt idx="176">
                  <c:v>1964.6666666686999</c:v>
                </c:pt>
                <c:pt idx="177">
                  <c:v>1964.75000000203</c:v>
                </c:pt>
                <c:pt idx="178">
                  <c:v>1964.8333333353601</c:v>
                </c:pt>
                <c:pt idx="179">
                  <c:v>1964.9166666686899</c:v>
                </c:pt>
                <c:pt idx="180">
                  <c:v>1965.00000000202</c:v>
                </c:pt>
                <c:pt idx="181">
                  <c:v>1965.0833333353501</c:v>
                </c:pt>
                <c:pt idx="182">
                  <c:v>1965.1666666686799</c:v>
                </c:pt>
                <c:pt idx="183">
                  <c:v>1965.25000000201</c:v>
                </c:pt>
                <c:pt idx="184">
                  <c:v>1965.3333333353401</c:v>
                </c:pt>
                <c:pt idx="185">
                  <c:v>1965.4166666686699</c:v>
                </c:pt>
                <c:pt idx="186">
                  <c:v>1965.500000002</c:v>
                </c:pt>
                <c:pt idx="187">
                  <c:v>1965.5833333353301</c:v>
                </c:pt>
                <c:pt idx="188">
                  <c:v>1965.6666666686599</c:v>
                </c:pt>
                <c:pt idx="189">
                  <c:v>1965.75000000199</c:v>
                </c:pt>
                <c:pt idx="190">
                  <c:v>1965.83333333532</c:v>
                </c:pt>
                <c:pt idx="191">
                  <c:v>1965.9166666686499</c:v>
                </c:pt>
                <c:pt idx="192">
                  <c:v>1966.00000000198</c:v>
                </c:pt>
                <c:pt idx="193">
                  <c:v>1966.08333333531</c:v>
                </c:pt>
                <c:pt idx="194">
                  <c:v>1966.1666666686399</c:v>
                </c:pt>
                <c:pt idx="195">
                  <c:v>1966.25000000197</c:v>
                </c:pt>
                <c:pt idx="196">
                  <c:v>1966.33333333531</c:v>
                </c:pt>
                <c:pt idx="197">
                  <c:v>1966.4166666686399</c:v>
                </c:pt>
                <c:pt idx="198">
                  <c:v>1966.50000000197</c:v>
                </c:pt>
                <c:pt idx="199">
                  <c:v>1966.5833333353</c:v>
                </c:pt>
                <c:pt idx="200">
                  <c:v>1966.6666666686299</c:v>
                </c:pt>
                <c:pt idx="201">
                  <c:v>1966.75000000196</c:v>
                </c:pt>
                <c:pt idx="202">
                  <c:v>1966.83333333529</c:v>
                </c:pt>
                <c:pt idx="203">
                  <c:v>1966.9166666686201</c:v>
                </c:pt>
                <c:pt idx="204">
                  <c:v>1967.00000000195</c:v>
                </c:pt>
                <c:pt idx="205">
                  <c:v>1967.08333333528</c:v>
                </c:pt>
                <c:pt idx="206">
                  <c:v>1967.1666666686101</c:v>
                </c:pt>
                <c:pt idx="207">
                  <c:v>1967.25000000194</c:v>
                </c:pt>
                <c:pt idx="208">
                  <c:v>1967.33333333527</c:v>
                </c:pt>
                <c:pt idx="209">
                  <c:v>1967.4166666686001</c:v>
                </c:pt>
                <c:pt idx="210">
                  <c:v>1967.5000000019299</c:v>
                </c:pt>
                <c:pt idx="211">
                  <c:v>1967.58333333526</c:v>
                </c:pt>
                <c:pt idx="212">
                  <c:v>1967.6666666685901</c:v>
                </c:pt>
                <c:pt idx="213">
                  <c:v>1967.7500000019199</c:v>
                </c:pt>
                <c:pt idx="214">
                  <c:v>1967.83333333525</c:v>
                </c:pt>
                <c:pt idx="215">
                  <c:v>1967.9166666685801</c:v>
                </c:pt>
                <c:pt idx="216">
                  <c:v>1968.0000000019099</c:v>
                </c:pt>
                <c:pt idx="217">
                  <c:v>1968.08333333524</c:v>
                </c:pt>
                <c:pt idx="218">
                  <c:v>1968.1666666685701</c:v>
                </c:pt>
                <c:pt idx="219">
                  <c:v>1968.2500000018999</c:v>
                </c:pt>
                <c:pt idx="220">
                  <c:v>1968.33333333523</c:v>
                </c:pt>
                <c:pt idx="221">
                  <c:v>1968.4166666685601</c:v>
                </c:pt>
                <c:pt idx="222">
                  <c:v>1968.5000000018899</c:v>
                </c:pt>
                <c:pt idx="223">
                  <c:v>1968.58333333522</c:v>
                </c:pt>
                <c:pt idx="224">
                  <c:v>1968.6666666685501</c:v>
                </c:pt>
                <c:pt idx="225">
                  <c:v>1968.7500000018799</c:v>
                </c:pt>
                <c:pt idx="226">
                  <c:v>1968.83333333521</c:v>
                </c:pt>
                <c:pt idx="227">
                  <c:v>1968.9166666685401</c:v>
                </c:pt>
                <c:pt idx="228">
                  <c:v>1969.0000000018699</c:v>
                </c:pt>
                <c:pt idx="229">
                  <c:v>1969.0833333352</c:v>
                </c:pt>
                <c:pt idx="230">
                  <c:v>1969.1666666685301</c:v>
                </c:pt>
                <c:pt idx="231">
                  <c:v>1969.2500000018599</c:v>
                </c:pt>
                <c:pt idx="232">
                  <c:v>1969.33333333519</c:v>
                </c:pt>
                <c:pt idx="233">
                  <c:v>1969.4166666685201</c:v>
                </c:pt>
                <c:pt idx="234">
                  <c:v>1969.5000000018499</c:v>
                </c:pt>
                <c:pt idx="235">
                  <c:v>1969.58333333518</c:v>
                </c:pt>
                <c:pt idx="236">
                  <c:v>1969.6666666685101</c:v>
                </c:pt>
                <c:pt idx="237">
                  <c:v>1969.7500000018399</c:v>
                </c:pt>
                <c:pt idx="238">
                  <c:v>1969.83333333517</c:v>
                </c:pt>
                <c:pt idx="239">
                  <c:v>1969.9166666685001</c:v>
                </c:pt>
                <c:pt idx="240">
                  <c:v>1970.0000000018299</c:v>
                </c:pt>
                <c:pt idx="241">
                  <c:v>1970.08333333516</c:v>
                </c:pt>
                <c:pt idx="242">
                  <c:v>1970.1666666684901</c:v>
                </c:pt>
                <c:pt idx="243">
                  <c:v>1970.2500000018199</c:v>
                </c:pt>
                <c:pt idx="244">
                  <c:v>1970.33333333515</c:v>
                </c:pt>
                <c:pt idx="245">
                  <c:v>1970.41666666848</c:v>
                </c:pt>
                <c:pt idx="246">
                  <c:v>1970.5000000018099</c:v>
                </c:pt>
                <c:pt idx="247">
                  <c:v>1970.58333333514</c:v>
                </c:pt>
                <c:pt idx="248">
                  <c:v>1970.66666666847</c:v>
                </c:pt>
                <c:pt idx="249">
                  <c:v>1970.7500000017999</c:v>
                </c:pt>
                <c:pt idx="250">
                  <c:v>1970.83333333513</c:v>
                </c:pt>
                <c:pt idx="251">
                  <c:v>1970.91666666846</c:v>
                </c:pt>
                <c:pt idx="252">
                  <c:v>1971.0000000017901</c:v>
                </c:pt>
                <c:pt idx="253">
                  <c:v>1971.08333333512</c:v>
                </c:pt>
                <c:pt idx="254">
                  <c:v>1971.16666666845</c:v>
                </c:pt>
                <c:pt idx="255">
                  <c:v>1971.2500000017801</c:v>
                </c:pt>
                <c:pt idx="256">
                  <c:v>1971.33333333511</c:v>
                </c:pt>
                <c:pt idx="257">
                  <c:v>1971.41666666844</c:v>
                </c:pt>
                <c:pt idx="258">
                  <c:v>1971.5000000017701</c:v>
                </c:pt>
                <c:pt idx="259">
                  <c:v>1971.5833333351</c:v>
                </c:pt>
                <c:pt idx="260">
                  <c:v>1971.66666666843</c:v>
                </c:pt>
                <c:pt idx="261">
                  <c:v>1971.7500000017601</c:v>
                </c:pt>
                <c:pt idx="262">
                  <c:v>1971.8333333350899</c:v>
                </c:pt>
                <c:pt idx="263">
                  <c:v>1971.91666666842</c:v>
                </c:pt>
                <c:pt idx="264">
                  <c:v>1972.0000000017501</c:v>
                </c:pt>
                <c:pt idx="265">
                  <c:v>1972.0833333350799</c:v>
                </c:pt>
                <c:pt idx="266">
                  <c:v>1972.16666666841</c:v>
                </c:pt>
                <c:pt idx="267">
                  <c:v>1972.2500000017401</c:v>
                </c:pt>
                <c:pt idx="268">
                  <c:v>1972.3333333350699</c:v>
                </c:pt>
                <c:pt idx="269">
                  <c:v>1972.4166666684</c:v>
                </c:pt>
                <c:pt idx="270">
                  <c:v>1972.5000000017301</c:v>
                </c:pt>
                <c:pt idx="271">
                  <c:v>1972.5833333350599</c:v>
                </c:pt>
                <c:pt idx="272">
                  <c:v>1972.66666666839</c:v>
                </c:pt>
                <c:pt idx="273">
                  <c:v>1972.7500000017201</c:v>
                </c:pt>
                <c:pt idx="274">
                  <c:v>1972.8333333350499</c:v>
                </c:pt>
                <c:pt idx="275">
                  <c:v>1972.91666666838</c:v>
                </c:pt>
                <c:pt idx="276">
                  <c:v>1973.0000000017101</c:v>
                </c:pt>
                <c:pt idx="277">
                  <c:v>1973.0833333350399</c:v>
                </c:pt>
                <c:pt idx="278">
                  <c:v>1973.16666666837</c:v>
                </c:pt>
                <c:pt idx="279">
                  <c:v>1973.2500000017001</c:v>
                </c:pt>
                <c:pt idx="280">
                  <c:v>1973.3333333350299</c:v>
                </c:pt>
                <c:pt idx="281">
                  <c:v>1973.41666666836</c:v>
                </c:pt>
                <c:pt idx="282">
                  <c:v>1973.5000000016901</c:v>
                </c:pt>
                <c:pt idx="283">
                  <c:v>1973.5833333350199</c:v>
                </c:pt>
                <c:pt idx="284">
                  <c:v>1973.66666666835</c:v>
                </c:pt>
                <c:pt idx="285">
                  <c:v>1973.7500000016801</c:v>
                </c:pt>
                <c:pt idx="286">
                  <c:v>1973.8333333350099</c:v>
                </c:pt>
                <c:pt idx="287">
                  <c:v>1973.91666666834</c:v>
                </c:pt>
                <c:pt idx="288">
                  <c:v>1974.0000000016701</c:v>
                </c:pt>
                <c:pt idx="289">
                  <c:v>1974.0833333349999</c:v>
                </c:pt>
                <c:pt idx="290">
                  <c:v>1974.16666666833</c:v>
                </c:pt>
                <c:pt idx="291">
                  <c:v>1974.2500000016601</c:v>
                </c:pt>
                <c:pt idx="292">
                  <c:v>1974.3333333349899</c:v>
                </c:pt>
                <c:pt idx="293">
                  <c:v>1974.41666666832</c:v>
                </c:pt>
                <c:pt idx="294">
                  <c:v>1974.5000000016501</c:v>
                </c:pt>
                <c:pt idx="295">
                  <c:v>1974.5833333349799</c:v>
                </c:pt>
                <c:pt idx="296">
                  <c:v>1974.66666666831</c:v>
                </c:pt>
                <c:pt idx="297">
                  <c:v>1974.75000000164</c:v>
                </c:pt>
                <c:pt idx="298">
                  <c:v>1974.8333333349699</c:v>
                </c:pt>
                <c:pt idx="299">
                  <c:v>1974.9166666683</c:v>
                </c:pt>
                <c:pt idx="300">
                  <c:v>1975.00000000163</c:v>
                </c:pt>
                <c:pt idx="301">
                  <c:v>1975.0833333349599</c:v>
                </c:pt>
                <c:pt idx="302">
                  <c:v>1975.16666666829</c:v>
                </c:pt>
                <c:pt idx="303">
                  <c:v>1975.25000000162</c:v>
                </c:pt>
                <c:pt idx="304">
                  <c:v>1975.3333333349501</c:v>
                </c:pt>
                <c:pt idx="305">
                  <c:v>1975.41666666828</c:v>
                </c:pt>
                <c:pt idx="306">
                  <c:v>1975.50000000161</c:v>
                </c:pt>
                <c:pt idx="307">
                  <c:v>1975.5833333349401</c:v>
                </c:pt>
                <c:pt idx="308">
                  <c:v>1975.66666666827</c:v>
                </c:pt>
                <c:pt idx="309">
                  <c:v>1975.7500000016</c:v>
                </c:pt>
                <c:pt idx="310">
                  <c:v>1975.8333333349301</c:v>
                </c:pt>
                <c:pt idx="311">
                  <c:v>1975.9166666682599</c:v>
                </c:pt>
                <c:pt idx="312">
                  <c:v>1976.00000000159</c:v>
                </c:pt>
                <c:pt idx="313">
                  <c:v>1976.0833333349201</c:v>
                </c:pt>
                <c:pt idx="314">
                  <c:v>1976.1666666682499</c:v>
                </c:pt>
                <c:pt idx="315">
                  <c:v>1976.25000000158</c:v>
                </c:pt>
                <c:pt idx="316">
                  <c:v>1976.3333333349101</c:v>
                </c:pt>
                <c:pt idx="317">
                  <c:v>1976.4166666682399</c:v>
                </c:pt>
                <c:pt idx="318">
                  <c:v>1976.50000000157</c:v>
                </c:pt>
                <c:pt idx="319">
                  <c:v>1976.5833333349001</c:v>
                </c:pt>
                <c:pt idx="320">
                  <c:v>1976.6666666682299</c:v>
                </c:pt>
                <c:pt idx="321">
                  <c:v>1976.75000000156</c:v>
                </c:pt>
                <c:pt idx="322">
                  <c:v>1976.8333333348901</c:v>
                </c:pt>
                <c:pt idx="323">
                  <c:v>1976.9166666682199</c:v>
                </c:pt>
                <c:pt idx="324">
                  <c:v>1977.00000000155</c:v>
                </c:pt>
                <c:pt idx="325">
                  <c:v>1977.0833333348801</c:v>
                </c:pt>
                <c:pt idx="326">
                  <c:v>1977.1666666682099</c:v>
                </c:pt>
                <c:pt idx="327">
                  <c:v>1977.25000000154</c:v>
                </c:pt>
                <c:pt idx="328">
                  <c:v>1977.3333333348701</c:v>
                </c:pt>
                <c:pt idx="329">
                  <c:v>1977.4166666681999</c:v>
                </c:pt>
                <c:pt idx="330">
                  <c:v>1977.50000000153</c:v>
                </c:pt>
                <c:pt idx="331">
                  <c:v>1977.5833333348701</c:v>
                </c:pt>
                <c:pt idx="332">
                  <c:v>1977.6666666681999</c:v>
                </c:pt>
                <c:pt idx="333">
                  <c:v>1977.75000000153</c:v>
                </c:pt>
                <c:pt idx="334">
                  <c:v>1977.8333333348601</c:v>
                </c:pt>
                <c:pt idx="335">
                  <c:v>1977.9166666681899</c:v>
                </c:pt>
                <c:pt idx="336">
                  <c:v>1978.00000000152</c:v>
                </c:pt>
                <c:pt idx="337">
                  <c:v>1978.0833333348501</c:v>
                </c:pt>
                <c:pt idx="338">
                  <c:v>1978.1666666681799</c:v>
                </c:pt>
                <c:pt idx="339">
                  <c:v>1978.25000000151</c:v>
                </c:pt>
                <c:pt idx="340">
                  <c:v>1978.3333333348401</c:v>
                </c:pt>
                <c:pt idx="341">
                  <c:v>1978.4166666681699</c:v>
                </c:pt>
                <c:pt idx="342">
                  <c:v>1978.5000000015</c:v>
                </c:pt>
                <c:pt idx="343">
                  <c:v>1978.5833333348301</c:v>
                </c:pt>
                <c:pt idx="344">
                  <c:v>1978.6666666681599</c:v>
                </c:pt>
                <c:pt idx="345">
                  <c:v>1978.75000000149</c:v>
                </c:pt>
                <c:pt idx="346">
                  <c:v>1978.8333333348201</c:v>
                </c:pt>
                <c:pt idx="347">
                  <c:v>1978.9166666681499</c:v>
                </c:pt>
                <c:pt idx="348">
                  <c:v>1979.00000000148</c:v>
                </c:pt>
                <c:pt idx="349">
                  <c:v>1979.08333333481</c:v>
                </c:pt>
                <c:pt idx="350">
                  <c:v>1979.1666666681399</c:v>
                </c:pt>
                <c:pt idx="351">
                  <c:v>1979.25000000147</c:v>
                </c:pt>
                <c:pt idx="352">
                  <c:v>1979.3333333348</c:v>
                </c:pt>
                <c:pt idx="353">
                  <c:v>1979.4166666681299</c:v>
                </c:pt>
                <c:pt idx="354">
                  <c:v>1979.50000000146</c:v>
                </c:pt>
                <c:pt idx="355">
                  <c:v>1979.58333333479</c:v>
                </c:pt>
                <c:pt idx="356">
                  <c:v>1979.6666666681199</c:v>
                </c:pt>
                <c:pt idx="357">
                  <c:v>1979.75000000145</c:v>
                </c:pt>
                <c:pt idx="358">
                  <c:v>1979.83333333478</c:v>
                </c:pt>
                <c:pt idx="359">
                  <c:v>1979.9166666681101</c:v>
                </c:pt>
                <c:pt idx="360">
                  <c:v>1980.00000000144</c:v>
                </c:pt>
                <c:pt idx="361">
                  <c:v>1980.08333333477</c:v>
                </c:pt>
                <c:pt idx="362">
                  <c:v>1980.1666666681001</c:v>
                </c:pt>
                <c:pt idx="363">
                  <c:v>1980.25000000143</c:v>
                </c:pt>
                <c:pt idx="364">
                  <c:v>1980.33333333476</c:v>
                </c:pt>
                <c:pt idx="365">
                  <c:v>1980.4166666680901</c:v>
                </c:pt>
                <c:pt idx="366">
                  <c:v>1980.5000000014199</c:v>
                </c:pt>
                <c:pt idx="367">
                  <c:v>1980.58333333475</c:v>
                </c:pt>
                <c:pt idx="368">
                  <c:v>1980.6666666680801</c:v>
                </c:pt>
                <c:pt idx="369">
                  <c:v>1980.7500000014099</c:v>
                </c:pt>
                <c:pt idx="370">
                  <c:v>1980.83333333474</c:v>
                </c:pt>
                <c:pt idx="371">
                  <c:v>1980.9166666680701</c:v>
                </c:pt>
                <c:pt idx="372">
                  <c:v>1981.0000000013999</c:v>
                </c:pt>
                <c:pt idx="373">
                  <c:v>1981.08333333473</c:v>
                </c:pt>
                <c:pt idx="374">
                  <c:v>1981.1666666680601</c:v>
                </c:pt>
                <c:pt idx="375">
                  <c:v>1981.2500000013899</c:v>
                </c:pt>
                <c:pt idx="376">
                  <c:v>1981.33333333472</c:v>
                </c:pt>
                <c:pt idx="377">
                  <c:v>1981.4166666680501</c:v>
                </c:pt>
                <c:pt idx="378">
                  <c:v>1981.5000000013799</c:v>
                </c:pt>
                <c:pt idx="379">
                  <c:v>1981.58333333471</c:v>
                </c:pt>
                <c:pt idx="380">
                  <c:v>1981.6666666680401</c:v>
                </c:pt>
                <c:pt idx="381">
                  <c:v>1981.7500000013699</c:v>
                </c:pt>
                <c:pt idx="382">
                  <c:v>1981.8333333347</c:v>
                </c:pt>
                <c:pt idx="383">
                  <c:v>1981.9166666680301</c:v>
                </c:pt>
                <c:pt idx="384">
                  <c:v>1982.0000000013599</c:v>
                </c:pt>
                <c:pt idx="385">
                  <c:v>1982.08333333469</c:v>
                </c:pt>
                <c:pt idx="386">
                  <c:v>1982.1666666680201</c:v>
                </c:pt>
                <c:pt idx="387">
                  <c:v>1982.2500000013499</c:v>
                </c:pt>
                <c:pt idx="388">
                  <c:v>1982.33333333468</c:v>
                </c:pt>
                <c:pt idx="389">
                  <c:v>1982.4166666680101</c:v>
                </c:pt>
                <c:pt idx="390">
                  <c:v>1982.5000000013399</c:v>
                </c:pt>
                <c:pt idx="391">
                  <c:v>1982.58333333467</c:v>
                </c:pt>
                <c:pt idx="392">
                  <c:v>1982.6666666680001</c:v>
                </c:pt>
                <c:pt idx="393">
                  <c:v>1982.7500000013299</c:v>
                </c:pt>
                <c:pt idx="394">
                  <c:v>1982.83333333466</c:v>
                </c:pt>
                <c:pt idx="395">
                  <c:v>1982.9166666679901</c:v>
                </c:pt>
                <c:pt idx="396">
                  <c:v>1983.0000000013199</c:v>
                </c:pt>
                <c:pt idx="397">
                  <c:v>1983.08333333465</c:v>
                </c:pt>
                <c:pt idx="398">
                  <c:v>1983.1666666679801</c:v>
                </c:pt>
                <c:pt idx="399">
                  <c:v>1983.2500000013099</c:v>
                </c:pt>
                <c:pt idx="400">
                  <c:v>1983.33333333464</c:v>
                </c:pt>
                <c:pt idx="401">
                  <c:v>1983.41666666797</c:v>
                </c:pt>
                <c:pt idx="402">
                  <c:v>1983.5000000012999</c:v>
                </c:pt>
                <c:pt idx="403">
                  <c:v>1983.58333333463</c:v>
                </c:pt>
                <c:pt idx="404">
                  <c:v>1983.66666666796</c:v>
                </c:pt>
                <c:pt idx="405">
                  <c:v>1983.7500000012899</c:v>
                </c:pt>
                <c:pt idx="406">
                  <c:v>1983.83333333462</c:v>
                </c:pt>
                <c:pt idx="407">
                  <c:v>1983.91666666795</c:v>
                </c:pt>
                <c:pt idx="408">
                  <c:v>1984.0000000012799</c:v>
                </c:pt>
                <c:pt idx="409">
                  <c:v>1984.08333333461</c:v>
                </c:pt>
                <c:pt idx="410">
                  <c:v>1984.16666666794</c:v>
                </c:pt>
                <c:pt idx="411">
                  <c:v>1984.2500000012701</c:v>
                </c:pt>
                <c:pt idx="412">
                  <c:v>1984.3333333346</c:v>
                </c:pt>
                <c:pt idx="413">
                  <c:v>1984.41666666793</c:v>
                </c:pt>
                <c:pt idx="414">
                  <c:v>1984.5000000012601</c:v>
                </c:pt>
                <c:pt idx="415">
                  <c:v>1984.58333333459</c:v>
                </c:pt>
                <c:pt idx="416">
                  <c:v>1984.66666666792</c:v>
                </c:pt>
                <c:pt idx="417">
                  <c:v>1984.7500000012501</c:v>
                </c:pt>
                <c:pt idx="418">
                  <c:v>1984.8333333345799</c:v>
                </c:pt>
                <c:pt idx="419">
                  <c:v>1984.91666666791</c:v>
                </c:pt>
                <c:pt idx="420">
                  <c:v>1985.0000000012401</c:v>
                </c:pt>
                <c:pt idx="421">
                  <c:v>1985.0833333345699</c:v>
                </c:pt>
                <c:pt idx="422">
                  <c:v>1985.1666666679</c:v>
                </c:pt>
                <c:pt idx="423">
                  <c:v>1985.2500000012301</c:v>
                </c:pt>
                <c:pt idx="424">
                  <c:v>1985.3333333345599</c:v>
                </c:pt>
                <c:pt idx="425">
                  <c:v>1985.41666666789</c:v>
                </c:pt>
                <c:pt idx="426">
                  <c:v>1985.5000000012201</c:v>
                </c:pt>
                <c:pt idx="427">
                  <c:v>1985.5833333345499</c:v>
                </c:pt>
                <c:pt idx="428">
                  <c:v>1985.66666666788</c:v>
                </c:pt>
                <c:pt idx="429">
                  <c:v>1985.7500000012101</c:v>
                </c:pt>
                <c:pt idx="430">
                  <c:v>1985.8333333345399</c:v>
                </c:pt>
                <c:pt idx="431">
                  <c:v>1985.91666666787</c:v>
                </c:pt>
                <c:pt idx="432">
                  <c:v>1986.0000000012001</c:v>
                </c:pt>
                <c:pt idx="433">
                  <c:v>1986.0833333345299</c:v>
                </c:pt>
                <c:pt idx="434">
                  <c:v>1986.16666666786</c:v>
                </c:pt>
                <c:pt idx="435">
                  <c:v>1986.2500000011901</c:v>
                </c:pt>
                <c:pt idx="436">
                  <c:v>1986.3333333345199</c:v>
                </c:pt>
                <c:pt idx="437">
                  <c:v>1986.41666666785</c:v>
                </c:pt>
                <c:pt idx="438">
                  <c:v>1986.5000000011801</c:v>
                </c:pt>
                <c:pt idx="439">
                  <c:v>1986.5833333345099</c:v>
                </c:pt>
                <c:pt idx="440">
                  <c:v>1986.66666666784</c:v>
                </c:pt>
                <c:pt idx="441">
                  <c:v>1986.7500000011701</c:v>
                </c:pt>
                <c:pt idx="442">
                  <c:v>1986.8333333344999</c:v>
                </c:pt>
                <c:pt idx="443">
                  <c:v>1986.91666666783</c:v>
                </c:pt>
                <c:pt idx="444">
                  <c:v>1987.0000000011601</c:v>
                </c:pt>
                <c:pt idx="445">
                  <c:v>1987.0833333344899</c:v>
                </c:pt>
                <c:pt idx="446">
                  <c:v>1987.16666666782</c:v>
                </c:pt>
                <c:pt idx="447">
                  <c:v>1987.2500000011501</c:v>
                </c:pt>
                <c:pt idx="448">
                  <c:v>1987.3333333344799</c:v>
                </c:pt>
                <c:pt idx="449">
                  <c:v>1987.41666666781</c:v>
                </c:pt>
                <c:pt idx="450">
                  <c:v>1987.5000000011401</c:v>
                </c:pt>
                <c:pt idx="451">
                  <c:v>1987.5833333344699</c:v>
                </c:pt>
                <c:pt idx="452">
                  <c:v>1987.6666666678</c:v>
                </c:pt>
                <c:pt idx="453">
                  <c:v>1987.75000000113</c:v>
                </c:pt>
                <c:pt idx="454">
                  <c:v>1987.8333333344599</c:v>
                </c:pt>
                <c:pt idx="455">
                  <c:v>1987.91666666779</c:v>
                </c:pt>
                <c:pt idx="456">
                  <c:v>1988.00000000112</c:v>
                </c:pt>
                <c:pt idx="457">
                  <c:v>1988.0833333344499</c:v>
                </c:pt>
                <c:pt idx="458">
                  <c:v>1988.16666666778</c:v>
                </c:pt>
                <c:pt idx="459">
                  <c:v>1988.25000000111</c:v>
                </c:pt>
                <c:pt idx="460">
                  <c:v>1988.3333333344401</c:v>
                </c:pt>
                <c:pt idx="461">
                  <c:v>1988.41666666777</c:v>
                </c:pt>
                <c:pt idx="462">
                  <c:v>1988.5000000011</c:v>
                </c:pt>
                <c:pt idx="463">
                  <c:v>1988.5833333344301</c:v>
                </c:pt>
                <c:pt idx="464">
                  <c:v>1988.66666666776</c:v>
                </c:pt>
                <c:pt idx="465">
                  <c:v>1988.7500000011</c:v>
                </c:pt>
                <c:pt idx="466">
                  <c:v>1988.8333333344301</c:v>
                </c:pt>
                <c:pt idx="467">
                  <c:v>1988.91666666776</c:v>
                </c:pt>
                <c:pt idx="468">
                  <c:v>1989.00000000109</c:v>
                </c:pt>
                <c:pt idx="469">
                  <c:v>1989.0833333344201</c:v>
                </c:pt>
                <c:pt idx="470">
                  <c:v>1989.16666666775</c:v>
                </c:pt>
                <c:pt idx="471">
                  <c:v>1989.25000000108</c:v>
                </c:pt>
                <c:pt idx="472">
                  <c:v>1989.3333333344101</c:v>
                </c:pt>
                <c:pt idx="473">
                  <c:v>1989.4166666677399</c:v>
                </c:pt>
                <c:pt idx="474">
                  <c:v>1989.50000000107</c:v>
                </c:pt>
                <c:pt idx="475">
                  <c:v>1989.5833333344001</c:v>
                </c:pt>
                <c:pt idx="476">
                  <c:v>1989.6666666677299</c:v>
                </c:pt>
                <c:pt idx="477">
                  <c:v>1989.75000000106</c:v>
                </c:pt>
                <c:pt idx="478">
                  <c:v>1989.8333333343901</c:v>
                </c:pt>
                <c:pt idx="479">
                  <c:v>1989.9166666677199</c:v>
                </c:pt>
                <c:pt idx="480">
                  <c:v>1990.00000000105</c:v>
                </c:pt>
                <c:pt idx="481">
                  <c:v>1990.0833333343801</c:v>
                </c:pt>
                <c:pt idx="482">
                  <c:v>1990.1666666677099</c:v>
                </c:pt>
                <c:pt idx="483">
                  <c:v>1990.25000000104</c:v>
                </c:pt>
                <c:pt idx="484">
                  <c:v>1990.3333333343701</c:v>
                </c:pt>
                <c:pt idx="485">
                  <c:v>1990.4166666676999</c:v>
                </c:pt>
                <c:pt idx="486">
                  <c:v>1990.50000000103</c:v>
                </c:pt>
                <c:pt idx="487">
                  <c:v>1990.5833333343601</c:v>
                </c:pt>
                <c:pt idx="488">
                  <c:v>1990.6666666676899</c:v>
                </c:pt>
                <c:pt idx="489">
                  <c:v>1990.75000000102</c:v>
                </c:pt>
                <c:pt idx="490">
                  <c:v>1990.8333333343501</c:v>
                </c:pt>
                <c:pt idx="491">
                  <c:v>1990.9166666676799</c:v>
                </c:pt>
                <c:pt idx="492">
                  <c:v>1991.00000000101</c:v>
                </c:pt>
                <c:pt idx="493">
                  <c:v>1991.0833333343401</c:v>
                </c:pt>
                <c:pt idx="494">
                  <c:v>1991.1666666676699</c:v>
                </c:pt>
                <c:pt idx="495">
                  <c:v>1991.250000001</c:v>
                </c:pt>
                <c:pt idx="496">
                  <c:v>1991.3333333343301</c:v>
                </c:pt>
                <c:pt idx="497">
                  <c:v>1991.4166666676599</c:v>
                </c:pt>
                <c:pt idx="498">
                  <c:v>1991.50000000099</c:v>
                </c:pt>
                <c:pt idx="499">
                  <c:v>1991.5833333343201</c:v>
                </c:pt>
                <c:pt idx="500">
                  <c:v>1991.6666666676499</c:v>
                </c:pt>
                <c:pt idx="501">
                  <c:v>1991.75000000098</c:v>
                </c:pt>
                <c:pt idx="502">
                  <c:v>1991.8333333343101</c:v>
                </c:pt>
                <c:pt idx="503">
                  <c:v>1991.9166666676399</c:v>
                </c:pt>
                <c:pt idx="504">
                  <c:v>1992.00000000097</c:v>
                </c:pt>
                <c:pt idx="505">
                  <c:v>1992.0833333343001</c:v>
                </c:pt>
                <c:pt idx="506">
                  <c:v>1992.1666666676299</c:v>
                </c:pt>
                <c:pt idx="507">
                  <c:v>1992.25000000096</c:v>
                </c:pt>
                <c:pt idx="508">
                  <c:v>1992.33333333429</c:v>
                </c:pt>
                <c:pt idx="509">
                  <c:v>1992.4166666676199</c:v>
                </c:pt>
                <c:pt idx="510">
                  <c:v>1992.50000000095</c:v>
                </c:pt>
                <c:pt idx="511">
                  <c:v>1992.58333333428</c:v>
                </c:pt>
                <c:pt idx="512">
                  <c:v>1992.6666666676099</c:v>
                </c:pt>
                <c:pt idx="513">
                  <c:v>1992.75000000094</c:v>
                </c:pt>
                <c:pt idx="514">
                  <c:v>1992.83333333427</c:v>
                </c:pt>
                <c:pt idx="515">
                  <c:v>1992.9166666676001</c:v>
                </c:pt>
                <c:pt idx="516">
                  <c:v>1993.00000000093</c:v>
                </c:pt>
                <c:pt idx="517">
                  <c:v>1993.08333333426</c:v>
                </c:pt>
                <c:pt idx="518">
                  <c:v>1993.1666666675901</c:v>
                </c:pt>
                <c:pt idx="519">
                  <c:v>1993.25000000092</c:v>
                </c:pt>
                <c:pt idx="520">
                  <c:v>1993.33333333425</c:v>
                </c:pt>
                <c:pt idx="521">
                  <c:v>1993.4166666675801</c:v>
                </c:pt>
                <c:pt idx="522">
                  <c:v>1993.5000000009099</c:v>
                </c:pt>
                <c:pt idx="523">
                  <c:v>1993.58333333424</c:v>
                </c:pt>
                <c:pt idx="524">
                  <c:v>1993.6666666675701</c:v>
                </c:pt>
                <c:pt idx="525">
                  <c:v>1993.7500000008999</c:v>
                </c:pt>
                <c:pt idx="526">
                  <c:v>1993.83333333423</c:v>
                </c:pt>
                <c:pt idx="527">
                  <c:v>1993.9166666675601</c:v>
                </c:pt>
                <c:pt idx="528">
                  <c:v>1994.0000000008899</c:v>
                </c:pt>
                <c:pt idx="529">
                  <c:v>1994.08333333422</c:v>
                </c:pt>
                <c:pt idx="530">
                  <c:v>1994.1666666675501</c:v>
                </c:pt>
                <c:pt idx="531">
                  <c:v>1994.2500000008799</c:v>
                </c:pt>
                <c:pt idx="532">
                  <c:v>1994.33333333421</c:v>
                </c:pt>
                <c:pt idx="533">
                  <c:v>1994.4166666675401</c:v>
                </c:pt>
                <c:pt idx="534">
                  <c:v>1994.5000000008699</c:v>
                </c:pt>
                <c:pt idx="535">
                  <c:v>1994.5833333342</c:v>
                </c:pt>
                <c:pt idx="536">
                  <c:v>1994.6666666675301</c:v>
                </c:pt>
                <c:pt idx="537">
                  <c:v>1994.7500000008599</c:v>
                </c:pt>
                <c:pt idx="538">
                  <c:v>1994.83333333419</c:v>
                </c:pt>
                <c:pt idx="539">
                  <c:v>1994.9166666675201</c:v>
                </c:pt>
                <c:pt idx="540">
                  <c:v>1995.0000000008499</c:v>
                </c:pt>
                <c:pt idx="541">
                  <c:v>1995.08333333418</c:v>
                </c:pt>
                <c:pt idx="542">
                  <c:v>1995.1666666675101</c:v>
                </c:pt>
                <c:pt idx="543">
                  <c:v>1995.2500000008399</c:v>
                </c:pt>
                <c:pt idx="544">
                  <c:v>1995.33333333417</c:v>
                </c:pt>
                <c:pt idx="545">
                  <c:v>1995.4166666675001</c:v>
                </c:pt>
                <c:pt idx="546">
                  <c:v>1995.5000000008299</c:v>
                </c:pt>
                <c:pt idx="547">
                  <c:v>1995.58333333416</c:v>
                </c:pt>
                <c:pt idx="548">
                  <c:v>1995.6666666674901</c:v>
                </c:pt>
                <c:pt idx="549">
                  <c:v>1995.7500000008199</c:v>
                </c:pt>
                <c:pt idx="550">
                  <c:v>1995.83333333415</c:v>
                </c:pt>
                <c:pt idx="551">
                  <c:v>1995.9166666674801</c:v>
                </c:pt>
                <c:pt idx="552">
                  <c:v>1996.0000000008099</c:v>
                </c:pt>
                <c:pt idx="553">
                  <c:v>1996.08333333414</c:v>
                </c:pt>
                <c:pt idx="554">
                  <c:v>1996.1666666674701</c:v>
                </c:pt>
                <c:pt idx="555">
                  <c:v>1996.2500000007999</c:v>
                </c:pt>
                <c:pt idx="556">
                  <c:v>1996.33333333413</c:v>
                </c:pt>
                <c:pt idx="557">
                  <c:v>1996.41666666746</c:v>
                </c:pt>
                <c:pt idx="558">
                  <c:v>1996.5000000007899</c:v>
                </c:pt>
                <c:pt idx="559">
                  <c:v>1996.58333333412</c:v>
                </c:pt>
                <c:pt idx="560">
                  <c:v>1996.66666666745</c:v>
                </c:pt>
                <c:pt idx="561">
                  <c:v>1996.7500000007799</c:v>
                </c:pt>
                <c:pt idx="562">
                  <c:v>1996.83333333411</c:v>
                </c:pt>
                <c:pt idx="563">
                  <c:v>1996.91666666744</c:v>
                </c:pt>
                <c:pt idx="564">
                  <c:v>1997.0000000007699</c:v>
                </c:pt>
                <c:pt idx="565">
                  <c:v>1997.0833333341</c:v>
                </c:pt>
                <c:pt idx="566">
                  <c:v>1997.16666666743</c:v>
                </c:pt>
                <c:pt idx="567">
                  <c:v>1997.2500000007601</c:v>
                </c:pt>
                <c:pt idx="568">
                  <c:v>1997.33333333409</c:v>
                </c:pt>
                <c:pt idx="569">
                  <c:v>1997.41666666742</c:v>
                </c:pt>
                <c:pt idx="570">
                  <c:v>1997.5000000007501</c:v>
                </c:pt>
                <c:pt idx="571">
                  <c:v>1997.58333333408</c:v>
                </c:pt>
                <c:pt idx="572">
                  <c:v>1997.66666666741</c:v>
                </c:pt>
                <c:pt idx="573">
                  <c:v>1997.7500000007401</c:v>
                </c:pt>
                <c:pt idx="574">
                  <c:v>1997.8333333340699</c:v>
                </c:pt>
                <c:pt idx="575">
                  <c:v>1997.9166666674</c:v>
                </c:pt>
                <c:pt idx="576">
                  <c:v>1998.0000000007301</c:v>
                </c:pt>
                <c:pt idx="577">
                  <c:v>1998.0833333340599</c:v>
                </c:pt>
                <c:pt idx="578">
                  <c:v>1998.16666666739</c:v>
                </c:pt>
                <c:pt idx="579">
                  <c:v>1998.2500000007201</c:v>
                </c:pt>
                <c:pt idx="580">
                  <c:v>1998.3333333340499</c:v>
                </c:pt>
                <c:pt idx="581">
                  <c:v>1998.41666666738</c:v>
                </c:pt>
                <c:pt idx="582">
                  <c:v>1998.5000000007101</c:v>
                </c:pt>
                <c:pt idx="583">
                  <c:v>1998.5833333340399</c:v>
                </c:pt>
                <c:pt idx="584">
                  <c:v>1998.66666666737</c:v>
                </c:pt>
                <c:pt idx="585">
                  <c:v>1998.7500000007001</c:v>
                </c:pt>
                <c:pt idx="586">
                  <c:v>1998.8333333340299</c:v>
                </c:pt>
                <c:pt idx="587">
                  <c:v>1998.91666666736</c:v>
                </c:pt>
                <c:pt idx="588">
                  <c:v>1999.0000000006901</c:v>
                </c:pt>
                <c:pt idx="589">
                  <c:v>1999.0833333340199</c:v>
                </c:pt>
                <c:pt idx="590">
                  <c:v>1999.16666666735</c:v>
                </c:pt>
                <c:pt idx="591">
                  <c:v>1999.2500000006801</c:v>
                </c:pt>
                <c:pt idx="592">
                  <c:v>1999.3333333340099</c:v>
                </c:pt>
                <c:pt idx="593">
                  <c:v>1999.41666666734</c:v>
                </c:pt>
                <c:pt idx="594">
                  <c:v>1999.5000000006701</c:v>
                </c:pt>
                <c:pt idx="595">
                  <c:v>1999.5833333339999</c:v>
                </c:pt>
                <c:pt idx="596">
                  <c:v>1999.66666666733</c:v>
                </c:pt>
                <c:pt idx="597">
                  <c:v>1999.7500000006601</c:v>
                </c:pt>
                <c:pt idx="598">
                  <c:v>1999.8333333339899</c:v>
                </c:pt>
                <c:pt idx="599">
                  <c:v>1999.91666666732</c:v>
                </c:pt>
                <c:pt idx="600">
                  <c:v>2000.0000000006601</c:v>
                </c:pt>
                <c:pt idx="601">
                  <c:v>2000.0833333339899</c:v>
                </c:pt>
                <c:pt idx="602">
                  <c:v>2000.16666666732</c:v>
                </c:pt>
                <c:pt idx="603">
                  <c:v>2000.2500000006501</c:v>
                </c:pt>
                <c:pt idx="604">
                  <c:v>2000.3333333339799</c:v>
                </c:pt>
                <c:pt idx="605">
                  <c:v>2000.41666666731</c:v>
                </c:pt>
                <c:pt idx="606">
                  <c:v>2000.5000000006401</c:v>
                </c:pt>
                <c:pt idx="607">
                  <c:v>2000.5833333339699</c:v>
                </c:pt>
                <c:pt idx="608">
                  <c:v>2000.6666666673</c:v>
                </c:pt>
                <c:pt idx="609">
                  <c:v>2000.7500000006301</c:v>
                </c:pt>
                <c:pt idx="610">
                  <c:v>2000.8333333339599</c:v>
                </c:pt>
                <c:pt idx="611">
                  <c:v>2000.91666666729</c:v>
                </c:pt>
                <c:pt idx="612">
                  <c:v>2001.00000000062</c:v>
                </c:pt>
                <c:pt idx="613">
                  <c:v>2001.0833333339499</c:v>
                </c:pt>
                <c:pt idx="614">
                  <c:v>2001.16666666728</c:v>
                </c:pt>
                <c:pt idx="615">
                  <c:v>2001.25000000061</c:v>
                </c:pt>
                <c:pt idx="616">
                  <c:v>2001.3333333339399</c:v>
                </c:pt>
                <c:pt idx="617">
                  <c:v>2001.41666666727</c:v>
                </c:pt>
                <c:pt idx="618">
                  <c:v>2001.5000000006</c:v>
                </c:pt>
                <c:pt idx="619">
                  <c:v>2001.5833333339301</c:v>
                </c:pt>
                <c:pt idx="620">
                  <c:v>2001.66666666726</c:v>
                </c:pt>
                <c:pt idx="621">
                  <c:v>2001.75000000059</c:v>
                </c:pt>
                <c:pt idx="622">
                  <c:v>2001.8333333339201</c:v>
                </c:pt>
                <c:pt idx="623">
                  <c:v>2001.91666666725</c:v>
                </c:pt>
                <c:pt idx="624">
                  <c:v>2002.00000000058</c:v>
                </c:pt>
                <c:pt idx="625">
                  <c:v>2002.0833333339101</c:v>
                </c:pt>
                <c:pt idx="626">
                  <c:v>2002.16666666724</c:v>
                </c:pt>
                <c:pt idx="627">
                  <c:v>2002.25000000057</c:v>
                </c:pt>
                <c:pt idx="628">
                  <c:v>2002.3333333339001</c:v>
                </c:pt>
                <c:pt idx="629">
                  <c:v>2002.4166666672299</c:v>
                </c:pt>
                <c:pt idx="630">
                  <c:v>2002.50000000056</c:v>
                </c:pt>
                <c:pt idx="631">
                  <c:v>2002.5833333338901</c:v>
                </c:pt>
                <c:pt idx="632">
                  <c:v>2002.6666666672199</c:v>
                </c:pt>
                <c:pt idx="633">
                  <c:v>2002.75000000055</c:v>
                </c:pt>
                <c:pt idx="634">
                  <c:v>2002.8333333338801</c:v>
                </c:pt>
                <c:pt idx="635">
                  <c:v>2002.9166666672099</c:v>
                </c:pt>
                <c:pt idx="636">
                  <c:v>2003.00000000054</c:v>
                </c:pt>
                <c:pt idx="637">
                  <c:v>2003.0833333338701</c:v>
                </c:pt>
                <c:pt idx="638">
                  <c:v>2003.1666666671999</c:v>
                </c:pt>
                <c:pt idx="639">
                  <c:v>2003.25000000053</c:v>
                </c:pt>
                <c:pt idx="640">
                  <c:v>2003.3333333338601</c:v>
                </c:pt>
                <c:pt idx="641">
                  <c:v>2003.4166666671899</c:v>
                </c:pt>
                <c:pt idx="642">
                  <c:v>2003.50000000052</c:v>
                </c:pt>
                <c:pt idx="643">
                  <c:v>2003.5833333338501</c:v>
                </c:pt>
                <c:pt idx="644">
                  <c:v>2003.6666666671799</c:v>
                </c:pt>
                <c:pt idx="645">
                  <c:v>2003.75000000051</c:v>
                </c:pt>
                <c:pt idx="646">
                  <c:v>2003.8333333338401</c:v>
                </c:pt>
                <c:pt idx="647">
                  <c:v>2003.9166666671699</c:v>
                </c:pt>
                <c:pt idx="648">
                  <c:v>2004.0000000005</c:v>
                </c:pt>
                <c:pt idx="649">
                  <c:v>2004.0833333338301</c:v>
                </c:pt>
                <c:pt idx="650">
                  <c:v>2004.1666666671599</c:v>
                </c:pt>
                <c:pt idx="651">
                  <c:v>2004.25000000049</c:v>
                </c:pt>
                <c:pt idx="652">
                  <c:v>2004.3333333338201</c:v>
                </c:pt>
                <c:pt idx="653">
                  <c:v>2004.4166666671499</c:v>
                </c:pt>
                <c:pt idx="654">
                  <c:v>2004.50000000048</c:v>
                </c:pt>
                <c:pt idx="655">
                  <c:v>2004.5833333338101</c:v>
                </c:pt>
                <c:pt idx="656">
                  <c:v>2004.6666666671399</c:v>
                </c:pt>
                <c:pt idx="657">
                  <c:v>2004.75000000047</c:v>
                </c:pt>
                <c:pt idx="658">
                  <c:v>2004.8333333338001</c:v>
                </c:pt>
                <c:pt idx="659">
                  <c:v>2004.9166666671299</c:v>
                </c:pt>
                <c:pt idx="660">
                  <c:v>2005.00000000046</c:v>
                </c:pt>
                <c:pt idx="661">
                  <c:v>2005.0833333337901</c:v>
                </c:pt>
                <c:pt idx="662">
                  <c:v>2005.1666666671199</c:v>
                </c:pt>
                <c:pt idx="663">
                  <c:v>2005.25000000045</c:v>
                </c:pt>
                <c:pt idx="664">
                  <c:v>2005.33333333378</c:v>
                </c:pt>
                <c:pt idx="665">
                  <c:v>2005.4166666671099</c:v>
                </c:pt>
                <c:pt idx="666">
                  <c:v>2005.50000000044</c:v>
                </c:pt>
                <c:pt idx="667">
                  <c:v>2005.58333333377</c:v>
                </c:pt>
                <c:pt idx="668">
                  <c:v>2005.6666666670999</c:v>
                </c:pt>
                <c:pt idx="669">
                  <c:v>2005.75000000043</c:v>
                </c:pt>
                <c:pt idx="670">
                  <c:v>2005.83333333376</c:v>
                </c:pt>
                <c:pt idx="671">
                  <c:v>2005.9166666670901</c:v>
                </c:pt>
                <c:pt idx="672">
                  <c:v>2006.00000000042</c:v>
                </c:pt>
                <c:pt idx="673">
                  <c:v>2006.08333333375</c:v>
                </c:pt>
                <c:pt idx="674">
                  <c:v>2006.1666666670801</c:v>
                </c:pt>
                <c:pt idx="675">
                  <c:v>2006.25000000041</c:v>
                </c:pt>
                <c:pt idx="676">
                  <c:v>2006.33333333374</c:v>
                </c:pt>
                <c:pt idx="677">
                  <c:v>2006.4166666670701</c:v>
                </c:pt>
                <c:pt idx="678">
                  <c:v>2006.5000000004</c:v>
                </c:pt>
                <c:pt idx="679">
                  <c:v>2006.58333333373</c:v>
                </c:pt>
                <c:pt idx="680">
                  <c:v>2006.6666666670601</c:v>
                </c:pt>
                <c:pt idx="681">
                  <c:v>2006.7500000003899</c:v>
                </c:pt>
                <c:pt idx="682">
                  <c:v>2006.83333333372</c:v>
                </c:pt>
                <c:pt idx="683">
                  <c:v>2006.9166666670501</c:v>
                </c:pt>
                <c:pt idx="684">
                  <c:v>2007.0000000003799</c:v>
                </c:pt>
                <c:pt idx="685">
                  <c:v>2007.08333333371</c:v>
                </c:pt>
                <c:pt idx="686">
                  <c:v>2007.1666666670401</c:v>
                </c:pt>
                <c:pt idx="687">
                  <c:v>2007.2500000003699</c:v>
                </c:pt>
                <c:pt idx="688">
                  <c:v>2007.3333333337</c:v>
                </c:pt>
                <c:pt idx="689">
                  <c:v>2007.4166666670301</c:v>
                </c:pt>
                <c:pt idx="690">
                  <c:v>2007.5000000003599</c:v>
                </c:pt>
                <c:pt idx="691">
                  <c:v>2007.58333333369</c:v>
                </c:pt>
                <c:pt idx="692">
                  <c:v>2007.6666666670201</c:v>
                </c:pt>
                <c:pt idx="693">
                  <c:v>2007.7500000003499</c:v>
                </c:pt>
                <c:pt idx="694">
                  <c:v>2007.83333333368</c:v>
                </c:pt>
                <c:pt idx="695">
                  <c:v>2007.9166666670101</c:v>
                </c:pt>
                <c:pt idx="696">
                  <c:v>2008.0000000003399</c:v>
                </c:pt>
                <c:pt idx="697">
                  <c:v>2008.08333333367</c:v>
                </c:pt>
                <c:pt idx="698">
                  <c:v>2008.1666666670001</c:v>
                </c:pt>
                <c:pt idx="699">
                  <c:v>2008.2500000003299</c:v>
                </c:pt>
                <c:pt idx="700">
                  <c:v>2008.33333333366</c:v>
                </c:pt>
                <c:pt idx="701">
                  <c:v>2008.4166666669901</c:v>
                </c:pt>
                <c:pt idx="702">
                  <c:v>2008.5000000003199</c:v>
                </c:pt>
                <c:pt idx="703">
                  <c:v>2008.58333333365</c:v>
                </c:pt>
                <c:pt idx="704">
                  <c:v>2008.6666666669801</c:v>
                </c:pt>
                <c:pt idx="705">
                  <c:v>2008.7500000003099</c:v>
                </c:pt>
                <c:pt idx="706">
                  <c:v>2008.83333333364</c:v>
                </c:pt>
                <c:pt idx="707">
                  <c:v>2008.9166666669701</c:v>
                </c:pt>
                <c:pt idx="708">
                  <c:v>2009.0000000002999</c:v>
                </c:pt>
                <c:pt idx="709">
                  <c:v>2009.08333333363</c:v>
                </c:pt>
                <c:pt idx="710">
                  <c:v>2009.1666666669601</c:v>
                </c:pt>
                <c:pt idx="711">
                  <c:v>2009.2500000002899</c:v>
                </c:pt>
                <c:pt idx="712">
                  <c:v>2009.33333333362</c:v>
                </c:pt>
                <c:pt idx="713">
                  <c:v>2009.4166666669501</c:v>
                </c:pt>
                <c:pt idx="714">
                  <c:v>2009.5000000002799</c:v>
                </c:pt>
                <c:pt idx="715">
                  <c:v>2009.58333333361</c:v>
                </c:pt>
                <c:pt idx="716">
                  <c:v>2009.66666666694</c:v>
                </c:pt>
                <c:pt idx="717">
                  <c:v>2009.7500000002699</c:v>
                </c:pt>
                <c:pt idx="718">
                  <c:v>2009.8333333336</c:v>
                </c:pt>
                <c:pt idx="719">
                  <c:v>2009.91666666693</c:v>
                </c:pt>
                <c:pt idx="720">
                  <c:v>2010.0000000002599</c:v>
                </c:pt>
                <c:pt idx="721">
                  <c:v>2010.08333333359</c:v>
                </c:pt>
                <c:pt idx="722">
                  <c:v>2010.16666666692</c:v>
                </c:pt>
                <c:pt idx="723">
                  <c:v>2010.2500000002501</c:v>
                </c:pt>
                <c:pt idx="724">
                  <c:v>2010.33333333358</c:v>
                </c:pt>
                <c:pt idx="725">
                  <c:v>2010.41666666691</c:v>
                </c:pt>
                <c:pt idx="726">
                  <c:v>2010.5000000002401</c:v>
                </c:pt>
                <c:pt idx="727">
                  <c:v>2010.58333333357</c:v>
                </c:pt>
                <c:pt idx="728">
                  <c:v>2010.6666666669</c:v>
                </c:pt>
                <c:pt idx="729">
                  <c:v>2010.7500000002301</c:v>
                </c:pt>
                <c:pt idx="730">
                  <c:v>2010.8333333335599</c:v>
                </c:pt>
                <c:pt idx="731">
                  <c:v>2010.91666666689</c:v>
                </c:pt>
                <c:pt idx="732">
                  <c:v>2011.0000000002201</c:v>
                </c:pt>
                <c:pt idx="733">
                  <c:v>2011.0833333335499</c:v>
                </c:pt>
                <c:pt idx="734">
                  <c:v>2011.16666666689</c:v>
                </c:pt>
                <c:pt idx="735">
                  <c:v>2011.2500000002201</c:v>
                </c:pt>
                <c:pt idx="736">
                  <c:v>2011.3333333335499</c:v>
                </c:pt>
                <c:pt idx="737">
                  <c:v>2011.41666666688</c:v>
                </c:pt>
                <c:pt idx="738">
                  <c:v>2011.5000000002101</c:v>
                </c:pt>
                <c:pt idx="739">
                  <c:v>2011.5833333335399</c:v>
                </c:pt>
                <c:pt idx="740">
                  <c:v>2011.66666666687</c:v>
                </c:pt>
                <c:pt idx="741">
                  <c:v>2011.7500000002001</c:v>
                </c:pt>
                <c:pt idx="742">
                  <c:v>2011.8333333335299</c:v>
                </c:pt>
                <c:pt idx="743">
                  <c:v>2011.91666666686</c:v>
                </c:pt>
                <c:pt idx="744">
                  <c:v>2012.0000000001901</c:v>
                </c:pt>
                <c:pt idx="745">
                  <c:v>2012.0833333335199</c:v>
                </c:pt>
                <c:pt idx="746">
                  <c:v>2012.16666666685</c:v>
                </c:pt>
                <c:pt idx="747">
                  <c:v>2012.2500000001801</c:v>
                </c:pt>
                <c:pt idx="748">
                  <c:v>2012.3333333335099</c:v>
                </c:pt>
                <c:pt idx="749">
                  <c:v>2012.41666666684</c:v>
                </c:pt>
                <c:pt idx="750">
                  <c:v>2012.5000000001701</c:v>
                </c:pt>
                <c:pt idx="751">
                  <c:v>2012.5833333334999</c:v>
                </c:pt>
                <c:pt idx="752">
                  <c:v>2012.66666666683</c:v>
                </c:pt>
                <c:pt idx="753">
                  <c:v>2012.7500000001601</c:v>
                </c:pt>
                <c:pt idx="754">
                  <c:v>2012.8333333334899</c:v>
                </c:pt>
                <c:pt idx="755">
                  <c:v>2012.91666666682</c:v>
                </c:pt>
                <c:pt idx="756">
                  <c:v>2013.0000000001501</c:v>
                </c:pt>
                <c:pt idx="757">
                  <c:v>2013.0833333334799</c:v>
                </c:pt>
                <c:pt idx="758">
                  <c:v>2013.16666666681</c:v>
                </c:pt>
                <c:pt idx="759">
                  <c:v>2013.2500000001401</c:v>
                </c:pt>
                <c:pt idx="760">
                  <c:v>2013.3333333334699</c:v>
                </c:pt>
                <c:pt idx="761">
                  <c:v>2013.4166666668</c:v>
                </c:pt>
                <c:pt idx="762">
                  <c:v>2013.5000000001301</c:v>
                </c:pt>
                <c:pt idx="763">
                  <c:v>2013.5833333334599</c:v>
                </c:pt>
                <c:pt idx="764">
                  <c:v>2013.66666666679</c:v>
                </c:pt>
                <c:pt idx="765">
                  <c:v>2013.7500000001201</c:v>
                </c:pt>
                <c:pt idx="766">
                  <c:v>2013.8333333334499</c:v>
                </c:pt>
                <c:pt idx="767">
                  <c:v>2013.91666666678</c:v>
                </c:pt>
                <c:pt idx="768">
                  <c:v>2014</c:v>
                </c:pt>
                <c:pt idx="769">
                  <c:v>2014.0833333333333</c:v>
                </c:pt>
                <c:pt idx="770">
                  <c:v>2014.1666666666665</c:v>
                </c:pt>
                <c:pt idx="771">
                  <c:v>2014.25</c:v>
                </c:pt>
                <c:pt idx="772">
                  <c:v>2014.3333333333333</c:v>
                </c:pt>
                <c:pt idx="773">
                  <c:v>2014.4166666666665</c:v>
                </c:pt>
                <c:pt idx="774">
                  <c:v>2014.5</c:v>
                </c:pt>
                <c:pt idx="775">
                  <c:v>2014.5833333333333</c:v>
                </c:pt>
                <c:pt idx="776">
                  <c:v>2014.6666666666665</c:v>
                </c:pt>
                <c:pt idx="777">
                  <c:v>2014.75</c:v>
                </c:pt>
                <c:pt idx="778">
                  <c:v>2014.8333333333333</c:v>
                </c:pt>
                <c:pt idx="779">
                  <c:v>2014.9166666666665</c:v>
                </c:pt>
                <c:pt idx="780">
                  <c:v>2014.9999999999998</c:v>
                </c:pt>
                <c:pt idx="781">
                  <c:v>2015.083333333333</c:v>
                </c:pt>
                <c:pt idx="782">
                  <c:v>2015.1666666666665</c:v>
                </c:pt>
                <c:pt idx="783">
                  <c:v>2015.2499999999998</c:v>
                </c:pt>
                <c:pt idx="784">
                  <c:v>2015.3333333333333</c:v>
                </c:pt>
                <c:pt idx="785">
                  <c:v>2015.4166666666665</c:v>
                </c:pt>
                <c:pt idx="786">
                  <c:v>2015.4999999999998</c:v>
                </c:pt>
                <c:pt idx="787">
                  <c:v>2015.5833333333333</c:v>
                </c:pt>
                <c:pt idx="788">
                  <c:v>2015.6666666666665</c:v>
                </c:pt>
                <c:pt idx="789">
                  <c:v>2015.7499999999998</c:v>
                </c:pt>
                <c:pt idx="790">
                  <c:v>2015.8333333333333</c:v>
                </c:pt>
                <c:pt idx="791">
                  <c:v>2015.9166666666665</c:v>
                </c:pt>
              </c:numCache>
            </c:numRef>
          </c:xVal>
          <c:yVal>
            <c:numRef>
              <c:f>HadISST1!$E$2:$E$793</c:f>
              <c:numCache>
                <c:formatCode>0.0</c:formatCode>
                <c:ptCount val="792"/>
                <c:pt idx="0">
                  <c:v>-2.1814472304363584</c:v>
                </c:pt>
                <c:pt idx="1">
                  <c:v>-1.9321373411385818</c:v>
                </c:pt>
                <c:pt idx="2">
                  <c:v>-1.1143673087939945</c:v>
                </c:pt>
                <c:pt idx="3">
                  <c:v>-1.9479391435809617</c:v>
                </c:pt>
                <c:pt idx="4">
                  <c:v>-1.6505853651399913</c:v>
                </c:pt>
                <c:pt idx="5">
                  <c:v>-1.370909495904447</c:v>
                </c:pt>
                <c:pt idx="6">
                  <c:v>-1.6163435293186188</c:v>
                </c:pt>
                <c:pt idx="7">
                  <c:v>-0.93118044241321707</c:v>
                </c:pt>
                <c:pt idx="8">
                  <c:v>0.18384327623299415</c:v>
                </c:pt>
                <c:pt idx="9">
                  <c:v>-0.71400754347140183</c:v>
                </c:pt>
                <c:pt idx="10">
                  <c:v>-0.33503044829012485</c:v>
                </c:pt>
                <c:pt idx="11">
                  <c:v>-0.4224223737257814</c:v>
                </c:pt>
                <c:pt idx="12">
                  <c:v>0.1414135520675586</c:v>
                </c:pt>
                <c:pt idx="13">
                  <c:v>-0.4888896029778293</c:v>
                </c:pt>
                <c:pt idx="14">
                  <c:v>-1.2254452939003109</c:v>
                </c:pt>
                <c:pt idx="15">
                  <c:v>-0.17544279453392811</c:v>
                </c:pt>
                <c:pt idx="16">
                  <c:v>0.63857042063514946</c:v>
                </c:pt>
                <c:pt idx="17">
                  <c:v>0.15797065869547089</c:v>
                </c:pt>
                <c:pt idx="18">
                  <c:v>0.70965123575840183</c:v>
                </c:pt>
                <c:pt idx="19">
                  <c:v>0.77555223633918047</c:v>
                </c:pt>
                <c:pt idx="20">
                  <c:v>0.82675710789422208</c:v>
                </c:pt>
                <c:pt idx="21">
                  <c:v>-0.22204832051094406</c:v>
                </c:pt>
                <c:pt idx="22">
                  <c:v>0.32610570043992415</c:v>
                </c:pt>
                <c:pt idx="23">
                  <c:v>0.20908101718423214</c:v>
                </c:pt>
                <c:pt idx="24">
                  <c:v>-1.0959472823498493</c:v>
                </c:pt>
                <c:pt idx="25">
                  <c:v>-5.6234277774683088E-2</c:v>
                </c:pt>
                <c:pt idx="26">
                  <c:v>-1.018737605172301E-3</c:v>
                </c:pt>
                <c:pt idx="27">
                  <c:v>0.27508998349292285</c:v>
                </c:pt>
                <c:pt idx="28">
                  <c:v>0.97870854534870877</c:v>
                </c:pt>
                <c:pt idx="29">
                  <c:v>0.69761025863376547</c:v>
                </c:pt>
                <c:pt idx="30">
                  <c:v>0.70961650719451075</c:v>
                </c:pt>
                <c:pt idx="31">
                  <c:v>0.78882929076650188</c:v>
                </c:pt>
                <c:pt idx="32">
                  <c:v>0.72288140102011422</c:v>
                </c:pt>
                <c:pt idx="33">
                  <c:v>0.89002964636585691</c:v>
                </c:pt>
                <c:pt idx="34">
                  <c:v>0.91595376144029483</c:v>
                </c:pt>
                <c:pt idx="35">
                  <c:v>0.13746413369427921</c:v>
                </c:pt>
                <c:pt idx="36">
                  <c:v>-0.25890605016770618</c:v>
                </c:pt>
                <c:pt idx="37">
                  <c:v>-0.44331724552121016</c:v>
                </c:pt>
                <c:pt idx="38">
                  <c:v>-1.3987189404128375</c:v>
                </c:pt>
                <c:pt idx="39">
                  <c:v>-0.19675286779903586</c:v>
                </c:pt>
                <c:pt idx="40">
                  <c:v>-5.499097620629731E-2</c:v>
                </c:pt>
                <c:pt idx="41">
                  <c:v>-0.22145016082996885</c:v>
                </c:pt>
                <c:pt idx="42">
                  <c:v>0.35781904907431089</c:v>
                </c:pt>
                <c:pt idx="43">
                  <c:v>-0.23572117709616849</c:v>
                </c:pt>
                <c:pt idx="44">
                  <c:v>0.22672429836100291</c:v>
                </c:pt>
                <c:pt idx="45">
                  <c:v>0.46087992910299924</c:v>
                </c:pt>
                <c:pt idx="46">
                  <c:v>0.46734728478698118</c:v>
                </c:pt>
                <c:pt idx="47">
                  <c:v>1.2564830230954609</c:v>
                </c:pt>
                <c:pt idx="48">
                  <c:v>0.3153283098051925</c:v>
                </c:pt>
                <c:pt idx="49">
                  <c:v>-0.29234278470555303</c:v>
                </c:pt>
                <c:pt idx="50">
                  <c:v>0.3313894693769483</c:v>
                </c:pt>
                <c:pt idx="51">
                  <c:v>-0.10759374117513049</c:v>
                </c:pt>
                <c:pt idx="52">
                  <c:v>0.10889277325365018</c:v>
                </c:pt>
                <c:pt idx="53">
                  <c:v>0.21185663182810724</c:v>
                </c:pt>
                <c:pt idx="54">
                  <c:v>-0.19940944062072696</c:v>
                </c:pt>
                <c:pt idx="55">
                  <c:v>-0.29081311859098913</c:v>
                </c:pt>
                <c:pt idx="56">
                  <c:v>1.5653425879100121E-2</c:v>
                </c:pt>
                <c:pt idx="57">
                  <c:v>-1.1674568228790134</c:v>
                </c:pt>
                <c:pt idx="58">
                  <c:v>-0.86650837591416163</c:v>
                </c:pt>
                <c:pt idx="59">
                  <c:v>-0.83237247229782685</c:v>
                </c:pt>
                <c:pt idx="60">
                  <c:v>-6.8936460691028559E-2</c:v>
                </c:pt>
                <c:pt idx="61">
                  <c:v>-0.41650258527341633</c:v>
                </c:pt>
                <c:pt idx="62">
                  <c:v>-1.3394158704859436</c:v>
                </c:pt>
                <c:pt idx="63">
                  <c:v>-0.69949617478353054</c:v>
                </c:pt>
                <c:pt idx="64">
                  <c:v>-0.76268812390496843</c:v>
                </c:pt>
                <c:pt idx="65">
                  <c:v>-1.0609345022996102</c:v>
                </c:pt>
                <c:pt idx="66">
                  <c:v>-0.80663838017091993</c:v>
                </c:pt>
                <c:pt idx="67">
                  <c:v>-1.1826462568275352E-2</c:v>
                </c:pt>
                <c:pt idx="68">
                  <c:v>0.15385877988870594</c:v>
                </c:pt>
                <c:pt idx="69">
                  <c:v>0.12496247791295394</c:v>
                </c:pt>
                <c:pt idx="70">
                  <c:v>-0.2032324433341651</c:v>
                </c:pt>
                <c:pt idx="71">
                  <c:v>-0.90787263242564376</c:v>
                </c:pt>
                <c:pt idx="72">
                  <c:v>-0.61455908665974723</c:v>
                </c:pt>
                <c:pt idx="73">
                  <c:v>-0.45912345817947436</c:v>
                </c:pt>
                <c:pt idx="74">
                  <c:v>-0.79139092787478504</c:v>
                </c:pt>
                <c:pt idx="75">
                  <c:v>-0.14984295764982217</c:v>
                </c:pt>
                <c:pt idx="76">
                  <c:v>-1.175985519881124</c:v>
                </c:pt>
                <c:pt idx="77">
                  <c:v>-0.64028516481164965</c:v>
                </c:pt>
                <c:pt idx="78">
                  <c:v>-1.3092127924500492</c:v>
                </c:pt>
                <c:pt idx="79">
                  <c:v>-1.8084416364785396</c:v>
                </c:pt>
                <c:pt idx="80">
                  <c:v>-1.2728345338461458</c:v>
                </c:pt>
                <c:pt idx="81">
                  <c:v>-1.1261656232235711</c:v>
                </c:pt>
                <c:pt idx="82">
                  <c:v>-0.76318376138811173</c:v>
                </c:pt>
                <c:pt idx="83">
                  <c:v>-0.4868703718189718</c:v>
                </c:pt>
                <c:pt idx="84">
                  <c:v>-1.2350035719278252</c:v>
                </c:pt>
                <c:pt idx="85">
                  <c:v>-2.8375943357008855</c:v>
                </c:pt>
                <c:pt idx="86">
                  <c:v>3.611274224775194E-2</c:v>
                </c:pt>
                <c:pt idx="87">
                  <c:v>-1.7018879295871332</c:v>
                </c:pt>
                <c:pt idx="88">
                  <c:v>-1.4531199884261969</c:v>
                </c:pt>
                <c:pt idx="89">
                  <c:v>-0.26113502133366834</c:v>
                </c:pt>
                <c:pt idx="90">
                  <c:v>9.5080098993267623E-2</c:v>
                </c:pt>
                <c:pt idx="91">
                  <c:v>0.44591114910785973</c:v>
                </c:pt>
                <c:pt idx="92">
                  <c:v>0.15992721157194961</c:v>
                </c:pt>
                <c:pt idx="93">
                  <c:v>1.252771330673075</c:v>
                </c:pt>
                <c:pt idx="94">
                  <c:v>-1.4408406264647514E-2</c:v>
                </c:pt>
                <c:pt idx="95">
                  <c:v>0.11392352922471875</c:v>
                </c:pt>
                <c:pt idx="96">
                  <c:v>2.0260907030137414</c:v>
                </c:pt>
                <c:pt idx="97">
                  <c:v>1.8203637050620183</c:v>
                </c:pt>
                <c:pt idx="98">
                  <c:v>2.0283715259774908</c:v>
                </c:pt>
                <c:pt idx="99">
                  <c:v>2.0428661767954774</c:v>
                </c:pt>
                <c:pt idx="100">
                  <c:v>2.0745832451523913</c:v>
                </c:pt>
                <c:pt idx="101">
                  <c:v>2.9898906657176374</c:v>
                </c:pt>
                <c:pt idx="102">
                  <c:v>1.3700033018665194</c:v>
                </c:pt>
                <c:pt idx="103">
                  <c:v>1.0565610489480193</c:v>
                </c:pt>
                <c:pt idx="104">
                  <c:v>0.97212161511221129</c:v>
                </c:pt>
                <c:pt idx="105">
                  <c:v>0.61790369334700523</c:v>
                </c:pt>
                <c:pt idx="106">
                  <c:v>0.21825108425230616</c:v>
                </c:pt>
                <c:pt idx="107">
                  <c:v>0.36178359569210045</c:v>
                </c:pt>
                <c:pt idx="108">
                  <c:v>0.25328990260735923</c:v>
                </c:pt>
                <c:pt idx="109">
                  <c:v>-8.6131200776414688E-2</c:v>
                </c:pt>
                <c:pt idx="110">
                  <c:v>-0.19703260328589017</c:v>
                </c:pt>
                <c:pt idx="111">
                  <c:v>-8.0946239248758795E-2</c:v>
                </c:pt>
                <c:pt idx="112">
                  <c:v>-1.0050240614267536</c:v>
                </c:pt>
                <c:pt idx="113">
                  <c:v>-0.64919871465196344</c:v>
                </c:pt>
                <c:pt idx="114">
                  <c:v>-0.42234945648818545</c:v>
                </c:pt>
                <c:pt idx="115">
                  <c:v>-1.0131014351055405</c:v>
                </c:pt>
                <c:pt idx="116">
                  <c:v>-0.6425245953643357</c:v>
                </c:pt>
                <c:pt idx="117">
                  <c:v>-0.69194438999228958</c:v>
                </c:pt>
                <c:pt idx="118">
                  <c:v>-0.33630163839949934</c:v>
                </c:pt>
                <c:pt idx="119">
                  <c:v>0.60919932268923283</c:v>
                </c:pt>
                <c:pt idx="120">
                  <c:v>0.91413275470103061</c:v>
                </c:pt>
                <c:pt idx="121">
                  <c:v>1.7754837027997108</c:v>
                </c:pt>
                <c:pt idx="122">
                  <c:v>1.1188418728627367</c:v>
                </c:pt>
                <c:pt idx="123">
                  <c:v>0.70147549805913723</c:v>
                </c:pt>
                <c:pt idx="124">
                  <c:v>1.4740301721685298</c:v>
                </c:pt>
                <c:pt idx="125">
                  <c:v>1.3411975006815349</c:v>
                </c:pt>
                <c:pt idx="126">
                  <c:v>0.86569824948706087</c:v>
                </c:pt>
                <c:pt idx="127">
                  <c:v>0.41959059342616395</c:v>
                </c:pt>
                <c:pt idx="128">
                  <c:v>0.6550497545188636</c:v>
                </c:pt>
                <c:pt idx="129">
                  <c:v>0.2491116683154409</c:v>
                </c:pt>
                <c:pt idx="130">
                  <c:v>-0.18945857544081918</c:v>
                </c:pt>
                <c:pt idx="131">
                  <c:v>-0.14183764401996102</c:v>
                </c:pt>
                <c:pt idx="132">
                  <c:v>0.70244156691099235</c:v>
                </c:pt>
                <c:pt idx="133">
                  <c:v>0.39357863485487687</c:v>
                </c:pt>
                <c:pt idx="134">
                  <c:v>0.8425400513777983</c:v>
                </c:pt>
                <c:pt idx="135">
                  <c:v>0.49063432406684215</c:v>
                </c:pt>
                <c:pt idx="136">
                  <c:v>-0.21377848018328771</c:v>
                </c:pt>
                <c:pt idx="137">
                  <c:v>-1.020276816001553</c:v>
                </c:pt>
                <c:pt idx="138">
                  <c:v>-0.36920317755433346</c:v>
                </c:pt>
                <c:pt idx="139">
                  <c:v>0.34252987182680666</c:v>
                </c:pt>
                <c:pt idx="140">
                  <c:v>-0.14011875204357344</c:v>
                </c:pt>
                <c:pt idx="141">
                  <c:v>-7.7739774941048279E-2</c:v>
                </c:pt>
                <c:pt idx="142">
                  <c:v>-0.63141428688349133</c:v>
                </c:pt>
                <c:pt idx="143">
                  <c:v>0.57071702124477763</c:v>
                </c:pt>
                <c:pt idx="144">
                  <c:v>0.51437499606001835</c:v>
                </c:pt>
                <c:pt idx="145">
                  <c:v>0.16452702234897279</c:v>
                </c:pt>
                <c:pt idx="146">
                  <c:v>0.68110872382761756</c:v>
                </c:pt>
                <c:pt idx="147">
                  <c:v>-0.10913126041283429</c:v>
                </c:pt>
                <c:pt idx="148">
                  <c:v>-0.70357118462435742</c:v>
                </c:pt>
                <c:pt idx="149">
                  <c:v>-0.40812551491195342</c:v>
                </c:pt>
                <c:pt idx="150">
                  <c:v>-2.4232381642195714E-3</c:v>
                </c:pt>
                <c:pt idx="151">
                  <c:v>0.4852929442595949</c:v>
                </c:pt>
                <c:pt idx="152">
                  <c:v>-6.7513351441765401E-2</c:v>
                </c:pt>
                <c:pt idx="153">
                  <c:v>-0.14816447388542861</c:v>
                </c:pt>
                <c:pt idx="154">
                  <c:v>-0.12555987460626372</c:v>
                </c:pt>
                <c:pt idx="155">
                  <c:v>0.95353737892207824</c:v>
                </c:pt>
                <c:pt idx="156">
                  <c:v>0.66209757204614617</c:v>
                </c:pt>
                <c:pt idx="157">
                  <c:v>0.81518961256951972</c:v>
                </c:pt>
                <c:pt idx="158">
                  <c:v>0.84326196309742796</c:v>
                </c:pt>
                <c:pt idx="159">
                  <c:v>0.73424759319204669</c:v>
                </c:pt>
                <c:pt idx="160">
                  <c:v>-0.29220362593913618</c:v>
                </c:pt>
                <c:pt idx="161">
                  <c:v>2.8247152976824841E-2</c:v>
                </c:pt>
                <c:pt idx="162">
                  <c:v>-4.0091759150284265E-3</c:v>
                </c:pt>
                <c:pt idx="163">
                  <c:v>0.31025814478857922</c:v>
                </c:pt>
                <c:pt idx="164">
                  <c:v>0.25182862874862838</c:v>
                </c:pt>
                <c:pt idx="165">
                  <c:v>0.48159997029566254</c:v>
                </c:pt>
                <c:pt idx="166">
                  <c:v>0.91084998070190015</c:v>
                </c:pt>
                <c:pt idx="167">
                  <c:v>1.2642620929759973</c:v>
                </c:pt>
                <c:pt idx="168">
                  <c:v>0.56408003016462738</c:v>
                </c:pt>
                <c:pt idx="169">
                  <c:v>0.48736968517747625</c:v>
                </c:pt>
                <c:pt idx="170">
                  <c:v>-9.095360960793844E-2</c:v>
                </c:pt>
                <c:pt idx="171">
                  <c:v>-2.0025932804607731E-2</c:v>
                </c:pt>
                <c:pt idx="172">
                  <c:v>-0.72151990062583971</c:v>
                </c:pt>
                <c:pt idx="173">
                  <c:v>-1.0436380348704624</c:v>
                </c:pt>
                <c:pt idx="174">
                  <c:v>4.3204306688262938E-2</c:v>
                </c:pt>
                <c:pt idx="175">
                  <c:v>-0.57510054472908656</c:v>
                </c:pt>
                <c:pt idx="176">
                  <c:v>-0.6437069493211266</c:v>
                </c:pt>
                <c:pt idx="177">
                  <c:v>-0.19845515940363498</c:v>
                </c:pt>
                <c:pt idx="178">
                  <c:v>-1.4473883650456381</c:v>
                </c:pt>
                <c:pt idx="179">
                  <c:v>-1.5639836683640609</c:v>
                </c:pt>
                <c:pt idx="180">
                  <c:v>-2.1298814670088504</c:v>
                </c:pt>
                <c:pt idx="181">
                  <c:v>-2.0133531697097049</c:v>
                </c:pt>
                <c:pt idx="182">
                  <c:v>-1.5484735931281153</c:v>
                </c:pt>
                <c:pt idx="183">
                  <c:v>-1.4319612787382268</c:v>
                </c:pt>
                <c:pt idx="184">
                  <c:v>-1.2747710636542675</c:v>
                </c:pt>
                <c:pt idx="185">
                  <c:v>-1.0331942273756616</c:v>
                </c:pt>
                <c:pt idx="186">
                  <c:v>-0.42865847892750925</c:v>
                </c:pt>
                <c:pt idx="187">
                  <c:v>-1.1650115140843456</c:v>
                </c:pt>
                <c:pt idx="188">
                  <c:v>-0.49092612690914961</c:v>
                </c:pt>
                <c:pt idx="189">
                  <c:v>-0.23417751141855367</c:v>
                </c:pt>
                <c:pt idx="190">
                  <c:v>-0.88737681603887264</c:v>
                </c:pt>
                <c:pt idx="191">
                  <c:v>-0.21925284468153614</c:v>
                </c:pt>
                <c:pt idx="192">
                  <c:v>0.9368451309655379</c:v>
                </c:pt>
                <c:pt idx="193">
                  <c:v>0.81492036332728435</c:v>
                </c:pt>
                <c:pt idx="194">
                  <c:v>-0.46827115353181648</c:v>
                </c:pt>
                <c:pt idx="195">
                  <c:v>0.12741734849493447</c:v>
                </c:pt>
                <c:pt idx="196">
                  <c:v>-0.43735197413250759</c:v>
                </c:pt>
                <c:pt idx="197">
                  <c:v>-2.8090984348188054E-2</c:v>
                </c:pt>
                <c:pt idx="198">
                  <c:v>0.33106937274096188</c:v>
                </c:pt>
                <c:pt idx="199">
                  <c:v>-0.24310323118323421</c:v>
                </c:pt>
                <c:pt idx="200">
                  <c:v>-0.34616757609400994</c:v>
                </c:pt>
                <c:pt idx="201">
                  <c:v>0.493798850991713</c:v>
                </c:pt>
                <c:pt idx="202">
                  <c:v>0.36107769367338088</c:v>
                </c:pt>
                <c:pt idx="203">
                  <c:v>0.13144677593874007</c:v>
                </c:pt>
                <c:pt idx="204">
                  <c:v>-0.1381519667057948</c:v>
                </c:pt>
                <c:pt idx="205">
                  <c:v>-0.43728093393822032</c:v>
                </c:pt>
                <c:pt idx="206">
                  <c:v>-0.63951751370840682</c:v>
                </c:pt>
                <c:pt idx="207">
                  <c:v>-0.87737270979731385</c:v>
                </c:pt>
                <c:pt idx="208">
                  <c:v>-1.2227269165851762</c:v>
                </c:pt>
                <c:pt idx="209">
                  <c:v>-0.97298890652101755</c:v>
                </c:pt>
                <c:pt idx="210">
                  <c:v>-0.56703444173206641</c:v>
                </c:pt>
                <c:pt idx="211">
                  <c:v>-1.0653552620935201</c:v>
                </c:pt>
                <c:pt idx="212">
                  <c:v>-0.55022413372723844</c:v>
                </c:pt>
                <c:pt idx="213">
                  <c:v>-0.49411725461198353</c:v>
                </c:pt>
                <c:pt idx="214">
                  <c:v>0.33225876777732583</c:v>
                </c:pt>
                <c:pt idx="215">
                  <c:v>-0.54111107870125985</c:v>
                </c:pt>
                <c:pt idx="216">
                  <c:v>-1.3588024851908644</c:v>
                </c:pt>
                <c:pt idx="217">
                  <c:v>-1.1886991548804298</c:v>
                </c:pt>
                <c:pt idx="218">
                  <c:v>-0.77784519393016949</c:v>
                </c:pt>
                <c:pt idx="219">
                  <c:v>-1.1681875363672696</c:v>
                </c:pt>
                <c:pt idx="220">
                  <c:v>-0.98610428080115553</c:v>
                </c:pt>
                <c:pt idx="221">
                  <c:v>-0.72484061009476364</c:v>
                </c:pt>
                <c:pt idx="222">
                  <c:v>-0.53966833338974118</c:v>
                </c:pt>
                <c:pt idx="223">
                  <c:v>-0.94694675977258913</c:v>
                </c:pt>
                <c:pt idx="224">
                  <c:v>-0.44623314734234015</c:v>
                </c:pt>
                <c:pt idx="225">
                  <c:v>-0.43100998345464875</c:v>
                </c:pt>
                <c:pt idx="226">
                  <c:v>-0.57131964622661668</c:v>
                </c:pt>
                <c:pt idx="227">
                  <c:v>0.46860968847242979</c:v>
                </c:pt>
                <c:pt idx="228">
                  <c:v>-0.37334392419098261</c:v>
                </c:pt>
                <c:pt idx="229">
                  <c:v>0.37571074228466911</c:v>
                </c:pt>
                <c:pt idx="230">
                  <c:v>1.6252382211757768</c:v>
                </c:pt>
                <c:pt idx="231">
                  <c:v>0.86077155197198396</c:v>
                </c:pt>
                <c:pt idx="232">
                  <c:v>2.2185958164942812</c:v>
                </c:pt>
                <c:pt idx="233">
                  <c:v>2.5894294734332384</c:v>
                </c:pt>
                <c:pt idx="234">
                  <c:v>1.9414502444259607</c:v>
                </c:pt>
                <c:pt idx="235">
                  <c:v>0.94529809117191554</c:v>
                </c:pt>
                <c:pt idx="236">
                  <c:v>1.4115966690826298</c:v>
                </c:pt>
                <c:pt idx="237">
                  <c:v>0.71045806784126753</c:v>
                </c:pt>
                <c:pt idx="238">
                  <c:v>1.3558964910389373</c:v>
                </c:pt>
                <c:pt idx="239">
                  <c:v>1.0128191483858466</c:v>
                </c:pt>
                <c:pt idx="240">
                  <c:v>0.80544320519315982</c:v>
                </c:pt>
                <c:pt idx="241">
                  <c:v>1.2182249568486607</c:v>
                </c:pt>
                <c:pt idx="242">
                  <c:v>0.44843805997262925</c:v>
                </c:pt>
                <c:pt idx="243">
                  <c:v>0.41582254546768804</c:v>
                </c:pt>
                <c:pt idx="244">
                  <c:v>-0.28137686997823153</c:v>
                </c:pt>
                <c:pt idx="245">
                  <c:v>-0.34930037390328922</c:v>
                </c:pt>
                <c:pt idx="246">
                  <c:v>6.0840629048463463E-2</c:v>
                </c:pt>
                <c:pt idx="247">
                  <c:v>-0.15946163157113272</c:v>
                </c:pt>
                <c:pt idx="248">
                  <c:v>-0.99334674965436598</c:v>
                </c:pt>
                <c:pt idx="249">
                  <c:v>-0.62399684625547336</c:v>
                </c:pt>
                <c:pt idx="250">
                  <c:v>-0.21958673204803084</c:v>
                </c:pt>
                <c:pt idx="251">
                  <c:v>-0.45028433600106194</c:v>
                </c:pt>
                <c:pt idx="252">
                  <c:v>-0.68495265182375498</c:v>
                </c:pt>
                <c:pt idx="253">
                  <c:v>-0.71926438318840935</c:v>
                </c:pt>
                <c:pt idx="254">
                  <c:v>-0.46222143442933994</c:v>
                </c:pt>
                <c:pt idx="255">
                  <c:v>-0.77136882821006636</c:v>
                </c:pt>
                <c:pt idx="256">
                  <c:v>-0.69663606233423148</c:v>
                </c:pt>
                <c:pt idx="257">
                  <c:v>-1.2572228760079296</c:v>
                </c:pt>
                <c:pt idx="258">
                  <c:v>-1.4036223933746812</c:v>
                </c:pt>
                <c:pt idx="259">
                  <c:v>-1.4701383872628031</c:v>
                </c:pt>
                <c:pt idx="260">
                  <c:v>-1.5916296753315275</c:v>
                </c:pt>
                <c:pt idx="261">
                  <c:v>-1.141861664212654</c:v>
                </c:pt>
                <c:pt idx="262">
                  <c:v>-0.61218159263517424</c:v>
                </c:pt>
                <c:pt idx="263">
                  <c:v>-1.2796846361851146</c:v>
                </c:pt>
                <c:pt idx="264">
                  <c:v>-1.1778918685054158</c:v>
                </c:pt>
                <c:pt idx="265">
                  <c:v>-0.23924426985893582</c:v>
                </c:pt>
                <c:pt idx="266">
                  <c:v>0.17352319901752183</c:v>
                </c:pt>
                <c:pt idx="267">
                  <c:v>-0.16722287124285881</c:v>
                </c:pt>
                <c:pt idx="268">
                  <c:v>-0.35168440715485311</c:v>
                </c:pt>
                <c:pt idx="269">
                  <c:v>-0.20759744311362713</c:v>
                </c:pt>
                <c:pt idx="270">
                  <c:v>-0.70178705770450445</c:v>
                </c:pt>
                <c:pt idx="271">
                  <c:v>-1.2263798275562823</c:v>
                </c:pt>
                <c:pt idx="272">
                  <c:v>-2.5508852640177779</c:v>
                </c:pt>
                <c:pt idx="273">
                  <c:v>-9.9749077219997123E-2</c:v>
                </c:pt>
                <c:pt idx="274">
                  <c:v>0.65574970518678932</c:v>
                </c:pt>
                <c:pt idx="275">
                  <c:v>0.21794903168200466</c:v>
                </c:pt>
                <c:pt idx="276">
                  <c:v>0.7686847390722864</c:v>
                </c:pt>
                <c:pt idx="277">
                  <c:v>0.77788192471016615</c:v>
                </c:pt>
                <c:pt idx="278">
                  <c:v>0.80615026164778381</c:v>
                </c:pt>
                <c:pt idx="279">
                  <c:v>-2.3692760452532793E-2</c:v>
                </c:pt>
                <c:pt idx="280">
                  <c:v>0.67615430917517949</c:v>
                </c:pt>
                <c:pt idx="281">
                  <c:v>-0.45520706740580436</c:v>
                </c:pt>
                <c:pt idx="282">
                  <c:v>0.22313299618266147</c:v>
                </c:pt>
                <c:pt idx="283">
                  <c:v>0.42040063860832849</c:v>
                </c:pt>
                <c:pt idx="284">
                  <c:v>-0.52519074457703052</c:v>
                </c:pt>
                <c:pt idx="285">
                  <c:v>-0.2494142333474115</c:v>
                </c:pt>
                <c:pt idx="286">
                  <c:v>-0.54916416574178584</c:v>
                </c:pt>
                <c:pt idx="287">
                  <c:v>-0.78622062126477688</c:v>
                </c:pt>
                <c:pt idx="288">
                  <c:v>-0.94498957470003186</c:v>
                </c:pt>
                <c:pt idx="289">
                  <c:v>-0.85740463012434587</c:v>
                </c:pt>
                <c:pt idx="290">
                  <c:v>-0.48570828832125651</c:v>
                </c:pt>
                <c:pt idx="291">
                  <c:v>-1.7599936980528788</c:v>
                </c:pt>
                <c:pt idx="292">
                  <c:v>-1.2883905523062651</c:v>
                </c:pt>
                <c:pt idx="293">
                  <c:v>-1.4282204590238177</c:v>
                </c:pt>
                <c:pt idx="294">
                  <c:v>-1.85008123450769</c:v>
                </c:pt>
                <c:pt idx="295">
                  <c:v>-1.4955247302526584</c:v>
                </c:pt>
                <c:pt idx="296">
                  <c:v>-0.58562381119364237</c:v>
                </c:pt>
                <c:pt idx="297">
                  <c:v>-1.5393563789318261</c:v>
                </c:pt>
                <c:pt idx="298">
                  <c:v>-2.0360635074912126</c:v>
                </c:pt>
                <c:pt idx="299">
                  <c:v>-0.91797666164699754</c:v>
                </c:pt>
                <c:pt idx="300">
                  <c:v>-0.86272781877352189</c:v>
                </c:pt>
                <c:pt idx="301">
                  <c:v>-1.3079714406321556</c:v>
                </c:pt>
                <c:pt idx="302">
                  <c:v>-0.71198805561723366</c:v>
                </c:pt>
                <c:pt idx="303">
                  <c:v>-1.5440897535320122</c:v>
                </c:pt>
                <c:pt idx="304">
                  <c:v>-1.7488128540532091</c:v>
                </c:pt>
                <c:pt idx="305">
                  <c:v>-0.93723554860773262</c:v>
                </c:pt>
                <c:pt idx="306">
                  <c:v>-1.2982906591078398</c:v>
                </c:pt>
                <c:pt idx="307">
                  <c:v>-1.216257219148533</c:v>
                </c:pt>
                <c:pt idx="308">
                  <c:v>-1.140413846570145</c:v>
                </c:pt>
                <c:pt idx="309">
                  <c:v>-1.671256974440315</c:v>
                </c:pt>
                <c:pt idx="310">
                  <c:v>-1.8655813805784138</c:v>
                </c:pt>
                <c:pt idx="311">
                  <c:v>-2.006229736460273</c:v>
                </c:pt>
                <c:pt idx="312">
                  <c:v>-1.2595102228965738</c:v>
                </c:pt>
                <c:pt idx="313">
                  <c:v>-1.6357657252392166</c:v>
                </c:pt>
                <c:pt idx="314">
                  <c:v>-1.8831958732936906</c:v>
                </c:pt>
                <c:pt idx="315">
                  <c:v>-2.0084432155353427</c:v>
                </c:pt>
                <c:pt idx="316">
                  <c:v>-1.6150394831148616</c:v>
                </c:pt>
                <c:pt idx="317">
                  <c:v>-1.9645208277230732</c:v>
                </c:pt>
                <c:pt idx="318">
                  <c:v>-2.5402014679602631</c:v>
                </c:pt>
                <c:pt idx="319">
                  <c:v>-1.4818515223420818</c:v>
                </c:pt>
                <c:pt idx="320">
                  <c:v>-1.8631779527034256</c:v>
                </c:pt>
                <c:pt idx="321">
                  <c:v>-0.45248394144961174</c:v>
                </c:pt>
                <c:pt idx="322">
                  <c:v>9.753874466412886E-2</c:v>
                </c:pt>
                <c:pt idx="323">
                  <c:v>-0.59361823581933648</c:v>
                </c:pt>
                <c:pt idx="324">
                  <c:v>-0.54319890886045663</c:v>
                </c:pt>
                <c:pt idx="325">
                  <c:v>8.1772626679385715E-2</c:v>
                </c:pt>
                <c:pt idx="326">
                  <c:v>-0.41537875856721379</c:v>
                </c:pt>
                <c:pt idx="327">
                  <c:v>-0.88796262130560721</c:v>
                </c:pt>
                <c:pt idx="328">
                  <c:v>-0.76011664644467569</c:v>
                </c:pt>
                <c:pt idx="329">
                  <c:v>-0.57753388113429893</c:v>
                </c:pt>
                <c:pt idx="330">
                  <c:v>-1.5728257447222223</c:v>
                </c:pt>
                <c:pt idx="331">
                  <c:v>-1.4127256958847809</c:v>
                </c:pt>
                <c:pt idx="332">
                  <c:v>-1.4352160703872852</c:v>
                </c:pt>
                <c:pt idx="333">
                  <c:v>-1.0550757035712806</c:v>
                </c:pt>
                <c:pt idx="334">
                  <c:v>-0.10459633297711438</c:v>
                </c:pt>
                <c:pt idx="335">
                  <c:v>-0.26536088759780058</c:v>
                </c:pt>
                <c:pt idx="336">
                  <c:v>0.56164839525401089</c:v>
                </c:pt>
                <c:pt idx="337">
                  <c:v>0.97856748847732089</c:v>
                </c:pt>
                <c:pt idx="338">
                  <c:v>0.8564096566760806</c:v>
                </c:pt>
                <c:pt idx="339">
                  <c:v>0.3991929865670914</c:v>
                </c:pt>
                <c:pt idx="340">
                  <c:v>0.87050982070038574</c:v>
                </c:pt>
                <c:pt idx="341">
                  <c:v>-0.78898815338329709</c:v>
                </c:pt>
                <c:pt idx="342">
                  <c:v>-0.61013258951483862</c:v>
                </c:pt>
                <c:pt idx="343">
                  <c:v>-0.83296394226076875</c:v>
                </c:pt>
                <c:pt idx="344">
                  <c:v>-1.9511923812471506</c:v>
                </c:pt>
                <c:pt idx="345">
                  <c:v>-1.2678512985736898</c:v>
                </c:pt>
                <c:pt idx="346">
                  <c:v>-0.18047465332120213</c:v>
                </c:pt>
                <c:pt idx="347">
                  <c:v>-0.740100061743726</c:v>
                </c:pt>
                <c:pt idx="348">
                  <c:v>-0.65722899317822525</c:v>
                </c:pt>
                <c:pt idx="349">
                  <c:v>7.6320970593813389E-2</c:v>
                </c:pt>
                <c:pt idx="350">
                  <c:v>-0.18283912663394125</c:v>
                </c:pt>
                <c:pt idx="351">
                  <c:v>-1.0284346827833806</c:v>
                </c:pt>
                <c:pt idx="352">
                  <c:v>-6.6287284934809218E-2</c:v>
                </c:pt>
                <c:pt idx="353">
                  <c:v>-6.8764750411448194E-2</c:v>
                </c:pt>
                <c:pt idx="354">
                  <c:v>0.80751922283669886</c:v>
                </c:pt>
                <c:pt idx="355">
                  <c:v>-0.58219878736547026</c:v>
                </c:pt>
                <c:pt idx="356">
                  <c:v>-0.25759448530570322</c:v>
                </c:pt>
                <c:pt idx="357">
                  <c:v>-0.57655393891066664</c:v>
                </c:pt>
                <c:pt idx="358">
                  <c:v>0.35646844075809725</c:v>
                </c:pt>
                <c:pt idx="359">
                  <c:v>0.6036732416719196</c:v>
                </c:pt>
                <c:pt idx="360">
                  <c:v>0.52957497974974066</c:v>
                </c:pt>
                <c:pt idx="361">
                  <c:v>6.8328114517274052E-2</c:v>
                </c:pt>
                <c:pt idx="362">
                  <c:v>-0.95733914827344002</c:v>
                </c:pt>
                <c:pt idx="363">
                  <c:v>-0.8755350486826301</c:v>
                </c:pt>
                <c:pt idx="364">
                  <c:v>0.93392156985013308</c:v>
                </c:pt>
                <c:pt idx="365">
                  <c:v>0.59578246556929382</c:v>
                </c:pt>
                <c:pt idx="366">
                  <c:v>0.81510451999884659</c:v>
                </c:pt>
                <c:pt idx="367">
                  <c:v>0.17016171744451256</c:v>
                </c:pt>
                <c:pt idx="368">
                  <c:v>5.2871375629040904E-3</c:v>
                </c:pt>
                <c:pt idx="369">
                  <c:v>-0.71378580323542806</c:v>
                </c:pt>
                <c:pt idx="370">
                  <c:v>7.5758915121807583E-3</c:v>
                </c:pt>
                <c:pt idx="371">
                  <c:v>-0.33689328400537327</c:v>
                </c:pt>
                <c:pt idx="372">
                  <c:v>0.67614668256698984</c:v>
                </c:pt>
                <c:pt idx="373">
                  <c:v>0.4767253651345757</c:v>
                </c:pt>
                <c:pt idx="374">
                  <c:v>1.6364896603402177</c:v>
                </c:pt>
                <c:pt idx="375">
                  <c:v>0.22880300931479233</c:v>
                </c:pt>
                <c:pt idx="376">
                  <c:v>1.4253540213906313</c:v>
                </c:pt>
                <c:pt idx="377">
                  <c:v>0.68229428228457922</c:v>
                </c:pt>
                <c:pt idx="378">
                  <c:v>0.68442382814206659</c:v>
                </c:pt>
                <c:pt idx="379">
                  <c:v>-7.5216932626326727E-2</c:v>
                </c:pt>
                <c:pt idx="380">
                  <c:v>3.7775268410703638E-2</c:v>
                </c:pt>
                <c:pt idx="381">
                  <c:v>-0.4581921686670285</c:v>
                </c:pt>
                <c:pt idx="382">
                  <c:v>-0.95827498760035479</c:v>
                </c:pt>
                <c:pt idx="383">
                  <c:v>0.1007967399452024</c:v>
                </c:pt>
                <c:pt idx="384">
                  <c:v>0.45304946568069382</c:v>
                </c:pt>
                <c:pt idx="385">
                  <c:v>0.33297960540321686</c:v>
                </c:pt>
                <c:pt idx="386">
                  <c:v>-0.35694593838453315</c:v>
                </c:pt>
                <c:pt idx="387">
                  <c:v>0.15230364053944445</c:v>
                </c:pt>
                <c:pt idx="388">
                  <c:v>4.2356408566587747E-2</c:v>
                </c:pt>
                <c:pt idx="389">
                  <c:v>-0.16980195502044687</c:v>
                </c:pt>
                <c:pt idx="390">
                  <c:v>-1.0752782920656159</c:v>
                </c:pt>
                <c:pt idx="391">
                  <c:v>-1.6560526256767165</c:v>
                </c:pt>
                <c:pt idx="392">
                  <c:v>-1.2385669602933698</c:v>
                </c:pt>
                <c:pt idx="393">
                  <c:v>-1.1696203740385545</c:v>
                </c:pt>
                <c:pt idx="394">
                  <c:v>-1.2103859058258304</c:v>
                </c:pt>
                <c:pt idx="395">
                  <c:v>-1.5131912861029939</c:v>
                </c:pt>
                <c:pt idx="396">
                  <c:v>-0.31476719849322882</c:v>
                </c:pt>
                <c:pt idx="397">
                  <c:v>-0.34697473809365259</c:v>
                </c:pt>
                <c:pt idx="398">
                  <c:v>0.79224851644417793</c:v>
                </c:pt>
                <c:pt idx="399">
                  <c:v>1.2012513645996021</c:v>
                </c:pt>
                <c:pt idx="400">
                  <c:v>1.098208495508447</c:v>
                </c:pt>
                <c:pt idx="401">
                  <c:v>1.6138835187968623</c:v>
                </c:pt>
                <c:pt idx="402">
                  <c:v>0.59453762266361443</c:v>
                </c:pt>
                <c:pt idx="403">
                  <c:v>6.2697694190598355E-2</c:v>
                </c:pt>
                <c:pt idx="404">
                  <c:v>-0.47251096403208198</c:v>
                </c:pt>
                <c:pt idx="405">
                  <c:v>-0.37381367344477839</c:v>
                </c:pt>
                <c:pt idx="406">
                  <c:v>0.12540665551576655</c:v>
                </c:pt>
                <c:pt idx="407">
                  <c:v>-9.561695166054153E-2</c:v>
                </c:pt>
                <c:pt idx="408">
                  <c:v>0.86904027526537964</c:v>
                </c:pt>
                <c:pt idx="409">
                  <c:v>0.46242438395431112</c:v>
                </c:pt>
                <c:pt idx="410">
                  <c:v>0.3865143516114905</c:v>
                </c:pt>
                <c:pt idx="411">
                  <c:v>0.19438862843995547</c:v>
                </c:pt>
                <c:pt idx="412">
                  <c:v>-0.46113691144442998</c:v>
                </c:pt>
                <c:pt idx="413">
                  <c:v>-1.5525760031278732</c:v>
                </c:pt>
                <c:pt idx="414">
                  <c:v>-1.0596272859409046</c:v>
                </c:pt>
                <c:pt idx="415">
                  <c:v>-1.1333103663167525</c:v>
                </c:pt>
                <c:pt idx="416">
                  <c:v>-1.5321602271896952</c:v>
                </c:pt>
                <c:pt idx="417">
                  <c:v>-2.4274545334543784</c:v>
                </c:pt>
                <c:pt idx="418">
                  <c:v>-2.1920965458291319</c:v>
                </c:pt>
                <c:pt idx="419">
                  <c:v>-2.4034348021990755</c:v>
                </c:pt>
                <c:pt idx="420">
                  <c:v>-2.965995355194027</c:v>
                </c:pt>
                <c:pt idx="421">
                  <c:v>-1.1751341216289326</c:v>
                </c:pt>
                <c:pt idx="422">
                  <c:v>-1.8533749857521824</c:v>
                </c:pt>
                <c:pt idx="423">
                  <c:v>-1.6344919205709296</c:v>
                </c:pt>
                <c:pt idx="424">
                  <c:v>-1.029406387861862</c:v>
                </c:pt>
                <c:pt idx="425">
                  <c:v>-1.1788849399339343</c:v>
                </c:pt>
                <c:pt idx="426">
                  <c:v>-0.85715686443737538</c:v>
                </c:pt>
                <c:pt idx="427">
                  <c:v>-1.2569072967205153</c:v>
                </c:pt>
                <c:pt idx="428">
                  <c:v>-1.27949118662289</c:v>
                </c:pt>
                <c:pt idx="429">
                  <c:v>-1.8397795537782353</c:v>
                </c:pt>
                <c:pt idx="430">
                  <c:v>-2.5397020547149398</c:v>
                </c:pt>
                <c:pt idx="431">
                  <c:v>-1.7266682391965216</c:v>
                </c:pt>
                <c:pt idx="432">
                  <c:v>-1.8894214706613992</c:v>
                </c:pt>
                <c:pt idx="433">
                  <c:v>-1.6115743218943104</c:v>
                </c:pt>
                <c:pt idx="434">
                  <c:v>-1.4789055319002535</c:v>
                </c:pt>
                <c:pt idx="435">
                  <c:v>-0.92420900024084962</c:v>
                </c:pt>
                <c:pt idx="436">
                  <c:v>-0.5850275487399994</c:v>
                </c:pt>
                <c:pt idx="437">
                  <c:v>-0.59121508135522138</c:v>
                </c:pt>
                <c:pt idx="438">
                  <c:v>-1.455686298734078</c:v>
                </c:pt>
                <c:pt idx="439">
                  <c:v>-1.3322474114000946</c:v>
                </c:pt>
                <c:pt idx="440">
                  <c:v>-1.0839712245577076</c:v>
                </c:pt>
                <c:pt idx="441">
                  <c:v>-1.3378990391169148</c:v>
                </c:pt>
                <c:pt idx="442">
                  <c:v>-1.9599854739877942</c:v>
                </c:pt>
                <c:pt idx="443">
                  <c:v>-1.8538181690139046</c:v>
                </c:pt>
                <c:pt idx="444">
                  <c:v>-0.51645394550815238</c:v>
                </c:pt>
                <c:pt idx="445">
                  <c:v>-0.30450515761894453</c:v>
                </c:pt>
                <c:pt idx="446">
                  <c:v>0.30730679108630221</c:v>
                </c:pt>
                <c:pt idx="447">
                  <c:v>0.50871928791805232</c:v>
                </c:pt>
                <c:pt idx="448">
                  <c:v>1.1693912200424894</c:v>
                </c:pt>
                <c:pt idx="449">
                  <c:v>1.2616455423352322</c:v>
                </c:pt>
                <c:pt idx="450">
                  <c:v>0.6734235555311151</c:v>
                </c:pt>
                <c:pt idx="451">
                  <c:v>1.1326668632705901</c:v>
                </c:pt>
                <c:pt idx="452">
                  <c:v>0.67298015227364105</c:v>
                </c:pt>
                <c:pt idx="453">
                  <c:v>1.188295605488034</c:v>
                </c:pt>
                <c:pt idx="454">
                  <c:v>0.26539924010447458</c:v>
                </c:pt>
                <c:pt idx="455">
                  <c:v>0.93700294398692408</c:v>
                </c:pt>
                <c:pt idx="456">
                  <c:v>0.27336523877625729</c:v>
                </c:pt>
                <c:pt idx="457">
                  <c:v>0.44185374184779513</c:v>
                </c:pt>
                <c:pt idx="458">
                  <c:v>0.39613407250553695</c:v>
                </c:pt>
                <c:pt idx="459">
                  <c:v>0.30928067372360185</c:v>
                </c:pt>
                <c:pt idx="460">
                  <c:v>0.82340458206122757</c:v>
                </c:pt>
                <c:pt idx="461">
                  <c:v>0.88087134257246213</c:v>
                </c:pt>
                <c:pt idx="462">
                  <c:v>0.83364957311407817</c:v>
                </c:pt>
                <c:pt idx="463">
                  <c:v>0.58028995826834173</c:v>
                </c:pt>
                <c:pt idx="464">
                  <c:v>0.1154204527533481</c:v>
                </c:pt>
                <c:pt idx="465">
                  <c:v>-0.65781856767635982</c:v>
                </c:pt>
                <c:pt idx="466">
                  <c:v>-0.84996705424154795</c:v>
                </c:pt>
                <c:pt idx="467">
                  <c:v>-1.6635407429092701</c:v>
                </c:pt>
                <c:pt idx="468">
                  <c:v>-1.0586571792795747</c:v>
                </c:pt>
                <c:pt idx="469">
                  <c:v>-1.2443209197685408</c:v>
                </c:pt>
                <c:pt idx="470">
                  <c:v>-1.8903408214776551</c:v>
                </c:pt>
                <c:pt idx="471">
                  <c:v>-1.9124289617024584</c:v>
                </c:pt>
                <c:pt idx="472">
                  <c:v>-1.1420228419519969</c:v>
                </c:pt>
                <c:pt idx="473">
                  <c:v>-1.3899130984052386</c:v>
                </c:pt>
                <c:pt idx="474">
                  <c:v>-1.0990586761866963</c:v>
                </c:pt>
                <c:pt idx="475">
                  <c:v>0.22467716693013667</c:v>
                </c:pt>
                <c:pt idx="476">
                  <c:v>-0.44505374927044428</c:v>
                </c:pt>
                <c:pt idx="477">
                  <c:v>-1.4404190533592458</c:v>
                </c:pt>
                <c:pt idx="478">
                  <c:v>-0.51325383766450572</c:v>
                </c:pt>
                <c:pt idx="479">
                  <c:v>-0.8587418294512168</c:v>
                </c:pt>
                <c:pt idx="480">
                  <c:v>6.7108226395169585E-2</c:v>
                </c:pt>
                <c:pt idx="481">
                  <c:v>-0.96719677827100614</c:v>
                </c:pt>
                <c:pt idx="482">
                  <c:v>-0.52560380003219365</c:v>
                </c:pt>
                <c:pt idx="483">
                  <c:v>-0.30832636327312773</c:v>
                </c:pt>
                <c:pt idx="484">
                  <c:v>-0.4358203962570189</c:v>
                </c:pt>
                <c:pt idx="485">
                  <c:v>-0.24355179809185915</c:v>
                </c:pt>
                <c:pt idx="486">
                  <c:v>-0.33276133784975453</c:v>
                </c:pt>
                <c:pt idx="487">
                  <c:v>5.3618684137971093E-2</c:v>
                </c:pt>
                <c:pt idx="488">
                  <c:v>0.16202884573014745</c:v>
                </c:pt>
                <c:pt idx="489">
                  <c:v>1.3731240114624852E-2</c:v>
                </c:pt>
                <c:pt idx="490">
                  <c:v>6.4399040416256575E-2</c:v>
                </c:pt>
                <c:pt idx="491">
                  <c:v>-0.49936820170751228</c:v>
                </c:pt>
                <c:pt idx="492">
                  <c:v>-1.0660336419525345</c:v>
                </c:pt>
                <c:pt idx="493">
                  <c:v>-0.2032956496032321</c:v>
                </c:pt>
                <c:pt idx="494">
                  <c:v>-0.29044352966466747</c:v>
                </c:pt>
                <c:pt idx="495">
                  <c:v>-0.13632241555032287</c:v>
                </c:pt>
                <c:pt idx="496">
                  <c:v>-0.6326588831501907</c:v>
                </c:pt>
                <c:pt idx="497">
                  <c:v>-0.79199774943581258</c:v>
                </c:pt>
                <c:pt idx="498">
                  <c:v>-1.3909927723080699</c:v>
                </c:pt>
                <c:pt idx="499">
                  <c:v>-1.1462503946463969</c:v>
                </c:pt>
                <c:pt idx="500">
                  <c:v>-1.1631948514326664</c:v>
                </c:pt>
                <c:pt idx="501">
                  <c:v>-0.83866673641660605</c:v>
                </c:pt>
                <c:pt idx="502">
                  <c:v>-0.48753839086339834</c:v>
                </c:pt>
                <c:pt idx="503">
                  <c:v>-1.3815072161983559</c:v>
                </c:pt>
                <c:pt idx="504">
                  <c:v>-1.0383854999191382</c:v>
                </c:pt>
                <c:pt idx="505">
                  <c:v>-0.34597723375814998</c:v>
                </c:pt>
                <c:pt idx="506">
                  <c:v>-0.60568655490241075</c:v>
                </c:pt>
                <c:pt idx="507">
                  <c:v>-0.18908509230050591</c:v>
                </c:pt>
                <c:pt idx="508">
                  <c:v>4.5360562922683298E-2</c:v>
                </c:pt>
                <c:pt idx="509">
                  <c:v>-0.13793454036286468</c:v>
                </c:pt>
                <c:pt idx="510">
                  <c:v>-0.94106107478642897</c:v>
                </c:pt>
                <c:pt idx="511">
                  <c:v>-0.66815226775294079</c:v>
                </c:pt>
                <c:pt idx="512">
                  <c:v>-0.4202036249835282</c:v>
                </c:pt>
                <c:pt idx="513">
                  <c:v>-0.39941833526410658</c:v>
                </c:pt>
                <c:pt idx="514">
                  <c:v>-0.376256950465713</c:v>
                </c:pt>
                <c:pt idx="515">
                  <c:v>-0.32404498918255908</c:v>
                </c:pt>
                <c:pt idx="516">
                  <c:v>8.8425055667499974E-2</c:v>
                </c:pt>
                <c:pt idx="517">
                  <c:v>-2.9286275045021626E-2</c:v>
                </c:pt>
                <c:pt idx="518">
                  <c:v>-0.12780819181497544</c:v>
                </c:pt>
                <c:pt idx="519">
                  <c:v>1.327186365734156</c:v>
                </c:pt>
                <c:pt idx="520">
                  <c:v>1.1527233259882415</c:v>
                </c:pt>
                <c:pt idx="521">
                  <c:v>1.1099141979850071</c:v>
                </c:pt>
                <c:pt idx="522">
                  <c:v>-0.15077208689810803</c:v>
                </c:pt>
                <c:pt idx="523">
                  <c:v>9.3846000903200777E-2</c:v>
                </c:pt>
                <c:pt idx="524">
                  <c:v>-0.21515093414170622</c:v>
                </c:pt>
                <c:pt idx="525">
                  <c:v>-0.25326934573565074</c:v>
                </c:pt>
                <c:pt idx="526">
                  <c:v>-0.40609980255959832</c:v>
                </c:pt>
                <c:pt idx="527">
                  <c:v>-0.38350199111345895</c:v>
                </c:pt>
                <c:pt idx="528">
                  <c:v>-0.24112641900758869</c:v>
                </c:pt>
                <c:pt idx="529">
                  <c:v>-0.76297507445588186</c:v>
                </c:pt>
                <c:pt idx="530">
                  <c:v>-0.28370403874789385</c:v>
                </c:pt>
                <c:pt idx="531">
                  <c:v>-0.19086612287235666</c:v>
                </c:pt>
                <c:pt idx="532">
                  <c:v>-0.2511902813215755</c:v>
                </c:pt>
                <c:pt idx="533">
                  <c:v>-0.49922006470809388</c:v>
                </c:pt>
                <c:pt idx="534">
                  <c:v>-0.87210461714339838</c:v>
                </c:pt>
                <c:pt idx="535">
                  <c:v>-0.76207020697523564</c:v>
                </c:pt>
                <c:pt idx="536">
                  <c:v>-0.73116567150515444</c:v>
                </c:pt>
                <c:pt idx="537">
                  <c:v>-6.6966367190516352E-2</c:v>
                </c:pt>
                <c:pt idx="538">
                  <c:v>-0.21292328663679533</c:v>
                </c:pt>
                <c:pt idx="539">
                  <c:v>2.2771354799842006E-2</c:v>
                </c:pt>
                <c:pt idx="540">
                  <c:v>0.62089268780300189</c:v>
                </c:pt>
                <c:pt idx="541">
                  <c:v>0.59703874795626011</c:v>
                </c:pt>
                <c:pt idx="542">
                  <c:v>0.98377515688134187</c:v>
                </c:pt>
                <c:pt idx="543">
                  <c:v>0.9219438643317045</c:v>
                </c:pt>
                <c:pt idx="544">
                  <c:v>0.6977930707482618</c:v>
                </c:pt>
                <c:pt idx="545">
                  <c:v>0.96152208487381119</c:v>
                </c:pt>
                <c:pt idx="546">
                  <c:v>1.1490717546104774</c:v>
                </c:pt>
                <c:pt idx="547">
                  <c:v>1.1178406713416102</c:v>
                </c:pt>
                <c:pt idx="548">
                  <c:v>0.33756998181041231</c:v>
                </c:pt>
                <c:pt idx="549">
                  <c:v>0.53070909712791026</c:v>
                </c:pt>
                <c:pt idx="550">
                  <c:v>0.73846899375040653</c:v>
                </c:pt>
                <c:pt idx="551">
                  <c:v>0.95870986585391549</c:v>
                </c:pt>
                <c:pt idx="552">
                  <c:v>1.888378609131705</c:v>
                </c:pt>
                <c:pt idx="553">
                  <c:v>0.84543527744689806</c:v>
                </c:pt>
                <c:pt idx="554">
                  <c:v>0.71624258494951698</c:v>
                </c:pt>
                <c:pt idx="555">
                  <c:v>0.49972352619028576</c:v>
                </c:pt>
                <c:pt idx="556">
                  <c:v>0.14285545118277726</c:v>
                </c:pt>
                <c:pt idx="557">
                  <c:v>0.39762883909824553</c:v>
                </c:pt>
                <c:pt idx="558">
                  <c:v>0.12639079338367087</c:v>
                </c:pt>
                <c:pt idx="559">
                  <c:v>-0.26073501755700623</c:v>
                </c:pt>
                <c:pt idx="560">
                  <c:v>-2.5965433400036157E-2</c:v>
                </c:pt>
                <c:pt idx="561">
                  <c:v>-0.50612923996629755</c:v>
                </c:pt>
                <c:pt idx="562">
                  <c:v>-0.69809312169789739</c:v>
                </c:pt>
                <c:pt idx="563">
                  <c:v>-0.45194904443889283</c:v>
                </c:pt>
                <c:pt idx="564">
                  <c:v>0.30039414459017616</c:v>
                </c:pt>
                <c:pt idx="565">
                  <c:v>0.1299066983549452</c:v>
                </c:pt>
                <c:pt idx="566">
                  <c:v>-0.29956879047677998</c:v>
                </c:pt>
                <c:pt idx="567">
                  <c:v>-0.25924467180658051</c:v>
                </c:pt>
                <c:pt idx="568">
                  <c:v>-1.9634725558279075E-3</c:v>
                </c:pt>
                <c:pt idx="569">
                  <c:v>0.2357672426745398</c:v>
                </c:pt>
                <c:pt idx="570">
                  <c:v>0.27145489878330853</c:v>
                </c:pt>
                <c:pt idx="571">
                  <c:v>-0.16302701292035432</c:v>
                </c:pt>
                <c:pt idx="572">
                  <c:v>0.28251662569720737</c:v>
                </c:pt>
                <c:pt idx="573">
                  <c:v>0.84193735690141747</c:v>
                </c:pt>
                <c:pt idx="574">
                  <c:v>0.94953727270889066</c:v>
                </c:pt>
                <c:pt idx="575">
                  <c:v>0.80107887420773294</c:v>
                </c:pt>
                <c:pt idx="576">
                  <c:v>0.92919378782442863</c:v>
                </c:pt>
                <c:pt idx="577">
                  <c:v>1.5705209224988279</c:v>
                </c:pt>
                <c:pt idx="578">
                  <c:v>1.4506221155408041</c:v>
                </c:pt>
                <c:pt idx="579">
                  <c:v>1.2840452182099669</c:v>
                </c:pt>
                <c:pt idx="580">
                  <c:v>1.330637115472912</c:v>
                </c:pt>
                <c:pt idx="581">
                  <c:v>1.2661398367075136</c:v>
                </c:pt>
                <c:pt idx="582">
                  <c:v>1.6370254414935193</c:v>
                </c:pt>
                <c:pt idx="583">
                  <c:v>2.4440294966347387</c:v>
                </c:pt>
                <c:pt idx="584">
                  <c:v>1.773488612293147</c:v>
                </c:pt>
                <c:pt idx="585">
                  <c:v>0.55935476789769456</c:v>
                </c:pt>
                <c:pt idx="586">
                  <c:v>1.0110394156315117</c:v>
                </c:pt>
                <c:pt idx="587">
                  <c:v>0.84219279181049345</c:v>
                </c:pt>
                <c:pt idx="588">
                  <c:v>0.22455130069479756</c:v>
                </c:pt>
                <c:pt idx="589">
                  <c:v>-0.72563405097606382</c:v>
                </c:pt>
                <c:pt idx="590">
                  <c:v>-0.10880609086620936</c:v>
                </c:pt>
                <c:pt idx="591">
                  <c:v>0.20024139504093486</c:v>
                </c:pt>
                <c:pt idx="592">
                  <c:v>-0.29552982957563012</c:v>
                </c:pt>
                <c:pt idx="593">
                  <c:v>0.36026214474362778</c:v>
                </c:pt>
                <c:pt idx="594">
                  <c:v>0.69624890414532004</c:v>
                </c:pt>
                <c:pt idx="595">
                  <c:v>0.89990304090881068</c:v>
                </c:pt>
                <c:pt idx="596">
                  <c:v>0.47228147987769281</c:v>
                </c:pt>
                <c:pt idx="597">
                  <c:v>0.13064219567147584</c:v>
                </c:pt>
                <c:pt idx="598">
                  <c:v>-1.1915399576955918</c:v>
                </c:pt>
                <c:pt idx="599">
                  <c:v>0.31450212107624209</c:v>
                </c:pt>
                <c:pt idx="600">
                  <c:v>-0.83899445791299521</c:v>
                </c:pt>
                <c:pt idx="601">
                  <c:v>-0.33146854601959735</c:v>
                </c:pt>
                <c:pt idx="602">
                  <c:v>-0.60624282249458872</c:v>
                </c:pt>
                <c:pt idx="603">
                  <c:v>-0.35300219850788656</c:v>
                </c:pt>
                <c:pt idx="604">
                  <c:v>-0.27229557194926546</c:v>
                </c:pt>
                <c:pt idx="605">
                  <c:v>-0.56560001539801363</c:v>
                </c:pt>
                <c:pt idx="606">
                  <c:v>-4.8936361395805698E-2</c:v>
                </c:pt>
                <c:pt idx="607">
                  <c:v>0.27034124679752902</c:v>
                </c:pt>
                <c:pt idx="608">
                  <c:v>9.9562130307849731E-2</c:v>
                </c:pt>
                <c:pt idx="609">
                  <c:v>2.1064506489947815E-2</c:v>
                </c:pt>
                <c:pt idx="610">
                  <c:v>1.46086477656119E-3</c:v>
                </c:pt>
                <c:pt idx="611">
                  <c:v>-0.73454581836561572</c:v>
                </c:pt>
                <c:pt idx="612">
                  <c:v>-0.58048599126624301</c:v>
                </c:pt>
                <c:pt idx="613">
                  <c:v>-0.87500327345231821</c:v>
                </c:pt>
                <c:pt idx="614">
                  <c:v>-0.78548212989566446</c:v>
                </c:pt>
                <c:pt idx="615">
                  <c:v>-0.63986987624293634</c:v>
                </c:pt>
                <c:pt idx="616">
                  <c:v>-0.20432842343631247</c:v>
                </c:pt>
                <c:pt idx="617">
                  <c:v>0.46708538486232343</c:v>
                </c:pt>
                <c:pt idx="618">
                  <c:v>0.28377485682194525</c:v>
                </c:pt>
                <c:pt idx="619">
                  <c:v>0.37083119492473549</c:v>
                </c:pt>
                <c:pt idx="620">
                  <c:v>0.61002275995926314</c:v>
                </c:pt>
                <c:pt idx="621">
                  <c:v>0.62224346653671558</c:v>
                </c:pt>
                <c:pt idx="622">
                  <c:v>1.77786979136698E-3</c:v>
                </c:pt>
                <c:pt idx="623">
                  <c:v>0.78777372330987194</c:v>
                </c:pt>
                <c:pt idx="624">
                  <c:v>0.78322319723973755</c:v>
                </c:pt>
                <c:pt idx="625">
                  <c:v>0.30829073202980489</c:v>
                </c:pt>
                <c:pt idx="626">
                  <c:v>0.2548272702901182</c:v>
                </c:pt>
                <c:pt idx="627">
                  <c:v>0.28841798174681993</c:v>
                </c:pt>
                <c:pt idx="628">
                  <c:v>-0.39979758628992279</c:v>
                </c:pt>
                <c:pt idx="629">
                  <c:v>-0.40548307349807627</c:v>
                </c:pt>
                <c:pt idx="630">
                  <c:v>-0.23834016073715877</c:v>
                </c:pt>
                <c:pt idx="631">
                  <c:v>-0.48771913798036298</c:v>
                </c:pt>
                <c:pt idx="632">
                  <c:v>-0.13243345132442208</c:v>
                </c:pt>
                <c:pt idx="633">
                  <c:v>0.56245279576597418</c:v>
                </c:pt>
                <c:pt idx="634">
                  <c:v>0.66331344484007737</c:v>
                </c:pt>
                <c:pt idx="635">
                  <c:v>0.51178571671529394</c:v>
                </c:pt>
                <c:pt idx="636">
                  <c:v>0.63908312933310485</c:v>
                </c:pt>
                <c:pt idx="637">
                  <c:v>0.60503416831129953</c:v>
                </c:pt>
                <c:pt idx="638">
                  <c:v>0.41289874158354789</c:v>
                </c:pt>
                <c:pt idx="639">
                  <c:v>1.6519795179992096</c:v>
                </c:pt>
                <c:pt idx="640">
                  <c:v>0.13264329308523287</c:v>
                </c:pt>
                <c:pt idx="641">
                  <c:v>1.8663612920017739E-2</c:v>
                </c:pt>
                <c:pt idx="642">
                  <c:v>0.38528644906130555</c:v>
                </c:pt>
                <c:pt idx="643">
                  <c:v>0.88105914313107814</c:v>
                </c:pt>
                <c:pt idx="644">
                  <c:v>1.2008302527445993</c:v>
                </c:pt>
                <c:pt idx="645">
                  <c:v>1.7479299484668194</c:v>
                </c:pt>
                <c:pt idx="646">
                  <c:v>1.056906871223863</c:v>
                </c:pt>
                <c:pt idx="647">
                  <c:v>0.63952079780687843</c:v>
                </c:pt>
                <c:pt idx="648">
                  <c:v>0.58417953164939995</c:v>
                </c:pt>
                <c:pt idx="649">
                  <c:v>0.49208282905578105</c:v>
                </c:pt>
                <c:pt idx="650">
                  <c:v>0.18118980258792824</c:v>
                </c:pt>
                <c:pt idx="651">
                  <c:v>1.1127774675438811</c:v>
                </c:pt>
                <c:pt idx="652">
                  <c:v>0.2480672302151877</c:v>
                </c:pt>
                <c:pt idx="653">
                  <c:v>-6.0145996266392533E-2</c:v>
                </c:pt>
                <c:pt idx="654">
                  <c:v>0.51955286513933052</c:v>
                </c:pt>
                <c:pt idx="655">
                  <c:v>0.9386669548814468</c:v>
                </c:pt>
                <c:pt idx="656">
                  <c:v>1.1554219490339401</c:v>
                </c:pt>
                <c:pt idx="657">
                  <c:v>1.3081937187951775</c:v>
                </c:pt>
                <c:pt idx="658">
                  <c:v>0.72351586720198446</c:v>
                </c:pt>
                <c:pt idx="659">
                  <c:v>1.0646879586593299</c:v>
                </c:pt>
                <c:pt idx="660">
                  <c:v>0.76286693927371318</c:v>
                </c:pt>
                <c:pt idx="661">
                  <c:v>-0.13899893055826137</c:v>
                </c:pt>
                <c:pt idx="662">
                  <c:v>1.4259905865591991</c:v>
                </c:pt>
                <c:pt idx="663">
                  <c:v>2.5540814129866205</c:v>
                </c:pt>
                <c:pt idx="664">
                  <c:v>2.2603466785478692</c:v>
                </c:pt>
                <c:pt idx="665">
                  <c:v>2.0340531432898112</c:v>
                </c:pt>
                <c:pt idx="666">
                  <c:v>1.9876739629584959</c:v>
                </c:pt>
                <c:pt idx="667">
                  <c:v>1.9913443200546455</c:v>
                </c:pt>
                <c:pt idx="668">
                  <c:v>1.6530954206426332</c:v>
                </c:pt>
                <c:pt idx="669">
                  <c:v>1.1246371514584359</c:v>
                </c:pt>
                <c:pt idx="670">
                  <c:v>0.76787437892385968</c:v>
                </c:pt>
                <c:pt idx="671">
                  <c:v>1.1316486651652773</c:v>
                </c:pt>
                <c:pt idx="672">
                  <c:v>0.58103501992027473</c:v>
                </c:pt>
                <c:pt idx="673">
                  <c:v>0.30432892175124987</c:v>
                </c:pt>
                <c:pt idx="674">
                  <c:v>0.19225334692122512</c:v>
                </c:pt>
                <c:pt idx="675">
                  <c:v>0.65431641352149827</c:v>
                </c:pt>
                <c:pt idx="676">
                  <c:v>0.82964152117857803</c:v>
                </c:pt>
                <c:pt idx="677">
                  <c:v>1.2773340332447942</c:v>
                </c:pt>
                <c:pt idx="678">
                  <c:v>1.158300870463232</c:v>
                </c:pt>
                <c:pt idx="679">
                  <c:v>1.263039792059433</c:v>
                </c:pt>
                <c:pt idx="680">
                  <c:v>1.0987842386186306</c:v>
                </c:pt>
                <c:pt idx="681">
                  <c:v>1.0882052306884011</c:v>
                </c:pt>
                <c:pt idx="682">
                  <c:v>1.8767198801153211</c:v>
                </c:pt>
                <c:pt idx="683">
                  <c:v>1.1727594536168358</c:v>
                </c:pt>
                <c:pt idx="684">
                  <c:v>0.46382417589954222</c:v>
                </c:pt>
                <c:pt idx="685">
                  <c:v>0.7832233168203534</c:v>
                </c:pt>
                <c:pt idx="686">
                  <c:v>0.5324122156876796</c:v>
                </c:pt>
                <c:pt idx="687">
                  <c:v>0.81079226640166102</c:v>
                </c:pt>
                <c:pt idx="688">
                  <c:v>0.62114042523034119</c:v>
                </c:pt>
                <c:pt idx="689">
                  <c:v>0.16925061398046592</c:v>
                </c:pt>
                <c:pt idx="690">
                  <c:v>0.32847630663746669</c:v>
                </c:pt>
                <c:pt idx="691">
                  <c:v>0.39759520599812981</c:v>
                </c:pt>
                <c:pt idx="692">
                  <c:v>0.64488151049043452</c:v>
                </c:pt>
                <c:pt idx="693">
                  <c:v>0.58964765184898249</c:v>
                </c:pt>
                <c:pt idx="694">
                  <c:v>0.39320615192402819</c:v>
                </c:pt>
                <c:pt idx="695">
                  <c:v>0.1713841326907046</c:v>
                </c:pt>
                <c:pt idx="696">
                  <c:v>-0.32012585729004595</c:v>
                </c:pt>
                <c:pt idx="697">
                  <c:v>-3.6425226381908107E-2</c:v>
                </c:pt>
                <c:pt idx="698">
                  <c:v>-0.25498826948951364</c:v>
                </c:pt>
                <c:pt idx="699">
                  <c:v>0.12730408740928845</c:v>
                </c:pt>
                <c:pt idx="700">
                  <c:v>-0.59528395788370736</c:v>
                </c:pt>
                <c:pt idx="701">
                  <c:v>5.8694188375434074E-2</c:v>
                </c:pt>
                <c:pt idx="702">
                  <c:v>0.58967851776653901</c:v>
                </c:pt>
                <c:pt idx="703">
                  <c:v>1.0785268726832751</c:v>
                </c:pt>
                <c:pt idx="704">
                  <c:v>1.2574443160807696</c:v>
                </c:pt>
                <c:pt idx="705">
                  <c:v>1.3541129539471075</c:v>
                </c:pt>
                <c:pt idx="706">
                  <c:v>0.63777235079711259</c:v>
                </c:pt>
                <c:pt idx="707">
                  <c:v>-0.29191799382313038</c:v>
                </c:pt>
                <c:pt idx="708">
                  <c:v>-0.13166962072047267</c:v>
                </c:pt>
                <c:pt idx="709">
                  <c:v>-0.684246596027279</c:v>
                </c:pt>
                <c:pt idx="710">
                  <c:v>-1.2712248805862727</c:v>
                </c:pt>
                <c:pt idx="711">
                  <c:v>-1.0576475482997327</c:v>
                </c:pt>
                <c:pt idx="712">
                  <c:v>-0.89120791230733487</c:v>
                </c:pt>
                <c:pt idx="713">
                  <c:v>1.1151320817911092</c:v>
                </c:pt>
                <c:pt idx="714">
                  <c:v>0.70768907189882979</c:v>
                </c:pt>
                <c:pt idx="715">
                  <c:v>0.58336753868670232</c:v>
                </c:pt>
                <c:pt idx="716">
                  <c:v>0.54812948620601176</c:v>
                </c:pt>
                <c:pt idx="717">
                  <c:v>0.52119327328709786</c:v>
                </c:pt>
                <c:pt idx="718">
                  <c:v>1.5303031400350433</c:v>
                </c:pt>
                <c:pt idx="719">
                  <c:v>1.664809092195259</c:v>
                </c:pt>
                <c:pt idx="720">
                  <c:v>1.5556977260499005</c:v>
                </c:pt>
                <c:pt idx="721">
                  <c:v>2.8234017535661531</c:v>
                </c:pt>
                <c:pt idx="722">
                  <c:v>3.4052327086320009</c:v>
                </c:pt>
                <c:pt idx="723">
                  <c:v>1.9789869244887188</c:v>
                </c:pt>
                <c:pt idx="724">
                  <c:v>2.5515333126407422</c:v>
                </c:pt>
                <c:pt idx="725">
                  <c:v>1.6117127504954001</c:v>
                </c:pt>
                <c:pt idx="726">
                  <c:v>2.8166824055329394</c:v>
                </c:pt>
                <c:pt idx="727">
                  <c:v>2.4958457809695815</c:v>
                </c:pt>
                <c:pt idx="728">
                  <c:v>1.6996299164971305</c:v>
                </c:pt>
                <c:pt idx="729">
                  <c:v>1.8472632387464927</c:v>
                </c:pt>
                <c:pt idx="730">
                  <c:v>1.193358509797191</c:v>
                </c:pt>
                <c:pt idx="731">
                  <c:v>0.4787982047761527</c:v>
                </c:pt>
                <c:pt idx="732">
                  <c:v>1.5654605136661945</c:v>
                </c:pt>
                <c:pt idx="733">
                  <c:v>1.6319148782846846</c:v>
                </c:pt>
                <c:pt idx="734">
                  <c:v>0.91261246188923395</c:v>
                </c:pt>
                <c:pt idx="735">
                  <c:v>0.68171427014030994</c:v>
                </c:pt>
                <c:pt idx="736">
                  <c:v>0.75552101885768108</c:v>
                </c:pt>
                <c:pt idx="737">
                  <c:v>1.0112996779988668</c:v>
                </c:pt>
                <c:pt idx="738">
                  <c:v>0.7935091413556109</c:v>
                </c:pt>
                <c:pt idx="739">
                  <c:v>1.0608536971396214</c:v>
                </c:pt>
                <c:pt idx="740">
                  <c:v>1.0583950274545533</c:v>
                </c:pt>
                <c:pt idx="741">
                  <c:v>1.2544787304900509</c:v>
                </c:pt>
                <c:pt idx="742">
                  <c:v>1.9929719591451693</c:v>
                </c:pt>
                <c:pt idx="743">
                  <c:v>0.86322694616971218</c:v>
                </c:pt>
                <c:pt idx="744">
                  <c:v>0.37301091881531939</c:v>
                </c:pt>
                <c:pt idx="745">
                  <c:v>0.40452553976046829</c:v>
                </c:pt>
                <c:pt idx="746">
                  <c:v>-0.3763411350984377</c:v>
                </c:pt>
                <c:pt idx="747">
                  <c:v>0.73820606813552936</c:v>
                </c:pt>
                <c:pt idx="748">
                  <c:v>0.71532631859411544</c:v>
                </c:pt>
                <c:pt idx="749">
                  <c:v>0.21315641284811004</c:v>
                </c:pt>
                <c:pt idx="750">
                  <c:v>0.75256127048679244</c:v>
                </c:pt>
                <c:pt idx="751">
                  <c:v>1.0136138724470625</c:v>
                </c:pt>
                <c:pt idx="752">
                  <c:v>1.340126328279345</c:v>
                </c:pt>
                <c:pt idx="753">
                  <c:v>0.66932842178631546</c:v>
                </c:pt>
                <c:pt idx="754">
                  <c:v>1.3853716173156521</c:v>
                </c:pt>
                <c:pt idx="755">
                  <c:v>0.95536793237345619</c:v>
                </c:pt>
                <c:pt idx="756">
                  <c:v>0.36053255382679417</c:v>
                </c:pt>
                <c:pt idx="757">
                  <c:v>1.0920829690022744</c:v>
                </c:pt>
                <c:pt idx="758">
                  <c:v>0.77267531410077817</c:v>
                </c:pt>
                <c:pt idx="759">
                  <c:v>1.1048491915483594</c:v>
                </c:pt>
                <c:pt idx="760">
                  <c:v>-0.46237102395405366</c:v>
                </c:pt>
                <c:pt idx="761">
                  <c:v>0.16850558485971423</c:v>
                </c:pt>
                <c:pt idx="762">
                  <c:v>0.63942429148652391</c:v>
                </c:pt>
                <c:pt idx="763">
                  <c:v>1.1816775531606516</c:v>
                </c:pt>
                <c:pt idx="764">
                  <c:v>1.5315139632655386</c:v>
                </c:pt>
                <c:pt idx="765">
                  <c:v>1.1278935652095459</c:v>
                </c:pt>
                <c:pt idx="766">
                  <c:v>2.1620180533409052</c:v>
                </c:pt>
                <c:pt idx="767">
                  <c:v>1.1865809144625177</c:v>
                </c:pt>
                <c:pt idx="768">
                  <c:v>1.196048350443901</c:v>
                </c:pt>
                <c:pt idx="769">
                  <c:v>0.56166196180549177</c:v>
                </c:pt>
                <c:pt idx="770">
                  <c:v>0.92318154614059689</c:v>
                </c:pt>
                <c:pt idx="771">
                  <c:v>0.87475363299551989</c:v>
                </c:pt>
                <c:pt idx="772">
                  <c:v>0.49150944389101792</c:v>
                </c:pt>
                <c:pt idx="773">
                  <c:v>-0.24409315018678554</c:v>
                </c:pt>
                <c:pt idx="774">
                  <c:v>-8.5962403949932185E-3</c:v>
                </c:pt>
                <c:pt idx="775">
                  <c:v>0.55844534567348103</c:v>
                </c:pt>
                <c:pt idx="776">
                  <c:v>0.9480548003216781</c:v>
                </c:pt>
                <c:pt idx="777">
                  <c:v>1.5870415686816168</c:v>
                </c:pt>
                <c:pt idx="778">
                  <c:v>0.80162907290045815</c:v>
                </c:pt>
                <c:pt idx="779">
                  <c:v>1.4188359039008271</c:v>
                </c:pt>
                <c:pt idx="780">
                  <c:v>1.5966428331473155</c:v>
                </c:pt>
                <c:pt idx="781">
                  <c:v>1.4826020699353772</c:v>
                </c:pt>
                <c:pt idx="782">
                  <c:v>0.33259595197687175</c:v>
                </c:pt>
                <c:pt idx="783">
                  <c:v>-0.11476599942393405</c:v>
                </c:pt>
                <c:pt idx="784">
                  <c:v>-8.4973518372318577E-2</c:v>
                </c:pt>
                <c:pt idx="785">
                  <c:v>-0.22672432381425764</c:v>
                </c:pt>
                <c:pt idx="786">
                  <c:v>-0.18676245527216498</c:v>
                </c:pt>
                <c:pt idx="787">
                  <c:v>0.25062817645208546</c:v>
                </c:pt>
                <c:pt idx="788">
                  <c:v>1.9489056012079469</c:v>
                </c:pt>
                <c:pt idx="789">
                  <c:v>2.6942475858023704</c:v>
                </c:pt>
                <c:pt idx="790">
                  <c:v>1.1874241759200055</c:v>
                </c:pt>
                <c:pt idx="791">
                  <c:v>2.73875568772702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A-4D7C-B816-9E4C171DE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484752"/>
        <c:axId val="385486000"/>
      </c:scatterChart>
      <c:valAx>
        <c:axId val="385484752"/>
        <c:scaling>
          <c:orientation val="minMax"/>
          <c:max val="2015"/>
          <c:min val="19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86000"/>
        <c:crosses val="autoZero"/>
        <c:crossBetween val="midCat"/>
      </c:valAx>
      <c:valAx>
        <c:axId val="3854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8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HadISST1!$I$2:$I$13</c:f>
                <c:numCache>
                  <c:formatCode>General</c:formatCode>
                  <c:ptCount val="12"/>
                  <c:pt idx="0">
                    <c:v>0.31957548115328938</c:v>
                  </c:pt>
                  <c:pt idx="1">
                    <c:v>0.31545242292470033</c:v>
                  </c:pt>
                  <c:pt idx="2">
                    <c:v>0.31568470058438941</c:v>
                  </c:pt>
                  <c:pt idx="3">
                    <c:v>0.33830816711159206</c:v>
                  </c:pt>
                  <c:pt idx="4">
                    <c:v>0.33825273704960407</c:v>
                  </c:pt>
                  <c:pt idx="5">
                    <c:v>0.34553689116896419</c:v>
                  </c:pt>
                  <c:pt idx="6">
                    <c:v>0.37313977703457435</c:v>
                  </c:pt>
                  <c:pt idx="7">
                    <c:v>0.40677004412991247</c:v>
                  </c:pt>
                  <c:pt idx="8">
                    <c:v>0.3531663127749497</c:v>
                  </c:pt>
                  <c:pt idx="9">
                    <c:v>0.40448158973172554</c:v>
                  </c:pt>
                  <c:pt idx="10">
                    <c:v>0.38997324237435282</c:v>
                  </c:pt>
                  <c:pt idx="11">
                    <c:v>0.33105298681355733</c:v>
                  </c:pt>
                </c:numCache>
              </c:numRef>
            </c:plus>
            <c:minus>
              <c:numRef>
                <c:f>HadISST1!$I$2:$I$13</c:f>
                <c:numCache>
                  <c:formatCode>General</c:formatCode>
                  <c:ptCount val="12"/>
                  <c:pt idx="0">
                    <c:v>0.31957548115328938</c:v>
                  </c:pt>
                  <c:pt idx="1">
                    <c:v>0.31545242292470033</c:v>
                  </c:pt>
                  <c:pt idx="2">
                    <c:v>0.31568470058438941</c:v>
                  </c:pt>
                  <c:pt idx="3">
                    <c:v>0.33830816711159206</c:v>
                  </c:pt>
                  <c:pt idx="4">
                    <c:v>0.33825273704960407</c:v>
                  </c:pt>
                  <c:pt idx="5">
                    <c:v>0.34553689116896419</c:v>
                  </c:pt>
                  <c:pt idx="6">
                    <c:v>0.37313977703457435</c:v>
                  </c:pt>
                  <c:pt idx="7">
                    <c:v>0.40677004412991247</c:v>
                  </c:pt>
                  <c:pt idx="8">
                    <c:v>0.3531663127749497</c:v>
                  </c:pt>
                  <c:pt idx="9">
                    <c:v>0.40448158973172554</c:v>
                  </c:pt>
                  <c:pt idx="10">
                    <c:v>0.38997324237435282</c:v>
                  </c:pt>
                  <c:pt idx="11">
                    <c:v>0.33105298681355733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HadISST1!$G$2:$G$13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xVal>
          <c:yVal>
            <c:numRef>
              <c:f>HadISST1!$H$2:$H$13</c:f>
              <c:numCache>
                <c:formatCode>0.00</c:formatCode>
                <c:ptCount val="12"/>
                <c:pt idx="0">
                  <c:v>27.79777283333333</c:v>
                </c:pt>
                <c:pt idx="1">
                  <c:v>28.679352166666668</c:v>
                </c:pt>
                <c:pt idx="2">
                  <c:v>28.925387257575764</c:v>
                </c:pt>
                <c:pt idx="3">
                  <c:v>28.818721318181826</c:v>
                </c:pt>
                <c:pt idx="4">
                  <c:v>28.493212333333332</c:v>
                </c:pt>
                <c:pt idx="5">
                  <c:v>28.300005318181828</c:v>
                </c:pt>
                <c:pt idx="6">
                  <c:v>28.648335863636365</c:v>
                </c:pt>
                <c:pt idx="7">
                  <c:v>28.318618681818183</c:v>
                </c:pt>
                <c:pt idx="8">
                  <c:v>27.481424484848482</c:v>
                </c:pt>
                <c:pt idx="9">
                  <c:v>26.979263060606058</c:v>
                </c:pt>
                <c:pt idx="10">
                  <c:v>26.879908863636373</c:v>
                </c:pt>
                <c:pt idx="11">
                  <c:v>27.07858162121212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17-4EC0-88B1-EF9B95DD3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093576"/>
        <c:axId val="795090952"/>
      </c:scatterChart>
      <c:valAx>
        <c:axId val="795093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90952"/>
        <c:crosses val="autoZero"/>
        <c:crossBetween val="midCat"/>
      </c:valAx>
      <c:valAx>
        <c:axId val="79509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93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INVEMAR!$E$6:$E$45</c:f>
              <c:numCache>
                <c:formatCode>0.0</c:formatCode>
                <c:ptCount val="40"/>
                <c:pt idx="0">
                  <c:v>1996.2499999981501</c:v>
                </c:pt>
                <c:pt idx="1">
                  <c:v>1996.4999999982299</c:v>
                </c:pt>
                <c:pt idx="2">
                  <c:v>1996.6666666649501</c:v>
                </c:pt>
                <c:pt idx="3">
                  <c:v>1996.7499999983099</c:v>
                </c:pt>
                <c:pt idx="4">
                  <c:v>1997.0833333317501</c:v>
                </c:pt>
                <c:pt idx="5">
                  <c:v>1997.24999999848</c:v>
                </c:pt>
                <c:pt idx="6">
                  <c:v>1997.4166666652</c:v>
                </c:pt>
                <c:pt idx="7">
                  <c:v>1997.7499999986401</c:v>
                </c:pt>
                <c:pt idx="8">
                  <c:v>2000.0833333333101</c:v>
                </c:pt>
                <c:pt idx="9">
                  <c:v>2001.3333333333101</c:v>
                </c:pt>
                <c:pt idx="10">
                  <c:v>2001.6666666666399</c:v>
                </c:pt>
                <c:pt idx="11">
                  <c:v>2001.74999999998</c:v>
                </c:pt>
                <c:pt idx="12">
                  <c:v>2002.24999999998</c:v>
                </c:pt>
                <c:pt idx="13">
                  <c:v>2002.74999999998</c:v>
                </c:pt>
                <c:pt idx="14">
                  <c:v>2003.49999999998</c:v>
                </c:pt>
                <c:pt idx="15">
                  <c:v>2003.74999999998</c:v>
                </c:pt>
                <c:pt idx="16">
                  <c:v>2004.49999999998</c:v>
                </c:pt>
                <c:pt idx="17">
                  <c:v>2004.6666666666499</c:v>
                </c:pt>
                <c:pt idx="18">
                  <c:v>2004.74999999998</c:v>
                </c:pt>
                <c:pt idx="19">
                  <c:v>2006.8333333333201</c:v>
                </c:pt>
                <c:pt idx="20">
                  <c:v>2007.1666666666499</c:v>
                </c:pt>
                <c:pt idx="21">
                  <c:v>2007.8333333333201</c:v>
                </c:pt>
                <c:pt idx="22">
                  <c:v>2008.1666666666499</c:v>
                </c:pt>
                <c:pt idx="23">
                  <c:v>2009.24999999999</c:v>
                </c:pt>
                <c:pt idx="24">
                  <c:v>2009.5833333333201</c:v>
                </c:pt>
                <c:pt idx="25">
                  <c:v>2010.24999999999</c:v>
                </c:pt>
                <c:pt idx="26">
                  <c:v>2010.4166666666599</c:v>
                </c:pt>
                <c:pt idx="27">
                  <c:v>2010.6666666666599</c:v>
                </c:pt>
                <c:pt idx="28">
                  <c:v>2010.8333333333301</c:v>
                </c:pt>
                <c:pt idx="29">
                  <c:v>2011.3333333333301</c:v>
                </c:pt>
                <c:pt idx="30">
                  <c:v>2011.4166666666599</c:v>
                </c:pt>
                <c:pt idx="31">
                  <c:v>2011.8333333333301</c:v>
                </c:pt>
                <c:pt idx="32">
                  <c:v>2012.1666666666599</c:v>
                </c:pt>
                <c:pt idx="33">
                  <c:v>2012.5833333333301</c:v>
                </c:pt>
                <c:pt idx="34">
                  <c:v>2013.1666666666599</c:v>
                </c:pt>
                <c:pt idx="35">
                  <c:v>2013.3333333333301</c:v>
                </c:pt>
                <c:pt idx="36">
                  <c:v>2013.8333333333301</c:v>
                </c:pt>
                <c:pt idx="37">
                  <c:v>2014.1666666666599</c:v>
                </c:pt>
                <c:pt idx="38">
                  <c:v>2014.9166666666599</c:v>
                </c:pt>
                <c:pt idx="39">
                  <c:v>2015.1666666666599</c:v>
                </c:pt>
              </c:numCache>
            </c:numRef>
          </c:xVal>
          <c:yVal>
            <c:numRef>
              <c:f>INVEMAR!$A$6:$A$45</c:f>
              <c:numCache>
                <c:formatCode>General</c:formatCode>
                <c:ptCount val="40"/>
                <c:pt idx="0">
                  <c:v>30.55</c:v>
                </c:pt>
                <c:pt idx="1">
                  <c:v>32.35</c:v>
                </c:pt>
                <c:pt idx="2">
                  <c:v>29.3</c:v>
                </c:pt>
                <c:pt idx="3">
                  <c:v>30.1</c:v>
                </c:pt>
                <c:pt idx="4">
                  <c:v>29</c:v>
                </c:pt>
                <c:pt idx="5">
                  <c:v>27</c:v>
                </c:pt>
                <c:pt idx="6">
                  <c:v>31</c:v>
                </c:pt>
                <c:pt idx="7">
                  <c:v>32.299999999999997</c:v>
                </c:pt>
                <c:pt idx="8">
                  <c:v>29</c:v>
                </c:pt>
                <c:pt idx="9">
                  <c:v>29.5</c:v>
                </c:pt>
                <c:pt idx="10">
                  <c:v>29.7</c:v>
                </c:pt>
                <c:pt idx="11">
                  <c:v>30.1</c:v>
                </c:pt>
                <c:pt idx="12">
                  <c:v>30</c:v>
                </c:pt>
                <c:pt idx="13">
                  <c:v>30.2</c:v>
                </c:pt>
                <c:pt idx="14">
                  <c:v>30.2</c:v>
                </c:pt>
                <c:pt idx="15">
                  <c:v>30.2</c:v>
                </c:pt>
                <c:pt idx="16">
                  <c:v>29.5</c:v>
                </c:pt>
                <c:pt idx="17">
                  <c:v>29.1</c:v>
                </c:pt>
                <c:pt idx="18">
                  <c:v>28.7</c:v>
                </c:pt>
                <c:pt idx="19">
                  <c:v>28.5</c:v>
                </c:pt>
                <c:pt idx="20">
                  <c:v>29.8</c:v>
                </c:pt>
                <c:pt idx="21">
                  <c:v>30.4</c:v>
                </c:pt>
                <c:pt idx="22">
                  <c:v>30.2</c:v>
                </c:pt>
                <c:pt idx="23">
                  <c:v>31</c:v>
                </c:pt>
                <c:pt idx="24">
                  <c:v>31</c:v>
                </c:pt>
                <c:pt idx="25">
                  <c:v>30.7</c:v>
                </c:pt>
                <c:pt idx="26">
                  <c:v>30</c:v>
                </c:pt>
                <c:pt idx="27">
                  <c:v>29.2</c:v>
                </c:pt>
                <c:pt idx="28">
                  <c:v>28.8</c:v>
                </c:pt>
                <c:pt idx="29">
                  <c:v>30.3</c:v>
                </c:pt>
                <c:pt idx="30">
                  <c:v>30.3</c:v>
                </c:pt>
                <c:pt idx="31">
                  <c:v>29.4</c:v>
                </c:pt>
                <c:pt idx="32">
                  <c:v>30</c:v>
                </c:pt>
                <c:pt idx="33">
                  <c:v>30.9</c:v>
                </c:pt>
                <c:pt idx="34">
                  <c:v>31</c:v>
                </c:pt>
                <c:pt idx="35">
                  <c:v>31</c:v>
                </c:pt>
                <c:pt idx="36">
                  <c:v>30.2</c:v>
                </c:pt>
                <c:pt idx="37">
                  <c:v>29.4</c:v>
                </c:pt>
                <c:pt idx="38">
                  <c:v>29.7</c:v>
                </c:pt>
                <c:pt idx="39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91-47E5-8DB6-1F4941677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547983"/>
        <c:axId val="501571503"/>
      </c:scatterChart>
      <c:valAx>
        <c:axId val="50154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71503"/>
        <c:crosses val="autoZero"/>
        <c:crossBetween val="midCat"/>
      </c:valAx>
      <c:valAx>
        <c:axId val="50157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4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MODIS_Terra!$N$1</c:f>
              <c:strCache>
                <c:ptCount val="1"/>
                <c:pt idx="0">
                  <c:v>STDV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121391076115486"/>
                  <c:y val="-3.21259842519685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MODIS_Terra!$N$2:$N$16</c:f>
              <c:numCache>
                <c:formatCode>0.00</c:formatCode>
                <c:ptCount val="15"/>
                <c:pt idx="0">
                  <c:v>1.076113785242006</c:v>
                </c:pt>
                <c:pt idx="1">
                  <c:v>1.0632980817278199</c:v>
                </c:pt>
                <c:pt idx="2">
                  <c:v>1.1043992470885238</c:v>
                </c:pt>
                <c:pt idx="3">
                  <c:v>1.0140789932472982</c:v>
                </c:pt>
                <c:pt idx="4">
                  <c:v>0.98675716210711961</c:v>
                </c:pt>
                <c:pt idx="5">
                  <c:v>0.92016933553591407</c:v>
                </c:pt>
                <c:pt idx="6">
                  <c:v>1.1079842740378358</c:v>
                </c:pt>
                <c:pt idx="7">
                  <c:v>0.93274922333731425</c:v>
                </c:pt>
                <c:pt idx="8">
                  <c:v>1.0217459618741151</c:v>
                </c:pt>
                <c:pt idx="9">
                  <c:v>1.0709948186219909</c:v>
                </c:pt>
                <c:pt idx="10">
                  <c:v>1.2185727959752379</c:v>
                </c:pt>
                <c:pt idx="11">
                  <c:v>1.0831737423241969</c:v>
                </c:pt>
                <c:pt idx="12">
                  <c:v>0.87548308309634382</c:v>
                </c:pt>
                <c:pt idx="13">
                  <c:v>1.0111596253207438</c:v>
                </c:pt>
                <c:pt idx="14">
                  <c:v>0.92356881501088284</c:v>
                </c:pt>
              </c:numCache>
            </c:numRef>
          </c:xVal>
          <c:yVal>
            <c:numRef>
              <c:f>'Temp-aire'!$L$10:$L$24</c:f>
              <c:numCache>
                <c:formatCode>General</c:formatCode>
                <c:ptCount val="15"/>
                <c:pt idx="0">
                  <c:v>28.392886867412198</c:v>
                </c:pt>
                <c:pt idx="1">
                  <c:v>28.249761100998459</c:v>
                </c:pt>
                <c:pt idx="2">
                  <c:v>28.191666666666674</c:v>
                </c:pt>
                <c:pt idx="3">
                  <c:v>28.122222222222224</c:v>
                </c:pt>
                <c:pt idx="4">
                  <c:v>27.763636363636365</c:v>
                </c:pt>
                <c:pt idx="5">
                  <c:v>28.133333333333329</c:v>
                </c:pt>
                <c:pt idx="6">
                  <c:v>28.166666666666661</c:v>
                </c:pt>
                <c:pt idx="7">
                  <c:v>27.633333333333336</c:v>
                </c:pt>
                <c:pt idx="8">
                  <c:v>27.775000000000002</c:v>
                </c:pt>
                <c:pt idx="9">
                  <c:v>27.974999999999998</c:v>
                </c:pt>
                <c:pt idx="10">
                  <c:v>28.133333333333329</c:v>
                </c:pt>
                <c:pt idx="11">
                  <c:v>27.858333333333338</c:v>
                </c:pt>
                <c:pt idx="12">
                  <c:v>28.025000000000002</c:v>
                </c:pt>
                <c:pt idx="13">
                  <c:v>28.05</c:v>
                </c:pt>
                <c:pt idx="14">
                  <c:v>27.708333333333332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9-4C54-A335-4C5E00DBE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110447"/>
        <c:axId val="353110927"/>
      </c:scatterChart>
      <c:valAx>
        <c:axId val="35311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MODIS</a:t>
                </a:r>
                <a:r>
                  <a:rPr lang="en-US" baseline="0">
                    <a:solidFill>
                      <a:schemeClr val="tx1"/>
                    </a:solidFill>
                  </a:rPr>
                  <a:t> Terra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927"/>
        <c:crosses val="autoZero"/>
        <c:crossBetween val="midCat"/>
      </c:valAx>
      <c:valAx>
        <c:axId val="35311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 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44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MODIS_Terra!$O$1</c:f>
              <c:strCache>
                <c:ptCount val="1"/>
                <c:pt idx="0">
                  <c:v>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108902012248471"/>
                  <c:y val="-0.143230898221055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MODIS_Terra!$O$2:$O$14</c:f>
              <c:numCache>
                <c:formatCode>0</c:formatCode>
                <c:ptCount val="13"/>
                <c:pt idx="0">
                  <c:v>171</c:v>
                </c:pt>
                <c:pt idx="1">
                  <c:v>156</c:v>
                </c:pt>
                <c:pt idx="2">
                  <c:v>143</c:v>
                </c:pt>
                <c:pt idx="3">
                  <c:v>149</c:v>
                </c:pt>
                <c:pt idx="4">
                  <c:v>125</c:v>
                </c:pt>
                <c:pt idx="5">
                  <c:v>89</c:v>
                </c:pt>
                <c:pt idx="6">
                  <c:v>151</c:v>
                </c:pt>
                <c:pt idx="7">
                  <c:v>121</c:v>
                </c:pt>
                <c:pt idx="8">
                  <c:v>125</c:v>
                </c:pt>
                <c:pt idx="9">
                  <c:v>148</c:v>
                </c:pt>
                <c:pt idx="10">
                  <c:v>130</c:v>
                </c:pt>
                <c:pt idx="11">
                  <c:v>143</c:v>
                </c:pt>
                <c:pt idx="12">
                  <c:v>117</c:v>
                </c:pt>
              </c:numCache>
            </c:numRef>
          </c:xVal>
          <c:yVal>
            <c:numRef>
              <c:f>'Temp-aire'!$L$10:$L$22</c:f>
              <c:numCache>
                <c:formatCode>General</c:formatCode>
                <c:ptCount val="13"/>
                <c:pt idx="0">
                  <c:v>28.392886867412198</c:v>
                </c:pt>
                <c:pt idx="1">
                  <c:v>28.249761100998459</c:v>
                </c:pt>
                <c:pt idx="2">
                  <c:v>28.191666666666674</c:v>
                </c:pt>
                <c:pt idx="3">
                  <c:v>28.122222222222224</c:v>
                </c:pt>
                <c:pt idx="4">
                  <c:v>27.763636363636365</c:v>
                </c:pt>
                <c:pt idx="5">
                  <c:v>28.133333333333329</c:v>
                </c:pt>
                <c:pt idx="6">
                  <c:v>28.166666666666661</c:v>
                </c:pt>
                <c:pt idx="7">
                  <c:v>27.633333333333336</c:v>
                </c:pt>
                <c:pt idx="8">
                  <c:v>27.775000000000002</c:v>
                </c:pt>
                <c:pt idx="9">
                  <c:v>27.974999999999998</c:v>
                </c:pt>
                <c:pt idx="10">
                  <c:v>28.133333333333329</c:v>
                </c:pt>
                <c:pt idx="11">
                  <c:v>27.858333333333338</c:v>
                </c:pt>
                <c:pt idx="12">
                  <c:v>28.025000000000002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B8-4B34-A898-339B7974E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110447"/>
        <c:axId val="353110927"/>
      </c:scatterChart>
      <c:valAx>
        <c:axId val="35311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MODIS Aqua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927"/>
        <c:crosses val="autoZero"/>
        <c:crossBetween val="midCat"/>
      </c:valAx>
      <c:valAx>
        <c:axId val="35311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 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44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HadISST1!$D$1</c:f>
              <c:strCache>
                <c:ptCount val="1"/>
                <c:pt idx="0">
                  <c:v>HADISST (°C)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849081364829393E-2"/>
                  <c:y val="0.42254082822980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HadISST1!$L$2:$L$63</c:f>
              <c:numCache>
                <c:formatCode>0.0</c:formatCode>
                <c:ptCount val="62"/>
                <c:pt idx="0">
                  <c:v>28.355173833333328</c:v>
                </c:pt>
                <c:pt idx="1">
                  <c:v>28.293394333333335</c:v>
                </c:pt>
                <c:pt idx="2">
                  <c:v>28.339949749999999</c:v>
                </c:pt>
                <c:pt idx="3">
                  <c:v>28.264226666666669</c:v>
                </c:pt>
                <c:pt idx="4">
                  <c:v>28.428455916666667</c:v>
                </c:pt>
                <c:pt idx="5">
                  <c:v>28.769775499999994</c:v>
                </c:pt>
                <c:pt idx="6">
                  <c:v>28.08855208333333</c:v>
                </c:pt>
                <c:pt idx="7">
                  <c:v>28.12761025</c:v>
                </c:pt>
                <c:pt idx="8">
                  <c:v>28.209015750000002</c:v>
                </c:pt>
                <c:pt idx="9">
                  <c:v>28.362006749999995</c:v>
                </c:pt>
                <c:pt idx="10">
                  <c:v>28.552892583333332</c:v>
                </c:pt>
                <c:pt idx="11">
                  <c:v>28.266666999999998</c:v>
                </c:pt>
                <c:pt idx="12">
                  <c:v>28.298869166666666</c:v>
                </c:pt>
                <c:pt idx="13">
                  <c:v>28.077443916666667</c:v>
                </c:pt>
                <c:pt idx="14">
                  <c:v>28.024439666666666</c:v>
                </c:pt>
                <c:pt idx="15">
                  <c:v>27.931871750000003</c:v>
                </c:pt>
                <c:pt idx="16">
                  <c:v>28.058624499999997</c:v>
                </c:pt>
                <c:pt idx="17">
                  <c:v>28.510966333333329</c:v>
                </c:pt>
                <c:pt idx="18">
                  <c:v>28.115058000000005</c:v>
                </c:pt>
                <c:pt idx="19">
                  <c:v>28.120864749999999</c:v>
                </c:pt>
                <c:pt idx="20">
                  <c:v>28.316777833333333</c:v>
                </c:pt>
                <c:pt idx="21">
                  <c:v>27.888758000000006</c:v>
                </c:pt>
                <c:pt idx="22">
                  <c:v>28.107895583333331</c:v>
                </c:pt>
                <c:pt idx="23">
                  <c:v>27.87795366666667</c:v>
                </c:pt>
                <c:pt idx="24">
                  <c:v>27.760664083333335</c:v>
                </c:pt>
                <c:pt idx="25">
                  <c:v>27.93991741666667</c:v>
                </c:pt>
                <c:pt idx="26">
                  <c:v>27.649690250000006</c:v>
                </c:pt>
                <c:pt idx="27">
                  <c:v>28.092704083333331</c:v>
                </c:pt>
                <c:pt idx="28">
                  <c:v>28.246921083333337</c:v>
                </c:pt>
                <c:pt idx="29">
                  <c:v>27.5675025</c:v>
                </c:pt>
                <c:pt idx="30">
                  <c:v>27.473912250000001</c:v>
                </c:pt>
                <c:pt idx="31">
                  <c:v>27.73608175</c:v>
                </c:pt>
                <c:pt idx="32">
                  <c:v>28.159372166666667</c:v>
                </c:pt>
                <c:pt idx="33">
                  <c:v>27.829861749999996</c:v>
                </c:pt>
                <c:pt idx="34">
                  <c:v>28.183046750000003</c:v>
                </c:pt>
                <c:pt idx="35">
                  <c:v>28.043225333333336</c:v>
                </c:pt>
                <c:pt idx="36">
                  <c:v>27.986774416666673</c:v>
                </c:pt>
                <c:pt idx="37">
                  <c:v>27.972403499999999</c:v>
                </c:pt>
                <c:pt idx="38">
                  <c:v>27.774049833333336</c:v>
                </c:pt>
                <c:pt idx="39">
                  <c:v>27.514467499999999</c:v>
                </c:pt>
                <c:pt idx="40">
                  <c:v>27.558954583333332</c:v>
                </c:pt>
                <c:pt idx="41">
                  <c:v>27.592790750000002</c:v>
                </c:pt>
                <c:pt idx="42">
                  <c:v>28.07664158333333</c:v>
                </c:pt>
                <c:pt idx="43">
                  <c:v>27.869388916666669</c:v>
                </c:pt>
                <c:pt idx="44">
                  <c:v>27.683181750000003</c:v>
                </c:pt>
                <c:pt idx="45">
                  <c:v>28.037218416666665</c:v>
                </c:pt>
                <c:pt idx="46">
                  <c:v>28.474781416666669</c:v>
                </c:pt>
                <c:pt idx="47">
                  <c:v>27.772011333333335</c:v>
                </c:pt>
                <c:pt idx="48">
                  <c:v>27.815735333333333</c:v>
                </c:pt>
                <c:pt idx="49">
                  <c:v>28.076882083333331</c:v>
                </c:pt>
                <c:pt idx="50">
                  <c:v>27.645168583333341</c:v>
                </c:pt>
                <c:pt idx="51">
                  <c:v>27.886182833333336</c:v>
                </c:pt>
                <c:pt idx="52">
                  <c:v>28.205158166666664</c:v>
                </c:pt>
                <c:pt idx="53">
                  <c:v>28.066027083333335</c:v>
                </c:pt>
                <c:pt idx="54">
                  <c:v>28.061047250000001</c:v>
                </c:pt>
                <c:pt idx="55">
                  <c:v>28.31934583333334</c:v>
                </c:pt>
                <c:pt idx="56">
                  <c:v>27.904639749999998</c:v>
                </c:pt>
                <c:pt idx="57">
                  <c:v>28.568485999999996</c:v>
                </c:pt>
                <c:pt idx="58">
                  <c:v>27.856275833333331</c:v>
                </c:pt>
                <c:pt idx="59">
                  <c:v>27.723436416666669</c:v>
                </c:pt>
                <c:pt idx="60">
                  <c:v>27.847912249999997</c:v>
                </c:pt>
                <c:pt idx="61">
                  <c:v>27.961707083333334</c:v>
                </c:pt>
              </c:numCache>
            </c:numRef>
          </c:xVal>
          <c:yVal>
            <c:numRef>
              <c:f>'Temp-aire'!$L$10:$L$71</c:f>
              <c:numCache>
                <c:formatCode>General</c:formatCode>
                <c:ptCount val="62"/>
                <c:pt idx="0">
                  <c:v>28.392886867412198</c:v>
                </c:pt>
                <c:pt idx="1">
                  <c:v>28.249761100998459</c:v>
                </c:pt>
                <c:pt idx="2">
                  <c:v>28.191666666666674</c:v>
                </c:pt>
                <c:pt idx="3">
                  <c:v>28.122222222222224</c:v>
                </c:pt>
                <c:pt idx="4">
                  <c:v>27.763636363636365</c:v>
                </c:pt>
                <c:pt idx="5">
                  <c:v>28.133333333333329</c:v>
                </c:pt>
                <c:pt idx="6">
                  <c:v>28.166666666666661</c:v>
                </c:pt>
                <c:pt idx="7">
                  <c:v>27.633333333333336</c:v>
                </c:pt>
                <c:pt idx="8">
                  <c:v>27.775000000000002</c:v>
                </c:pt>
                <c:pt idx="9">
                  <c:v>27.974999999999998</c:v>
                </c:pt>
                <c:pt idx="10">
                  <c:v>28.133333333333329</c:v>
                </c:pt>
                <c:pt idx="11">
                  <c:v>27.858333333333338</c:v>
                </c:pt>
                <c:pt idx="12">
                  <c:v>28.025000000000002</c:v>
                </c:pt>
                <c:pt idx="13">
                  <c:v>28.05</c:v>
                </c:pt>
                <c:pt idx="14">
                  <c:v>27.708333333333332</c:v>
                </c:pt>
                <c:pt idx="15">
                  <c:v>27.390909090909087</c:v>
                </c:pt>
                <c:pt idx="16">
                  <c:v>27.408333333333331</c:v>
                </c:pt>
                <c:pt idx="17">
                  <c:v>28.100000000000005</c:v>
                </c:pt>
                <c:pt idx="18">
                  <c:v>27.766666666666666</c:v>
                </c:pt>
                <c:pt idx="19">
                  <c:v>27.691666666666666</c:v>
                </c:pt>
                <c:pt idx="20">
                  <c:v>27.791666666666668</c:v>
                </c:pt>
                <c:pt idx="21">
                  <c:v>27.5</c:v>
                </c:pt>
                <c:pt idx="22">
                  <c:v>27.791666666666661</c:v>
                </c:pt>
                <c:pt idx="23">
                  <c:v>27.774999999999995</c:v>
                </c:pt>
                <c:pt idx="24">
                  <c:v>27.624999999999996</c:v>
                </c:pt>
                <c:pt idx="25">
                  <c:v>27.474999999999998</c:v>
                </c:pt>
                <c:pt idx="26">
                  <c:v>27.575000000000003</c:v>
                </c:pt>
                <c:pt idx="27">
                  <c:v>27.508333333333329</c:v>
                </c:pt>
                <c:pt idx="28">
                  <c:v>27.966666666666669</c:v>
                </c:pt>
                <c:pt idx="29">
                  <c:v>27.666666666666671</c:v>
                </c:pt>
                <c:pt idx="30">
                  <c:v>27.466666666666665</c:v>
                </c:pt>
                <c:pt idx="31">
                  <c:v>27.391666666666666</c:v>
                </c:pt>
                <c:pt idx="32">
                  <c:v>28.116666666666664</c:v>
                </c:pt>
                <c:pt idx="33">
                  <c:v>27.591666666666669</c:v>
                </c:pt>
                <c:pt idx="34">
                  <c:v>27.858333333333334</c:v>
                </c:pt>
                <c:pt idx="35">
                  <c:v>28.108333333333334</c:v>
                </c:pt>
                <c:pt idx="36">
                  <c:v>28.099999999999998</c:v>
                </c:pt>
                <c:pt idx="37">
                  <c:v>28.133333333333329</c:v>
                </c:pt>
                <c:pt idx="38">
                  <c:v>27.691666666666663</c:v>
                </c:pt>
                <c:pt idx="39">
                  <c:v>27.224999999999998</c:v>
                </c:pt>
                <c:pt idx="40">
                  <c:v>27.058333333333337</c:v>
                </c:pt>
                <c:pt idx="41">
                  <c:v>27.783333333333331</c:v>
                </c:pt>
                <c:pt idx="42">
                  <c:v>27.933333333333334</c:v>
                </c:pt>
                <c:pt idx="43">
                  <c:v>28.416666666666668</c:v>
                </c:pt>
                <c:pt idx="44">
                  <c:v>27.866666666666664</c:v>
                </c:pt>
                <c:pt idx="45">
                  <c:v>27.574999999999999</c:v>
                </c:pt>
                <c:pt idx="46">
                  <c:v>27.5</c:v>
                </c:pt>
                <c:pt idx="47">
                  <c:v>27.258333333333336</c:v>
                </c:pt>
                <c:pt idx="48">
                  <c:v>27.691666666666666</c:v>
                </c:pt>
                <c:pt idx="49">
                  <c:v>27.474999999999998</c:v>
                </c:pt>
                <c:pt idx="50">
                  <c:v>27.641666666666666</c:v>
                </c:pt>
                <c:pt idx="51">
                  <c:v>27.45</c:v>
                </c:pt>
                <c:pt idx="52">
                  <c:v>27.841666666666669</c:v>
                </c:pt>
                <c:pt idx="53">
                  <c:v>27.858333333333334</c:v>
                </c:pt>
                <c:pt idx="54">
                  <c:v>27.341666666666669</c:v>
                </c:pt>
                <c:pt idx="55">
                  <c:v>27.900000000000002</c:v>
                </c:pt>
                <c:pt idx="56">
                  <c:v>27.474999999999998</c:v>
                </c:pt>
                <c:pt idx="57">
                  <c:v>28.333333333333329</c:v>
                </c:pt>
                <c:pt idx="58">
                  <c:v>28.108333333333334</c:v>
                </c:pt>
                <c:pt idx="59">
                  <c:v>27.299999999999997</c:v>
                </c:pt>
                <c:pt idx="60">
                  <c:v>27.641666666666666</c:v>
                </c:pt>
                <c:pt idx="61">
                  <c:v>27.833333333333332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27-4A9D-9088-EFC765FBE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110447"/>
        <c:axId val="353110927"/>
      </c:scatterChart>
      <c:valAx>
        <c:axId val="35311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HADISST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927"/>
        <c:crosses val="autoZero"/>
        <c:crossBetween val="midCat"/>
      </c:valAx>
      <c:valAx>
        <c:axId val="35311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 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44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173354</xdr:colOff>
      <xdr:row>0</xdr:row>
      <xdr:rowOff>93345</xdr:rowOff>
    </xdr:from>
    <xdr:to>
      <xdr:col>36</xdr:col>
      <xdr:colOff>68580</xdr:colOff>
      <xdr:row>17</xdr:row>
      <xdr:rowOff>150495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73AE55-BF27-4BDD-8F02-B2AFEB38E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</xdr:colOff>
      <xdr:row>36</xdr:row>
      <xdr:rowOff>128587</xdr:rowOff>
    </xdr:from>
    <xdr:to>
      <xdr:col>22</xdr:col>
      <xdr:colOff>62865</xdr:colOff>
      <xdr:row>51</xdr:row>
      <xdr:rowOff>14287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CC62AED-5147-44FF-A797-1BE60AD51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400050</xdr:colOff>
      <xdr:row>18</xdr:row>
      <xdr:rowOff>20955</xdr:rowOff>
    </xdr:from>
    <xdr:to>
      <xdr:col>27</xdr:col>
      <xdr:colOff>683896</xdr:colOff>
      <xdr:row>35</xdr:row>
      <xdr:rowOff>78105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726CDB-378E-45CC-B8C4-18AA7418F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</xdr:row>
      <xdr:rowOff>60960</xdr:rowOff>
    </xdr:from>
    <xdr:to>
      <xdr:col>24</xdr:col>
      <xdr:colOff>84772</xdr:colOff>
      <xdr:row>15</xdr:row>
      <xdr:rowOff>137160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E8C9F86-A7FC-48B7-B7BF-A3236A2F2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16</xdr:row>
      <xdr:rowOff>68580</xdr:rowOff>
    </xdr:from>
    <xdr:to>
      <xdr:col>13</xdr:col>
      <xdr:colOff>213360</xdr:colOff>
      <xdr:row>31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D9D5CD-F1F8-4771-B794-ABAF4C4F8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480060</xdr:colOff>
      <xdr:row>16</xdr:row>
      <xdr:rowOff>64770</xdr:rowOff>
    </xdr:from>
    <xdr:to>
      <xdr:col>19</xdr:col>
      <xdr:colOff>725805</xdr:colOff>
      <xdr:row>31</xdr:row>
      <xdr:rowOff>64770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3F0D5C-AEBB-40E2-AC81-213005622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502920</xdr:colOff>
      <xdr:row>17</xdr:row>
      <xdr:rowOff>15240</xdr:rowOff>
    </xdr:from>
    <xdr:to>
      <xdr:col>13</xdr:col>
      <xdr:colOff>106680</xdr:colOff>
      <xdr:row>32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B93A9B-50E6-4291-B79B-75D43C284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274320</xdr:colOff>
      <xdr:row>17</xdr:row>
      <xdr:rowOff>41910</xdr:rowOff>
    </xdr:from>
    <xdr:to>
      <xdr:col>20</xdr:col>
      <xdr:colOff>62865</xdr:colOff>
      <xdr:row>32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D9A8BB-9FFF-41C8-923F-43858F951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480060</xdr:colOff>
      <xdr:row>1</xdr:row>
      <xdr:rowOff>53340</xdr:rowOff>
    </xdr:from>
    <xdr:to>
      <xdr:col>21</xdr:col>
      <xdr:colOff>121920</xdr:colOff>
      <xdr:row>16</xdr:row>
      <xdr:rowOff>53340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6631C7-DE7A-4B19-89B5-701FC2D84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281940</xdr:colOff>
      <xdr:row>1</xdr:row>
      <xdr:rowOff>171450</xdr:rowOff>
    </xdr:from>
    <xdr:to>
      <xdr:col>22</xdr:col>
      <xdr:colOff>99060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485920-1AC0-4373-9184-ED9B37F4A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430530</xdr:colOff>
      <xdr:row>19</xdr:row>
      <xdr:rowOff>85725</xdr:rowOff>
    </xdr:from>
    <xdr:to>
      <xdr:col>21</xdr:col>
      <xdr:colOff>47625</xdr:colOff>
      <xdr:row>33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26EFE-DF8E-47E3-8B8E-46C33B486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409575</xdr:colOff>
      <xdr:row>3</xdr:row>
      <xdr:rowOff>106680</xdr:rowOff>
    </xdr:from>
    <xdr:to>
      <xdr:col>20</xdr:col>
      <xdr:colOff>224790</xdr:colOff>
      <xdr:row>18</xdr:row>
      <xdr:rowOff>106680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219472-FC1E-455F-BB6A-2ABC24B28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605117</xdr:colOff>
      <xdr:row>3</xdr:row>
      <xdr:rowOff>179294</xdr:rowOff>
    </xdr:from>
    <xdr:to>
      <xdr:col>11</xdr:col>
      <xdr:colOff>443753</xdr:colOff>
      <xdr:row>17</xdr:row>
      <xdr:rowOff>134471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71E73C-2327-F96D-B8C4-0009E390B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693420</xdr:colOff>
      <xdr:row>2</xdr:row>
      <xdr:rowOff>0</xdr:rowOff>
    </xdr:from>
    <xdr:to>
      <xdr:col>6</xdr:col>
      <xdr:colOff>510540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BD972A-33AC-4E79-98BC-74052B8DC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640080</xdr:colOff>
      <xdr:row>2</xdr:row>
      <xdr:rowOff>0</xdr:rowOff>
    </xdr:from>
    <xdr:to>
      <xdr:col>12</xdr:col>
      <xdr:colOff>457200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F4FA36-3048-4598-97DB-9D82B8007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670560</xdr:colOff>
      <xdr:row>17</xdr:row>
      <xdr:rowOff>167640</xdr:rowOff>
    </xdr:from>
    <xdr:to>
      <xdr:col>6</xdr:col>
      <xdr:colOff>487680</xdr:colOff>
      <xdr:row>32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633D463-5CBB-441A-9F48-C196ADB5F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IS DAVID LIZCANO SANDOVAL" id="{CC3794DB-9047-474C-9450-B0DE8509E3A7}" userId="S::lizcano.sandoval@comunidad.unam.mx::88f830f2-f149-4f1a-a5c1-cffacb885f9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" dT="2025-11-21T13:52:15.38" personId="{CC3794DB-9047-474C-9450-B0DE8509E3A7}" id="{F4960FCF-5E79-4F66-8947-3B6AEB551376}">
    <text>Valores interpolados con temperatura de aeropuerto (2014-2015)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11-27T16:57:52.51" personId="{CC3794DB-9047-474C-9450-B0DE8509E3A7}" id="{DC8DE1ED-FCF3-484F-8A2F-00F1AB8193B1}">
    <text>MODIS Aqua monthly means at 4.6 km per pixel.</text>
  </threadedComment>
  <threadedComment ref="F1" dT="2025-11-27T17:36:54.73" personId="{CC3794DB-9047-474C-9450-B0DE8509E3A7}" id="{803C6189-A22D-4E2F-A39C-7A865AE7BFED}">
    <text>It represent the number of pixels with valid data per month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dT="2025-11-27T17:04:20.92" personId="{CC3794DB-9047-474C-9450-B0DE8509E3A7}" id="{8696F112-AE01-4095-BE25-795464886709}">
    <text>MODIS Terra monthly means at 4.6 km per pixel.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5-11-27T21:35:13.96" personId="{CC3794DB-9047-474C-9450-B0DE8509E3A7}" id="{6C50C60B-1679-473F-98D5-CC32F9FB8406}">
    <text>HADISST1 at 1° per pixel (~111 km). Cell centroid at 10.5, -75.5.
Downloaded from NOAA ERDDAP:
https://coastwatch.pfeg.noaa.gov/erddap/griddap/erdHadISST.html</text>
    <extLst>
      <x:ext xmlns:xltc2="http://schemas.microsoft.com/office/spreadsheetml/2020/threadedcomments2" uri="{F7C98A9C-CBB3-438F-8F68-D28B6AF4A901}">
        <xltc2:checksum>708568805</xltc2:checksum>
        <xltc2:hyperlink startIndex="95" length="63" url="https://coastwatch.pfeg.noaa.gov/erddap/griddap/erdHadISST.html"/>
      </x:ext>
    </extLs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5-11-27T20:47:51.65" personId="{CC3794DB-9047-474C-9450-B0DE8509E3A7}" id="{B26D7163-F735-4659-A28A-7D69F716C3C5}">
    <text>OISST at 27 km per pixel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F889-C253-4AAA-840A-C60B66439297}">
  <dimension ref="A1:J7"/>
  <sheetViews>
    <sheetView workbookViewId="0">
      <selection activeCell="F13" sqref="F13"/>
    </sheetView>
  </sheetViews>
  <sheetFormatPr baseColWidth="10" defaultRowHeight="14.4" x14ac:dyDescent="0.3"/>
  <cols>
    <col min="1" max="1" width="12.33203125" customWidth="1"/>
    <col min="2" max="2" width="9.6640625" customWidth="1"/>
    <col min="4" max="4" width="12.88671875" customWidth="1"/>
    <col min="5" max="5" width="5.77734375" customWidth="1"/>
    <col min="6" max="6" width="6.77734375" customWidth="1"/>
    <col min="7" max="7" width="32.109375" customWidth="1"/>
    <col min="8" max="8" width="50" customWidth="1"/>
    <col min="9" max="9" width="19.44140625" customWidth="1"/>
    <col min="10" max="10" width="26.109375" customWidth="1"/>
  </cols>
  <sheetData>
    <row r="1" spans="1:10" x14ac:dyDescent="0.3">
      <c r="A1" s="24" t="s">
        <v>124</v>
      </c>
      <c r="B1" s="24" t="s">
        <v>128</v>
      </c>
      <c r="C1" s="24" t="s">
        <v>103</v>
      </c>
      <c r="D1" s="24" t="s">
        <v>106</v>
      </c>
      <c r="E1" s="24" t="s">
        <v>108</v>
      </c>
      <c r="F1" s="24" t="s">
        <v>109</v>
      </c>
      <c r="G1" s="24" t="s">
        <v>107</v>
      </c>
      <c r="H1" s="24" t="s">
        <v>116</v>
      </c>
      <c r="I1" s="24" t="s">
        <v>136</v>
      </c>
      <c r="J1" s="24" t="s">
        <v>135</v>
      </c>
    </row>
    <row r="2" spans="1:10" x14ac:dyDescent="0.3">
      <c r="A2" s="21" t="s">
        <v>100</v>
      </c>
      <c r="B2" s="21" t="s">
        <v>129</v>
      </c>
      <c r="C2" s="21" t="s">
        <v>114</v>
      </c>
      <c r="D2" s="21" t="s">
        <v>110</v>
      </c>
      <c r="E2" s="21"/>
      <c r="F2" s="21"/>
      <c r="G2" s="23" t="s">
        <v>132</v>
      </c>
      <c r="H2" s="22" t="s">
        <v>117</v>
      </c>
      <c r="I2" s="22" t="s">
        <v>139</v>
      </c>
    </row>
    <row r="3" spans="1:10" ht="28.8" x14ac:dyDescent="0.3">
      <c r="A3" s="21" t="s">
        <v>101</v>
      </c>
      <c r="B3" s="21" t="s">
        <v>130</v>
      </c>
      <c r="C3" s="21" t="s">
        <v>104</v>
      </c>
      <c r="D3" s="21">
        <v>4.5999999999999996</v>
      </c>
      <c r="E3" s="21"/>
      <c r="F3" s="21"/>
      <c r="G3" s="22" t="s">
        <v>111</v>
      </c>
      <c r="H3" s="22" t="s">
        <v>118</v>
      </c>
      <c r="I3" s="22" t="s">
        <v>137</v>
      </c>
    </row>
    <row r="4" spans="1:10" ht="28.8" x14ac:dyDescent="0.3">
      <c r="A4" s="21" t="s">
        <v>102</v>
      </c>
      <c r="B4" s="21" t="s">
        <v>130</v>
      </c>
      <c r="C4" s="21" t="s">
        <v>105</v>
      </c>
      <c r="D4" s="21">
        <v>4.5999999999999996</v>
      </c>
      <c r="E4" s="21"/>
      <c r="F4" s="21"/>
      <c r="G4" s="22" t="s">
        <v>111</v>
      </c>
      <c r="H4" s="22" t="s">
        <v>119</v>
      </c>
      <c r="I4" s="22" t="s">
        <v>137</v>
      </c>
    </row>
    <row r="5" spans="1:10" ht="28.8" x14ac:dyDescent="0.3">
      <c r="A5" s="21" t="s">
        <v>113</v>
      </c>
      <c r="B5" s="21" t="s">
        <v>130</v>
      </c>
      <c r="C5" s="21" t="s">
        <v>115</v>
      </c>
      <c r="D5" s="21">
        <v>4.5999999999999996</v>
      </c>
      <c r="E5" s="21"/>
      <c r="F5" s="21"/>
      <c r="G5" s="22" t="s">
        <v>111</v>
      </c>
      <c r="H5" s="22" t="s">
        <v>120</v>
      </c>
      <c r="I5" s="22" t="s">
        <v>137</v>
      </c>
    </row>
    <row r="6" spans="1:10" ht="43.2" x14ac:dyDescent="0.3">
      <c r="A6" s="21" t="s">
        <v>133</v>
      </c>
      <c r="B6" s="21" t="s">
        <v>131</v>
      </c>
      <c r="C6" s="21" t="s">
        <v>114</v>
      </c>
      <c r="D6" s="21">
        <v>111</v>
      </c>
      <c r="E6" s="21">
        <v>10.5</v>
      </c>
      <c r="F6" s="21">
        <v>-75.5</v>
      </c>
      <c r="G6" s="21" t="s">
        <v>122</v>
      </c>
      <c r="H6" s="22" t="s">
        <v>121</v>
      </c>
      <c r="I6" s="22" t="s">
        <v>138</v>
      </c>
      <c r="J6" s="22" t="s">
        <v>134</v>
      </c>
    </row>
    <row r="7" spans="1:10" ht="43.2" x14ac:dyDescent="0.3">
      <c r="A7" s="21" t="s">
        <v>123</v>
      </c>
      <c r="B7" s="21" t="s">
        <v>131</v>
      </c>
      <c r="C7" s="21" t="s">
        <v>115</v>
      </c>
      <c r="D7" s="21">
        <v>27.8</v>
      </c>
      <c r="E7" s="21"/>
      <c r="F7" s="21"/>
      <c r="G7" s="21" t="s">
        <v>122</v>
      </c>
      <c r="H7" s="22" t="s">
        <v>125</v>
      </c>
      <c r="I7" s="22" t="s">
        <v>137</v>
      </c>
      <c r="J7" s="22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D104-096E-4115-8AFE-59725A72E5AA}">
  <dimension ref="A1:U741"/>
  <sheetViews>
    <sheetView workbookViewId="0">
      <selection activeCell="D24" sqref="D24"/>
    </sheetView>
  </sheetViews>
  <sheetFormatPr baseColWidth="10" defaultColWidth="11.44140625" defaultRowHeight="14.4" x14ac:dyDescent="0.3"/>
  <cols>
    <col min="2" max="2" width="9.21875" customWidth="1"/>
    <col min="3" max="3" width="9.5546875" customWidth="1"/>
    <col min="4" max="4" width="10" customWidth="1"/>
    <col min="6" max="6" width="10" customWidth="1"/>
    <col min="9" max="20" width="6.44140625" customWidth="1"/>
  </cols>
  <sheetData>
    <row r="1" spans="1:21" x14ac:dyDescent="0.3">
      <c r="A1" s="8" t="s">
        <v>28</v>
      </c>
      <c r="B1" s="7"/>
      <c r="C1" s="7"/>
      <c r="D1" s="7"/>
      <c r="E1" s="7"/>
    </row>
    <row r="2" spans="1:21" x14ac:dyDescent="0.3">
      <c r="A2" t="s">
        <v>27</v>
      </c>
    </row>
    <row r="3" spans="1:21" x14ac:dyDescent="0.3">
      <c r="A3" t="s">
        <v>26</v>
      </c>
    </row>
    <row r="4" spans="1:21" x14ac:dyDescent="0.3">
      <c r="A4" s="4" t="s">
        <v>25</v>
      </c>
    </row>
    <row r="5" spans="1:21" x14ac:dyDescent="0.3">
      <c r="A5" t="s">
        <v>24</v>
      </c>
      <c r="D5" t="s">
        <v>23</v>
      </c>
    </row>
    <row r="6" spans="1:21" x14ac:dyDescent="0.3">
      <c r="A6" t="s">
        <v>22</v>
      </c>
      <c r="D6" t="s">
        <v>21</v>
      </c>
    </row>
    <row r="7" spans="1:21" x14ac:dyDescent="0.3">
      <c r="A7" t="s">
        <v>20</v>
      </c>
      <c r="D7" t="s">
        <v>19</v>
      </c>
    </row>
    <row r="9" spans="1:21" x14ac:dyDescent="0.3">
      <c r="A9" s="4" t="s">
        <v>18</v>
      </c>
      <c r="B9" s="4" t="s">
        <v>13</v>
      </c>
      <c r="C9" s="4" t="s">
        <v>17</v>
      </c>
      <c r="D9" s="4" t="s">
        <v>12</v>
      </c>
      <c r="F9" s="4" t="s">
        <v>16</v>
      </c>
      <c r="G9" s="27" t="s">
        <v>15</v>
      </c>
      <c r="H9" s="27"/>
      <c r="I9" s="5" t="s">
        <v>14</v>
      </c>
      <c r="K9" s="4" t="s">
        <v>13</v>
      </c>
      <c r="L9" s="4" t="s">
        <v>12</v>
      </c>
    </row>
    <row r="10" spans="1:21" x14ac:dyDescent="0.3">
      <c r="A10" t="s">
        <v>11</v>
      </c>
      <c r="B10">
        <v>1954</v>
      </c>
      <c r="C10" s="3">
        <v>1953.99999998459</v>
      </c>
      <c r="D10">
        <v>26.3</v>
      </c>
      <c r="E10" s="1">
        <v>19725</v>
      </c>
      <c r="F10" s="2">
        <f>STANDARDIZE(D10,H$10,I$10)</f>
        <v>-1.1751300716048563</v>
      </c>
      <c r="G10" t="s">
        <v>11</v>
      </c>
      <c r="H10" s="2">
        <f t="shared" ref="H10:H21" si="0">AVERAGEIF(A$10:A$729,G10,D$10:D$729)</f>
        <v>26.972881355932209</v>
      </c>
      <c r="I10" s="2">
        <v>0.57260159721150283</v>
      </c>
      <c r="K10" s="15">
        <v>2015</v>
      </c>
      <c r="L10" s="16">
        <v>28.392886867412198</v>
      </c>
      <c r="U10" s="1"/>
    </row>
    <row r="11" spans="1:21" x14ac:dyDescent="0.3">
      <c r="A11" t="s">
        <v>10</v>
      </c>
      <c r="B11">
        <v>1954</v>
      </c>
      <c r="C11" s="3">
        <v>1954.0833333179501</v>
      </c>
      <c r="D11">
        <v>26.6</v>
      </c>
      <c r="E11" s="1">
        <v>19756</v>
      </c>
      <c r="F11" s="2">
        <f>STANDARDIZE(D11,H$11,I$11)</f>
        <v>-0.58761173593345406</v>
      </c>
      <c r="G11" t="s">
        <v>10</v>
      </c>
      <c r="H11" s="2">
        <f t="shared" si="0"/>
        <v>26.901666666666678</v>
      </c>
      <c r="I11" s="2">
        <f t="array" ref="I11">_xlfn.STDEV.S(IF(A$10:A$729=G11,D$10:D$729))</f>
        <v>0.51337753863520474</v>
      </c>
      <c r="K11" s="15">
        <v>2014</v>
      </c>
      <c r="L11" s="16">
        <v>28.249761100998459</v>
      </c>
      <c r="U11" s="1"/>
    </row>
    <row r="12" spans="1:21" x14ac:dyDescent="0.3">
      <c r="A12" t="s">
        <v>9</v>
      </c>
      <c r="B12">
        <v>1954</v>
      </c>
      <c r="C12" s="3">
        <v>1954.1666666513099</v>
      </c>
      <c r="D12">
        <v>27.4</v>
      </c>
      <c r="E12" s="1">
        <v>19784</v>
      </c>
      <c r="F12" s="2">
        <f>STANDARDIZE(D12,H$12,I$12)</f>
        <v>0.28874036684669685</v>
      </c>
      <c r="G12" t="s">
        <v>9</v>
      </c>
      <c r="H12" s="2">
        <f t="shared" si="0"/>
        <v>27.236666666666679</v>
      </c>
      <c r="I12" s="2">
        <f t="array" ref="I12">_xlfn.STDEV.S(IF(A$10:A$729=G12,D$10:D$729))</f>
        <v>0.5656754374771561</v>
      </c>
      <c r="K12">
        <v>2013</v>
      </c>
      <c r="L12">
        <f t="shared" ref="L12:L43" si="1">AVERAGEIF(B$10:B$729,K12,D$10:D$729)</f>
        <v>28.191666666666674</v>
      </c>
      <c r="U12" s="1"/>
    </row>
    <row r="13" spans="1:21" x14ac:dyDescent="0.3">
      <c r="A13" t="s">
        <v>8</v>
      </c>
      <c r="B13">
        <v>1954</v>
      </c>
      <c r="C13" s="3">
        <v>1954.24999998467</v>
      </c>
      <c r="D13">
        <v>27.8</v>
      </c>
      <c r="E13" s="1">
        <v>19815</v>
      </c>
      <c r="F13" s="2">
        <f>STANDARDIZE(D13,H$13,I$13)</f>
        <v>0.24261039677669438</v>
      </c>
      <c r="G13" t="s">
        <v>8</v>
      </c>
      <c r="H13" s="2">
        <f t="shared" si="0"/>
        <v>27.685000000000002</v>
      </c>
      <c r="I13" s="2">
        <f t="array" ref="I13">_xlfn.STDEV.S(IF(A$10:A$729=G13,D$10:D$729))</f>
        <v>0.47401101324543715</v>
      </c>
      <c r="K13">
        <v>2012</v>
      </c>
      <c r="L13">
        <f t="shared" si="1"/>
        <v>28.122222222222224</v>
      </c>
      <c r="U13" s="1"/>
    </row>
    <row r="14" spans="1:21" x14ac:dyDescent="0.3">
      <c r="A14" t="s">
        <v>7</v>
      </c>
      <c r="B14">
        <v>1954</v>
      </c>
      <c r="C14" s="3">
        <v>1954.3333333180301</v>
      </c>
      <c r="D14">
        <v>28.3</v>
      </c>
      <c r="E14" s="1">
        <v>19845</v>
      </c>
      <c r="F14" s="2">
        <f>STANDARDIZE(D14,H$14,I$14)</f>
        <v>0.32473894272284271</v>
      </c>
      <c r="G14" t="s">
        <v>7</v>
      </c>
      <c r="H14" s="2">
        <f t="shared" si="0"/>
        <v>28.178333333333338</v>
      </c>
      <c r="I14" s="2">
        <f t="array" ref="I14">_xlfn.STDEV.S(IF(A$10:A$729=G14,D$10:D$729))</f>
        <v>0.37465992112471191</v>
      </c>
      <c r="K14">
        <v>2011</v>
      </c>
      <c r="L14">
        <f t="shared" si="1"/>
        <v>27.763636363636365</v>
      </c>
      <c r="U14" s="1"/>
    </row>
    <row r="15" spans="1:21" x14ac:dyDescent="0.3">
      <c r="A15" t="s">
        <v>6</v>
      </c>
      <c r="B15">
        <v>1954</v>
      </c>
      <c r="C15" s="3">
        <v>1954.41666665139</v>
      </c>
      <c r="D15">
        <v>28.7</v>
      </c>
      <c r="E15" s="1">
        <v>19876</v>
      </c>
      <c r="F15" s="2">
        <f>STANDARDIZE(D15,H$15,I$15)</f>
        <v>0.81751182458959581</v>
      </c>
      <c r="G15" t="s">
        <v>6</v>
      </c>
      <c r="H15" s="2">
        <f t="shared" si="0"/>
        <v>28.353333333333332</v>
      </c>
      <c r="I15" s="2">
        <f t="array" ref="I15">_xlfn.STDEV.S(IF(A$10:A$729=G15,D$10:D$729))</f>
        <v>0.42405095099474538</v>
      </c>
      <c r="K15">
        <v>2010</v>
      </c>
      <c r="L15">
        <f t="shared" si="1"/>
        <v>28.133333333333329</v>
      </c>
      <c r="U15" s="1"/>
    </row>
    <row r="16" spans="1:21" x14ac:dyDescent="0.3">
      <c r="A16" t="s">
        <v>5</v>
      </c>
      <c r="B16">
        <v>1954</v>
      </c>
      <c r="C16" s="3">
        <v>1954.49999998475</v>
      </c>
      <c r="D16">
        <v>28.8</v>
      </c>
      <c r="E16" s="1">
        <v>19906</v>
      </c>
      <c r="F16" s="2">
        <f>STANDARDIZE(D16,H$16,I$16)</f>
        <v>1.5798801646100991</v>
      </c>
      <c r="G16" t="s">
        <v>5</v>
      </c>
      <c r="H16" s="2">
        <f t="shared" si="0"/>
        <v>28.211666666666662</v>
      </c>
      <c r="I16" s="2">
        <f t="array" ref="I16">_xlfn.STDEV.S(IF(A$10:A$729=G16,D$10:D$729))</f>
        <v>0.37239111327062829</v>
      </c>
      <c r="K16">
        <v>2009</v>
      </c>
      <c r="L16">
        <f t="shared" si="1"/>
        <v>28.166666666666661</v>
      </c>
      <c r="U16" s="1"/>
    </row>
    <row r="17" spans="1:21" x14ac:dyDescent="0.3">
      <c r="A17" t="s">
        <v>4</v>
      </c>
      <c r="B17">
        <v>1954</v>
      </c>
      <c r="C17" s="3">
        <v>1954.5833333181099</v>
      </c>
      <c r="D17">
        <v>28.7</v>
      </c>
      <c r="E17" s="1">
        <v>19937</v>
      </c>
      <c r="F17" s="2">
        <f>STANDARDIZE(D17,H$17,I$17)</f>
        <v>1.0970273516078821</v>
      </c>
      <c r="G17" t="s">
        <v>4</v>
      </c>
      <c r="H17" s="2">
        <f t="shared" si="0"/>
        <v>28.17499999999999</v>
      </c>
      <c r="I17" s="2">
        <f t="array" ref="I17">_xlfn.STDEV.S(IF(A$10:A$729=G17,D$10:D$729))</f>
        <v>0.47856600770302715</v>
      </c>
      <c r="K17">
        <v>2008</v>
      </c>
      <c r="L17">
        <f t="shared" si="1"/>
        <v>27.633333333333336</v>
      </c>
      <c r="U17" s="1"/>
    </row>
    <row r="18" spans="1:21" x14ac:dyDescent="0.3">
      <c r="A18" t="s">
        <v>3</v>
      </c>
      <c r="B18">
        <v>1954</v>
      </c>
      <c r="C18" s="3">
        <v>1954.66666665147</v>
      </c>
      <c r="D18">
        <v>28.5</v>
      </c>
      <c r="E18" s="1">
        <v>19968</v>
      </c>
      <c r="F18" s="2">
        <f>STANDARDIZE(D18,H$18,I$18)</f>
        <v>0.64229304222092143</v>
      </c>
      <c r="G18" t="s">
        <v>3</v>
      </c>
      <c r="H18" s="2">
        <f t="shared" si="0"/>
        <v>28.214999999999996</v>
      </c>
      <c r="I18" s="2">
        <f t="array" ref="I18">_xlfn.STDEV.S(IF(A$10:A$729=G18,D$10:D$729))</f>
        <v>0.44372269550753723</v>
      </c>
      <c r="K18">
        <v>2007</v>
      </c>
      <c r="L18">
        <f t="shared" si="1"/>
        <v>27.775000000000002</v>
      </c>
      <c r="U18" s="1"/>
    </row>
    <row r="19" spans="1:21" x14ac:dyDescent="0.3">
      <c r="A19" t="s">
        <v>2</v>
      </c>
      <c r="B19">
        <v>1954</v>
      </c>
      <c r="C19" s="3">
        <v>1954.7499999848301</v>
      </c>
      <c r="D19">
        <v>27.8</v>
      </c>
      <c r="E19" s="1">
        <v>19998</v>
      </c>
      <c r="F19" s="2">
        <f>STANDARDIZE(D19,H$19,I$19)</f>
        <v>-0.23271810752067018</v>
      </c>
      <c r="G19" t="s">
        <v>2</v>
      </c>
      <c r="H19" s="2">
        <f t="shared" si="0"/>
        <v>27.911864406779664</v>
      </c>
      <c r="I19" s="2">
        <v>0.48068630314779937</v>
      </c>
      <c r="K19">
        <v>2006</v>
      </c>
      <c r="L19">
        <f t="shared" si="1"/>
        <v>27.974999999999998</v>
      </c>
      <c r="U19" s="1"/>
    </row>
    <row r="20" spans="1:21" x14ac:dyDescent="0.3">
      <c r="A20" t="s">
        <v>1</v>
      </c>
      <c r="B20">
        <v>1954</v>
      </c>
      <c r="C20" s="3">
        <v>1954.8333333181899</v>
      </c>
      <c r="D20">
        <v>27.8</v>
      </c>
      <c r="E20" s="1">
        <v>20029</v>
      </c>
      <c r="F20" s="2">
        <f>STANDARDIZE(D20,H$20,I$20)</f>
        <v>-5.731108784587409E-2</v>
      </c>
      <c r="G20" t="s">
        <v>1</v>
      </c>
      <c r="H20" s="2">
        <f t="shared" si="0"/>
        <v>27.832203389830507</v>
      </c>
      <c r="I20" s="2">
        <v>0.56190505259838464</v>
      </c>
      <c r="K20">
        <v>2005</v>
      </c>
      <c r="L20">
        <f t="shared" si="1"/>
        <v>28.133333333333329</v>
      </c>
      <c r="U20" s="1"/>
    </row>
    <row r="21" spans="1:21" x14ac:dyDescent="0.3">
      <c r="A21" t="s">
        <v>0</v>
      </c>
      <c r="B21">
        <v>1954</v>
      </c>
      <c r="C21" s="3">
        <v>1954.91666665155</v>
      </c>
      <c r="D21">
        <v>27.3</v>
      </c>
      <c r="E21" s="1">
        <v>20059</v>
      </c>
      <c r="F21" s="2">
        <f>STANDARDIZE(D21,H$21,I$21)</f>
        <v>-0.16764995936695137</v>
      </c>
      <c r="G21" t="s">
        <v>0</v>
      </c>
      <c r="H21" s="2">
        <f t="shared" si="0"/>
        <v>27.400000000000002</v>
      </c>
      <c r="I21" s="2">
        <v>0.59648090806346055</v>
      </c>
      <c r="K21">
        <v>2004</v>
      </c>
      <c r="L21">
        <f t="shared" si="1"/>
        <v>27.858333333333338</v>
      </c>
      <c r="U21" s="1"/>
    </row>
    <row r="22" spans="1:21" x14ac:dyDescent="0.3">
      <c r="A22" t="s">
        <v>11</v>
      </c>
      <c r="B22">
        <v>1955</v>
      </c>
      <c r="C22" s="3">
        <v>1954.9999999849099</v>
      </c>
      <c r="D22">
        <v>26.9</v>
      </c>
      <c r="E22" s="1">
        <v>20090</v>
      </c>
      <c r="F22" s="2">
        <f>STANDARDIZE(D22,H$10,I$10)</f>
        <v>-0.12728109087912701</v>
      </c>
      <c r="K22">
        <v>2003</v>
      </c>
      <c r="L22">
        <f t="shared" si="1"/>
        <v>28.025000000000002</v>
      </c>
      <c r="U22" s="1"/>
    </row>
    <row r="23" spans="1:21" x14ac:dyDescent="0.3">
      <c r="A23" t="s">
        <v>10</v>
      </c>
      <c r="B23">
        <v>1955</v>
      </c>
      <c r="C23" s="3">
        <v>1955.08333331827</v>
      </c>
      <c r="D23">
        <v>27.1</v>
      </c>
      <c r="E23" s="1">
        <v>20121</v>
      </c>
      <c r="F23" s="2">
        <f>STANDARDIZE(D23,H$11,I$11)</f>
        <v>0.38633036782362029</v>
      </c>
      <c r="K23">
        <v>2002</v>
      </c>
      <c r="L23">
        <f t="shared" si="1"/>
        <v>28.05</v>
      </c>
      <c r="U23" s="1"/>
    </row>
    <row r="24" spans="1:21" x14ac:dyDescent="0.3">
      <c r="A24" t="s">
        <v>9</v>
      </c>
      <c r="B24">
        <v>1955</v>
      </c>
      <c r="C24" s="3">
        <v>1955.1666666516301</v>
      </c>
      <c r="D24">
        <v>26.3</v>
      </c>
      <c r="E24" s="1">
        <v>20149</v>
      </c>
      <c r="F24" s="2">
        <f>STANDARDIZE(D24,H$12,I$12)</f>
        <v>-1.6558376139577458</v>
      </c>
      <c r="K24">
        <v>2001</v>
      </c>
      <c r="L24">
        <f t="shared" si="1"/>
        <v>27.708333333333332</v>
      </c>
      <c r="U24" s="1"/>
    </row>
    <row r="25" spans="1:21" x14ac:dyDescent="0.3">
      <c r="A25" t="s">
        <v>8</v>
      </c>
      <c r="B25">
        <v>1955</v>
      </c>
      <c r="C25" s="3">
        <v>1955.2499999849899</v>
      </c>
      <c r="D25">
        <v>27.2</v>
      </c>
      <c r="E25" s="1">
        <v>20180</v>
      </c>
      <c r="F25" s="2">
        <f>STANDARDIZE(D25,H$13,I$13)</f>
        <v>-1.0231829777104269</v>
      </c>
      <c r="K25">
        <v>2000</v>
      </c>
      <c r="L25">
        <f t="shared" si="1"/>
        <v>27.390909090909087</v>
      </c>
      <c r="U25" s="1"/>
    </row>
    <row r="26" spans="1:21" x14ac:dyDescent="0.3">
      <c r="A26" t="s">
        <v>7</v>
      </c>
      <c r="B26">
        <v>1955</v>
      </c>
      <c r="C26" s="3">
        <v>1955.33333331835</v>
      </c>
      <c r="D26">
        <v>28.1</v>
      </c>
      <c r="E26" s="1">
        <v>20210</v>
      </c>
      <c r="F26" s="2">
        <f>STANDARDIZE(D26,H$14,I$14)</f>
        <v>-0.20907849736951745</v>
      </c>
      <c r="K26">
        <v>1999</v>
      </c>
      <c r="L26">
        <f t="shared" si="1"/>
        <v>27.408333333333331</v>
      </c>
      <c r="U26" s="1"/>
    </row>
    <row r="27" spans="1:21" x14ac:dyDescent="0.3">
      <c r="A27" t="s">
        <v>6</v>
      </c>
      <c r="B27">
        <v>1955</v>
      </c>
      <c r="C27" s="3">
        <v>1955.4166666517101</v>
      </c>
      <c r="D27">
        <v>28</v>
      </c>
      <c r="E27" s="1">
        <v>20241</v>
      </c>
      <c r="F27" s="2">
        <f>STANDARDIZE(D27,H$15,I$15)</f>
        <v>-0.83323320583169747</v>
      </c>
      <c r="K27">
        <v>1998</v>
      </c>
      <c r="L27">
        <f t="shared" si="1"/>
        <v>28.100000000000005</v>
      </c>
      <c r="U27" s="1"/>
    </row>
    <row r="28" spans="1:21" x14ac:dyDescent="0.3">
      <c r="A28" t="s">
        <v>5</v>
      </c>
      <c r="B28">
        <v>1955</v>
      </c>
      <c r="C28" s="3">
        <v>1955.49999998507</v>
      </c>
      <c r="D28">
        <v>28.2</v>
      </c>
      <c r="E28" s="1">
        <v>20271</v>
      </c>
      <c r="F28" s="2">
        <f>STANDARDIZE(D28,H$16,I$16)</f>
        <v>-3.1329068420020617E-2</v>
      </c>
      <c r="K28">
        <v>1997</v>
      </c>
      <c r="L28">
        <f t="shared" si="1"/>
        <v>27.766666666666666</v>
      </c>
      <c r="U28" s="1"/>
    </row>
    <row r="29" spans="1:21" x14ac:dyDescent="0.3">
      <c r="A29" t="s">
        <v>4</v>
      </c>
      <c r="B29">
        <v>1955</v>
      </c>
      <c r="C29" s="3">
        <v>1955.58333331843</v>
      </c>
      <c r="D29">
        <v>28.6</v>
      </c>
      <c r="E29" s="1">
        <v>20302</v>
      </c>
      <c r="F29" s="2">
        <f>STANDARDIZE(D29,H$17,I$17)</f>
        <v>0.88806976082543654</v>
      </c>
      <c r="K29">
        <v>1996</v>
      </c>
      <c r="L29">
        <f t="shared" si="1"/>
        <v>27.691666666666666</v>
      </c>
      <c r="U29" s="1"/>
    </row>
    <row r="30" spans="1:21" x14ac:dyDescent="0.3">
      <c r="A30" t="s">
        <v>3</v>
      </c>
      <c r="B30">
        <v>1955</v>
      </c>
      <c r="C30" s="3">
        <v>1955.6666666517899</v>
      </c>
      <c r="D30">
        <v>28.3</v>
      </c>
      <c r="E30" s="1">
        <v>20333</v>
      </c>
      <c r="F30" s="2">
        <f>STANDARDIZE(D30,H$18,I$18)</f>
        <v>0.19156108276765069</v>
      </c>
      <c r="K30">
        <v>1995</v>
      </c>
      <c r="L30">
        <f t="shared" si="1"/>
        <v>27.791666666666668</v>
      </c>
      <c r="U30" s="1"/>
    </row>
    <row r="31" spans="1:21" x14ac:dyDescent="0.3">
      <c r="A31" t="s">
        <v>2</v>
      </c>
      <c r="B31">
        <v>1955</v>
      </c>
      <c r="C31" s="3">
        <v>1955.74999998515</v>
      </c>
      <c r="D31">
        <v>27.5</v>
      </c>
      <c r="E31" s="1">
        <v>20363</v>
      </c>
      <c r="F31" s="2">
        <f>STANDARDIZE(D31,H$19,I$19)</f>
        <v>-0.85682575950791229</v>
      </c>
      <c r="K31">
        <v>1994</v>
      </c>
      <c r="L31">
        <f t="shared" si="1"/>
        <v>27.5</v>
      </c>
      <c r="U31" s="1"/>
    </row>
    <row r="32" spans="1:21" x14ac:dyDescent="0.3">
      <c r="A32" t="s">
        <v>1</v>
      </c>
      <c r="B32">
        <v>1955</v>
      </c>
      <c r="C32" s="3">
        <v>1955.8333333185101</v>
      </c>
      <c r="D32">
        <v>27.9</v>
      </c>
      <c r="E32" s="1">
        <v>20394</v>
      </c>
      <c r="F32" s="2">
        <f>STANDARDIZE(D32,H$20,I$20)</f>
        <v>0.12065492178079455</v>
      </c>
      <c r="K32">
        <v>1993</v>
      </c>
      <c r="L32">
        <f t="shared" si="1"/>
        <v>27.791666666666661</v>
      </c>
      <c r="U32" s="1"/>
    </row>
    <row r="33" spans="1:21" x14ac:dyDescent="0.3">
      <c r="A33" t="s">
        <v>0</v>
      </c>
      <c r="B33">
        <v>1955</v>
      </c>
      <c r="C33" s="3">
        <v>1955.9166666518699</v>
      </c>
      <c r="D33">
        <v>27.6</v>
      </c>
      <c r="E33" s="1">
        <v>20424</v>
      </c>
      <c r="F33" s="2">
        <f>STANDARDIZE(D33,H$21,I$21)</f>
        <v>0.33529991873389681</v>
      </c>
      <c r="K33">
        <v>1992</v>
      </c>
      <c r="L33">
        <f t="shared" si="1"/>
        <v>27.774999999999995</v>
      </c>
      <c r="U33" s="1"/>
    </row>
    <row r="34" spans="1:21" x14ac:dyDescent="0.3">
      <c r="A34" t="s">
        <v>11</v>
      </c>
      <c r="B34">
        <v>1956</v>
      </c>
      <c r="C34" s="3">
        <v>1955.99999998523</v>
      </c>
      <c r="D34">
        <v>26.4</v>
      </c>
      <c r="E34" s="1">
        <v>20455</v>
      </c>
      <c r="F34" s="2">
        <f>STANDARDIZE(D34,H$10,I$10)</f>
        <v>-1.0004885748172379</v>
      </c>
      <c r="K34">
        <v>1991</v>
      </c>
      <c r="L34">
        <f t="shared" si="1"/>
        <v>27.624999999999996</v>
      </c>
      <c r="U34" s="1"/>
    </row>
    <row r="35" spans="1:21" x14ac:dyDescent="0.3">
      <c r="A35" t="s">
        <v>10</v>
      </c>
      <c r="B35">
        <v>1956</v>
      </c>
      <c r="C35" s="3">
        <v>1956.0833333185899</v>
      </c>
      <c r="D35">
        <v>26.6</v>
      </c>
      <c r="E35" s="1">
        <v>20486</v>
      </c>
      <c r="F35" s="2">
        <f>STANDARDIZE(D35,H$11,I$11)</f>
        <v>-0.58761173593345406</v>
      </c>
      <c r="K35">
        <v>1990</v>
      </c>
      <c r="L35">
        <f t="shared" si="1"/>
        <v>27.474999999999998</v>
      </c>
      <c r="U35" s="1"/>
    </row>
    <row r="36" spans="1:21" x14ac:dyDescent="0.3">
      <c r="A36" t="s">
        <v>9</v>
      </c>
      <c r="B36">
        <v>1956</v>
      </c>
      <c r="C36" s="3">
        <v>1956.16666665195</v>
      </c>
      <c r="D36">
        <v>26.7</v>
      </c>
      <c r="E36" s="1">
        <v>20515</v>
      </c>
      <c r="F36" s="2">
        <f>STANDARDIZE(D36,H$12,I$12)</f>
        <v>-0.9487183482106768</v>
      </c>
      <c r="K36">
        <v>1989</v>
      </c>
      <c r="L36">
        <f t="shared" si="1"/>
        <v>27.575000000000003</v>
      </c>
      <c r="U36" s="1"/>
    </row>
    <row r="37" spans="1:21" x14ac:dyDescent="0.3">
      <c r="A37" t="s">
        <v>8</v>
      </c>
      <c r="B37">
        <v>1956</v>
      </c>
      <c r="C37" s="3">
        <v>1956.2499999853101</v>
      </c>
      <c r="D37">
        <v>27.6</v>
      </c>
      <c r="E37" s="1">
        <v>20546</v>
      </c>
      <c r="F37" s="2">
        <f>STANDARDIZE(D37,H$13,I$13)</f>
        <v>-0.17932072805234356</v>
      </c>
      <c r="K37">
        <v>1988</v>
      </c>
      <c r="L37">
        <f t="shared" si="1"/>
        <v>27.508333333333329</v>
      </c>
      <c r="U37" s="1"/>
    </row>
    <row r="38" spans="1:21" x14ac:dyDescent="0.3">
      <c r="A38" t="s">
        <v>7</v>
      </c>
      <c r="B38">
        <v>1956</v>
      </c>
      <c r="C38" s="3">
        <v>1956.3333333186699</v>
      </c>
      <c r="D38">
        <v>27.7</v>
      </c>
      <c r="E38" s="1">
        <v>20576</v>
      </c>
      <c r="F38" s="2">
        <f>STANDARDIZE(D38,H$14,I$14)</f>
        <v>-1.2767133775542472</v>
      </c>
      <c r="K38">
        <v>1987</v>
      </c>
      <c r="L38">
        <f t="shared" si="1"/>
        <v>27.966666666666669</v>
      </c>
      <c r="U38" s="1"/>
    </row>
    <row r="39" spans="1:21" x14ac:dyDescent="0.3">
      <c r="A39" t="s">
        <v>6</v>
      </c>
      <c r="B39">
        <v>1956</v>
      </c>
      <c r="C39" s="3">
        <v>1956.41666665203</v>
      </c>
      <c r="D39">
        <v>27.8</v>
      </c>
      <c r="E39" s="1">
        <v>20607</v>
      </c>
      <c r="F39" s="2">
        <f>STANDARDIZE(D39,H$15,I$15)</f>
        <v>-1.304874643094923</v>
      </c>
      <c r="K39">
        <v>1986</v>
      </c>
      <c r="L39">
        <f t="shared" si="1"/>
        <v>27.666666666666671</v>
      </c>
      <c r="U39" s="1"/>
    </row>
    <row r="40" spans="1:21" x14ac:dyDescent="0.3">
      <c r="A40" t="s">
        <v>5</v>
      </c>
      <c r="B40">
        <v>1956</v>
      </c>
      <c r="C40" s="3">
        <v>1956.4999999853901</v>
      </c>
      <c r="D40">
        <v>28.1</v>
      </c>
      <c r="E40" s="1">
        <v>20637</v>
      </c>
      <c r="F40" s="2">
        <f>STANDARDIZE(D40,H$16,I$16)</f>
        <v>-0.29986394059170085</v>
      </c>
      <c r="K40">
        <v>1985</v>
      </c>
      <c r="L40">
        <f t="shared" si="1"/>
        <v>27.466666666666665</v>
      </c>
      <c r="U40" s="1"/>
    </row>
    <row r="41" spans="1:21" x14ac:dyDescent="0.3">
      <c r="A41" t="s">
        <v>4</v>
      </c>
      <c r="B41">
        <v>1956</v>
      </c>
      <c r="C41" s="3">
        <v>1956.58333331875</v>
      </c>
      <c r="D41">
        <v>27.5</v>
      </c>
      <c r="E41" s="1">
        <v>20668</v>
      </c>
      <c r="F41" s="2">
        <f>STANDARDIZE(D41,H$17,I$17)</f>
        <v>-1.4104637377815172</v>
      </c>
      <c r="K41">
        <v>1984</v>
      </c>
      <c r="L41">
        <f t="shared" si="1"/>
        <v>27.391666666666666</v>
      </c>
      <c r="U41" s="1"/>
    </row>
    <row r="42" spans="1:21" x14ac:dyDescent="0.3">
      <c r="A42" t="s">
        <v>3</v>
      </c>
      <c r="B42">
        <v>1956</v>
      </c>
      <c r="C42" s="3">
        <v>1956.6666666521101</v>
      </c>
      <c r="D42">
        <v>28</v>
      </c>
      <c r="E42" s="1">
        <v>20699</v>
      </c>
      <c r="F42" s="2">
        <f>STANDARDIZE(D42,H$18,I$18)</f>
        <v>-0.48453685641225946</v>
      </c>
      <c r="K42">
        <v>1983</v>
      </c>
      <c r="L42">
        <f t="shared" si="1"/>
        <v>28.116666666666664</v>
      </c>
      <c r="U42" s="1"/>
    </row>
    <row r="43" spans="1:21" x14ac:dyDescent="0.3">
      <c r="A43" t="s">
        <v>2</v>
      </c>
      <c r="B43">
        <v>1956</v>
      </c>
      <c r="C43" s="3">
        <v>1956.7499999854699</v>
      </c>
      <c r="D43">
        <v>26.9</v>
      </c>
      <c r="E43" s="1">
        <v>20729</v>
      </c>
      <c r="F43" s="2">
        <f>STANDARDIZE(D43,H$19,I$19)</f>
        <v>-2.1050410634823962</v>
      </c>
      <c r="K43">
        <v>1982</v>
      </c>
      <c r="L43">
        <f t="shared" si="1"/>
        <v>27.591666666666669</v>
      </c>
      <c r="U43" s="1"/>
    </row>
    <row r="44" spans="1:21" x14ac:dyDescent="0.3">
      <c r="A44" t="s">
        <v>1</v>
      </c>
      <c r="B44">
        <v>1956</v>
      </c>
      <c r="C44" s="3">
        <v>1956.83333331883</v>
      </c>
      <c r="D44">
        <v>27.4</v>
      </c>
      <c r="E44" s="1">
        <v>20760</v>
      </c>
      <c r="F44" s="2">
        <f>STANDARDIZE(D44,H$20,I$20)</f>
        <v>-0.76917512635256757</v>
      </c>
      <c r="K44">
        <v>1981</v>
      </c>
      <c r="L44">
        <f t="shared" ref="L44:L75" si="2">AVERAGEIF(B$10:B$729,K44,D$10:D$729)</f>
        <v>27.858333333333334</v>
      </c>
      <c r="U44" s="1"/>
    </row>
    <row r="45" spans="1:21" x14ac:dyDescent="0.3">
      <c r="A45" t="s">
        <v>0</v>
      </c>
      <c r="B45">
        <v>1956</v>
      </c>
      <c r="C45" s="3">
        <v>1956.9166666521901</v>
      </c>
      <c r="D45">
        <v>26.9</v>
      </c>
      <c r="E45" s="1">
        <v>20790</v>
      </c>
      <c r="F45" s="2">
        <f>STANDARDIZE(D45,H$21,I$21)</f>
        <v>-0.83824979683475098</v>
      </c>
      <c r="K45">
        <v>1980</v>
      </c>
      <c r="L45">
        <f t="shared" si="2"/>
        <v>28.108333333333334</v>
      </c>
      <c r="U45" s="1"/>
    </row>
    <row r="46" spans="1:21" x14ac:dyDescent="0.3">
      <c r="A46" t="s">
        <v>11</v>
      </c>
      <c r="B46">
        <v>1957</v>
      </c>
      <c r="C46" s="3">
        <v>1956.9999999855499</v>
      </c>
      <c r="D46">
        <v>28.2</v>
      </c>
      <c r="E46" s="1">
        <v>20821</v>
      </c>
      <c r="F46" s="2">
        <f>STANDARDIZE(D46,H$10,I$10)</f>
        <v>2.1430583673599624</v>
      </c>
      <c r="K46">
        <v>1979</v>
      </c>
      <c r="L46">
        <f t="shared" si="2"/>
        <v>28.099999999999998</v>
      </c>
      <c r="U46" s="1"/>
    </row>
    <row r="47" spans="1:21" x14ac:dyDescent="0.3">
      <c r="A47" t="s">
        <v>10</v>
      </c>
      <c r="B47">
        <v>1957</v>
      </c>
      <c r="C47" s="3">
        <v>1957.08333331891</v>
      </c>
      <c r="D47">
        <v>26.1</v>
      </c>
      <c r="E47" s="1">
        <v>20852</v>
      </c>
      <c r="F47" s="2">
        <f>STANDARDIZE(D47,H$11,I$11)</f>
        <v>-1.5615538396905284</v>
      </c>
      <c r="K47">
        <v>1978</v>
      </c>
      <c r="L47">
        <f t="shared" si="2"/>
        <v>28.133333333333329</v>
      </c>
      <c r="U47" s="1"/>
    </row>
    <row r="48" spans="1:21" x14ac:dyDescent="0.3">
      <c r="A48" t="s">
        <v>9</v>
      </c>
      <c r="B48">
        <v>1957</v>
      </c>
      <c r="C48" s="3">
        <v>1957.1666666522699</v>
      </c>
      <c r="D48">
        <v>27.6</v>
      </c>
      <c r="E48" s="1">
        <v>20880</v>
      </c>
      <c r="F48" s="2">
        <f>STANDARDIZE(D48,H$12,I$12)</f>
        <v>0.64229999972023755</v>
      </c>
      <c r="K48">
        <v>1977</v>
      </c>
      <c r="L48">
        <f t="shared" si="2"/>
        <v>27.691666666666663</v>
      </c>
      <c r="U48" s="1"/>
    </row>
    <row r="49" spans="1:21" x14ac:dyDescent="0.3">
      <c r="A49" t="s">
        <v>8</v>
      </c>
      <c r="B49">
        <v>1957</v>
      </c>
      <c r="C49" s="3">
        <v>1957.24999998563</v>
      </c>
      <c r="D49">
        <v>26.6</v>
      </c>
      <c r="E49" s="1">
        <v>20911</v>
      </c>
      <c r="F49" s="2">
        <f>STANDARDIZE(D49,H$13,I$13)</f>
        <v>-2.2889763521975408</v>
      </c>
      <c r="K49">
        <v>1976</v>
      </c>
      <c r="L49">
        <f t="shared" si="2"/>
        <v>27.224999999999998</v>
      </c>
      <c r="U49" s="1"/>
    </row>
    <row r="50" spans="1:21" x14ac:dyDescent="0.3">
      <c r="A50" t="s">
        <v>7</v>
      </c>
      <c r="B50">
        <v>1957</v>
      </c>
      <c r="C50" s="3">
        <v>1957.3333333189901</v>
      </c>
      <c r="D50">
        <v>28.4</v>
      </c>
      <c r="E50" s="1">
        <v>20941</v>
      </c>
      <c r="F50" s="2">
        <f>STANDARDIZE(D50,H$14,I$14)</f>
        <v>0.59164766276901803</v>
      </c>
      <c r="K50">
        <v>1975</v>
      </c>
      <c r="L50">
        <f t="shared" si="2"/>
        <v>27.058333333333337</v>
      </c>
      <c r="U50" s="1"/>
    </row>
    <row r="51" spans="1:21" x14ac:dyDescent="0.3">
      <c r="A51" t="s">
        <v>6</v>
      </c>
      <c r="B51">
        <v>1957</v>
      </c>
      <c r="C51" s="3">
        <v>1957.4166666523499</v>
      </c>
      <c r="D51">
        <v>28.6</v>
      </c>
      <c r="E51" s="1">
        <v>20972</v>
      </c>
      <c r="F51" s="2">
        <f>STANDARDIZE(D51,H$15,I$15)</f>
        <v>0.58169110595798723</v>
      </c>
      <c r="K51">
        <v>1974</v>
      </c>
      <c r="L51">
        <f t="shared" si="2"/>
        <v>27.783333333333331</v>
      </c>
      <c r="U51" s="1"/>
    </row>
    <row r="52" spans="1:21" x14ac:dyDescent="0.3">
      <c r="A52" t="s">
        <v>5</v>
      </c>
      <c r="B52">
        <v>1957</v>
      </c>
      <c r="C52" s="3">
        <v>1957.49999998571</v>
      </c>
      <c r="D52">
        <v>28.8</v>
      </c>
      <c r="E52" s="1">
        <v>21002</v>
      </c>
      <c r="F52" s="2">
        <f>STANDARDIZE(D52,H$16,I$16)</f>
        <v>1.5798801646100991</v>
      </c>
      <c r="K52">
        <v>1973</v>
      </c>
      <c r="L52">
        <f t="shared" si="2"/>
        <v>27.933333333333334</v>
      </c>
      <c r="U52" s="1"/>
    </row>
    <row r="53" spans="1:21" x14ac:dyDescent="0.3">
      <c r="A53" t="s">
        <v>4</v>
      </c>
      <c r="B53">
        <v>1957</v>
      </c>
      <c r="C53" s="3">
        <v>1957.5833333190701</v>
      </c>
      <c r="D53">
        <v>29.1</v>
      </c>
      <c r="E53" s="1">
        <v>21033</v>
      </c>
      <c r="F53" s="2">
        <f>STANDARDIZE(D53,H$17,I$17)</f>
        <v>1.9328577147376871</v>
      </c>
      <c r="K53">
        <v>1972</v>
      </c>
      <c r="L53">
        <f t="shared" si="2"/>
        <v>28.416666666666668</v>
      </c>
      <c r="U53" s="1"/>
    </row>
    <row r="54" spans="1:21" x14ac:dyDescent="0.3">
      <c r="A54" t="s">
        <v>3</v>
      </c>
      <c r="B54">
        <v>1957</v>
      </c>
      <c r="C54" s="3">
        <v>1957.66666665243</v>
      </c>
      <c r="D54">
        <v>28.9</v>
      </c>
      <c r="E54" s="1">
        <v>21064</v>
      </c>
      <c r="F54" s="2">
        <f>STANDARDIZE(D54,H$18,I$18)</f>
        <v>1.5437569611274631</v>
      </c>
      <c r="K54">
        <v>1971</v>
      </c>
      <c r="L54">
        <f t="shared" si="2"/>
        <v>27.866666666666664</v>
      </c>
      <c r="U54" s="1"/>
    </row>
    <row r="55" spans="1:21" x14ac:dyDescent="0.3">
      <c r="A55" t="s">
        <v>2</v>
      </c>
      <c r="B55">
        <v>1957</v>
      </c>
      <c r="C55" s="3">
        <v>1957.7499999857901</v>
      </c>
      <c r="D55">
        <v>28.4</v>
      </c>
      <c r="E55" s="1">
        <v>21094</v>
      </c>
      <c r="F55" s="2">
        <f>STANDARDIZE(D55,H$19,I$19)</f>
        <v>1.0154971964538066</v>
      </c>
      <c r="K55">
        <v>1970</v>
      </c>
      <c r="L55">
        <f t="shared" si="2"/>
        <v>27.574999999999999</v>
      </c>
      <c r="U55" s="1"/>
    </row>
    <row r="56" spans="1:21" x14ac:dyDescent="0.3">
      <c r="A56" t="s">
        <v>1</v>
      </c>
      <c r="B56">
        <v>1957</v>
      </c>
      <c r="C56" s="3">
        <v>1957.8333333191499</v>
      </c>
      <c r="D56">
        <v>28.6</v>
      </c>
      <c r="E56" s="1">
        <v>21125</v>
      </c>
      <c r="F56" s="2">
        <f>STANDARDIZE(D56,H$20,I$20)</f>
        <v>1.3664169891675066</v>
      </c>
      <c r="K56">
        <v>1969</v>
      </c>
      <c r="L56">
        <f t="shared" si="2"/>
        <v>27.5</v>
      </c>
      <c r="U56" s="1"/>
    </row>
    <row r="57" spans="1:21" x14ac:dyDescent="0.3">
      <c r="A57" t="s">
        <v>0</v>
      </c>
      <c r="B57">
        <v>1957</v>
      </c>
      <c r="C57" s="3">
        <v>1957.91666665251</v>
      </c>
      <c r="D57">
        <v>28</v>
      </c>
      <c r="E57" s="1">
        <v>21155</v>
      </c>
      <c r="F57" s="2">
        <f>STANDARDIZE(D57,H$21,I$21)</f>
        <v>1.0058997562016905</v>
      </c>
      <c r="K57">
        <v>1968</v>
      </c>
      <c r="L57">
        <f t="shared" si="2"/>
        <v>27.258333333333336</v>
      </c>
      <c r="U57" s="1"/>
    </row>
    <row r="58" spans="1:21" x14ac:dyDescent="0.3">
      <c r="A58" t="s">
        <v>11</v>
      </c>
      <c r="B58">
        <v>1958</v>
      </c>
      <c r="C58" s="3">
        <v>1957.9999999858701</v>
      </c>
      <c r="D58">
        <v>27.5</v>
      </c>
      <c r="E58" s="1">
        <v>21186</v>
      </c>
      <c r="F58" s="2">
        <f>STANDARDIZE(D58,H$10,I$10)</f>
        <v>0.92056788984660853</v>
      </c>
      <c r="K58">
        <v>1967</v>
      </c>
      <c r="L58">
        <f t="shared" si="2"/>
        <v>27.691666666666666</v>
      </c>
      <c r="U58" s="1"/>
    </row>
    <row r="59" spans="1:21" x14ac:dyDescent="0.3">
      <c r="A59" t="s">
        <v>10</v>
      </c>
      <c r="B59">
        <v>1958</v>
      </c>
      <c r="C59" s="3">
        <v>1958.08333331923</v>
      </c>
      <c r="D59">
        <v>27.2</v>
      </c>
      <c r="E59" s="1">
        <v>21217</v>
      </c>
      <c r="F59" s="2">
        <f>STANDARDIZE(D59,H$11,I$11)</f>
        <v>0.58111878857503096</v>
      </c>
      <c r="K59">
        <v>1966</v>
      </c>
      <c r="L59">
        <f t="shared" si="2"/>
        <v>27.474999999999998</v>
      </c>
      <c r="U59" s="1"/>
    </row>
    <row r="60" spans="1:21" x14ac:dyDescent="0.3">
      <c r="A60" t="s">
        <v>9</v>
      </c>
      <c r="B60">
        <v>1958</v>
      </c>
      <c r="C60" s="3">
        <v>1958.16666665259</v>
      </c>
      <c r="D60">
        <v>27.9</v>
      </c>
      <c r="E60" s="1">
        <v>21245</v>
      </c>
      <c r="F60" s="2">
        <f>STANDARDIZE(D60,H$12,I$12)</f>
        <v>1.1726394490305361</v>
      </c>
      <c r="K60">
        <v>1965</v>
      </c>
      <c r="L60">
        <f t="shared" si="2"/>
        <v>27.641666666666666</v>
      </c>
      <c r="U60" s="1"/>
    </row>
    <row r="61" spans="1:21" x14ac:dyDescent="0.3">
      <c r="A61" t="s">
        <v>8</v>
      </c>
      <c r="B61">
        <v>1958</v>
      </c>
      <c r="C61" s="3">
        <v>1958.2499999859499</v>
      </c>
      <c r="D61">
        <v>28.4</v>
      </c>
      <c r="E61" s="1">
        <v>21276</v>
      </c>
      <c r="F61" s="2">
        <f>STANDARDIZE(D61,H$13,I$13)</f>
        <v>1.5084037712638081</v>
      </c>
      <c r="K61">
        <v>1964</v>
      </c>
      <c r="L61">
        <f t="shared" si="2"/>
        <v>27.45</v>
      </c>
      <c r="U61" s="1"/>
    </row>
    <row r="62" spans="1:21" x14ac:dyDescent="0.3">
      <c r="A62" t="s">
        <v>7</v>
      </c>
      <c r="B62">
        <v>1958</v>
      </c>
      <c r="C62" s="3">
        <v>1958.33333331931</v>
      </c>
      <c r="D62">
        <v>28.5</v>
      </c>
      <c r="E62" s="1">
        <v>21306</v>
      </c>
      <c r="F62" s="2">
        <f>STANDARDIZE(D62,H$14,I$14)</f>
        <v>0.85855638281520286</v>
      </c>
      <c r="K62">
        <v>1963</v>
      </c>
      <c r="L62">
        <f t="shared" si="2"/>
        <v>27.841666666666669</v>
      </c>
      <c r="U62" s="1"/>
    </row>
    <row r="63" spans="1:21" x14ac:dyDescent="0.3">
      <c r="A63" t="s">
        <v>6</v>
      </c>
      <c r="B63">
        <v>1958</v>
      </c>
      <c r="C63" s="3">
        <v>1958.4166666526701</v>
      </c>
      <c r="D63">
        <v>29.1</v>
      </c>
      <c r="E63" s="1">
        <v>21337</v>
      </c>
      <c r="F63" s="2">
        <f>STANDARDIZE(D63,H$15,I$15)</f>
        <v>1.760794699116055</v>
      </c>
      <c r="K63">
        <v>1962</v>
      </c>
      <c r="L63">
        <f t="shared" si="2"/>
        <v>27.858333333333334</v>
      </c>
      <c r="U63" s="1"/>
    </row>
    <row r="64" spans="1:21" x14ac:dyDescent="0.3">
      <c r="A64" t="s">
        <v>5</v>
      </c>
      <c r="B64">
        <v>1958</v>
      </c>
      <c r="C64" s="3">
        <v>1958.4999999860299</v>
      </c>
      <c r="D64">
        <v>29</v>
      </c>
      <c r="E64" s="1">
        <v>21367</v>
      </c>
      <c r="F64" s="2">
        <f>STANDARDIZE(D64,H$16,I$16)</f>
        <v>2.1169499089534689</v>
      </c>
      <c r="K64">
        <v>1961</v>
      </c>
      <c r="L64">
        <f t="shared" si="2"/>
        <v>27.341666666666669</v>
      </c>
      <c r="U64" s="1"/>
    </row>
    <row r="65" spans="1:21" x14ac:dyDescent="0.3">
      <c r="A65" t="s">
        <v>4</v>
      </c>
      <c r="B65">
        <v>1958</v>
      </c>
      <c r="C65" s="3">
        <v>1958.58333331939</v>
      </c>
      <c r="D65">
        <v>28.7</v>
      </c>
      <c r="E65" s="1">
        <v>21398</v>
      </c>
      <c r="F65" s="2">
        <f>STANDARDIZE(D65,H$17,I$17)</f>
        <v>1.0970273516078821</v>
      </c>
      <c r="K65">
        <v>1960</v>
      </c>
      <c r="L65">
        <f t="shared" si="2"/>
        <v>27.900000000000002</v>
      </c>
      <c r="U65" s="1"/>
    </row>
    <row r="66" spans="1:21" x14ac:dyDescent="0.3">
      <c r="A66" t="s">
        <v>3</v>
      </c>
      <c r="B66">
        <v>1958</v>
      </c>
      <c r="C66" s="3">
        <v>1958.6666666527501</v>
      </c>
      <c r="D66">
        <v>29.2</v>
      </c>
      <c r="E66" s="1">
        <v>21429</v>
      </c>
      <c r="F66" s="2">
        <f>STANDARDIZE(D66,H$18,I$18)</f>
        <v>2.2198549003073733</v>
      </c>
      <c r="K66">
        <v>1959</v>
      </c>
      <c r="L66">
        <f t="shared" si="2"/>
        <v>27.474999999999998</v>
      </c>
      <c r="U66" s="1"/>
    </row>
    <row r="67" spans="1:21" x14ac:dyDescent="0.3">
      <c r="A67" t="s">
        <v>2</v>
      </c>
      <c r="B67">
        <v>1958</v>
      </c>
      <c r="C67" s="3">
        <v>1958.74999998611</v>
      </c>
      <c r="D67">
        <v>28.8</v>
      </c>
      <c r="E67" s="1">
        <v>21459</v>
      </c>
      <c r="F67" s="2">
        <f>STANDARDIZE(D67,H$19,I$19)</f>
        <v>1.8476407324367985</v>
      </c>
      <c r="K67">
        <v>1958</v>
      </c>
      <c r="L67">
        <f t="shared" si="2"/>
        <v>28.333333333333329</v>
      </c>
      <c r="U67" s="1"/>
    </row>
    <row r="68" spans="1:21" x14ac:dyDescent="0.3">
      <c r="A68" t="s">
        <v>1</v>
      </c>
      <c r="B68">
        <v>1958</v>
      </c>
      <c r="C68" s="3">
        <v>1958.8333333194701</v>
      </c>
      <c r="D68">
        <v>28.5</v>
      </c>
      <c r="E68" s="1">
        <v>21490</v>
      </c>
      <c r="F68" s="2">
        <f>STANDARDIZE(D68,H$20,I$20)</f>
        <v>1.1884509795408318</v>
      </c>
      <c r="K68">
        <v>1957</v>
      </c>
      <c r="L68">
        <f t="shared" si="2"/>
        <v>28.108333333333334</v>
      </c>
      <c r="U68" s="1"/>
    </row>
    <row r="69" spans="1:21" x14ac:dyDescent="0.3">
      <c r="A69" t="s">
        <v>0</v>
      </c>
      <c r="B69">
        <v>1958</v>
      </c>
      <c r="C69" s="3">
        <v>1958.9166666528299</v>
      </c>
      <c r="D69">
        <v>27.2</v>
      </c>
      <c r="E69" s="1">
        <v>21520</v>
      </c>
      <c r="F69" s="2">
        <f>STANDARDIZE(D69,H$21,I$21)</f>
        <v>-0.33529991873390275</v>
      </c>
      <c r="K69">
        <v>1956</v>
      </c>
      <c r="L69">
        <f t="shared" si="2"/>
        <v>27.299999999999997</v>
      </c>
      <c r="U69" s="1"/>
    </row>
    <row r="70" spans="1:21" x14ac:dyDescent="0.3">
      <c r="A70" t="s">
        <v>11</v>
      </c>
      <c r="B70">
        <v>1959</v>
      </c>
      <c r="C70" s="3">
        <v>1958.99999998619</v>
      </c>
      <c r="D70">
        <v>26.4</v>
      </c>
      <c r="E70" s="1">
        <v>21551</v>
      </c>
      <c r="F70" s="2">
        <f>STANDARDIZE(D70,H$10,I$10)</f>
        <v>-1.0004885748172379</v>
      </c>
      <c r="K70">
        <v>1955</v>
      </c>
      <c r="L70">
        <f t="shared" si="2"/>
        <v>27.641666666666666</v>
      </c>
      <c r="U70" s="1"/>
    </row>
    <row r="71" spans="1:21" x14ac:dyDescent="0.3">
      <c r="A71" t="s">
        <v>10</v>
      </c>
      <c r="B71">
        <v>1959</v>
      </c>
      <c r="C71" s="3">
        <v>1959.0833333195501</v>
      </c>
      <c r="D71">
        <v>25.5</v>
      </c>
      <c r="E71" s="1">
        <v>21582</v>
      </c>
      <c r="F71" s="2">
        <f>STANDARDIZE(D71,H$11,I$11)</f>
        <v>-2.7302843641990204</v>
      </c>
      <c r="K71">
        <v>1954</v>
      </c>
      <c r="L71">
        <f t="shared" si="2"/>
        <v>27.833333333333332</v>
      </c>
      <c r="U71" s="1"/>
    </row>
    <row r="72" spans="1:21" x14ac:dyDescent="0.3">
      <c r="A72" t="s">
        <v>9</v>
      </c>
      <c r="B72">
        <v>1959</v>
      </c>
      <c r="C72" s="3">
        <v>1959.16666665291</v>
      </c>
      <c r="D72">
        <v>26.5</v>
      </c>
      <c r="E72" s="1">
        <v>21610</v>
      </c>
      <c r="F72" s="2">
        <f>STANDARDIZE(D72,H$12,I$12)</f>
        <v>-1.3022779810842111</v>
      </c>
      <c r="U72" s="1"/>
    </row>
    <row r="73" spans="1:21" x14ac:dyDescent="0.3">
      <c r="A73" t="s">
        <v>8</v>
      </c>
      <c r="B73">
        <v>1959</v>
      </c>
      <c r="C73" s="3">
        <v>1959.24999998628</v>
      </c>
      <c r="D73">
        <v>27.2</v>
      </c>
      <c r="E73" s="1">
        <v>21641</v>
      </c>
      <c r="F73" s="2">
        <f>STANDARDIZE(D73,H$13,I$13)</f>
        <v>-1.0231829777104269</v>
      </c>
      <c r="U73" s="1"/>
    </row>
    <row r="74" spans="1:21" x14ac:dyDescent="0.3">
      <c r="A74" t="s">
        <v>7</v>
      </c>
      <c r="B74">
        <v>1959</v>
      </c>
      <c r="C74" s="3">
        <v>1959.3333333196399</v>
      </c>
      <c r="D74">
        <v>27.8</v>
      </c>
      <c r="E74" s="1">
        <v>21671</v>
      </c>
      <c r="F74" s="2">
        <f>STANDARDIZE(D74,H$14,I$14)</f>
        <v>-1.0098046575080624</v>
      </c>
      <c r="U74" s="1"/>
    </row>
    <row r="75" spans="1:21" x14ac:dyDescent="0.3">
      <c r="A75" t="s">
        <v>6</v>
      </c>
      <c r="B75">
        <v>1959</v>
      </c>
      <c r="C75" s="3">
        <v>1959.416666653</v>
      </c>
      <c r="D75">
        <v>28.2</v>
      </c>
      <c r="E75" s="1">
        <v>21702</v>
      </c>
      <c r="F75" s="2">
        <f>STANDARDIZE(D75,H$15,I$15)</f>
        <v>-0.36159176856847203</v>
      </c>
      <c r="U75" s="1"/>
    </row>
    <row r="76" spans="1:21" x14ac:dyDescent="0.3">
      <c r="A76" t="s">
        <v>5</v>
      </c>
      <c r="B76">
        <v>1959</v>
      </c>
      <c r="C76" s="3">
        <v>1959.4999999863601</v>
      </c>
      <c r="D76">
        <v>28</v>
      </c>
      <c r="E76" s="1">
        <v>21732</v>
      </c>
      <c r="F76" s="2">
        <f>STANDARDIZE(D76,H$16,I$16)</f>
        <v>-0.56839881276339066</v>
      </c>
      <c r="U76" s="1"/>
    </row>
    <row r="77" spans="1:21" x14ac:dyDescent="0.3">
      <c r="A77" t="s">
        <v>4</v>
      </c>
      <c r="B77">
        <v>1959</v>
      </c>
      <c r="C77" s="3">
        <v>1959.5833333197199</v>
      </c>
      <c r="D77">
        <v>28.2</v>
      </c>
      <c r="E77" s="1">
        <v>21763</v>
      </c>
      <c r="F77" s="2">
        <f>STANDARDIZE(D77,H$17,I$17)</f>
        <v>5.2239397695631823E-2</v>
      </c>
      <c r="U77" s="1"/>
    </row>
    <row r="78" spans="1:21" x14ac:dyDescent="0.3">
      <c r="A78" t="s">
        <v>3</v>
      </c>
      <c r="B78">
        <v>1959</v>
      </c>
      <c r="C78" s="3">
        <v>1959.66666665308</v>
      </c>
      <c r="D78">
        <v>28.4</v>
      </c>
      <c r="E78" s="1">
        <v>21794</v>
      </c>
      <c r="F78" s="2">
        <f>STANDARDIZE(D78,H$18,I$18)</f>
        <v>0.41692706249428207</v>
      </c>
      <c r="U78" s="1"/>
    </row>
    <row r="79" spans="1:21" x14ac:dyDescent="0.3">
      <c r="A79" t="s">
        <v>2</v>
      </c>
      <c r="B79">
        <v>1959</v>
      </c>
      <c r="C79" s="3">
        <v>1959.7499999864399</v>
      </c>
      <c r="D79">
        <v>28</v>
      </c>
      <c r="E79" s="1">
        <v>21824</v>
      </c>
      <c r="F79" s="2">
        <f>STANDARDIZE(D79,H$19,I$19)</f>
        <v>0.18335366047082208</v>
      </c>
      <c r="U79" s="1"/>
    </row>
    <row r="80" spans="1:21" x14ac:dyDescent="0.3">
      <c r="A80" t="s">
        <v>1</v>
      </c>
      <c r="B80">
        <v>1959</v>
      </c>
      <c r="C80" s="3">
        <v>1959.8333333198</v>
      </c>
      <c r="D80">
        <v>27.9</v>
      </c>
      <c r="E80" s="1">
        <v>21855</v>
      </c>
      <c r="F80" s="2">
        <f>STANDARDIZE(D80,H$20,I$20)</f>
        <v>0.12065492178079455</v>
      </c>
      <c r="U80" s="1"/>
    </row>
    <row r="81" spans="1:21" x14ac:dyDescent="0.3">
      <c r="A81" t="s">
        <v>0</v>
      </c>
      <c r="B81">
        <v>1959</v>
      </c>
      <c r="C81" s="3">
        <v>1959.9166666531601</v>
      </c>
      <c r="D81">
        <v>27.6</v>
      </c>
      <c r="E81" s="1">
        <v>21885</v>
      </c>
      <c r="F81" s="2">
        <f>STANDARDIZE(D81,H$21,I$21)</f>
        <v>0.33529991873389681</v>
      </c>
      <c r="U81" s="1"/>
    </row>
    <row r="82" spans="1:21" x14ac:dyDescent="0.3">
      <c r="A82" t="s">
        <v>11</v>
      </c>
      <c r="B82">
        <v>1960</v>
      </c>
      <c r="C82" s="3">
        <v>1959.9999999865199</v>
      </c>
      <c r="D82">
        <v>26.6</v>
      </c>
      <c r="E82" s="1">
        <v>21916</v>
      </c>
      <c r="F82" s="2">
        <f>STANDARDIZE(D82,H$10,I$10)</f>
        <v>-0.65120558124198857</v>
      </c>
      <c r="U82" s="1"/>
    </row>
    <row r="83" spans="1:21" x14ac:dyDescent="0.3">
      <c r="A83" t="s">
        <v>10</v>
      </c>
      <c r="B83">
        <v>1960</v>
      </c>
      <c r="C83" s="3">
        <v>1960.08333331988</v>
      </c>
      <c r="D83">
        <v>27.6</v>
      </c>
      <c r="E83" s="1">
        <v>21947</v>
      </c>
      <c r="F83" s="2">
        <f>STANDARDIZE(D83,H$11,I$11)</f>
        <v>1.3602724715806946</v>
      </c>
      <c r="U83" s="1"/>
    </row>
    <row r="84" spans="1:21" x14ac:dyDescent="0.3">
      <c r="A84" t="s">
        <v>9</v>
      </c>
      <c r="B84">
        <v>1960</v>
      </c>
      <c r="C84" s="3">
        <v>1960.1666666532401</v>
      </c>
      <c r="D84">
        <v>26.8</v>
      </c>
      <c r="E84" s="1">
        <v>21976</v>
      </c>
      <c r="F84" s="2">
        <f>STANDARDIZE(D84,H$12,I$12)</f>
        <v>-0.77193853177390648</v>
      </c>
      <c r="U84" s="1"/>
    </row>
    <row r="85" spans="1:21" x14ac:dyDescent="0.3">
      <c r="A85" t="s">
        <v>8</v>
      </c>
      <c r="B85">
        <v>1960</v>
      </c>
      <c r="C85" s="3">
        <v>1960.2499999866</v>
      </c>
      <c r="D85">
        <v>28.5</v>
      </c>
      <c r="E85" s="1">
        <v>22007</v>
      </c>
      <c r="F85" s="2">
        <f>STANDARDIZE(D85,H$13,I$13)</f>
        <v>1.7193693336783309</v>
      </c>
      <c r="U85" s="1"/>
    </row>
    <row r="86" spans="1:21" x14ac:dyDescent="0.3">
      <c r="A86" t="s">
        <v>7</v>
      </c>
      <c r="B86">
        <v>1960</v>
      </c>
      <c r="C86" s="3">
        <v>1960.33333331996</v>
      </c>
      <c r="D86">
        <v>28.6</v>
      </c>
      <c r="E86" s="1">
        <v>22037</v>
      </c>
      <c r="F86" s="2">
        <f>STANDARDIZE(D86,H$14,I$14)</f>
        <v>1.1254651028613878</v>
      </c>
      <c r="U86" s="1"/>
    </row>
    <row r="87" spans="1:21" x14ac:dyDescent="0.3">
      <c r="A87" t="s">
        <v>6</v>
      </c>
      <c r="B87">
        <v>1960</v>
      </c>
      <c r="C87" s="3">
        <v>1960.4166666533199</v>
      </c>
      <c r="D87">
        <v>28.4</v>
      </c>
      <c r="E87" s="1">
        <v>22068</v>
      </c>
      <c r="F87" s="2">
        <f>STANDARDIZE(D87,H$15,I$15)</f>
        <v>0.11004966869475344</v>
      </c>
      <c r="U87" s="1"/>
    </row>
    <row r="88" spans="1:21" x14ac:dyDescent="0.3">
      <c r="A88" t="s">
        <v>5</v>
      </c>
      <c r="B88">
        <v>1960</v>
      </c>
      <c r="C88" s="3">
        <v>1960.49999998668</v>
      </c>
      <c r="D88">
        <v>28.5</v>
      </c>
      <c r="E88" s="1">
        <v>22098</v>
      </c>
      <c r="F88" s="2">
        <f>STANDARDIZE(D88,H$16,I$16)</f>
        <v>0.77427554809503918</v>
      </c>
      <c r="U88" s="1"/>
    </row>
    <row r="89" spans="1:21" x14ac:dyDescent="0.3">
      <c r="A89" t="s">
        <v>4</v>
      </c>
      <c r="B89">
        <v>1960</v>
      </c>
      <c r="C89" s="3">
        <v>1960.5833333200401</v>
      </c>
      <c r="D89">
        <v>28.4</v>
      </c>
      <c r="E89" s="1">
        <v>22129</v>
      </c>
      <c r="F89" s="2">
        <f>STANDARDIZE(D89,H$17,I$17)</f>
        <v>0.4701545792605305</v>
      </c>
      <c r="U89" s="1"/>
    </row>
    <row r="90" spans="1:21" x14ac:dyDescent="0.3">
      <c r="A90" t="s">
        <v>3</v>
      </c>
      <c r="B90">
        <v>1960</v>
      </c>
      <c r="C90" s="3">
        <v>1960.6666666533999</v>
      </c>
      <c r="D90">
        <v>28.4</v>
      </c>
      <c r="E90" s="1">
        <v>22160</v>
      </c>
      <c r="F90" s="2">
        <f>STANDARDIZE(D90,H$18,I$18)</f>
        <v>0.41692706249428207</v>
      </c>
      <c r="U90" s="1"/>
    </row>
    <row r="91" spans="1:21" x14ac:dyDescent="0.3">
      <c r="A91" t="s">
        <v>2</v>
      </c>
      <c r="B91">
        <v>1960</v>
      </c>
      <c r="C91" s="3">
        <v>1960.74999998676</v>
      </c>
      <c r="D91">
        <v>28.1</v>
      </c>
      <c r="E91" s="1">
        <v>22190</v>
      </c>
      <c r="F91" s="2">
        <f>STANDARDIZE(D91,H$19,I$19)</f>
        <v>0.39138954446657193</v>
      </c>
      <c r="U91" s="1"/>
    </row>
    <row r="92" spans="1:21" x14ac:dyDescent="0.3">
      <c r="A92" t="s">
        <v>1</v>
      </c>
      <c r="B92">
        <v>1960</v>
      </c>
      <c r="C92" s="3">
        <v>1960.8333333201199</v>
      </c>
      <c r="D92">
        <v>27.7</v>
      </c>
      <c r="E92" s="1">
        <v>22221</v>
      </c>
      <c r="F92" s="2">
        <f>STANDARDIZE(D92,H$20,I$20)</f>
        <v>-0.23527709747254905</v>
      </c>
      <c r="U92" s="1"/>
    </row>
    <row r="93" spans="1:21" x14ac:dyDescent="0.3">
      <c r="A93" t="s">
        <v>0</v>
      </c>
      <c r="B93">
        <v>1960</v>
      </c>
      <c r="C93" s="3">
        <v>1960.91666665348</v>
      </c>
      <c r="D93">
        <v>27.2</v>
      </c>
      <c r="E93" s="1">
        <v>22251</v>
      </c>
      <c r="F93" s="2">
        <f>STANDARDIZE(D93,H$21,I$21)</f>
        <v>-0.33529991873390275</v>
      </c>
      <c r="U93" s="1"/>
    </row>
    <row r="94" spans="1:21" x14ac:dyDescent="0.3">
      <c r="A94" t="s">
        <v>11</v>
      </c>
      <c r="B94">
        <v>1961</v>
      </c>
      <c r="C94" s="3">
        <v>1960.9999999868401</v>
      </c>
      <c r="D94">
        <v>26.9</v>
      </c>
      <c r="E94" s="1">
        <v>22282</v>
      </c>
      <c r="F94" s="2">
        <f>STANDARDIZE(D94,H$10,I$10)</f>
        <v>-0.12728109087912701</v>
      </c>
      <c r="U94" s="1"/>
    </row>
    <row r="95" spans="1:21" x14ac:dyDescent="0.3">
      <c r="A95" t="s">
        <v>10</v>
      </c>
      <c r="B95">
        <v>1961</v>
      </c>
      <c r="C95" s="3">
        <v>1961.0833333201999</v>
      </c>
      <c r="D95">
        <v>26.2</v>
      </c>
      <c r="E95" s="1">
        <v>22313</v>
      </c>
      <c r="F95" s="2">
        <f>STANDARDIZE(D95,H$11,I$11)</f>
        <v>-1.3667654189391176</v>
      </c>
      <c r="U95" s="1"/>
    </row>
    <row r="96" spans="1:21" x14ac:dyDescent="0.3">
      <c r="A96" t="s">
        <v>9</v>
      </c>
      <c r="B96">
        <v>1961</v>
      </c>
      <c r="C96" s="3">
        <v>1961.16666665356</v>
      </c>
      <c r="D96">
        <v>25.9</v>
      </c>
      <c r="E96" s="1">
        <v>22341</v>
      </c>
      <c r="F96" s="2">
        <f>STANDARDIZE(D96,H$12,I$12)</f>
        <v>-2.3629568797048206</v>
      </c>
      <c r="U96" s="1"/>
    </row>
    <row r="97" spans="1:21" x14ac:dyDescent="0.3">
      <c r="A97" t="s">
        <v>8</v>
      </c>
      <c r="B97">
        <v>1961</v>
      </c>
      <c r="C97" s="3">
        <v>1961.2499999869201</v>
      </c>
      <c r="D97">
        <v>27.2</v>
      </c>
      <c r="E97" s="1">
        <v>22372</v>
      </c>
      <c r="F97" s="2">
        <f>STANDARDIZE(D97,H$13,I$13)</f>
        <v>-1.0231829777104269</v>
      </c>
      <c r="U97" s="1"/>
    </row>
    <row r="98" spans="1:21" x14ac:dyDescent="0.3">
      <c r="A98" t="s">
        <v>7</v>
      </c>
      <c r="B98">
        <v>1961</v>
      </c>
      <c r="C98" s="3">
        <v>1961.33333332028</v>
      </c>
      <c r="D98">
        <v>28</v>
      </c>
      <c r="E98" s="1">
        <v>22402</v>
      </c>
      <c r="F98" s="2">
        <f>STANDARDIZE(D98,H$14,I$14)</f>
        <v>-0.47598721741570227</v>
      </c>
      <c r="U98" s="1"/>
    </row>
    <row r="99" spans="1:21" x14ac:dyDescent="0.3">
      <c r="A99" t="s">
        <v>6</v>
      </c>
      <c r="B99">
        <v>1961</v>
      </c>
      <c r="C99" s="3">
        <v>1961.41666665364</v>
      </c>
      <c r="D99">
        <v>28.8</v>
      </c>
      <c r="E99" s="1">
        <v>22433</v>
      </c>
      <c r="F99" s="2">
        <f>STANDARDIZE(D99,H$15,I$15)</f>
        <v>1.0533325432212126</v>
      </c>
      <c r="U99" s="1"/>
    </row>
    <row r="100" spans="1:21" x14ac:dyDescent="0.3">
      <c r="A100" t="s">
        <v>5</v>
      </c>
      <c r="B100">
        <v>1961</v>
      </c>
      <c r="C100" s="3">
        <v>1961.4999999869999</v>
      </c>
      <c r="D100">
        <v>28.2</v>
      </c>
      <c r="E100" s="1">
        <v>22463</v>
      </c>
      <c r="F100" s="2">
        <f>STANDARDIZE(D100,H$16,I$16)</f>
        <v>-3.1329068420020617E-2</v>
      </c>
      <c r="U100" s="1"/>
    </row>
    <row r="101" spans="1:21" x14ac:dyDescent="0.3">
      <c r="A101" t="s">
        <v>4</v>
      </c>
      <c r="B101">
        <v>1961</v>
      </c>
      <c r="C101" s="3">
        <v>1961.58333332036</v>
      </c>
      <c r="D101">
        <v>28.3</v>
      </c>
      <c r="E101" s="1">
        <v>22494</v>
      </c>
      <c r="F101" s="2">
        <f>STANDARDIZE(D101,H$17,I$17)</f>
        <v>0.26119698847808487</v>
      </c>
      <c r="U101" s="1"/>
    </row>
    <row r="102" spans="1:21" x14ac:dyDescent="0.3">
      <c r="A102" t="s">
        <v>3</v>
      </c>
      <c r="B102">
        <v>1961</v>
      </c>
      <c r="C102" s="3">
        <v>1961.6666666537201</v>
      </c>
      <c r="D102">
        <v>28.1</v>
      </c>
      <c r="E102" s="1">
        <v>22525</v>
      </c>
      <c r="F102" s="2">
        <f>STANDARDIZE(D102,H$18,I$18)</f>
        <v>-0.25917087668562011</v>
      </c>
      <c r="U102" s="1"/>
    </row>
    <row r="103" spans="1:21" x14ac:dyDescent="0.3">
      <c r="A103" t="s">
        <v>2</v>
      </c>
      <c r="B103">
        <v>1961</v>
      </c>
      <c r="C103" s="3">
        <v>1961.7499999870799</v>
      </c>
      <c r="D103">
        <v>28</v>
      </c>
      <c r="E103" s="1">
        <v>22555</v>
      </c>
      <c r="F103" s="2">
        <f>STANDARDIZE(D103,H$19,I$19)</f>
        <v>0.18335366047082208</v>
      </c>
      <c r="U103" s="1"/>
    </row>
    <row r="104" spans="1:21" x14ac:dyDescent="0.3">
      <c r="A104" t="s">
        <v>1</v>
      </c>
      <c r="B104">
        <v>1961</v>
      </c>
      <c r="C104" s="3">
        <v>1961.83333332044</v>
      </c>
      <c r="D104">
        <v>25.9</v>
      </c>
      <c r="E104" s="1">
        <v>22586</v>
      </c>
      <c r="F104" s="2">
        <f>STANDARDIZE(D104,H$20,I$20)</f>
        <v>-3.4386652707526539</v>
      </c>
      <c r="U104" s="1"/>
    </row>
    <row r="105" spans="1:21" x14ac:dyDescent="0.3">
      <c r="A105" t="s">
        <v>0</v>
      </c>
      <c r="B105">
        <v>1961</v>
      </c>
      <c r="C105" s="3">
        <v>1961.9166666537999</v>
      </c>
      <c r="D105">
        <v>26.6</v>
      </c>
      <c r="E105" s="1">
        <v>22616</v>
      </c>
      <c r="F105" s="2">
        <f>STANDARDIZE(D105,H$21,I$21)</f>
        <v>-1.3411996749355932</v>
      </c>
      <c r="U105" s="1"/>
    </row>
    <row r="106" spans="1:21" x14ac:dyDescent="0.3">
      <c r="A106" t="s">
        <v>11</v>
      </c>
      <c r="B106">
        <v>1962</v>
      </c>
      <c r="C106" s="3">
        <v>1961.99999998716</v>
      </c>
      <c r="D106">
        <v>26.5</v>
      </c>
      <c r="E106" s="1">
        <v>22647</v>
      </c>
      <c r="F106" s="2">
        <f>STANDARDIZE(D106,H$10,I$10)</f>
        <v>-0.82584707802961321</v>
      </c>
      <c r="U106" s="1"/>
    </row>
    <row r="107" spans="1:21" x14ac:dyDescent="0.3">
      <c r="A107" t="s">
        <v>10</v>
      </c>
      <c r="B107">
        <v>1962</v>
      </c>
      <c r="C107" s="3">
        <v>1962.0833333205201</v>
      </c>
      <c r="D107">
        <v>27</v>
      </c>
      <c r="E107" s="1">
        <v>22678</v>
      </c>
      <c r="F107" s="2">
        <f>STANDARDIZE(D107,H$11,I$11)</f>
        <v>0.19154194707220265</v>
      </c>
      <c r="U107" s="1"/>
    </row>
    <row r="108" spans="1:21" x14ac:dyDescent="0.3">
      <c r="A108" t="s">
        <v>9</v>
      </c>
      <c r="B108">
        <v>1962</v>
      </c>
      <c r="C108" s="3">
        <v>1962.1666666538799</v>
      </c>
      <c r="D108">
        <v>27.8</v>
      </c>
      <c r="E108" s="1">
        <v>22706</v>
      </c>
      <c r="F108" s="2">
        <f>STANDARDIZE(D108,H$12,I$12)</f>
        <v>0.99585963259377197</v>
      </c>
      <c r="U108" s="1"/>
    </row>
    <row r="109" spans="1:21" x14ac:dyDescent="0.3">
      <c r="A109" t="s">
        <v>8</v>
      </c>
      <c r="B109">
        <v>1962</v>
      </c>
      <c r="C109" s="3">
        <v>1962.24999998724</v>
      </c>
      <c r="D109">
        <v>27.6</v>
      </c>
      <c r="E109" s="1">
        <v>22737</v>
      </c>
      <c r="F109" s="2">
        <f>STANDARDIZE(D109,H$13,I$13)</f>
        <v>-0.17932072805234356</v>
      </c>
      <c r="U109" s="1"/>
    </row>
    <row r="110" spans="1:21" x14ac:dyDescent="0.3">
      <c r="A110" t="s">
        <v>7</v>
      </c>
      <c r="B110">
        <v>1962</v>
      </c>
      <c r="C110" s="3">
        <v>1962.3333333205999</v>
      </c>
      <c r="D110">
        <v>29</v>
      </c>
      <c r="E110" s="1">
        <v>22767</v>
      </c>
      <c r="F110" s="2">
        <f>STANDARDIZE(D110,H$14,I$14)</f>
        <v>2.1930999830461082</v>
      </c>
      <c r="U110" s="1"/>
    </row>
    <row r="111" spans="1:21" x14ac:dyDescent="0.3">
      <c r="A111" t="s">
        <v>6</v>
      </c>
      <c r="B111">
        <v>1962</v>
      </c>
      <c r="C111" s="3">
        <v>1962.41666665396</v>
      </c>
      <c r="D111">
        <v>27.2</v>
      </c>
      <c r="E111" s="1">
        <v>22798</v>
      </c>
      <c r="F111" s="2">
        <f>STANDARDIZE(D111,H$15,I$15)</f>
        <v>-2.7197989548846078</v>
      </c>
      <c r="U111" s="1"/>
    </row>
    <row r="112" spans="1:21" x14ac:dyDescent="0.3">
      <c r="A112" t="s">
        <v>5</v>
      </c>
      <c r="B112">
        <v>1962</v>
      </c>
      <c r="C112" s="3">
        <v>1962.4999999873201</v>
      </c>
      <c r="D112">
        <v>28.2</v>
      </c>
      <c r="E112" s="1">
        <v>22828</v>
      </c>
      <c r="F112" s="2">
        <f>STANDARDIZE(D112,H$16,I$16)</f>
        <v>-3.1329068420020617E-2</v>
      </c>
      <c r="U112" s="1"/>
    </row>
    <row r="113" spans="1:21" x14ac:dyDescent="0.3">
      <c r="A113" t="s">
        <v>4</v>
      </c>
      <c r="B113">
        <v>1962</v>
      </c>
      <c r="C113" s="3">
        <v>1962.5833333206799</v>
      </c>
      <c r="D113">
        <v>28.1</v>
      </c>
      <c r="E113" s="1">
        <v>22859</v>
      </c>
      <c r="F113" s="2">
        <f>STANDARDIZE(D113,H$17,I$17)</f>
        <v>-0.15671819308681381</v>
      </c>
      <c r="U113" s="1"/>
    </row>
    <row r="114" spans="1:21" x14ac:dyDescent="0.3">
      <c r="A114" t="s">
        <v>3</v>
      </c>
      <c r="B114">
        <v>1962</v>
      </c>
      <c r="C114" s="3">
        <v>1962.66666665404</v>
      </c>
      <c r="D114">
        <v>28.3</v>
      </c>
      <c r="E114" s="1">
        <v>22890</v>
      </c>
      <c r="F114" s="2">
        <f>STANDARDIZE(D114,H$18,I$18)</f>
        <v>0.19156108276765069</v>
      </c>
      <c r="U114" s="1"/>
    </row>
    <row r="115" spans="1:21" x14ac:dyDescent="0.3">
      <c r="A115" t="s">
        <v>2</v>
      </c>
      <c r="B115">
        <v>1962</v>
      </c>
      <c r="C115" s="3">
        <v>1962.7499999874001</v>
      </c>
      <c r="D115">
        <v>28.6</v>
      </c>
      <c r="E115" s="1">
        <v>22920</v>
      </c>
      <c r="F115" s="2">
        <f>STANDARDIZE(D115,H$19,I$19)</f>
        <v>1.4315689644453062</v>
      </c>
      <c r="U115" s="1"/>
    </row>
    <row r="116" spans="1:21" x14ac:dyDescent="0.3">
      <c r="A116" t="s">
        <v>1</v>
      </c>
      <c r="B116">
        <v>1962</v>
      </c>
      <c r="C116" s="3">
        <v>1962.8333333207599</v>
      </c>
      <c r="D116">
        <v>28.4</v>
      </c>
      <c r="E116" s="1">
        <v>22951</v>
      </c>
      <c r="F116" s="2">
        <f>STANDARDIZE(D116,H$20,I$20)</f>
        <v>1.0104849699141567</v>
      </c>
      <c r="U116" s="1"/>
    </row>
    <row r="117" spans="1:21" x14ac:dyDescent="0.3">
      <c r="A117" t="s">
        <v>0</v>
      </c>
      <c r="B117">
        <v>1962</v>
      </c>
      <c r="C117" s="3">
        <v>1962.91666665412</v>
      </c>
      <c r="D117">
        <v>27.6</v>
      </c>
      <c r="E117" s="1">
        <v>22981</v>
      </c>
      <c r="F117" s="2">
        <f>STANDARDIZE(D117,H$21,I$21)</f>
        <v>0.33529991873389681</v>
      </c>
      <c r="U117" s="1"/>
    </row>
    <row r="118" spans="1:21" x14ac:dyDescent="0.3">
      <c r="A118" t="s">
        <v>11</v>
      </c>
      <c r="B118">
        <v>1963</v>
      </c>
      <c r="C118" s="3">
        <v>1962.9999999874799</v>
      </c>
      <c r="D118">
        <v>28.3</v>
      </c>
      <c r="E118" s="1">
        <v>23012</v>
      </c>
      <c r="F118" s="2">
        <f>STANDARDIZE(D118,H$10,I$10)</f>
        <v>2.317699864147587</v>
      </c>
      <c r="U118" s="1"/>
    </row>
    <row r="119" spans="1:21" x14ac:dyDescent="0.3">
      <c r="A119" t="s">
        <v>10</v>
      </c>
      <c r="B119">
        <v>1963</v>
      </c>
      <c r="C119" s="3">
        <v>1963.08333332084</v>
      </c>
      <c r="D119">
        <v>28</v>
      </c>
      <c r="E119" s="1">
        <v>23043</v>
      </c>
      <c r="F119" s="2">
        <f>STANDARDIZE(D119,H$11,I$11)</f>
        <v>2.1394261545863511</v>
      </c>
      <c r="U119" s="1"/>
    </row>
    <row r="120" spans="1:21" x14ac:dyDescent="0.3">
      <c r="A120" t="s">
        <v>9</v>
      </c>
      <c r="B120">
        <v>1963</v>
      </c>
      <c r="C120" s="3">
        <v>1963.1666666542001</v>
      </c>
      <c r="D120">
        <v>28.2</v>
      </c>
      <c r="E120" s="1">
        <v>23071</v>
      </c>
      <c r="F120" s="2">
        <f>STANDARDIZE(D120,H$12,I$12)</f>
        <v>1.7029788983408409</v>
      </c>
      <c r="U120" s="1"/>
    </row>
    <row r="121" spans="1:21" x14ac:dyDescent="0.3">
      <c r="A121" t="s">
        <v>8</v>
      </c>
      <c r="B121">
        <v>1963</v>
      </c>
      <c r="C121" s="3">
        <v>1963.2499999875599</v>
      </c>
      <c r="D121">
        <v>27.9</v>
      </c>
      <c r="E121" s="1">
        <v>23102</v>
      </c>
      <c r="F121" s="2">
        <f>STANDARDIZE(D121,H$13,I$13)</f>
        <v>0.45357595919120958</v>
      </c>
      <c r="U121" s="1"/>
    </row>
    <row r="122" spans="1:21" x14ac:dyDescent="0.3">
      <c r="A122" t="s">
        <v>7</v>
      </c>
      <c r="B122">
        <v>1963</v>
      </c>
      <c r="C122" s="3">
        <v>1963.33333332092</v>
      </c>
      <c r="D122">
        <v>27.8</v>
      </c>
      <c r="E122" s="1">
        <v>23132</v>
      </c>
      <c r="F122" s="2">
        <f>STANDARDIZE(D122,H$14,I$14)</f>
        <v>-1.0098046575080624</v>
      </c>
      <c r="U122" s="1"/>
    </row>
    <row r="123" spans="1:21" x14ac:dyDescent="0.3">
      <c r="A123" t="s">
        <v>6</v>
      </c>
      <c r="B123">
        <v>1963</v>
      </c>
      <c r="C123" s="3">
        <v>1963.4166666542801</v>
      </c>
      <c r="D123">
        <v>27.7</v>
      </c>
      <c r="E123" s="1">
        <v>23163</v>
      </c>
      <c r="F123" s="2">
        <f>STANDARDIZE(D123,H$15,I$15)</f>
        <v>-1.5406953617265398</v>
      </c>
      <c r="U123" s="1"/>
    </row>
    <row r="124" spans="1:21" x14ac:dyDescent="0.3">
      <c r="A124" t="s">
        <v>5</v>
      </c>
      <c r="B124">
        <v>1963</v>
      </c>
      <c r="C124" s="3">
        <v>1963.49999998764</v>
      </c>
      <c r="D124">
        <v>27.8</v>
      </c>
      <c r="E124" s="1">
        <v>23193</v>
      </c>
      <c r="F124" s="2">
        <f>STANDARDIZE(D124,H$16,I$16)</f>
        <v>-1.1054685571067606</v>
      </c>
      <c r="U124" s="1"/>
    </row>
    <row r="125" spans="1:21" x14ac:dyDescent="0.3">
      <c r="A125" t="s">
        <v>4</v>
      </c>
      <c r="B125">
        <v>1963</v>
      </c>
      <c r="C125" s="3">
        <v>1963.5833333210001</v>
      </c>
      <c r="D125">
        <v>27.8</v>
      </c>
      <c r="E125" s="1">
        <v>23224</v>
      </c>
      <c r="F125" s="2">
        <f>STANDARDIZE(D125,H$17,I$17)</f>
        <v>-0.78359096543416551</v>
      </c>
      <c r="U125" s="1"/>
    </row>
    <row r="126" spans="1:21" x14ac:dyDescent="0.3">
      <c r="A126" t="s">
        <v>3</v>
      </c>
      <c r="B126">
        <v>1963</v>
      </c>
      <c r="C126" s="3">
        <v>1963.6666666543599</v>
      </c>
      <c r="D126">
        <v>27.8</v>
      </c>
      <c r="E126" s="1">
        <v>23255</v>
      </c>
      <c r="F126" s="2">
        <f>STANDARDIZE(D126,H$18,I$18)</f>
        <v>-0.93526881586553023</v>
      </c>
      <c r="U126" s="1"/>
    </row>
    <row r="127" spans="1:21" x14ac:dyDescent="0.3">
      <c r="A127" t="s">
        <v>2</v>
      </c>
      <c r="B127">
        <v>1963</v>
      </c>
      <c r="C127" s="3">
        <v>1963.74999998772</v>
      </c>
      <c r="D127">
        <v>27.8</v>
      </c>
      <c r="E127" s="1">
        <v>23285</v>
      </c>
      <c r="F127" s="2">
        <f>STANDARDIZE(D127,H$19,I$19)</f>
        <v>-0.23271810752067018</v>
      </c>
      <c r="U127" s="1"/>
    </row>
    <row r="128" spans="1:21" x14ac:dyDescent="0.3">
      <c r="A128" t="s">
        <v>1</v>
      </c>
      <c r="B128">
        <v>1963</v>
      </c>
      <c r="C128" s="3">
        <v>1963.8333333210801</v>
      </c>
      <c r="D128">
        <v>27.5</v>
      </c>
      <c r="E128" s="1">
        <v>23316</v>
      </c>
      <c r="F128" s="2">
        <f>STANDARDIZE(D128,H$20,I$20)</f>
        <v>-0.5912091167258926</v>
      </c>
      <c r="U128" s="1"/>
    </row>
    <row r="129" spans="1:21" x14ac:dyDescent="0.3">
      <c r="A129" t="s">
        <v>0</v>
      </c>
      <c r="B129">
        <v>1963</v>
      </c>
      <c r="C129" s="3">
        <v>1963.91666665444</v>
      </c>
      <c r="D129">
        <v>27.5</v>
      </c>
      <c r="E129" s="1">
        <v>23346</v>
      </c>
      <c r="F129" s="2">
        <f>STANDARDIZE(D129,H$21,I$21)</f>
        <v>0.16764995936694543</v>
      </c>
      <c r="U129" s="1"/>
    </row>
    <row r="130" spans="1:21" x14ac:dyDescent="0.3">
      <c r="A130" t="s">
        <v>11</v>
      </c>
      <c r="B130">
        <v>1964</v>
      </c>
      <c r="C130" s="3">
        <v>1963.9999999878</v>
      </c>
      <c r="D130">
        <v>26.8</v>
      </c>
      <c r="E130" s="1">
        <v>23377</v>
      </c>
      <c r="F130" s="2">
        <f>STANDARDIZE(D130,H$10,I$10)</f>
        <v>-0.30192258766674546</v>
      </c>
      <c r="U130" s="1"/>
    </row>
    <row r="131" spans="1:21" x14ac:dyDescent="0.3">
      <c r="A131" t="s">
        <v>10</v>
      </c>
      <c r="B131">
        <v>1964</v>
      </c>
      <c r="C131" s="3">
        <v>1964.0833333211599</v>
      </c>
      <c r="D131">
        <v>27.1</v>
      </c>
      <c r="E131" s="1">
        <v>23408</v>
      </c>
      <c r="F131" s="2">
        <f>STANDARDIZE(D131,H$11,I$11)</f>
        <v>0.38633036782362029</v>
      </c>
      <c r="U131" s="1"/>
    </row>
    <row r="132" spans="1:21" x14ac:dyDescent="0.3">
      <c r="A132" t="s">
        <v>9</v>
      </c>
      <c r="B132">
        <v>1964</v>
      </c>
      <c r="C132" s="3">
        <v>1964.16666665452</v>
      </c>
      <c r="D132">
        <v>27</v>
      </c>
      <c r="E132" s="1">
        <v>23437</v>
      </c>
      <c r="F132" s="2">
        <f>STANDARDIZE(D132,H$12,I$12)</f>
        <v>-0.418378898900372</v>
      </c>
      <c r="U132" s="1"/>
    </row>
    <row r="133" spans="1:21" x14ac:dyDescent="0.3">
      <c r="A133" t="s">
        <v>8</v>
      </c>
      <c r="B133">
        <v>1964</v>
      </c>
      <c r="C133" s="3">
        <v>1964.2499999878801</v>
      </c>
      <c r="D133">
        <v>28</v>
      </c>
      <c r="E133" s="1">
        <v>23468</v>
      </c>
      <c r="F133" s="2">
        <f>STANDARDIZE(D133,H$13,I$13)</f>
        <v>0.66454152160573232</v>
      </c>
      <c r="U133" s="1"/>
    </row>
    <row r="134" spans="1:21" x14ac:dyDescent="0.3">
      <c r="A134" t="s">
        <v>7</v>
      </c>
      <c r="B134">
        <v>1964</v>
      </c>
      <c r="C134" s="3">
        <v>1964.3333333212399</v>
      </c>
      <c r="D134">
        <v>28.2</v>
      </c>
      <c r="E134" s="1">
        <v>23498</v>
      </c>
      <c r="F134" s="2">
        <f>STANDARDIZE(D134,H$14,I$14)</f>
        <v>5.783022267665789E-2</v>
      </c>
      <c r="U134" s="1"/>
    </row>
    <row r="135" spans="1:21" x14ac:dyDescent="0.3">
      <c r="A135" t="s">
        <v>6</v>
      </c>
      <c r="B135">
        <v>1964</v>
      </c>
      <c r="C135" s="3">
        <v>1964.4166666546</v>
      </c>
      <c r="D135">
        <v>28.1</v>
      </c>
      <c r="E135" s="1">
        <v>23529</v>
      </c>
      <c r="F135" s="2">
        <f>STANDARDIZE(D135,H$15,I$15)</f>
        <v>-0.59741248720008056</v>
      </c>
      <c r="U135" s="1"/>
    </row>
    <row r="136" spans="1:21" x14ac:dyDescent="0.3">
      <c r="A136" t="s">
        <v>5</v>
      </c>
      <c r="B136">
        <v>1964</v>
      </c>
      <c r="C136" s="3">
        <v>1964.4999999879601</v>
      </c>
      <c r="D136">
        <v>27.9</v>
      </c>
      <c r="E136" s="1">
        <v>23559</v>
      </c>
      <c r="F136" s="2">
        <f>STANDARDIZE(D136,H$16,I$16)</f>
        <v>-0.83693368493508047</v>
      </c>
      <c r="U136" s="1"/>
    </row>
    <row r="137" spans="1:21" x14ac:dyDescent="0.3">
      <c r="A137" t="s">
        <v>4</v>
      </c>
      <c r="B137">
        <v>1964</v>
      </c>
      <c r="C137" s="3">
        <v>1964.58333332132</v>
      </c>
      <c r="D137">
        <v>27.5</v>
      </c>
      <c r="E137" s="1">
        <v>23590</v>
      </c>
      <c r="F137" s="2">
        <f>STANDARDIZE(D137,H$17,I$17)</f>
        <v>-1.4104637377815172</v>
      </c>
      <c r="U137" s="1"/>
    </row>
    <row r="138" spans="1:21" x14ac:dyDescent="0.3">
      <c r="A138" t="s">
        <v>3</v>
      </c>
      <c r="B138">
        <v>1964</v>
      </c>
      <c r="C138" s="3">
        <v>1964.6666666546801</v>
      </c>
      <c r="D138">
        <v>27.7</v>
      </c>
      <c r="E138" s="1">
        <v>23621</v>
      </c>
      <c r="F138" s="2">
        <f>STANDARDIZE(D138,H$18,I$18)</f>
        <v>-1.1606347955921696</v>
      </c>
      <c r="U138" s="1"/>
    </row>
    <row r="139" spans="1:21" x14ac:dyDescent="0.3">
      <c r="A139" t="s">
        <v>2</v>
      </c>
      <c r="B139">
        <v>1964</v>
      </c>
      <c r="C139" s="3">
        <v>1964.7499999880399</v>
      </c>
      <c r="D139">
        <v>27.4</v>
      </c>
      <c r="E139" s="1">
        <v>23651</v>
      </c>
      <c r="F139" s="2">
        <f>STANDARDIZE(D139,H$19,I$19)</f>
        <v>-1.064861643503662</v>
      </c>
      <c r="U139" s="1"/>
    </row>
    <row r="140" spans="1:21" x14ac:dyDescent="0.3">
      <c r="A140" t="s">
        <v>1</v>
      </c>
      <c r="B140">
        <v>1964</v>
      </c>
      <c r="C140" s="3">
        <v>1964.8333333214</v>
      </c>
      <c r="D140">
        <v>27.2</v>
      </c>
      <c r="E140" s="1">
        <v>23682</v>
      </c>
      <c r="F140" s="2">
        <f>STANDARDIZE(D140,H$20,I$20)</f>
        <v>-1.1251071456059112</v>
      </c>
      <c r="U140" s="1"/>
    </row>
    <row r="141" spans="1:21" x14ac:dyDescent="0.3">
      <c r="A141" t="s">
        <v>0</v>
      </c>
      <c r="B141">
        <v>1964</v>
      </c>
      <c r="C141" s="3">
        <v>1964.9166666547601</v>
      </c>
      <c r="D141">
        <v>26.5</v>
      </c>
      <c r="E141" s="1">
        <v>23712</v>
      </c>
      <c r="F141" s="2">
        <f>STANDARDIZE(D141,H$21,I$21)</f>
        <v>-1.5088496343025446</v>
      </c>
      <c r="U141" s="1"/>
    </row>
    <row r="142" spans="1:21" x14ac:dyDescent="0.3">
      <c r="A142" t="s">
        <v>11</v>
      </c>
      <c r="B142">
        <v>1965</v>
      </c>
      <c r="C142" s="3">
        <v>1964.99999998812</v>
      </c>
      <c r="D142">
        <v>26.3</v>
      </c>
      <c r="E142" s="1">
        <v>23743</v>
      </c>
      <c r="F142" s="2">
        <f>STANDARDIZE(D142,H$10,I$10)</f>
        <v>-1.1751300716048563</v>
      </c>
      <c r="U142" s="1"/>
    </row>
    <row r="143" spans="1:21" x14ac:dyDescent="0.3">
      <c r="A143" t="s">
        <v>10</v>
      </c>
      <c r="B143">
        <v>1965</v>
      </c>
      <c r="C143" s="3">
        <v>1965.08333332148</v>
      </c>
      <c r="D143">
        <v>26.7</v>
      </c>
      <c r="E143" s="1">
        <v>23774</v>
      </c>
      <c r="F143" s="2">
        <f>STANDARDIZE(D143,H$11,I$11)</f>
        <v>-0.39282331518204333</v>
      </c>
      <c r="U143" s="1"/>
    </row>
    <row r="144" spans="1:21" x14ac:dyDescent="0.3">
      <c r="A144" t="s">
        <v>9</v>
      </c>
      <c r="B144">
        <v>1965</v>
      </c>
      <c r="C144" s="3">
        <v>1965.1666666548399</v>
      </c>
      <c r="D144">
        <v>27.1</v>
      </c>
      <c r="E144" s="1">
        <v>23802</v>
      </c>
      <c r="F144" s="2">
        <f>STANDARDIZE(D144,H$12,I$12)</f>
        <v>-0.24159908246360165</v>
      </c>
      <c r="U144" s="1"/>
    </row>
    <row r="145" spans="1:21" x14ac:dyDescent="0.3">
      <c r="A145" t="s">
        <v>8</v>
      </c>
      <c r="B145">
        <v>1965</v>
      </c>
      <c r="C145" s="3">
        <v>1965.2499999882</v>
      </c>
      <c r="D145">
        <v>27.6</v>
      </c>
      <c r="E145" s="1">
        <v>23833</v>
      </c>
      <c r="F145" s="2">
        <f>STANDARDIZE(D145,H$13,I$13)</f>
        <v>-0.17932072805234356</v>
      </c>
      <c r="U145" s="1"/>
    </row>
    <row r="146" spans="1:21" x14ac:dyDescent="0.3">
      <c r="A146" t="s">
        <v>7</v>
      </c>
      <c r="B146">
        <v>1965</v>
      </c>
      <c r="C146" s="3">
        <v>1965.3333333215601</v>
      </c>
      <c r="D146">
        <v>28</v>
      </c>
      <c r="E146" s="1">
        <v>23863</v>
      </c>
      <c r="F146" s="2">
        <f>STANDARDIZE(D146,H$14,I$14)</f>
        <v>-0.47598721741570227</v>
      </c>
      <c r="U146" s="1"/>
    </row>
    <row r="147" spans="1:21" x14ac:dyDescent="0.3">
      <c r="A147" t="s">
        <v>6</v>
      </c>
      <c r="B147">
        <v>1965</v>
      </c>
      <c r="C147" s="3">
        <v>1965.4166666549199</v>
      </c>
      <c r="D147">
        <v>28.2</v>
      </c>
      <c r="E147" s="1">
        <v>23894</v>
      </c>
      <c r="F147" s="2">
        <f>STANDARDIZE(D147,H$15,I$15)</f>
        <v>-0.36159176856847203</v>
      </c>
      <c r="U147" s="1"/>
    </row>
    <row r="148" spans="1:21" x14ac:dyDescent="0.3">
      <c r="A148" t="s">
        <v>5</v>
      </c>
      <c r="B148">
        <v>1965</v>
      </c>
      <c r="C148" s="3">
        <v>1965.49999998828</v>
      </c>
      <c r="D148">
        <v>28.5</v>
      </c>
      <c r="E148" s="1">
        <v>23924</v>
      </c>
      <c r="F148" s="2">
        <f>STANDARDIZE(D148,H$16,I$16)</f>
        <v>0.77427554809503918</v>
      </c>
      <c r="U148" s="1"/>
    </row>
    <row r="149" spans="1:21" x14ac:dyDescent="0.3">
      <c r="A149" t="s">
        <v>4</v>
      </c>
      <c r="B149">
        <v>1965</v>
      </c>
      <c r="C149" s="3">
        <v>1965.5833333216401</v>
      </c>
      <c r="D149">
        <v>28.1</v>
      </c>
      <c r="E149" s="1">
        <v>23955</v>
      </c>
      <c r="F149" s="2">
        <f>STANDARDIZE(D149,H$17,I$17)</f>
        <v>-0.15671819308681381</v>
      </c>
      <c r="U149" s="1"/>
    </row>
    <row r="150" spans="1:21" x14ac:dyDescent="0.3">
      <c r="A150" t="s">
        <v>3</v>
      </c>
      <c r="B150">
        <v>1965</v>
      </c>
      <c r="C150" s="3">
        <v>1965.666666655</v>
      </c>
      <c r="D150">
        <v>28.4</v>
      </c>
      <c r="E150" s="1">
        <v>23986</v>
      </c>
      <c r="F150" s="2">
        <f>STANDARDIZE(D150,H$18,I$18)</f>
        <v>0.41692706249428207</v>
      </c>
      <c r="U150" s="1"/>
    </row>
    <row r="151" spans="1:21" x14ac:dyDescent="0.3">
      <c r="A151" t="s">
        <v>2</v>
      </c>
      <c r="B151">
        <v>1965</v>
      </c>
      <c r="C151" s="3">
        <v>1965.7499999883601</v>
      </c>
      <c r="D151">
        <v>28</v>
      </c>
      <c r="E151" s="1">
        <v>24016</v>
      </c>
      <c r="F151" s="2">
        <f>STANDARDIZE(D151,H$19,I$19)</f>
        <v>0.18335366047082208</v>
      </c>
      <c r="U151" s="1"/>
    </row>
    <row r="152" spans="1:21" x14ac:dyDescent="0.3">
      <c r="A152" t="s">
        <v>1</v>
      </c>
      <c r="B152">
        <v>1965</v>
      </c>
      <c r="C152" s="3">
        <v>1965.8333333217199</v>
      </c>
      <c r="D152">
        <v>27.2</v>
      </c>
      <c r="E152" s="1">
        <v>24047</v>
      </c>
      <c r="F152" s="2">
        <f>STANDARDIZE(D152,H$20,I$20)</f>
        <v>-1.1251071456059112</v>
      </c>
      <c r="U152" s="1"/>
    </row>
    <row r="153" spans="1:21" x14ac:dyDescent="0.3">
      <c r="A153" t="s">
        <v>0</v>
      </c>
      <c r="B153">
        <v>1965</v>
      </c>
      <c r="C153" s="3">
        <v>1965.91666665508</v>
      </c>
      <c r="D153">
        <v>27.6</v>
      </c>
      <c r="E153" s="1">
        <v>24077</v>
      </c>
      <c r="F153" s="2">
        <f>STANDARDIZE(D153,H$21,I$21)</f>
        <v>0.33529991873389681</v>
      </c>
      <c r="U153" s="1"/>
    </row>
    <row r="154" spans="1:21" x14ac:dyDescent="0.3">
      <c r="A154" t="s">
        <v>11</v>
      </c>
      <c r="B154">
        <v>1966</v>
      </c>
      <c r="C154" s="3">
        <v>1965.9999999884401</v>
      </c>
      <c r="D154">
        <v>27.8</v>
      </c>
      <c r="E154" s="1">
        <v>24108</v>
      </c>
      <c r="F154" s="2">
        <f>STANDARDIZE(D154,H$10,I$10)</f>
        <v>1.4444923802094762</v>
      </c>
      <c r="U154" s="1"/>
    </row>
    <row r="155" spans="1:21" x14ac:dyDescent="0.3">
      <c r="A155" t="s">
        <v>10</v>
      </c>
      <c r="B155">
        <v>1966</v>
      </c>
      <c r="C155" s="3">
        <v>1966.0833333218</v>
      </c>
      <c r="D155">
        <v>27.6</v>
      </c>
      <c r="E155" s="1">
        <v>24139</v>
      </c>
      <c r="F155" s="2">
        <f>STANDARDIZE(D155,H$11,I$11)</f>
        <v>1.3602724715806946</v>
      </c>
      <c r="U155" s="1"/>
    </row>
    <row r="156" spans="1:21" x14ac:dyDescent="0.3">
      <c r="A156" t="s">
        <v>9</v>
      </c>
      <c r="B156">
        <v>1966</v>
      </c>
      <c r="C156" s="3">
        <v>1966.16666665516</v>
      </c>
      <c r="D156">
        <v>26.7</v>
      </c>
      <c r="E156" s="1">
        <v>24167</v>
      </c>
      <c r="F156" s="2">
        <f>STANDARDIZE(D156,H$12,I$12)</f>
        <v>-0.9487183482106768</v>
      </c>
      <c r="U156" s="1"/>
    </row>
    <row r="157" spans="1:21" x14ac:dyDescent="0.3">
      <c r="A157" t="s">
        <v>8</v>
      </c>
      <c r="B157">
        <v>1966</v>
      </c>
      <c r="C157" s="3">
        <v>1966.2499999885199</v>
      </c>
      <c r="D157">
        <v>28.1</v>
      </c>
      <c r="E157" s="1">
        <v>24198</v>
      </c>
      <c r="F157" s="2">
        <f>STANDARDIZE(D157,H$13,I$13)</f>
        <v>0.87550708402025501</v>
      </c>
      <c r="U157" s="1"/>
    </row>
    <row r="158" spans="1:21" x14ac:dyDescent="0.3">
      <c r="A158" t="s">
        <v>7</v>
      </c>
      <c r="B158">
        <v>1966</v>
      </c>
      <c r="C158" s="3">
        <v>1966.33333332188</v>
      </c>
      <c r="D158">
        <v>28</v>
      </c>
      <c r="E158" s="1">
        <v>24228</v>
      </c>
      <c r="F158" s="2">
        <f>STANDARDIZE(D158,H$14,I$14)</f>
        <v>-0.47598721741570227</v>
      </c>
      <c r="U158" s="1"/>
    </row>
    <row r="159" spans="1:21" x14ac:dyDescent="0.3">
      <c r="A159" t="s">
        <v>6</v>
      </c>
      <c r="B159">
        <v>1966</v>
      </c>
      <c r="C159" s="3">
        <v>1966.4166666552401</v>
      </c>
      <c r="D159">
        <v>27.7</v>
      </c>
      <c r="E159" s="1">
        <v>24259</v>
      </c>
      <c r="F159" s="2">
        <f>STANDARDIZE(D159,H$15,I$15)</f>
        <v>-1.5406953617265398</v>
      </c>
      <c r="U159" s="1"/>
    </row>
    <row r="160" spans="1:21" x14ac:dyDescent="0.3">
      <c r="A160" t="s">
        <v>5</v>
      </c>
      <c r="B160">
        <v>1966</v>
      </c>
      <c r="C160" s="3">
        <v>1966.4999999885999</v>
      </c>
      <c r="D160">
        <v>28.1</v>
      </c>
      <c r="E160" s="1">
        <v>24289</v>
      </c>
      <c r="F160" s="2">
        <f>STANDARDIZE(D160,H$16,I$16)</f>
        <v>-0.29986394059170085</v>
      </c>
      <c r="U160" s="1"/>
    </row>
    <row r="161" spans="1:21" x14ac:dyDescent="0.3">
      <c r="A161" t="s">
        <v>4</v>
      </c>
      <c r="B161">
        <v>1966</v>
      </c>
      <c r="C161" s="3">
        <v>1966.58333332196</v>
      </c>
      <c r="D161">
        <v>28</v>
      </c>
      <c r="E161" s="1">
        <v>24320</v>
      </c>
      <c r="F161" s="2">
        <f>STANDARDIZE(D161,H$17,I$17)</f>
        <v>-0.36567578386926686</v>
      </c>
      <c r="U161" s="1"/>
    </row>
    <row r="162" spans="1:21" x14ac:dyDescent="0.3">
      <c r="A162" t="s">
        <v>3</v>
      </c>
      <c r="B162">
        <v>1966</v>
      </c>
      <c r="C162" s="3">
        <v>1966.6666666553199</v>
      </c>
      <c r="D162">
        <v>27.8</v>
      </c>
      <c r="E162" s="1">
        <v>24351</v>
      </c>
      <c r="F162" s="2">
        <f>STANDARDIZE(D162,H$18,I$18)</f>
        <v>-0.93526881586553023</v>
      </c>
      <c r="U162" s="1"/>
    </row>
    <row r="163" spans="1:21" x14ac:dyDescent="0.3">
      <c r="A163" t="s">
        <v>2</v>
      </c>
      <c r="B163">
        <v>1966</v>
      </c>
      <c r="C163" s="3">
        <v>1966.74999998868</v>
      </c>
      <c r="D163">
        <v>27.4</v>
      </c>
      <c r="E163" s="1">
        <v>24381</v>
      </c>
      <c r="F163" s="2">
        <f>STANDARDIZE(D163,H$19,I$19)</f>
        <v>-1.064861643503662</v>
      </c>
      <c r="U163" s="1"/>
    </row>
    <row r="164" spans="1:21" x14ac:dyDescent="0.3">
      <c r="A164" t="s">
        <v>1</v>
      </c>
      <c r="B164">
        <v>1966</v>
      </c>
      <c r="C164" s="3">
        <v>1966.8333333220401</v>
      </c>
      <c r="D164">
        <v>26.7</v>
      </c>
      <c r="E164" s="1">
        <v>24412</v>
      </c>
      <c r="F164" s="2">
        <f>STANDARDIZE(D164,H$20,I$20)</f>
        <v>-2.0149371937392733</v>
      </c>
      <c r="U164" s="1"/>
    </row>
    <row r="165" spans="1:21" x14ac:dyDescent="0.3">
      <c r="A165" t="s">
        <v>0</v>
      </c>
      <c r="B165">
        <v>1966</v>
      </c>
      <c r="C165" s="3">
        <v>1966.9166666553999</v>
      </c>
      <c r="D165">
        <v>25.8</v>
      </c>
      <c r="E165" s="1">
        <v>24442</v>
      </c>
      <c r="F165" s="2">
        <f>STANDARDIZE(D165,H$21,I$21)</f>
        <v>-2.6823993498711864</v>
      </c>
      <c r="U165" s="1"/>
    </row>
    <row r="166" spans="1:21" x14ac:dyDescent="0.3">
      <c r="A166" t="s">
        <v>11</v>
      </c>
      <c r="B166">
        <v>1967</v>
      </c>
      <c r="C166" s="3">
        <v>1966.99999998876</v>
      </c>
      <c r="D166">
        <v>26.4</v>
      </c>
      <c r="E166" s="1">
        <v>24473</v>
      </c>
      <c r="F166" s="2">
        <f>STANDARDIZE(D166,H$10,I$10)</f>
        <v>-1.0004885748172379</v>
      </c>
      <c r="U166" s="1"/>
    </row>
    <row r="167" spans="1:21" x14ac:dyDescent="0.3">
      <c r="A167" t="s">
        <v>10</v>
      </c>
      <c r="B167">
        <v>1967</v>
      </c>
      <c r="C167" s="3">
        <v>1967.0833333221201</v>
      </c>
      <c r="D167">
        <v>26.7</v>
      </c>
      <c r="E167" s="1">
        <v>24504</v>
      </c>
      <c r="F167" s="2">
        <f>STANDARDIZE(D167,H$11,I$11)</f>
        <v>-0.39282331518204333</v>
      </c>
      <c r="U167" s="1"/>
    </row>
    <row r="168" spans="1:21" x14ac:dyDescent="0.3">
      <c r="A168" t="s">
        <v>9</v>
      </c>
      <c r="B168">
        <v>1967</v>
      </c>
      <c r="C168" s="3">
        <v>1967.16666665548</v>
      </c>
      <c r="D168">
        <v>27.4</v>
      </c>
      <c r="E168" s="1">
        <v>24532</v>
      </c>
      <c r="F168" s="2">
        <f>STANDARDIZE(D168,H$12,I$12)</f>
        <v>0.28874036684669685</v>
      </c>
      <c r="U168" s="1"/>
    </row>
    <row r="169" spans="1:21" x14ac:dyDescent="0.3">
      <c r="A169" t="s">
        <v>8</v>
      </c>
      <c r="B169">
        <v>1967</v>
      </c>
      <c r="C169" s="3">
        <v>1967.24999998884</v>
      </c>
      <c r="D169">
        <v>27.9</v>
      </c>
      <c r="E169" s="1">
        <v>24563</v>
      </c>
      <c r="F169" s="2">
        <f>STANDARDIZE(D169,H$13,I$13)</f>
        <v>0.45357595919120958</v>
      </c>
      <c r="U169" s="1"/>
    </row>
    <row r="170" spans="1:21" x14ac:dyDescent="0.3">
      <c r="A170" t="s">
        <v>7</v>
      </c>
      <c r="B170">
        <v>1967</v>
      </c>
      <c r="C170" s="3">
        <v>1967.3333333221999</v>
      </c>
      <c r="D170">
        <v>28.3</v>
      </c>
      <c r="E170" s="1">
        <v>24593</v>
      </c>
      <c r="F170" s="2">
        <f>STANDARDIZE(D170,H$14,I$14)</f>
        <v>0.32473894272284271</v>
      </c>
      <c r="U170" s="1"/>
    </row>
    <row r="171" spans="1:21" x14ac:dyDescent="0.3">
      <c r="A171" t="s">
        <v>6</v>
      </c>
      <c r="B171">
        <v>1967</v>
      </c>
      <c r="C171" s="3">
        <v>1967.41666665556</v>
      </c>
      <c r="D171">
        <v>28.4</v>
      </c>
      <c r="E171" s="1">
        <v>24624</v>
      </c>
      <c r="F171" s="2">
        <f>STANDARDIZE(D171,H$15,I$15)</f>
        <v>0.11004966869475344</v>
      </c>
      <c r="U171" s="1"/>
    </row>
    <row r="172" spans="1:21" x14ac:dyDescent="0.3">
      <c r="A172" t="s">
        <v>5</v>
      </c>
      <c r="B172">
        <v>1967</v>
      </c>
      <c r="C172" s="3">
        <v>1967.4999999889201</v>
      </c>
      <c r="D172">
        <v>28.4</v>
      </c>
      <c r="E172" s="1">
        <v>24654</v>
      </c>
      <c r="F172" s="2">
        <f>STANDARDIZE(D172,H$16,I$16)</f>
        <v>0.50574067592334937</v>
      </c>
      <c r="U172" s="1"/>
    </row>
    <row r="173" spans="1:21" x14ac:dyDescent="0.3">
      <c r="A173" t="s">
        <v>4</v>
      </c>
      <c r="B173">
        <v>1967</v>
      </c>
      <c r="C173" s="3">
        <v>1967.5833333222799</v>
      </c>
      <c r="D173">
        <v>28.2</v>
      </c>
      <c r="E173" s="1">
        <v>24685</v>
      </c>
      <c r="F173" s="2">
        <f>STANDARDIZE(D173,H$17,I$17)</f>
        <v>5.2239397695631823E-2</v>
      </c>
      <c r="U173" s="1"/>
    </row>
    <row r="174" spans="1:21" x14ac:dyDescent="0.3">
      <c r="A174" t="s">
        <v>3</v>
      </c>
      <c r="B174">
        <v>1967</v>
      </c>
      <c r="C174" s="3">
        <v>1967.66666665564</v>
      </c>
      <c r="D174">
        <v>28</v>
      </c>
      <c r="E174" s="1">
        <v>24716</v>
      </c>
      <c r="F174" s="2">
        <f>STANDARDIZE(D174,H$18,I$18)</f>
        <v>-0.48453685641225946</v>
      </c>
      <c r="U174" s="1"/>
    </row>
    <row r="175" spans="1:21" x14ac:dyDescent="0.3">
      <c r="A175" t="s">
        <v>2</v>
      </c>
      <c r="B175">
        <v>1967</v>
      </c>
      <c r="C175" s="3">
        <v>1967.7499999889999</v>
      </c>
      <c r="D175">
        <v>27.7</v>
      </c>
      <c r="E175" s="1">
        <v>24746</v>
      </c>
      <c r="F175" s="2">
        <f>STANDARDIZE(D175,H$19,I$19)</f>
        <v>-0.44075399151641997</v>
      </c>
      <c r="U175" s="1"/>
    </row>
    <row r="176" spans="1:21" x14ac:dyDescent="0.3">
      <c r="A176" t="s">
        <v>1</v>
      </c>
      <c r="B176">
        <v>1967</v>
      </c>
      <c r="C176" s="3">
        <v>1967.83333332236</v>
      </c>
      <c r="D176">
        <v>27.5</v>
      </c>
      <c r="E176" s="1">
        <v>24777</v>
      </c>
      <c r="F176" s="2">
        <f>STANDARDIZE(D176,H$20,I$20)</f>
        <v>-0.5912091167258926</v>
      </c>
      <c r="U176" s="1"/>
    </row>
    <row r="177" spans="1:21" x14ac:dyDescent="0.3">
      <c r="A177" t="s">
        <v>0</v>
      </c>
      <c r="B177">
        <v>1967</v>
      </c>
      <c r="C177" s="3">
        <v>1967.9166666557201</v>
      </c>
      <c r="D177">
        <v>27.4</v>
      </c>
      <c r="E177" s="1">
        <v>24807</v>
      </c>
      <c r="F177" s="2">
        <f>STANDARDIZE(D177,H$21,I$21)</f>
        <v>-5.9561230389330787E-15</v>
      </c>
      <c r="U177" s="1"/>
    </row>
    <row r="178" spans="1:21" x14ac:dyDescent="0.3">
      <c r="A178" t="s">
        <v>11</v>
      </c>
      <c r="B178">
        <v>1968</v>
      </c>
      <c r="C178" s="3">
        <v>1967.9999999890799</v>
      </c>
      <c r="D178">
        <v>26.3</v>
      </c>
      <c r="E178" s="1">
        <v>24838</v>
      </c>
      <c r="F178" s="2">
        <f>STANDARDIZE(D178,H$10,I$10)</f>
        <v>-1.1751300716048563</v>
      </c>
      <c r="U178" s="1"/>
    </row>
    <row r="179" spans="1:21" x14ac:dyDescent="0.3">
      <c r="A179" t="s">
        <v>10</v>
      </c>
      <c r="B179">
        <v>1968</v>
      </c>
      <c r="C179" s="3">
        <v>1968.08333332244</v>
      </c>
      <c r="D179">
        <v>26.5</v>
      </c>
      <c r="E179" s="1">
        <v>24869</v>
      </c>
      <c r="F179" s="2">
        <f>STANDARDIZE(D179,H$11,I$11)</f>
        <v>-0.78240015668487162</v>
      </c>
      <c r="U179" s="1"/>
    </row>
    <row r="180" spans="1:21" x14ac:dyDescent="0.3">
      <c r="A180" t="s">
        <v>9</v>
      </c>
      <c r="B180">
        <v>1968</v>
      </c>
      <c r="C180" s="3">
        <v>1968.1666666558001</v>
      </c>
      <c r="D180">
        <v>27</v>
      </c>
      <c r="E180" s="1">
        <v>24898</v>
      </c>
      <c r="F180" s="2">
        <f>STANDARDIZE(D180,H$12,I$12)</f>
        <v>-0.418378898900372</v>
      </c>
      <c r="U180" s="1"/>
    </row>
    <row r="181" spans="1:21" x14ac:dyDescent="0.3">
      <c r="A181" t="s">
        <v>8</v>
      </c>
      <c r="B181">
        <v>1968</v>
      </c>
      <c r="C181" s="3">
        <v>1968.24999998916</v>
      </c>
      <c r="D181">
        <v>26.3</v>
      </c>
      <c r="E181" s="1">
        <v>24929</v>
      </c>
      <c r="F181" s="2">
        <f>STANDARDIZE(D181,H$13,I$13)</f>
        <v>-2.9218730394411012</v>
      </c>
      <c r="U181" s="1"/>
    </row>
    <row r="182" spans="1:21" x14ac:dyDescent="0.3">
      <c r="A182" t="s">
        <v>7</v>
      </c>
      <c r="B182">
        <v>1968</v>
      </c>
      <c r="C182" s="3">
        <v>1968.33333332252</v>
      </c>
      <c r="D182">
        <v>26.7</v>
      </c>
      <c r="E182" s="1">
        <v>24959</v>
      </c>
      <c r="F182" s="2">
        <f>STANDARDIZE(D182,H$14,I$14)</f>
        <v>-3.9458005780160574</v>
      </c>
      <c r="U182" s="1"/>
    </row>
    <row r="183" spans="1:21" x14ac:dyDescent="0.3">
      <c r="A183" t="s">
        <v>6</v>
      </c>
      <c r="B183">
        <v>1968</v>
      </c>
      <c r="C183" s="3">
        <v>1968.4166666558799</v>
      </c>
      <c r="D183">
        <v>27.8</v>
      </c>
      <c r="E183" s="1">
        <v>24990</v>
      </c>
      <c r="F183" s="2">
        <f>STANDARDIZE(D183,H$15,I$15)</f>
        <v>-1.304874643094923</v>
      </c>
      <c r="U183" s="1"/>
    </row>
    <row r="184" spans="1:21" x14ac:dyDescent="0.3">
      <c r="A184" t="s">
        <v>5</v>
      </c>
      <c r="B184">
        <v>1968</v>
      </c>
      <c r="C184" s="3">
        <v>1968.49999998924</v>
      </c>
      <c r="D184">
        <v>27.8</v>
      </c>
      <c r="E184" s="1">
        <v>25020</v>
      </c>
      <c r="F184" s="2">
        <f>STANDARDIZE(D184,H$16,I$16)</f>
        <v>-1.1054685571067606</v>
      </c>
      <c r="U184" s="1"/>
    </row>
    <row r="185" spans="1:21" x14ac:dyDescent="0.3">
      <c r="A185" t="s">
        <v>4</v>
      </c>
      <c r="B185">
        <v>1968</v>
      </c>
      <c r="C185" s="3">
        <v>1968.5833333226001</v>
      </c>
      <c r="D185">
        <v>27.8</v>
      </c>
      <c r="E185" s="1">
        <v>25051</v>
      </c>
      <c r="F185" s="2">
        <f>STANDARDIZE(D185,H$17,I$17)</f>
        <v>-0.78359096543416551</v>
      </c>
      <c r="U185" s="1"/>
    </row>
    <row r="186" spans="1:21" x14ac:dyDescent="0.3">
      <c r="A186" t="s">
        <v>3</v>
      </c>
      <c r="B186">
        <v>1968</v>
      </c>
      <c r="C186" s="3">
        <v>1968.6666666559599</v>
      </c>
      <c r="D186">
        <v>27.8</v>
      </c>
      <c r="E186" s="1">
        <v>25082</v>
      </c>
      <c r="F186" s="2">
        <f>STANDARDIZE(D186,H$18,I$18)</f>
        <v>-0.93526881586553023</v>
      </c>
      <c r="U186" s="1"/>
    </row>
    <row r="187" spans="1:21" x14ac:dyDescent="0.3">
      <c r="A187" t="s">
        <v>2</v>
      </c>
      <c r="B187">
        <v>1968</v>
      </c>
      <c r="C187" s="3">
        <v>1968.74999998933</v>
      </c>
      <c r="D187">
        <v>27.7</v>
      </c>
      <c r="E187" s="1">
        <v>25112</v>
      </c>
      <c r="F187" s="2">
        <f>STANDARDIZE(D187,H$19,I$19)</f>
        <v>-0.44075399151641997</v>
      </c>
      <c r="U187" s="1"/>
    </row>
    <row r="188" spans="1:21" x14ac:dyDescent="0.3">
      <c r="A188" t="s">
        <v>1</v>
      </c>
      <c r="B188">
        <v>1968</v>
      </c>
      <c r="C188" s="3">
        <v>1968.8333333226899</v>
      </c>
      <c r="D188">
        <v>27.7</v>
      </c>
      <c r="E188" s="1">
        <v>25143</v>
      </c>
      <c r="F188" s="2">
        <f>STANDARDIZE(D188,H$20,I$20)</f>
        <v>-0.23527709747254905</v>
      </c>
      <c r="U188" s="1"/>
    </row>
    <row r="189" spans="1:21" x14ac:dyDescent="0.3">
      <c r="A189" t="s">
        <v>0</v>
      </c>
      <c r="B189">
        <v>1968</v>
      </c>
      <c r="C189" s="3">
        <v>1968.91666665605</v>
      </c>
      <c r="D189">
        <v>27.7</v>
      </c>
      <c r="E189" s="1">
        <v>25173</v>
      </c>
      <c r="F189" s="2">
        <f>STANDARDIZE(D189,H$21,I$21)</f>
        <v>0.50294987810084224</v>
      </c>
      <c r="U189" s="1"/>
    </row>
    <row r="190" spans="1:21" x14ac:dyDescent="0.3">
      <c r="A190" t="s">
        <v>11</v>
      </c>
      <c r="B190">
        <v>1969</v>
      </c>
      <c r="C190" s="3">
        <v>1968.9999999894101</v>
      </c>
      <c r="D190">
        <v>27.1</v>
      </c>
      <c r="E190" s="1">
        <v>25204</v>
      </c>
      <c r="F190" s="2">
        <f>STANDARDIZE(D190,H$10,I$10)</f>
        <v>0.22200190269612233</v>
      </c>
      <c r="U190" s="1"/>
    </row>
    <row r="191" spans="1:21" x14ac:dyDescent="0.3">
      <c r="A191" t="s">
        <v>10</v>
      </c>
      <c r="B191">
        <v>1969</v>
      </c>
      <c r="C191" s="3">
        <v>1969.0833333227699</v>
      </c>
      <c r="D191">
        <v>27.3</v>
      </c>
      <c r="E191" s="1">
        <v>25235</v>
      </c>
      <c r="F191" s="2">
        <f>STANDARDIZE(D191,H$11,I$11)</f>
        <v>0.77590720932644863</v>
      </c>
      <c r="U191" s="1"/>
    </row>
    <row r="192" spans="1:21" x14ac:dyDescent="0.3">
      <c r="A192" t="s">
        <v>9</v>
      </c>
      <c r="B192">
        <v>1969</v>
      </c>
      <c r="C192" s="3">
        <v>1969.16666665613</v>
      </c>
      <c r="D192">
        <v>27.9</v>
      </c>
      <c r="E192" s="1">
        <v>25263</v>
      </c>
      <c r="F192" s="2">
        <f>STANDARDIZE(D192,H$12,I$12)</f>
        <v>1.1726394490305361</v>
      </c>
      <c r="U192" s="1"/>
    </row>
    <row r="193" spans="1:21" x14ac:dyDescent="0.3">
      <c r="A193" t="s">
        <v>8</v>
      </c>
      <c r="B193">
        <v>1969</v>
      </c>
      <c r="C193" s="3">
        <v>1969.2499999894901</v>
      </c>
      <c r="D193">
        <v>28.1</v>
      </c>
      <c r="E193" s="1">
        <v>25294</v>
      </c>
      <c r="F193" s="2">
        <f>STANDARDIZE(D193,H$13,I$13)</f>
        <v>0.87550708402025501</v>
      </c>
      <c r="U193" s="1"/>
    </row>
    <row r="194" spans="1:21" x14ac:dyDescent="0.3">
      <c r="A194" t="s">
        <v>7</v>
      </c>
      <c r="B194">
        <v>1969</v>
      </c>
      <c r="C194" s="3">
        <v>1969.33333332285</v>
      </c>
      <c r="D194">
        <v>28.3</v>
      </c>
      <c r="E194" s="1">
        <v>25324</v>
      </c>
      <c r="F194" s="2">
        <f>STANDARDIZE(D194,H$14,I$14)</f>
        <v>0.32473894272284271</v>
      </c>
      <c r="U194" s="1"/>
    </row>
    <row r="195" spans="1:21" x14ac:dyDescent="0.3">
      <c r="A195" t="s">
        <v>6</v>
      </c>
      <c r="B195">
        <v>1969</v>
      </c>
      <c r="C195" s="3">
        <v>1969.4166666562101</v>
      </c>
      <c r="D195">
        <v>27.7</v>
      </c>
      <c r="E195" s="1">
        <v>25355</v>
      </c>
      <c r="F195" s="2">
        <f>STANDARDIZE(D195,H$15,I$15)</f>
        <v>-1.5406953617265398</v>
      </c>
      <c r="U195" s="1"/>
    </row>
    <row r="196" spans="1:21" x14ac:dyDescent="0.3">
      <c r="A196" t="s">
        <v>5</v>
      </c>
      <c r="B196">
        <v>1969</v>
      </c>
      <c r="C196" s="3">
        <v>1969.4999999895699</v>
      </c>
      <c r="D196">
        <v>27.4</v>
      </c>
      <c r="E196" s="1">
        <v>25385</v>
      </c>
      <c r="F196" s="2">
        <f>STANDARDIZE(D196,H$16,I$16)</f>
        <v>-2.1796080457935103</v>
      </c>
      <c r="U196" s="1"/>
    </row>
    <row r="197" spans="1:21" x14ac:dyDescent="0.3">
      <c r="A197" t="s">
        <v>4</v>
      </c>
      <c r="B197">
        <v>1969</v>
      </c>
      <c r="C197" s="3">
        <v>1969.58333332293</v>
      </c>
      <c r="D197">
        <v>27.3</v>
      </c>
      <c r="E197" s="1">
        <v>25416</v>
      </c>
      <c r="F197" s="2">
        <f>STANDARDIZE(D197,H$17,I$17)</f>
        <v>-1.8283789193464159</v>
      </c>
      <c r="U197" s="1"/>
    </row>
    <row r="198" spans="1:21" x14ac:dyDescent="0.3">
      <c r="A198" t="s">
        <v>3</v>
      </c>
      <c r="B198">
        <v>1969</v>
      </c>
      <c r="C198" s="3">
        <v>1969.6666666562901</v>
      </c>
      <c r="D198">
        <v>27.7</v>
      </c>
      <c r="E198" s="1">
        <v>25447</v>
      </c>
      <c r="F198" s="2">
        <f>STANDARDIZE(D198,H$18,I$18)</f>
        <v>-1.1606347955921696</v>
      </c>
      <c r="U198" s="1"/>
    </row>
    <row r="199" spans="1:21" x14ac:dyDescent="0.3">
      <c r="A199" t="s">
        <v>2</v>
      </c>
      <c r="B199">
        <v>1969</v>
      </c>
      <c r="C199" s="3">
        <v>1969.74999998965</v>
      </c>
      <c r="D199">
        <v>27.2</v>
      </c>
      <c r="E199" s="1">
        <v>25477</v>
      </c>
      <c r="F199" s="2">
        <f>STANDARDIZE(D199,H$19,I$19)</f>
        <v>-1.4809334114951542</v>
      </c>
      <c r="U199" s="1"/>
    </row>
    <row r="200" spans="1:21" x14ac:dyDescent="0.3">
      <c r="A200" t="s">
        <v>1</v>
      </c>
      <c r="B200">
        <v>1969</v>
      </c>
      <c r="C200" s="3">
        <v>1969.83333332301</v>
      </c>
      <c r="D200">
        <v>27</v>
      </c>
      <c r="E200" s="1">
        <v>25508</v>
      </c>
      <c r="F200" s="2">
        <f>STANDARDIZE(D200,H$20,I$20)</f>
        <v>-1.4810391648592549</v>
      </c>
      <c r="U200" s="1"/>
    </row>
    <row r="201" spans="1:21" x14ac:dyDescent="0.3">
      <c r="A201" t="s">
        <v>0</v>
      </c>
      <c r="B201">
        <v>1969</v>
      </c>
      <c r="C201" s="3">
        <v>1969.9166666563699</v>
      </c>
      <c r="D201">
        <v>27</v>
      </c>
      <c r="E201" s="1">
        <v>25538</v>
      </c>
      <c r="F201" s="2">
        <f>STANDARDIZE(D201,H$21,I$21)</f>
        <v>-0.67059983746779961</v>
      </c>
      <c r="U201" s="1"/>
    </row>
    <row r="202" spans="1:21" x14ac:dyDescent="0.3">
      <c r="A202" t="s">
        <v>11</v>
      </c>
      <c r="B202">
        <v>1970</v>
      </c>
      <c r="C202" s="3">
        <v>1969.99999998973</v>
      </c>
      <c r="D202">
        <v>26.6</v>
      </c>
      <c r="E202" s="1">
        <v>25569</v>
      </c>
      <c r="F202" s="2">
        <f>STANDARDIZE(D202,H$10,I$10)</f>
        <v>-0.65120558124198857</v>
      </c>
      <c r="U202" s="1"/>
    </row>
    <row r="203" spans="1:21" x14ac:dyDescent="0.3">
      <c r="A203" t="s">
        <v>10</v>
      </c>
      <c r="B203">
        <v>1970</v>
      </c>
      <c r="C203" s="3">
        <v>1970.0833333230901</v>
      </c>
      <c r="D203">
        <v>27</v>
      </c>
      <c r="E203" s="1">
        <v>25600</v>
      </c>
      <c r="F203" s="2">
        <f>STANDARDIZE(D203,H$11,I$11)</f>
        <v>0.19154194707220265</v>
      </c>
      <c r="U203" s="1"/>
    </row>
    <row r="204" spans="1:21" x14ac:dyDescent="0.3">
      <c r="A204" t="s">
        <v>9</v>
      </c>
      <c r="B204">
        <v>1970</v>
      </c>
      <c r="C204" s="3">
        <v>1970.1666666564499</v>
      </c>
      <c r="D204">
        <v>27.3</v>
      </c>
      <c r="E204" s="1">
        <v>25628</v>
      </c>
      <c r="F204" s="2">
        <f>STANDARDIZE(D204,H$12,I$12)</f>
        <v>0.11196055040993279</v>
      </c>
      <c r="U204" s="1"/>
    </row>
    <row r="205" spans="1:21" x14ac:dyDescent="0.3">
      <c r="A205" t="s">
        <v>8</v>
      </c>
      <c r="B205">
        <v>1970</v>
      </c>
      <c r="C205" s="3">
        <v>1970.24999998981</v>
      </c>
      <c r="D205">
        <v>27.8</v>
      </c>
      <c r="E205" s="1">
        <v>25659</v>
      </c>
      <c r="F205" s="2">
        <f>STANDARDIZE(D205,H$13,I$13)</f>
        <v>0.24261039677669438</v>
      </c>
      <c r="U205" s="1"/>
    </row>
    <row r="206" spans="1:21" x14ac:dyDescent="0.3">
      <c r="A206" t="s">
        <v>7</v>
      </c>
      <c r="B206">
        <v>1970</v>
      </c>
      <c r="C206" s="3">
        <v>1970.3333333231701</v>
      </c>
      <c r="D206">
        <v>27.8</v>
      </c>
      <c r="E206" s="1">
        <v>25689</v>
      </c>
      <c r="F206" s="2">
        <f>STANDARDIZE(D206,H$14,I$14)</f>
        <v>-1.0098046575080624</v>
      </c>
      <c r="U206" s="1"/>
    </row>
    <row r="207" spans="1:21" x14ac:dyDescent="0.3">
      <c r="A207" t="s">
        <v>6</v>
      </c>
      <c r="B207">
        <v>1970</v>
      </c>
      <c r="C207" s="3">
        <v>1970.41666665653</v>
      </c>
      <c r="D207">
        <v>28.3</v>
      </c>
      <c r="E207" s="1">
        <v>25720</v>
      </c>
      <c r="F207" s="2">
        <f>STANDARDIZE(D207,H$15,I$15)</f>
        <v>-0.12577104993685509</v>
      </c>
      <c r="U207" s="1"/>
    </row>
    <row r="208" spans="1:21" x14ac:dyDescent="0.3">
      <c r="A208" t="s">
        <v>5</v>
      </c>
      <c r="B208">
        <v>1970</v>
      </c>
      <c r="C208" s="3">
        <v>1970.4999999898901</v>
      </c>
      <c r="D208">
        <v>27.9</v>
      </c>
      <c r="E208" s="1">
        <v>25750</v>
      </c>
      <c r="F208" s="2">
        <f>STANDARDIZE(D208,H$16,I$16)</f>
        <v>-0.83693368493508047</v>
      </c>
      <c r="U208" s="1"/>
    </row>
    <row r="209" spans="1:21" x14ac:dyDescent="0.3">
      <c r="A209" t="s">
        <v>4</v>
      </c>
      <c r="B209">
        <v>1970</v>
      </c>
      <c r="C209" s="3">
        <v>1970.5833333232499</v>
      </c>
      <c r="D209">
        <v>26.7</v>
      </c>
      <c r="E209" s="1">
        <v>25781</v>
      </c>
      <c r="F209" s="2">
        <f>STANDARDIZE(D209,H$17,I$17)</f>
        <v>-3.0821244640411192</v>
      </c>
      <c r="U209" s="1"/>
    </row>
    <row r="210" spans="1:21" x14ac:dyDescent="0.3">
      <c r="A210" t="s">
        <v>3</v>
      </c>
      <c r="B210">
        <v>1970</v>
      </c>
      <c r="C210" s="3">
        <v>1970.66666665661</v>
      </c>
      <c r="D210">
        <v>27.5</v>
      </c>
      <c r="E210" s="1">
        <v>25812</v>
      </c>
      <c r="F210" s="2">
        <f>STANDARDIZE(D210,H$18,I$18)</f>
        <v>-1.6113667550454405</v>
      </c>
      <c r="U210" s="1"/>
    </row>
    <row r="211" spans="1:21" x14ac:dyDescent="0.3">
      <c r="A211" t="s">
        <v>2</v>
      </c>
      <c r="B211">
        <v>1970</v>
      </c>
      <c r="C211" s="3">
        <v>1970.7499999899701</v>
      </c>
      <c r="D211">
        <v>28.1</v>
      </c>
      <c r="E211" s="1">
        <v>25842</v>
      </c>
      <c r="F211" s="2">
        <f>STANDARDIZE(D211,H$19,I$19)</f>
        <v>0.39138954446657193</v>
      </c>
      <c r="U211" s="1"/>
    </row>
    <row r="212" spans="1:21" x14ac:dyDescent="0.3">
      <c r="A212" t="s">
        <v>1</v>
      </c>
      <c r="B212">
        <v>1970</v>
      </c>
      <c r="C212" s="3">
        <v>1970.83333332333</v>
      </c>
      <c r="D212">
        <v>27.9</v>
      </c>
      <c r="E212" s="1">
        <v>25873</v>
      </c>
      <c r="F212" s="2">
        <f>STANDARDIZE(D212,H$20,I$20)</f>
        <v>0.12065492178079455</v>
      </c>
      <c r="U212" s="1"/>
    </row>
    <row r="213" spans="1:21" x14ac:dyDescent="0.3">
      <c r="A213" t="s">
        <v>0</v>
      </c>
      <c r="B213">
        <v>1970</v>
      </c>
      <c r="C213" s="3">
        <v>1970.91666665669</v>
      </c>
      <c r="D213">
        <v>28</v>
      </c>
      <c r="E213" s="1">
        <v>25903</v>
      </c>
      <c r="F213" s="2">
        <f>STANDARDIZE(D213,H$21,I$21)</f>
        <v>1.0058997562016905</v>
      </c>
      <c r="U213" s="1"/>
    </row>
    <row r="214" spans="1:21" x14ac:dyDescent="0.3">
      <c r="A214" t="s">
        <v>11</v>
      </c>
      <c r="B214">
        <v>1971</v>
      </c>
      <c r="C214" s="3">
        <v>1970.9999999900499</v>
      </c>
      <c r="D214">
        <v>27.8</v>
      </c>
      <c r="E214" s="1">
        <v>25934</v>
      </c>
      <c r="F214" s="2">
        <f>STANDARDIZE(D214,H$10,I$10)</f>
        <v>1.4444923802094762</v>
      </c>
      <c r="U214" s="1"/>
    </row>
    <row r="215" spans="1:21" x14ac:dyDescent="0.3">
      <c r="A215" t="s">
        <v>10</v>
      </c>
      <c r="B215">
        <v>1971</v>
      </c>
      <c r="C215" s="3">
        <v>1971.08333332341</v>
      </c>
      <c r="D215">
        <v>27.6</v>
      </c>
      <c r="E215" s="1">
        <v>25965</v>
      </c>
      <c r="F215" s="2">
        <f>STANDARDIZE(D215,H$11,I$11)</f>
        <v>1.3602724715806946</v>
      </c>
      <c r="U215" s="1"/>
    </row>
    <row r="216" spans="1:21" x14ac:dyDescent="0.3">
      <c r="A216" t="s">
        <v>9</v>
      </c>
      <c r="B216">
        <v>1971</v>
      </c>
      <c r="C216" s="3">
        <v>1971.1666666567701</v>
      </c>
      <c r="D216">
        <v>28.1</v>
      </c>
      <c r="E216" s="1">
        <v>25993</v>
      </c>
      <c r="F216" s="2">
        <f>STANDARDIZE(D216,H$12,I$12)</f>
        <v>1.5261990819040767</v>
      </c>
      <c r="U216" s="1"/>
    </row>
    <row r="217" spans="1:21" x14ac:dyDescent="0.3">
      <c r="A217" t="s">
        <v>8</v>
      </c>
      <c r="B217">
        <v>1971</v>
      </c>
      <c r="C217" s="3">
        <v>1971.2499999901299</v>
      </c>
      <c r="D217">
        <v>28.1</v>
      </c>
      <c r="E217" s="1">
        <v>26024</v>
      </c>
      <c r="F217" s="2">
        <f>STANDARDIZE(D217,H$13,I$13)</f>
        <v>0.87550708402025501</v>
      </c>
      <c r="U217" s="1"/>
    </row>
    <row r="218" spans="1:21" x14ac:dyDescent="0.3">
      <c r="A218" t="s">
        <v>7</v>
      </c>
      <c r="B218">
        <v>1971</v>
      </c>
      <c r="C218" s="3">
        <v>1971.33333332349</v>
      </c>
      <c r="D218">
        <v>28.2</v>
      </c>
      <c r="E218" s="1">
        <v>26054</v>
      </c>
      <c r="F218" s="2">
        <f>STANDARDIZE(D218,H$14,I$14)</f>
        <v>5.783022267665789E-2</v>
      </c>
      <c r="U218" s="1"/>
    </row>
    <row r="219" spans="1:21" x14ac:dyDescent="0.3">
      <c r="A219" t="s">
        <v>6</v>
      </c>
      <c r="B219">
        <v>1971</v>
      </c>
      <c r="C219" s="3">
        <v>1971.4166666568501</v>
      </c>
      <c r="D219">
        <v>28.3</v>
      </c>
      <c r="E219" s="1">
        <v>26085</v>
      </c>
      <c r="F219" s="2">
        <f>STANDARDIZE(D219,H$15,I$15)</f>
        <v>-0.12577104993685509</v>
      </c>
      <c r="U219" s="1"/>
    </row>
    <row r="220" spans="1:21" x14ac:dyDescent="0.3">
      <c r="A220" t="s">
        <v>5</v>
      </c>
      <c r="B220">
        <v>1971</v>
      </c>
      <c r="C220" s="3">
        <v>1971.49999999021</v>
      </c>
      <c r="D220">
        <v>28</v>
      </c>
      <c r="E220" s="1">
        <v>26115</v>
      </c>
      <c r="F220" s="2">
        <f>STANDARDIZE(D220,H$16,I$16)</f>
        <v>-0.56839881276339066</v>
      </c>
      <c r="U220" s="1"/>
    </row>
    <row r="221" spans="1:21" x14ac:dyDescent="0.3">
      <c r="A221" t="s">
        <v>4</v>
      </c>
      <c r="B221">
        <v>1971</v>
      </c>
      <c r="C221" s="3">
        <v>1971.5833333235701</v>
      </c>
      <c r="D221">
        <v>27.9</v>
      </c>
      <c r="E221" s="1">
        <v>26146</v>
      </c>
      <c r="F221" s="2">
        <f>STANDARDIZE(D221,H$17,I$17)</f>
        <v>-0.57463337465171993</v>
      </c>
      <c r="U221" s="1"/>
    </row>
    <row r="222" spans="1:21" x14ac:dyDescent="0.3">
      <c r="A222" t="s">
        <v>3</v>
      </c>
      <c r="B222">
        <v>1971</v>
      </c>
      <c r="C222" s="3">
        <v>1971.6666666569299</v>
      </c>
      <c r="D222">
        <v>28</v>
      </c>
      <c r="E222" s="1">
        <v>26177</v>
      </c>
      <c r="F222" s="2">
        <f>STANDARDIZE(D222,H$18,I$18)</f>
        <v>-0.48453685641225946</v>
      </c>
      <c r="U222" s="1"/>
    </row>
    <row r="223" spans="1:21" x14ac:dyDescent="0.3">
      <c r="A223" t="s">
        <v>2</v>
      </c>
      <c r="B223">
        <v>1971</v>
      </c>
      <c r="C223" s="3">
        <v>1971.74999999029</v>
      </c>
      <c r="D223">
        <v>27.8</v>
      </c>
      <c r="E223" s="1">
        <v>26207</v>
      </c>
      <c r="F223" s="2">
        <f>STANDARDIZE(D223,H$19,I$19)</f>
        <v>-0.23271810752067018</v>
      </c>
      <c r="U223" s="1"/>
    </row>
    <row r="224" spans="1:21" x14ac:dyDescent="0.3">
      <c r="A224" t="s">
        <v>1</v>
      </c>
      <c r="B224">
        <v>1971</v>
      </c>
      <c r="C224" s="3">
        <v>1971.8333333236501</v>
      </c>
      <c r="D224">
        <v>27.4</v>
      </c>
      <c r="E224" s="1">
        <v>26238</v>
      </c>
      <c r="F224" s="2">
        <f>STANDARDIZE(D224,H$20,I$20)</f>
        <v>-0.76917512635256757</v>
      </c>
      <c r="U224" s="1"/>
    </row>
    <row r="225" spans="1:21" x14ac:dyDescent="0.3">
      <c r="A225" t="s">
        <v>0</v>
      </c>
      <c r="B225">
        <v>1971</v>
      </c>
      <c r="C225" s="3">
        <v>1971.91666665701</v>
      </c>
      <c r="D225">
        <v>27.2</v>
      </c>
      <c r="E225" s="1">
        <v>26268</v>
      </c>
      <c r="F225" s="2">
        <f>STANDARDIZE(D225,H$21,I$21)</f>
        <v>-0.33529991873390275</v>
      </c>
      <c r="U225" s="1"/>
    </row>
    <row r="226" spans="1:21" x14ac:dyDescent="0.3">
      <c r="A226" t="s">
        <v>11</v>
      </c>
      <c r="B226">
        <v>1972</v>
      </c>
      <c r="C226" s="3">
        <v>1971.99999999037</v>
      </c>
      <c r="D226">
        <v>26.5</v>
      </c>
      <c r="E226" s="1">
        <v>26299</v>
      </c>
      <c r="F226" s="2">
        <f>STANDARDIZE(D226,H$10,I$10)</f>
        <v>-0.82584707802961321</v>
      </c>
      <c r="U226" s="1"/>
    </row>
    <row r="227" spans="1:21" x14ac:dyDescent="0.3">
      <c r="A227" t="s">
        <v>10</v>
      </c>
      <c r="B227">
        <v>1972</v>
      </c>
      <c r="C227" s="3">
        <v>1972.0833333237299</v>
      </c>
      <c r="D227">
        <v>26</v>
      </c>
      <c r="E227" s="1">
        <v>26330</v>
      </c>
      <c r="F227" s="2">
        <f>STANDARDIZE(D227,H$11,I$11)</f>
        <v>-1.7563422604419459</v>
      </c>
      <c r="U227" s="1"/>
    </row>
    <row r="228" spans="1:21" x14ac:dyDescent="0.3">
      <c r="A228" t="s">
        <v>9</v>
      </c>
      <c r="B228">
        <v>1972</v>
      </c>
      <c r="C228" s="3">
        <v>1972.16666665709</v>
      </c>
      <c r="D228">
        <v>27</v>
      </c>
      <c r="E228" s="1">
        <v>26359</v>
      </c>
      <c r="F228" s="2">
        <f>STANDARDIZE(D228,H$12,I$12)</f>
        <v>-0.418378898900372</v>
      </c>
      <c r="U228" s="1"/>
    </row>
    <row r="229" spans="1:21" x14ac:dyDescent="0.3">
      <c r="A229" t="s">
        <v>8</v>
      </c>
      <c r="B229">
        <v>1972</v>
      </c>
      <c r="C229" s="3">
        <v>1972.2499999904501</v>
      </c>
      <c r="D229">
        <v>27.4</v>
      </c>
      <c r="E229" s="1">
        <v>26390</v>
      </c>
      <c r="F229" s="2">
        <f>STANDARDIZE(D229,H$13,I$13)</f>
        <v>-0.60125185288138894</v>
      </c>
      <c r="U229" s="1"/>
    </row>
    <row r="230" spans="1:21" x14ac:dyDescent="0.3">
      <c r="A230" t="s">
        <v>7</v>
      </c>
      <c r="B230">
        <v>1972</v>
      </c>
      <c r="C230" s="3">
        <v>1972.3333333238099</v>
      </c>
      <c r="D230">
        <v>27.7</v>
      </c>
      <c r="E230" s="1">
        <v>26420</v>
      </c>
      <c r="F230" s="2">
        <f>STANDARDIZE(D230,H$14,I$14)</f>
        <v>-1.2767133775542472</v>
      </c>
      <c r="U230" s="1"/>
    </row>
    <row r="231" spans="1:21" x14ac:dyDescent="0.3">
      <c r="A231" t="s">
        <v>6</v>
      </c>
      <c r="B231">
        <v>1972</v>
      </c>
      <c r="C231" s="3">
        <v>1972.41666665717</v>
      </c>
      <c r="D231">
        <v>29.2</v>
      </c>
      <c r="E231" s="1">
        <v>26451</v>
      </c>
      <c r="F231" s="2">
        <f>STANDARDIZE(D231,H$15,I$15)</f>
        <v>1.9966154177476636</v>
      </c>
      <c r="U231" s="1"/>
    </row>
    <row r="232" spans="1:21" x14ac:dyDescent="0.3">
      <c r="A232" t="s">
        <v>5</v>
      </c>
      <c r="B232">
        <v>1972</v>
      </c>
      <c r="C232" s="3">
        <v>1972.4999999905299</v>
      </c>
      <c r="D232">
        <v>29.2</v>
      </c>
      <c r="E232" s="1">
        <v>26481</v>
      </c>
      <c r="F232" s="2">
        <f>STANDARDIZE(D232,H$16,I$16)</f>
        <v>2.6540196532968392</v>
      </c>
      <c r="U232" s="1"/>
    </row>
    <row r="233" spans="1:21" x14ac:dyDescent="0.3">
      <c r="A233" t="s">
        <v>4</v>
      </c>
      <c r="B233">
        <v>1972</v>
      </c>
      <c r="C233" s="3">
        <v>1972.58333332389</v>
      </c>
      <c r="D233">
        <v>29.5</v>
      </c>
      <c r="E233" s="1">
        <v>26512</v>
      </c>
      <c r="F233" s="2">
        <f>STANDARDIZE(D233,H$17,I$17)</f>
        <v>2.7686880778674845</v>
      </c>
      <c r="U233" s="1"/>
    </row>
    <row r="234" spans="1:21" x14ac:dyDescent="0.3">
      <c r="A234" t="s">
        <v>3</v>
      </c>
      <c r="B234">
        <v>1972</v>
      </c>
      <c r="C234" s="3">
        <v>1972.6666666572501</v>
      </c>
      <c r="D234">
        <v>29.8</v>
      </c>
      <c r="E234" s="1">
        <v>26543</v>
      </c>
      <c r="F234" s="2">
        <f>STANDARDIZE(D234,H$18,I$18)</f>
        <v>3.5720507786671933</v>
      </c>
      <c r="U234" s="1"/>
    </row>
    <row r="235" spans="1:21" x14ac:dyDescent="0.3">
      <c r="A235" t="s">
        <v>2</v>
      </c>
      <c r="B235">
        <v>1972</v>
      </c>
      <c r="C235" s="3">
        <v>1972.7499999906099</v>
      </c>
      <c r="D235">
        <v>29.7</v>
      </c>
      <c r="E235" s="1">
        <v>26573</v>
      </c>
      <c r="F235" s="2">
        <f>STANDARDIZE(D235,H$19,I$19)</f>
        <v>3.7199636883985172</v>
      </c>
      <c r="U235" s="1"/>
    </row>
    <row r="236" spans="1:21" x14ac:dyDescent="0.3">
      <c r="A236" t="s">
        <v>1</v>
      </c>
      <c r="B236">
        <v>1972</v>
      </c>
      <c r="C236" s="3">
        <v>1972.83333332397</v>
      </c>
      <c r="D236">
        <v>29.5</v>
      </c>
      <c r="E236" s="1">
        <v>26604</v>
      </c>
      <c r="F236" s="2">
        <f>STANDARDIZE(D236,H$20,I$20)</f>
        <v>2.9681110758075562</v>
      </c>
      <c r="U236" s="1"/>
    </row>
    <row r="237" spans="1:21" x14ac:dyDescent="0.3">
      <c r="A237" t="s">
        <v>0</v>
      </c>
      <c r="B237">
        <v>1972</v>
      </c>
      <c r="C237" s="3">
        <v>1972.9166666573301</v>
      </c>
      <c r="D237">
        <v>29.5</v>
      </c>
      <c r="E237" s="1">
        <v>26634</v>
      </c>
      <c r="F237" s="2">
        <f>STANDARDIZE(D237,H$21,I$21)</f>
        <v>3.5206491467059253</v>
      </c>
      <c r="U237" s="1"/>
    </row>
    <row r="238" spans="1:21" x14ac:dyDescent="0.3">
      <c r="A238" t="s">
        <v>11</v>
      </c>
      <c r="B238">
        <v>1973</v>
      </c>
      <c r="C238" s="3">
        <v>1972.99999999069</v>
      </c>
      <c r="D238">
        <v>28.9</v>
      </c>
      <c r="E238" s="1">
        <v>26665</v>
      </c>
      <c r="F238" s="2">
        <f>STANDARDIZE(D238,H$10,I$10)</f>
        <v>3.3655488448733166</v>
      </c>
      <c r="U238" s="1"/>
    </row>
    <row r="239" spans="1:21" x14ac:dyDescent="0.3">
      <c r="A239" t="s">
        <v>10</v>
      </c>
      <c r="B239">
        <v>1973</v>
      </c>
      <c r="C239" s="3">
        <v>1973.08333332405</v>
      </c>
      <c r="D239">
        <v>27.4</v>
      </c>
      <c r="E239" s="1">
        <v>26696</v>
      </c>
      <c r="F239" s="2">
        <f>STANDARDIZE(D239,H$11,I$11)</f>
        <v>0.97069563007785931</v>
      </c>
      <c r="U239" s="1"/>
    </row>
    <row r="240" spans="1:21" x14ac:dyDescent="0.3">
      <c r="A240" t="s">
        <v>9</v>
      </c>
      <c r="B240">
        <v>1973</v>
      </c>
      <c r="C240" s="3">
        <v>1973.1666666574099</v>
      </c>
      <c r="D240">
        <v>28.4</v>
      </c>
      <c r="E240" s="1">
        <v>26724</v>
      </c>
      <c r="F240" s="2">
        <f>STANDARDIZE(D240,H$12,I$12)</f>
        <v>2.0565385312143754</v>
      </c>
      <c r="U240" s="1"/>
    </row>
    <row r="241" spans="1:21" x14ac:dyDescent="0.3">
      <c r="A241" t="s">
        <v>8</v>
      </c>
      <c r="B241">
        <v>1973</v>
      </c>
      <c r="C241" s="3">
        <v>1973.24999999077</v>
      </c>
      <c r="D241">
        <v>27.6</v>
      </c>
      <c r="E241" s="1">
        <v>26755</v>
      </c>
      <c r="F241" s="2">
        <f>STANDARDIZE(D241,H$13,I$13)</f>
        <v>-0.17932072805234356</v>
      </c>
      <c r="U241" s="1"/>
    </row>
    <row r="242" spans="1:21" x14ac:dyDescent="0.3">
      <c r="A242" t="s">
        <v>7</v>
      </c>
      <c r="B242">
        <v>1973</v>
      </c>
      <c r="C242" s="3">
        <v>1973.3333333241301</v>
      </c>
      <c r="D242">
        <v>27.8</v>
      </c>
      <c r="E242" s="1">
        <v>26785</v>
      </c>
      <c r="F242" s="2">
        <f>STANDARDIZE(D242,H$14,I$14)</f>
        <v>-1.0098046575080624</v>
      </c>
      <c r="U242" s="1"/>
    </row>
    <row r="243" spans="1:21" x14ac:dyDescent="0.3">
      <c r="A243" t="s">
        <v>6</v>
      </c>
      <c r="B243">
        <v>1973</v>
      </c>
      <c r="C243" s="3">
        <v>1973.4166666574899</v>
      </c>
      <c r="D243">
        <v>28</v>
      </c>
      <c r="E243" s="1">
        <v>26816</v>
      </c>
      <c r="F243" s="2">
        <f>STANDARDIZE(D243,H$15,I$15)</f>
        <v>-0.83323320583169747</v>
      </c>
      <c r="U243" s="1"/>
    </row>
    <row r="244" spans="1:21" x14ac:dyDescent="0.3">
      <c r="A244" t="s">
        <v>5</v>
      </c>
      <c r="B244">
        <v>1973</v>
      </c>
      <c r="C244" s="3">
        <v>1973.49999999085</v>
      </c>
      <c r="D244">
        <v>27.8</v>
      </c>
      <c r="E244" s="1">
        <v>26846</v>
      </c>
      <c r="F244" s="2">
        <f>STANDARDIZE(D244,H$16,I$16)</f>
        <v>-1.1054685571067606</v>
      </c>
      <c r="U244" s="1"/>
    </row>
    <row r="245" spans="1:21" x14ac:dyDescent="0.3">
      <c r="A245" t="s">
        <v>4</v>
      </c>
      <c r="B245">
        <v>1973</v>
      </c>
      <c r="C245" s="3">
        <v>1973.5833333242099</v>
      </c>
      <c r="D245">
        <v>27.9</v>
      </c>
      <c r="E245" s="1">
        <v>26877</v>
      </c>
      <c r="F245" s="2">
        <f>STANDARDIZE(D245,H$17,I$17)</f>
        <v>-0.57463337465171993</v>
      </c>
      <c r="U245" s="1"/>
    </row>
    <row r="246" spans="1:21" x14ac:dyDescent="0.3">
      <c r="A246" t="s">
        <v>3</v>
      </c>
      <c r="B246">
        <v>1973</v>
      </c>
      <c r="C246" s="3">
        <v>1973.66666665757</v>
      </c>
      <c r="D246">
        <v>28.1</v>
      </c>
      <c r="E246" s="1">
        <v>26908</v>
      </c>
      <c r="F246" s="2">
        <f>STANDARDIZE(D246,H$18,I$18)</f>
        <v>-0.25917087668562011</v>
      </c>
      <c r="U246" s="1"/>
    </row>
    <row r="247" spans="1:21" x14ac:dyDescent="0.3">
      <c r="A247" t="s">
        <v>2</v>
      </c>
      <c r="B247">
        <v>1973</v>
      </c>
      <c r="C247" s="3">
        <v>1973.7499999909301</v>
      </c>
      <c r="D247">
        <v>28</v>
      </c>
      <c r="E247" s="1">
        <v>26938</v>
      </c>
      <c r="F247" s="2">
        <f>STANDARDIZE(D247,H$19,I$19)</f>
        <v>0.18335366047082208</v>
      </c>
      <c r="U247" s="1"/>
    </row>
    <row r="248" spans="1:21" x14ac:dyDescent="0.3">
      <c r="A248" t="s">
        <v>1</v>
      </c>
      <c r="B248">
        <v>1973</v>
      </c>
      <c r="C248" s="3">
        <v>1973.8333333242899</v>
      </c>
      <c r="D248">
        <v>27.7</v>
      </c>
      <c r="E248" s="1">
        <v>26969</v>
      </c>
      <c r="F248" s="2">
        <f>STANDARDIZE(D248,H$20,I$20)</f>
        <v>-0.23527709747254905</v>
      </c>
      <c r="U248" s="1"/>
    </row>
    <row r="249" spans="1:21" x14ac:dyDescent="0.3">
      <c r="A249" t="s">
        <v>0</v>
      </c>
      <c r="B249">
        <v>1973</v>
      </c>
      <c r="C249" s="3">
        <v>1973.91666665765</v>
      </c>
      <c r="D249">
        <v>27.6</v>
      </c>
      <c r="E249" s="1">
        <v>26999</v>
      </c>
      <c r="F249" s="2">
        <f>STANDARDIZE(D249,H$21,I$21)</f>
        <v>0.33529991873389681</v>
      </c>
      <c r="U249" s="1"/>
    </row>
    <row r="250" spans="1:21" x14ac:dyDescent="0.3">
      <c r="A250" t="s">
        <v>11</v>
      </c>
      <c r="B250">
        <v>1974</v>
      </c>
      <c r="C250" s="3">
        <v>1973.9999999910101</v>
      </c>
      <c r="D250">
        <v>27</v>
      </c>
      <c r="E250" s="1">
        <v>27030</v>
      </c>
      <c r="F250" s="2">
        <f>STANDARDIZE(D250,H$10,I$10)</f>
        <v>4.7360405908497653E-2</v>
      </c>
      <c r="U250" s="1"/>
    </row>
    <row r="251" spans="1:21" x14ac:dyDescent="0.3">
      <c r="A251" t="s">
        <v>10</v>
      </c>
      <c r="B251">
        <v>1974</v>
      </c>
      <c r="C251" s="3">
        <v>1974.08333332437</v>
      </c>
      <c r="D251">
        <v>27</v>
      </c>
      <c r="E251" s="1">
        <v>27061</v>
      </c>
      <c r="F251" s="2">
        <f>STANDARDIZE(D251,H$11,I$11)</f>
        <v>0.19154194707220265</v>
      </c>
      <c r="U251" s="1"/>
    </row>
    <row r="252" spans="1:21" x14ac:dyDescent="0.3">
      <c r="A252" t="s">
        <v>9</v>
      </c>
      <c r="B252">
        <v>1974</v>
      </c>
      <c r="C252" s="3">
        <v>1974.16666665773</v>
      </c>
      <c r="D252">
        <v>27.7</v>
      </c>
      <c r="E252" s="1">
        <v>27089</v>
      </c>
      <c r="F252" s="2">
        <f>STANDARDIZE(D252,H$12,I$12)</f>
        <v>0.81907981615700165</v>
      </c>
      <c r="U252" s="1"/>
    </row>
    <row r="253" spans="1:21" x14ac:dyDescent="0.3">
      <c r="A253" t="s">
        <v>8</v>
      </c>
      <c r="B253">
        <v>1974</v>
      </c>
      <c r="C253" s="3">
        <v>1974.2499999910899</v>
      </c>
      <c r="D253">
        <v>27.7</v>
      </c>
      <c r="E253" s="1">
        <v>27120</v>
      </c>
      <c r="F253" s="2">
        <f>STANDARDIZE(D253,H$13,I$13)</f>
        <v>3.1644834362171657E-2</v>
      </c>
      <c r="U253" s="1"/>
    </row>
    <row r="254" spans="1:21" x14ac:dyDescent="0.3">
      <c r="A254" t="s">
        <v>7</v>
      </c>
      <c r="B254">
        <v>1974</v>
      </c>
      <c r="C254" s="3">
        <v>1974.33333332445</v>
      </c>
      <c r="D254">
        <v>28.6</v>
      </c>
      <c r="E254" s="1">
        <v>27150</v>
      </c>
      <c r="F254" s="2">
        <f>STANDARDIZE(D254,H$14,I$14)</f>
        <v>1.1254651028613878</v>
      </c>
      <c r="U254" s="1"/>
    </row>
    <row r="255" spans="1:21" x14ac:dyDescent="0.3">
      <c r="A255" t="s">
        <v>6</v>
      </c>
      <c r="B255">
        <v>1974</v>
      </c>
      <c r="C255" s="3">
        <v>1974.4166666578101</v>
      </c>
      <c r="D255">
        <v>28.1</v>
      </c>
      <c r="E255" s="1">
        <v>27181</v>
      </c>
      <c r="F255" s="2">
        <f>STANDARDIZE(D255,H$15,I$15)</f>
        <v>-0.59741248720008056</v>
      </c>
      <c r="U255" s="1"/>
    </row>
    <row r="256" spans="1:21" x14ac:dyDescent="0.3">
      <c r="A256" t="s">
        <v>5</v>
      </c>
      <c r="B256">
        <v>1974</v>
      </c>
      <c r="C256" s="3">
        <v>1974.4999999911699</v>
      </c>
      <c r="D256">
        <v>27.9</v>
      </c>
      <c r="E256" s="1">
        <v>27211</v>
      </c>
      <c r="F256" s="2">
        <f>STANDARDIZE(D256,H$16,I$16)</f>
        <v>-0.83693368493508047</v>
      </c>
      <c r="U256" s="1"/>
    </row>
    <row r="257" spans="1:21" x14ac:dyDescent="0.3">
      <c r="A257" t="s">
        <v>4</v>
      </c>
      <c r="B257">
        <v>1974</v>
      </c>
      <c r="C257" s="3">
        <v>1974.58333332453</v>
      </c>
      <c r="D257">
        <v>27.9</v>
      </c>
      <c r="E257" s="1">
        <v>27242</v>
      </c>
      <c r="F257" s="2">
        <f>STANDARDIZE(D257,H$17,I$17)</f>
        <v>-0.57463337465171993</v>
      </c>
      <c r="U257" s="1"/>
    </row>
    <row r="258" spans="1:21" x14ac:dyDescent="0.3">
      <c r="A258" t="s">
        <v>3</v>
      </c>
      <c r="B258">
        <v>1974</v>
      </c>
      <c r="C258" s="3">
        <v>1974.6666666578899</v>
      </c>
      <c r="D258">
        <v>28.1</v>
      </c>
      <c r="E258" s="1">
        <v>27273</v>
      </c>
      <c r="F258" s="2">
        <f>STANDARDIZE(D258,H$18,I$18)</f>
        <v>-0.25917087668562011</v>
      </c>
      <c r="U258" s="1"/>
    </row>
    <row r="259" spans="1:21" x14ac:dyDescent="0.3">
      <c r="A259" t="s">
        <v>2</v>
      </c>
      <c r="B259">
        <v>1974</v>
      </c>
      <c r="C259" s="3">
        <v>1974.74999999125</v>
      </c>
      <c r="D259">
        <v>28</v>
      </c>
      <c r="E259" s="1">
        <v>27303</v>
      </c>
      <c r="F259" s="2">
        <f>STANDARDIZE(D259,H$19,I$19)</f>
        <v>0.18335366047082208</v>
      </c>
      <c r="U259" s="1"/>
    </row>
    <row r="260" spans="1:21" x14ac:dyDescent="0.3">
      <c r="A260" t="s">
        <v>1</v>
      </c>
      <c r="B260">
        <v>1974</v>
      </c>
      <c r="C260" s="3">
        <v>1974.8333333246101</v>
      </c>
      <c r="D260">
        <v>27.7</v>
      </c>
      <c r="E260" s="1">
        <v>27334</v>
      </c>
      <c r="F260" s="2">
        <f>STANDARDIZE(D260,H$20,I$20)</f>
        <v>-0.23527709747254905</v>
      </c>
      <c r="U260" s="1"/>
    </row>
    <row r="261" spans="1:21" x14ac:dyDescent="0.3">
      <c r="A261" t="s">
        <v>0</v>
      </c>
      <c r="B261">
        <v>1974</v>
      </c>
      <c r="C261" s="3">
        <v>1974.9166666579699</v>
      </c>
      <c r="D261">
        <v>27.7</v>
      </c>
      <c r="E261" s="1">
        <v>27364</v>
      </c>
      <c r="F261" s="2">
        <f>STANDARDIZE(D261,H$21,I$21)</f>
        <v>0.50294987810084224</v>
      </c>
      <c r="U261" s="1"/>
    </row>
    <row r="262" spans="1:21" x14ac:dyDescent="0.3">
      <c r="A262" t="s">
        <v>11</v>
      </c>
      <c r="B262">
        <v>1975</v>
      </c>
      <c r="C262" s="3">
        <v>1974.99999999133</v>
      </c>
      <c r="D262">
        <v>26.9</v>
      </c>
      <c r="E262" s="1">
        <v>27395</v>
      </c>
      <c r="F262" s="2">
        <f>STANDARDIZE(D262,H$10,I$10)</f>
        <v>-0.12728109087912701</v>
      </c>
      <c r="U262" s="1"/>
    </row>
    <row r="263" spans="1:21" x14ac:dyDescent="0.3">
      <c r="A263" t="s">
        <v>10</v>
      </c>
      <c r="B263">
        <v>1975</v>
      </c>
      <c r="C263" s="3">
        <v>1975.0833333246901</v>
      </c>
      <c r="D263">
        <v>26.5</v>
      </c>
      <c r="E263" s="1">
        <v>27426</v>
      </c>
      <c r="F263" s="2">
        <f>STANDARDIZE(D263,H$11,I$11)</f>
        <v>-0.78240015668487162</v>
      </c>
      <c r="U263" s="1"/>
    </row>
    <row r="264" spans="1:21" x14ac:dyDescent="0.3">
      <c r="A264" t="s">
        <v>9</v>
      </c>
      <c r="B264">
        <v>1975</v>
      </c>
      <c r="C264" s="3">
        <v>1975.16666665805</v>
      </c>
      <c r="D264">
        <v>26.6</v>
      </c>
      <c r="E264" s="1">
        <v>27454</v>
      </c>
      <c r="F264" s="2">
        <f>STANDARDIZE(D264,H$12,I$12)</f>
        <v>-1.1254981646474409</v>
      </c>
      <c r="U264" s="1"/>
    </row>
    <row r="265" spans="1:21" x14ac:dyDescent="0.3">
      <c r="A265" t="s">
        <v>8</v>
      </c>
      <c r="B265">
        <v>1975</v>
      </c>
      <c r="C265" s="3">
        <v>1975.24999999141</v>
      </c>
      <c r="D265">
        <v>27.1</v>
      </c>
      <c r="E265" s="1">
        <v>27485</v>
      </c>
      <c r="F265" s="2">
        <f>STANDARDIZE(D265,H$13,I$13)</f>
        <v>-1.2341485401249421</v>
      </c>
      <c r="U265" s="1"/>
    </row>
    <row r="266" spans="1:21" x14ac:dyDescent="0.3">
      <c r="A266" t="s">
        <v>7</v>
      </c>
      <c r="B266">
        <v>1975</v>
      </c>
      <c r="C266" s="3">
        <v>1975.3333333247699</v>
      </c>
      <c r="D266">
        <v>27.8</v>
      </c>
      <c r="E266" s="1">
        <v>27515</v>
      </c>
      <c r="F266" s="2">
        <f>STANDARDIZE(D266,H$14,I$14)</f>
        <v>-1.0098046575080624</v>
      </c>
      <c r="U266" s="1"/>
    </row>
    <row r="267" spans="1:21" x14ac:dyDescent="0.3">
      <c r="A267" t="s">
        <v>6</v>
      </c>
      <c r="B267">
        <v>1975</v>
      </c>
      <c r="C267" s="3">
        <v>1975.41666665813</v>
      </c>
      <c r="D267">
        <v>27.6</v>
      </c>
      <c r="E267" s="1">
        <v>27546</v>
      </c>
      <c r="F267" s="2">
        <f>STANDARDIZE(D267,H$15,I$15)</f>
        <v>-1.7765160803581483</v>
      </c>
      <c r="U267" s="1"/>
    </row>
    <row r="268" spans="1:21" x14ac:dyDescent="0.3">
      <c r="A268" t="s">
        <v>5</v>
      </c>
      <c r="B268">
        <v>1975</v>
      </c>
      <c r="C268" s="3">
        <v>1975.4999999914901</v>
      </c>
      <c r="D268">
        <v>27.4</v>
      </c>
      <c r="E268" s="1">
        <v>27576</v>
      </c>
      <c r="F268" s="2">
        <f>STANDARDIZE(D268,H$16,I$16)</f>
        <v>-2.1796080457935103</v>
      </c>
      <c r="U268" s="1"/>
    </row>
    <row r="269" spans="1:21" x14ac:dyDescent="0.3">
      <c r="A269" t="s">
        <v>4</v>
      </c>
      <c r="B269">
        <v>1975</v>
      </c>
      <c r="C269" s="3">
        <v>1975.5833333248499</v>
      </c>
      <c r="D269">
        <v>27.2</v>
      </c>
      <c r="E269" s="1">
        <v>27607</v>
      </c>
      <c r="F269" s="2">
        <f>STANDARDIZE(D269,H$17,I$17)</f>
        <v>-2.0373365101288692</v>
      </c>
      <c r="U269" s="1"/>
    </row>
    <row r="270" spans="1:21" x14ac:dyDescent="0.3">
      <c r="A270" t="s">
        <v>3</v>
      </c>
      <c r="B270">
        <v>1975</v>
      </c>
      <c r="C270" s="3">
        <v>1975.66666665821</v>
      </c>
      <c r="D270">
        <v>27.5</v>
      </c>
      <c r="E270" s="1">
        <v>27638</v>
      </c>
      <c r="F270" s="2">
        <f>STANDARDIZE(D270,H$18,I$18)</f>
        <v>-1.6113667550454405</v>
      </c>
      <c r="U270" s="1"/>
    </row>
    <row r="271" spans="1:21" x14ac:dyDescent="0.3">
      <c r="A271" t="s">
        <v>2</v>
      </c>
      <c r="B271">
        <v>1975</v>
      </c>
      <c r="C271" s="3">
        <v>1975.7499999915699</v>
      </c>
      <c r="D271">
        <v>26.7</v>
      </c>
      <c r="E271" s="1">
        <v>27668</v>
      </c>
      <c r="F271" s="2">
        <f>STANDARDIZE(D271,H$19,I$19)</f>
        <v>-2.5211128314738884</v>
      </c>
      <c r="U271" s="1"/>
    </row>
    <row r="272" spans="1:21" x14ac:dyDescent="0.3">
      <c r="A272" t="s">
        <v>1</v>
      </c>
      <c r="B272">
        <v>1975</v>
      </c>
      <c r="C272" s="3">
        <v>1975.83333332493</v>
      </c>
      <c r="D272">
        <v>27.1</v>
      </c>
      <c r="E272" s="1">
        <v>27699</v>
      </c>
      <c r="F272" s="2">
        <f>STANDARDIZE(D272,H$20,I$20)</f>
        <v>-1.3030731552325798</v>
      </c>
      <c r="U272" s="1"/>
    </row>
    <row r="273" spans="1:21" x14ac:dyDescent="0.3">
      <c r="A273" t="s">
        <v>0</v>
      </c>
      <c r="B273">
        <v>1975</v>
      </c>
      <c r="C273" s="3">
        <v>1975.9166666582901</v>
      </c>
      <c r="D273">
        <v>26.3</v>
      </c>
      <c r="E273" s="1">
        <v>27729</v>
      </c>
      <c r="F273" s="2">
        <f>STANDARDIZE(D273,H$21,I$21)</f>
        <v>-1.8441495530364413</v>
      </c>
      <c r="U273" s="1"/>
    </row>
    <row r="274" spans="1:21" x14ac:dyDescent="0.3">
      <c r="A274" t="s">
        <v>11</v>
      </c>
      <c r="B274">
        <v>1976</v>
      </c>
      <c r="C274" s="3">
        <v>1975.9999999916499</v>
      </c>
      <c r="D274">
        <v>26.1</v>
      </c>
      <c r="E274" s="1">
        <v>27760</v>
      </c>
      <c r="F274" s="2">
        <f>STANDARDIZE(D274,H$10,I$10)</f>
        <v>-1.5244130651800996</v>
      </c>
      <c r="U274" s="1"/>
    </row>
    <row r="275" spans="1:21" x14ac:dyDescent="0.3">
      <c r="A275" t="s">
        <v>10</v>
      </c>
      <c r="B275">
        <v>1976</v>
      </c>
      <c r="C275" s="3">
        <v>1976.08333332501</v>
      </c>
      <c r="D275">
        <v>25.6</v>
      </c>
      <c r="E275" s="1">
        <v>27791</v>
      </c>
      <c r="F275" s="2">
        <f>STANDARDIZE(D275,H$11,I$11)</f>
        <v>-2.5354959434476028</v>
      </c>
      <c r="U275" s="1"/>
    </row>
    <row r="276" spans="1:21" x14ac:dyDescent="0.3">
      <c r="A276" t="s">
        <v>9</v>
      </c>
      <c r="B276">
        <v>1976</v>
      </c>
      <c r="C276" s="3">
        <v>1976.1666666583701</v>
      </c>
      <c r="D276">
        <v>26.2</v>
      </c>
      <c r="E276" s="1">
        <v>27820</v>
      </c>
      <c r="F276" s="2">
        <f>STANDARDIZE(D276,H$12,I$12)</f>
        <v>-1.832617430394516</v>
      </c>
      <c r="U276" s="1"/>
    </row>
    <row r="277" spans="1:21" x14ac:dyDescent="0.3">
      <c r="A277" t="s">
        <v>8</v>
      </c>
      <c r="B277">
        <v>1976</v>
      </c>
      <c r="C277" s="3">
        <v>1976.24999999173</v>
      </c>
      <c r="D277">
        <v>26.6</v>
      </c>
      <c r="E277" s="1">
        <v>27851</v>
      </c>
      <c r="F277" s="2">
        <f>STANDARDIZE(D277,H$13,I$13)</f>
        <v>-2.2889763521975408</v>
      </c>
      <c r="U277" s="1"/>
    </row>
    <row r="278" spans="1:21" x14ac:dyDescent="0.3">
      <c r="A278" t="s">
        <v>7</v>
      </c>
      <c r="B278">
        <v>1976</v>
      </c>
      <c r="C278" s="3">
        <v>1976.3333333250901</v>
      </c>
      <c r="D278">
        <v>27.8</v>
      </c>
      <c r="E278" s="1">
        <v>27881</v>
      </c>
      <c r="F278" s="2">
        <f>STANDARDIZE(D278,H$14,I$14)</f>
        <v>-1.0098046575080624</v>
      </c>
      <c r="U278" s="1"/>
    </row>
    <row r="279" spans="1:21" x14ac:dyDescent="0.3">
      <c r="A279" t="s">
        <v>6</v>
      </c>
      <c r="B279">
        <v>1976</v>
      </c>
      <c r="C279" s="3">
        <v>1976.4166666584499</v>
      </c>
      <c r="D279">
        <v>27.4</v>
      </c>
      <c r="E279" s="1">
        <v>27912</v>
      </c>
      <c r="F279" s="2">
        <f>STANDARDIZE(D279,H$15,I$15)</f>
        <v>-2.2481575176213822</v>
      </c>
      <c r="U279" s="1"/>
    </row>
    <row r="280" spans="1:21" x14ac:dyDescent="0.3">
      <c r="A280" t="s">
        <v>5</v>
      </c>
      <c r="B280">
        <v>1976</v>
      </c>
      <c r="C280" s="3">
        <v>1976.49999999181</v>
      </c>
      <c r="D280">
        <v>27.6</v>
      </c>
      <c r="E280" s="1">
        <v>27942</v>
      </c>
      <c r="F280" s="2">
        <f>STANDARDIZE(D280,H$16,I$16)</f>
        <v>-1.6425383014501307</v>
      </c>
      <c r="U280" s="1"/>
    </row>
    <row r="281" spans="1:21" x14ac:dyDescent="0.3">
      <c r="A281" t="s">
        <v>4</v>
      </c>
      <c r="B281">
        <v>1976</v>
      </c>
      <c r="C281" s="3">
        <v>1976.5833333251701</v>
      </c>
      <c r="D281">
        <v>27.9</v>
      </c>
      <c r="E281" s="1">
        <v>27973</v>
      </c>
      <c r="F281" s="2">
        <f>STANDARDIZE(D281,H$17,I$17)</f>
        <v>-0.57463337465171993</v>
      </c>
      <c r="U281" s="1"/>
    </row>
    <row r="282" spans="1:21" x14ac:dyDescent="0.3">
      <c r="A282" t="s">
        <v>3</v>
      </c>
      <c r="B282">
        <v>1976</v>
      </c>
      <c r="C282" s="3">
        <v>1976.6666666585299</v>
      </c>
      <c r="D282">
        <v>28</v>
      </c>
      <c r="E282" s="1">
        <v>28004</v>
      </c>
      <c r="F282" s="2">
        <f>STANDARDIZE(D282,H$18,I$18)</f>
        <v>-0.48453685641225946</v>
      </c>
      <c r="U282" s="1"/>
    </row>
    <row r="283" spans="1:21" x14ac:dyDescent="0.3">
      <c r="A283" t="s">
        <v>2</v>
      </c>
      <c r="B283">
        <v>1976</v>
      </c>
      <c r="C283" s="3">
        <v>1976.74999999189</v>
      </c>
      <c r="D283">
        <v>27.8</v>
      </c>
      <c r="E283" s="1">
        <v>28034</v>
      </c>
      <c r="F283" s="2">
        <f>STANDARDIZE(D283,H$19,I$19)</f>
        <v>-0.23271810752067018</v>
      </c>
      <c r="U283" s="1"/>
    </row>
    <row r="284" spans="1:21" x14ac:dyDescent="0.3">
      <c r="A284" t="s">
        <v>1</v>
      </c>
      <c r="B284">
        <v>1976</v>
      </c>
      <c r="C284" s="3">
        <v>1976.8333333252499</v>
      </c>
      <c r="D284">
        <v>28.5</v>
      </c>
      <c r="E284" s="1">
        <v>28065</v>
      </c>
      <c r="F284" s="2">
        <f>STANDARDIZE(D284,H$20,I$20)</f>
        <v>1.1884509795408318</v>
      </c>
      <c r="U284" s="1"/>
    </row>
    <row r="285" spans="1:21" x14ac:dyDescent="0.3">
      <c r="A285" t="s">
        <v>0</v>
      </c>
      <c r="B285">
        <v>1976</v>
      </c>
      <c r="C285" s="3">
        <v>1976.91666665861</v>
      </c>
      <c r="D285">
        <v>27.2</v>
      </c>
      <c r="E285" s="1">
        <v>28095</v>
      </c>
      <c r="F285" s="2">
        <f>STANDARDIZE(D285,H$21,I$21)</f>
        <v>-0.33529991873390275</v>
      </c>
      <c r="U285" s="1"/>
    </row>
    <row r="286" spans="1:21" x14ac:dyDescent="0.3">
      <c r="A286" t="s">
        <v>11</v>
      </c>
      <c r="B286">
        <v>1977</v>
      </c>
      <c r="C286" s="3">
        <v>1976.9999999919701</v>
      </c>
      <c r="D286">
        <v>26.8</v>
      </c>
      <c r="E286" s="1">
        <v>28126</v>
      </c>
      <c r="F286" s="2">
        <f>STANDARDIZE(D286,H$10,I$10)</f>
        <v>-0.30192258766674546</v>
      </c>
      <c r="U286" s="1"/>
    </row>
    <row r="287" spans="1:21" x14ac:dyDescent="0.3">
      <c r="A287" t="s">
        <v>10</v>
      </c>
      <c r="B287">
        <v>1977</v>
      </c>
      <c r="C287" s="3">
        <v>1977.0833333253299</v>
      </c>
      <c r="D287">
        <v>26.6</v>
      </c>
      <c r="E287" s="1">
        <v>28157</v>
      </c>
      <c r="F287" s="2">
        <f>STANDARDIZE(D287,H$11,I$11)</f>
        <v>-0.58761173593345406</v>
      </c>
      <c r="U287" s="1"/>
    </row>
    <row r="288" spans="1:21" x14ac:dyDescent="0.3">
      <c r="A288" t="s">
        <v>9</v>
      </c>
      <c r="B288">
        <v>1977</v>
      </c>
      <c r="C288" s="3">
        <v>1977.16666665869</v>
      </c>
      <c r="D288">
        <v>26.6</v>
      </c>
      <c r="E288" s="1">
        <v>28185</v>
      </c>
      <c r="F288" s="2">
        <f>STANDARDIZE(D288,H$12,I$12)</f>
        <v>-1.1254981646474409</v>
      </c>
      <c r="U288" s="1"/>
    </row>
    <row r="289" spans="1:21" x14ac:dyDescent="0.3">
      <c r="A289" t="s">
        <v>8</v>
      </c>
      <c r="B289">
        <v>1977</v>
      </c>
      <c r="C289" s="3">
        <v>1977.2499999920501</v>
      </c>
      <c r="D289">
        <v>27.1</v>
      </c>
      <c r="E289" s="1">
        <v>28216</v>
      </c>
      <c r="F289" s="2">
        <f>STANDARDIZE(D289,H$13,I$13)</f>
        <v>-1.2341485401249421</v>
      </c>
      <c r="U289" s="1"/>
    </row>
    <row r="290" spans="1:21" x14ac:dyDescent="0.3">
      <c r="A290" t="s">
        <v>7</v>
      </c>
      <c r="B290">
        <v>1977</v>
      </c>
      <c r="C290" s="3">
        <v>1977.33333332541</v>
      </c>
      <c r="D290">
        <v>27.7</v>
      </c>
      <c r="E290" s="1">
        <v>28246</v>
      </c>
      <c r="F290" s="2">
        <f>STANDARDIZE(D290,H$14,I$14)</f>
        <v>-1.2767133775542472</v>
      </c>
      <c r="U290" s="1"/>
    </row>
    <row r="291" spans="1:21" x14ac:dyDescent="0.3">
      <c r="A291" t="s">
        <v>6</v>
      </c>
      <c r="B291">
        <v>1977</v>
      </c>
      <c r="C291" s="3">
        <v>1977.4166666587701</v>
      </c>
      <c r="D291">
        <v>28.2</v>
      </c>
      <c r="E291" s="1">
        <v>28277</v>
      </c>
      <c r="F291" s="2">
        <f>STANDARDIZE(D291,H$15,I$15)</f>
        <v>-0.36159176856847203</v>
      </c>
      <c r="U291" s="1"/>
    </row>
    <row r="292" spans="1:21" x14ac:dyDescent="0.3">
      <c r="A292" t="s">
        <v>5</v>
      </c>
      <c r="B292">
        <v>1977</v>
      </c>
      <c r="C292" s="3">
        <v>1977.4999999921299</v>
      </c>
      <c r="D292">
        <v>27.8</v>
      </c>
      <c r="E292" s="1">
        <v>28307</v>
      </c>
      <c r="F292" s="2">
        <f>STANDARDIZE(D292,H$16,I$16)</f>
        <v>-1.1054685571067606</v>
      </c>
      <c r="U292" s="1"/>
    </row>
    <row r="293" spans="1:21" x14ac:dyDescent="0.3">
      <c r="A293" t="s">
        <v>4</v>
      </c>
      <c r="B293">
        <v>1977</v>
      </c>
      <c r="C293" s="3">
        <v>1977.58333332549</v>
      </c>
      <c r="D293">
        <v>27.9</v>
      </c>
      <c r="E293" s="1">
        <v>28338</v>
      </c>
      <c r="F293" s="2">
        <f>STANDARDIZE(D293,H$17,I$17)</f>
        <v>-0.57463337465171993</v>
      </c>
      <c r="U293" s="1"/>
    </row>
    <row r="294" spans="1:21" x14ac:dyDescent="0.3">
      <c r="A294" t="s">
        <v>3</v>
      </c>
      <c r="B294">
        <v>1977</v>
      </c>
      <c r="C294" s="3">
        <v>1977.6666666588501</v>
      </c>
      <c r="D294">
        <v>28.8</v>
      </c>
      <c r="E294" s="1">
        <v>28369</v>
      </c>
      <c r="F294" s="2">
        <f>STANDARDIZE(D294,H$18,I$18)</f>
        <v>1.3183909814008317</v>
      </c>
      <c r="U294" s="1"/>
    </row>
    <row r="295" spans="1:21" x14ac:dyDescent="0.3">
      <c r="A295" t="s">
        <v>2</v>
      </c>
      <c r="B295">
        <v>1977</v>
      </c>
      <c r="C295" s="3">
        <v>1977.74999999221</v>
      </c>
      <c r="D295">
        <v>28.4</v>
      </c>
      <c r="E295" s="1">
        <v>28399</v>
      </c>
      <c r="F295" s="2">
        <f>STANDARDIZE(D295,H$19,I$19)</f>
        <v>1.0154971964538066</v>
      </c>
      <c r="U295" s="1"/>
    </row>
    <row r="296" spans="1:21" x14ac:dyDescent="0.3">
      <c r="A296" t="s">
        <v>1</v>
      </c>
      <c r="B296">
        <v>1977</v>
      </c>
      <c r="C296" s="3">
        <v>1977.83333332557</v>
      </c>
      <c r="D296">
        <v>28.4</v>
      </c>
      <c r="E296" s="1">
        <v>28430</v>
      </c>
      <c r="F296" s="2">
        <f>STANDARDIZE(D296,H$20,I$20)</f>
        <v>1.0104849699141567</v>
      </c>
      <c r="U296" s="1"/>
    </row>
    <row r="297" spans="1:21" x14ac:dyDescent="0.3">
      <c r="A297" t="s">
        <v>0</v>
      </c>
      <c r="B297">
        <v>1977</v>
      </c>
      <c r="C297" s="3">
        <v>1977.9166666589297</v>
      </c>
      <c r="D297">
        <v>28</v>
      </c>
      <c r="E297" s="1">
        <v>28460</v>
      </c>
      <c r="F297" s="2">
        <f>STANDARDIZE(D297,H$21,I$21)</f>
        <v>1.0058997562016905</v>
      </c>
      <c r="U297" s="1"/>
    </row>
    <row r="298" spans="1:21" x14ac:dyDescent="0.3">
      <c r="A298" t="s">
        <v>11</v>
      </c>
      <c r="B298">
        <v>1978</v>
      </c>
      <c r="C298" s="3">
        <v>1977.99999999229</v>
      </c>
      <c r="D298">
        <v>27.5</v>
      </c>
      <c r="E298" s="1">
        <v>28491</v>
      </c>
      <c r="F298" s="2">
        <f>STANDARDIZE(D298,H$10,I$10)</f>
        <v>0.92056788984660853</v>
      </c>
      <c r="U298" s="1"/>
    </row>
    <row r="299" spans="1:21" x14ac:dyDescent="0.3">
      <c r="A299" t="s">
        <v>10</v>
      </c>
      <c r="B299">
        <v>1978</v>
      </c>
      <c r="C299" s="3">
        <v>1978.0833333256503</v>
      </c>
      <c r="D299">
        <v>27.3</v>
      </c>
      <c r="E299" s="1">
        <v>28522</v>
      </c>
      <c r="F299" s="2">
        <f>STANDARDIZE(D299,H$11,I$11)</f>
        <v>0.77590720932644863</v>
      </c>
      <c r="U299" s="1"/>
    </row>
    <row r="300" spans="1:21" x14ac:dyDescent="0.3">
      <c r="A300" t="s">
        <v>9</v>
      </c>
      <c r="B300">
        <v>1978</v>
      </c>
      <c r="C300" s="3">
        <v>1978.1666666590106</v>
      </c>
      <c r="D300">
        <v>27.7</v>
      </c>
      <c r="E300" s="1">
        <v>28550</v>
      </c>
      <c r="F300" s="2">
        <f>STANDARDIZE(D300,H$12,I$12)</f>
        <v>0.81907981615700165</v>
      </c>
      <c r="U300" s="1"/>
    </row>
    <row r="301" spans="1:21" x14ac:dyDescent="0.3">
      <c r="A301" t="s">
        <v>8</v>
      </c>
      <c r="B301">
        <v>1978</v>
      </c>
      <c r="C301" s="3">
        <v>1978.2499999923707</v>
      </c>
      <c r="D301">
        <v>28</v>
      </c>
      <c r="E301" s="1">
        <v>28581</v>
      </c>
      <c r="F301" s="2">
        <f>STANDARDIZE(D301,H$13,I$13)</f>
        <v>0.66454152160573232</v>
      </c>
      <c r="U301" s="1"/>
    </row>
    <row r="302" spans="1:21" x14ac:dyDescent="0.3">
      <c r="A302" t="s">
        <v>7</v>
      </c>
      <c r="B302">
        <v>1978</v>
      </c>
      <c r="C302" s="3">
        <v>1978.333333325731</v>
      </c>
      <c r="D302">
        <v>28.5</v>
      </c>
      <c r="E302" s="1">
        <v>28611</v>
      </c>
      <c r="F302" s="2">
        <f>STANDARDIZE(D302,H$14,I$14)</f>
        <v>0.85855638281520286</v>
      </c>
      <c r="U302" s="1"/>
    </row>
    <row r="303" spans="1:21" x14ac:dyDescent="0.3">
      <c r="A303" t="s">
        <v>6</v>
      </c>
      <c r="B303">
        <v>1978</v>
      </c>
      <c r="C303" s="3">
        <v>1978.4166666590913</v>
      </c>
      <c r="D303">
        <v>28.5</v>
      </c>
      <c r="E303" s="1">
        <v>28642</v>
      </c>
      <c r="F303" s="2">
        <f>STANDARDIZE(D303,H$15,I$15)</f>
        <v>0.34587038732637038</v>
      </c>
      <c r="U303" s="1"/>
    </row>
    <row r="304" spans="1:21" x14ac:dyDescent="0.3">
      <c r="A304" t="s">
        <v>5</v>
      </c>
      <c r="B304">
        <v>1978</v>
      </c>
      <c r="C304" s="3">
        <v>1978.4999999924516</v>
      </c>
      <c r="D304">
        <v>28.4</v>
      </c>
      <c r="E304" s="1">
        <v>28672</v>
      </c>
      <c r="F304" s="2">
        <f>STANDARDIZE(D304,H$16,I$16)</f>
        <v>0.50574067592334937</v>
      </c>
      <c r="U304" s="1"/>
    </row>
    <row r="305" spans="1:21" x14ac:dyDescent="0.3">
      <c r="A305" t="s">
        <v>4</v>
      </c>
      <c r="B305">
        <v>1978</v>
      </c>
      <c r="C305" s="3">
        <v>1978.583333325812</v>
      </c>
      <c r="D305">
        <v>28.3</v>
      </c>
      <c r="E305" s="1">
        <v>28703</v>
      </c>
      <c r="F305" s="2">
        <f>STANDARDIZE(D305,H$17,I$17)</f>
        <v>0.26119698847808487</v>
      </c>
      <c r="U305" s="1"/>
    </row>
    <row r="306" spans="1:21" x14ac:dyDescent="0.3">
      <c r="A306" t="s">
        <v>3</v>
      </c>
      <c r="B306">
        <v>1978</v>
      </c>
      <c r="C306" s="3">
        <v>1978.6666666591721</v>
      </c>
      <c r="D306">
        <v>28.6</v>
      </c>
      <c r="E306" s="1">
        <v>28734</v>
      </c>
      <c r="F306" s="2">
        <f>STANDARDIZE(D306,H$18,I$18)</f>
        <v>0.86765902194756084</v>
      </c>
      <c r="U306" s="1"/>
    </row>
    <row r="307" spans="1:21" x14ac:dyDescent="0.3">
      <c r="A307" t="s">
        <v>2</v>
      </c>
      <c r="B307">
        <v>1978</v>
      </c>
      <c r="C307" s="3">
        <v>1978.7499999925324</v>
      </c>
      <c r="D307">
        <v>28.4</v>
      </c>
      <c r="E307" s="1">
        <v>28764</v>
      </c>
      <c r="F307" s="2">
        <f>STANDARDIZE(D307,H$19,I$19)</f>
        <v>1.0154971964538066</v>
      </c>
      <c r="U307" s="1"/>
    </row>
    <row r="308" spans="1:21" x14ac:dyDescent="0.3">
      <c r="A308" t="s">
        <v>1</v>
      </c>
      <c r="B308">
        <v>1978</v>
      </c>
      <c r="C308" s="3">
        <v>1978.8333333258927</v>
      </c>
      <c r="D308">
        <v>28.4</v>
      </c>
      <c r="E308" s="1">
        <v>28795</v>
      </c>
      <c r="F308" s="2">
        <f>STANDARDIZE(D308,H$20,I$20)</f>
        <v>1.0104849699141567</v>
      </c>
      <c r="U308" s="1"/>
    </row>
    <row r="309" spans="1:21" x14ac:dyDescent="0.3">
      <c r="A309" t="s">
        <v>0</v>
      </c>
      <c r="B309">
        <v>1978</v>
      </c>
      <c r="C309" s="3">
        <v>1978.916666659253</v>
      </c>
      <c r="D309">
        <v>28</v>
      </c>
      <c r="E309" s="1">
        <v>28825</v>
      </c>
      <c r="F309" s="2">
        <f>STANDARDIZE(D309,H$21,I$21)</f>
        <v>1.0058997562016905</v>
      </c>
      <c r="U309" s="1"/>
    </row>
    <row r="310" spans="1:21" x14ac:dyDescent="0.3">
      <c r="A310" t="s">
        <v>11</v>
      </c>
      <c r="B310">
        <v>1979</v>
      </c>
      <c r="C310" s="3">
        <v>1978.9999999926133</v>
      </c>
      <c r="D310">
        <v>27.5</v>
      </c>
      <c r="E310" s="1">
        <v>28856</v>
      </c>
      <c r="F310" s="2">
        <f>STANDARDIZE(D310,H$10,I$10)</f>
        <v>0.92056788984660853</v>
      </c>
      <c r="U310" s="1"/>
    </row>
    <row r="311" spans="1:21" x14ac:dyDescent="0.3">
      <c r="A311" t="s">
        <v>10</v>
      </c>
      <c r="B311">
        <v>1979</v>
      </c>
      <c r="C311" s="3">
        <v>1979.0833333259736</v>
      </c>
      <c r="D311">
        <v>27.2</v>
      </c>
      <c r="E311" s="1">
        <v>28887</v>
      </c>
      <c r="F311" s="2">
        <f>STANDARDIZE(D311,H$11,I$11)</f>
        <v>0.58111878857503096</v>
      </c>
      <c r="U311" s="1"/>
    </row>
    <row r="312" spans="1:21" x14ac:dyDescent="0.3">
      <c r="A312" t="s">
        <v>9</v>
      </c>
      <c r="B312">
        <v>1979</v>
      </c>
      <c r="C312" s="3">
        <v>1979.1666666593337</v>
      </c>
      <c r="D312">
        <v>27.7</v>
      </c>
      <c r="E312" s="1">
        <v>28915</v>
      </c>
      <c r="F312" s="2">
        <f>STANDARDIZE(D312,H$12,I$12)</f>
        <v>0.81907981615700165</v>
      </c>
      <c r="U312" s="1"/>
    </row>
    <row r="313" spans="1:21" x14ac:dyDescent="0.3">
      <c r="A313" t="s">
        <v>8</v>
      </c>
      <c r="B313">
        <v>1979</v>
      </c>
      <c r="C313" s="3">
        <v>1979.249999992694</v>
      </c>
      <c r="D313">
        <v>27.9</v>
      </c>
      <c r="E313" s="1">
        <v>28946</v>
      </c>
      <c r="F313" s="2">
        <f>STANDARDIZE(D313,H$13,I$13)</f>
        <v>0.45357595919120958</v>
      </c>
      <c r="U313" s="1"/>
    </row>
    <row r="314" spans="1:21" x14ac:dyDescent="0.3">
      <c r="A314" t="s">
        <v>7</v>
      </c>
      <c r="B314">
        <v>1979</v>
      </c>
      <c r="C314" s="3">
        <v>1979.3333333260543</v>
      </c>
      <c r="D314">
        <v>28.5</v>
      </c>
      <c r="E314" s="1">
        <v>28976</v>
      </c>
      <c r="F314" s="2">
        <f>STANDARDIZE(D314,H$14,I$14)</f>
        <v>0.85855638281520286</v>
      </c>
      <c r="U314" s="1"/>
    </row>
    <row r="315" spans="1:21" x14ac:dyDescent="0.3">
      <c r="A315" t="s">
        <v>6</v>
      </c>
      <c r="B315">
        <v>1979</v>
      </c>
      <c r="C315" s="3">
        <v>1979.4166666594147</v>
      </c>
      <c r="D315">
        <v>28.5</v>
      </c>
      <c r="E315" s="1">
        <v>29007</v>
      </c>
      <c r="F315" s="2">
        <f>STANDARDIZE(D315,H$15,I$15)</f>
        <v>0.34587038732637038</v>
      </c>
      <c r="U315" s="1"/>
    </row>
    <row r="316" spans="1:21" x14ac:dyDescent="0.3">
      <c r="A316" t="s">
        <v>5</v>
      </c>
      <c r="B316">
        <v>1979</v>
      </c>
      <c r="C316" s="3">
        <v>1979.499999992775</v>
      </c>
      <c r="D316">
        <v>28.4</v>
      </c>
      <c r="E316" s="1">
        <v>29037</v>
      </c>
      <c r="F316" s="2">
        <f>STANDARDIZE(D316,H$16,I$16)</f>
        <v>0.50574067592334937</v>
      </c>
      <c r="U316" s="1"/>
    </row>
    <row r="317" spans="1:21" x14ac:dyDescent="0.3">
      <c r="A317" t="s">
        <v>4</v>
      </c>
      <c r="B317">
        <v>1979</v>
      </c>
      <c r="C317" s="3">
        <v>1979.5833333261351</v>
      </c>
      <c r="D317">
        <v>28.3</v>
      </c>
      <c r="E317" s="1">
        <v>29068</v>
      </c>
      <c r="F317" s="2">
        <f>STANDARDIZE(D317,H$17,I$17)</f>
        <v>0.26119698847808487</v>
      </c>
      <c r="U317" s="1"/>
    </row>
    <row r="318" spans="1:21" x14ac:dyDescent="0.3">
      <c r="A318" t="s">
        <v>3</v>
      </c>
      <c r="B318">
        <v>1979</v>
      </c>
      <c r="C318" s="3">
        <v>1979.6666666594954</v>
      </c>
      <c r="D318">
        <v>28.6</v>
      </c>
      <c r="E318" s="1">
        <v>29099</v>
      </c>
      <c r="F318" s="2">
        <f>STANDARDIZE(D318,H$18,I$18)</f>
        <v>0.86765902194756084</v>
      </c>
      <c r="U318" s="1"/>
    </row>
    <row r="319" spans="1:21" x14ac:dyDescent="0.3">
      <c r="A319" t="s">
        <v>2</v>
      </c>
      <c r="B319">
        <v>1979</v>
      </c>
      <c r="C319" s="3">
        <v>1979.7499999928557</v>
      </c>
      <c r="D319">
        <v>28.4</v>
      </c>
      <c r="E319" s="1">
        <v>29129</v>
      </c>
      <c r="F319" s="2">
        <f>STANDARDIZE(D319,H$19,I$19)</f>
        <v>1.0154971964538066</v>
      </c>
      <c r="U319" s="1"/>
    </row>
    <row r="320" spans="1:21" x14ac:dyDescent="0.3">
      <c r="A320" t="s">
        <v>1</v>
      </c>
      <c r="B320">
        <v>1979</v>
      </c>
      <c r="C320" s="3">
        <v>1979.833333326216</v>
      </c>
      <c r="D320">
        <v>28.4</v>
      </c>
      <c r="E320" s="1">
        <v>29160</v>
      </c>
      <c r="F320" s="2">
        <f>STANDARDIZE(D320,H$20,I$20)</f>
        <v>1.0104849699141567</v>
      </c>
      <c r="U320" s="1"/>
    </row>
    <row r="321" spans="1:21" x14ac:dyDescent="0.3">
      <c r="A321" t="s">
        <v>0</v>
      </c>
      <c r="B321">
        <v>1979</v>
      </c>
      <c r="C321" s="3">
        <v>1979.9166666595763</v>
      </c>
      <c r="D321">
        <v>27.8</v>
      </c>
      <c r="E321" s="1">
        <v>29190</v>
      </c>
      <c r="F321" s="2">
        <f>STANDARDIZE(D321,H$21,I$21)</f>
        <v>0.67059983746779361</v>
      </c>
      <c r="U321" s="1"/>
    </row>
    <row r="322" spans="1:21" x14ac:dyDescent="0.3">
      <c r="A322" t="s">
        <v>11</v>
      </c>
      <c r="B322">
        <v>1980</v>
      </c>
      <c r="C322" s="3">
        <v>1979.9999999929364</v>
      </c>
      <c r="D322">
        <v>27.4</v>
      </c>
      <c r="E322" s="1">
        <v>29221</v>
      </c>
      <c r="F322" s="2">
        <f>STANDARDIZE(D322,H$10,I$10)</f>
        <v>0.74592639305898389</v>
      </c>
      <c r="U322" s="1"/>
    </row>
    <row r="323" spans="1:21" x14ac:dyDescent="0.3">
      <c r="A323" t="s">
        <v>10</v>
      </c>
      <c r="B323">
        <v>1980</v>
      </c>
      <c r="C323" s="3">
        <v>1980.0833333262967</v>
      </c>
      <c r="D323">
        <v>27.3</v>
      </c>
      <c r="E323" s="1">
        <v>29252</v>
      </c>
      <c r="F323" s="2">
        <f>STANDARDIZE(D323,H$11,I$11)</f>
        <v>0.77590720932644863</v>
      </c>
      <c r="U323" s="1"/>
    </row>
    <row r="324" spans="1:21" x14ac:dyDescent="0.3">
      <c r="A324" t="s">
        <v>9</v>
      </c>
      <c r="B324">
        <v>1980</v>
      </c>
      <c r="C324" s="3">
        <v>1980.166666659657</v>
      </c>
      <c r="D324">
        <v>27.6</v>
      </c>
      <c r="E324" s="1">
        <v>29281</v>
      </c>
      <c r="F324" s="2">
        <f>STANDARDIZE(D324,H$12,I$12)</f>
        <v>0.64229999972023755</v>
      </c>
      <c r="U324" s="1"/>
    </row>
    <row r="325" spans="1:21" x14ac:dyDescent="0.3">
      <c r="A325" t="s">
        <v>8</v>
      </c>
      <c r="B325">
        <v>1980</v>
      </c>
      <c r="C325" s="3">
        <v>1980.2499999930174</v>
      </c>
      <c r="D325">
        <v>27.9</v>
      </c>
      <c r="E325" s="1">
        <v>29312</v>
      </c>
      <c r="F325" s="2">
        <f>STANDARDIZE(D325,H$13,I$13)</f>
        <v>0.45357595919120958</v>
      </c>
      <c r="U325" s="1"/>
    </row>
    <row r="326" spans="1:21" x14ac:dyDescent="0.3">
      <c r="A326" t="s">
        <v>7</v>
      </c>
      <c r="B326">
        <v>1980</v>
      </c>
      <c r="C326" s="3">
        <v>1980.3333333263777</v>
      </c>
      <c r="D326">
        <v>28.5</v>
      </c>
      <c r="E326" s="1">
        <v>29342</v>
      </c>
      <c r="F326" s="2">
        <f>STANDARDIZE(D326,H$14,I$14)</f>
        <v>0.85855638281520286</v>
      </c>
      <c r="U326" s="1"/>
    </row>
    <row r="327" spans="1:21" x14ac:dyDescent="0.3">
      <c r="A327" t="s">
        <v>6</v>
      </c>
      <c r="B327">
        <v>1980</v>
      </c>
      <c r="C327" s="3">
        <v>1980.416666659738</v>
      </c>
      <c r="D327">
        <v>28.6</v>
      </c>
      <c r="E327" s="1">
        <v>29373</v>
      </c>
      <c r="F327" s="2">
        <f>STANDARDIZE(D327,H$15,I$15)</f>
        <v>0.58169110595798723</v>
      </c>
      <c r="U327" s="1"/>
    </row>
    <row r="328" spans="1:21" x14ac:dyDescent="0.3">
      <c r="A328" t="s">
        <v>5</v>
      </c>
      <c r="B328">
        <v>1980</v>
      </c>
      <c r="C328" s="3">
        <v>1980.4999999930981</v>
      </c>
      <c r="D328">
        <v>28.5</v>
      </c>
      <c r="E328" s="1">
        <v>29403</v>
      </c>
      <c r="F328" s="2">
        <f>STANDARDIZE(D328,H$16,I$16)</f>
        <v>0.77427554809503918</v>
      </c>
      <c r="U328" s="1"/>
    </row>
    <row r="329" spans="1:21" x14ac:dyDescent="0.3">
      <c r="A329" t="s">
        <v>4</v>
      </c>
      <c r="B329">
        <v>1980</v>
      </c>
      <c r="C329" s="3">
        <v>1980.5833333264584</v>
      </c>
      <c r="D329">
        <v>28.4</v>
      </c>
      <c r="E329" s="1">
        <v>29434</v>
      </c>
      <c r="F329" s="2">
        <f>STANDARDIZE(D329,H$17,I$17)</f>
        <v>0.4701545792605305</v>
      </c>
      <c r="U329" s="1"/>
    </row>
    <row r="330" spans="1:21" x14ac:dyDescent="0.3">
      <c r="A330" t="s">
        <v>3</v>
      </c>
      <c r="B330">
        <v>1980</v>
      </c>
      <c r="C330" s="3">
        <v>1980.6666666598187</v>
      </c>
      <c r="D330">
        <v>28.6</v>
      </c>
      <c r="E330" s="1">
        <v>29465</v>
      </c>
      <c r="F330" s="2">
        <f>STANDARDIZE(D330,H$18,I$18)</f>
        <v>0.86765902194756084</v>
      </c>
      <c r="U330" s="1"/>
    </row>
    <row r="331" spans="1:21" x14ac:dyDescent="0.3">
      <c r="A331" t="s">
        <v>2</v>
      </c>
      <c r="B331">
        <v>1980</v>
      </c>
      <c r="C331" s="3">
        <v>1980.749999993179</v>
      </c>
      <c r="D331">
        <v>28.3</v>
      </c>
      <c r="E331" s="1">
        <v>29495</v>
      </c>
      <c r="F331" s="2">
        <f>STANDARDIZE(D331,H$19,I$19)</f>
        <v>0.80746131245806418</v>
      </c>
      <c r="U331" s="1"/>
    </row>
    <row r="332" spans="1:21" x14ac:dyDescent="0.3">
      <c r="A332" t="s">
        <v>1</v>
      </c>
      <c r="B332">
        <v>1980</v>
      </c>
      <c r="C332" s="3">
        <v>1980.8333333265393</v>
      </c>
      <c r="D332">
        <v>28.4</v>
      </c>
      <c r="E332" s="1">
        <v>29526</v>
      </c>
      <c r="F332" s="2">
        <f>STANDARDIZE(D332,H$20,I$20)</f>
        <v>1.0104849699141567</v>
      </c>
      <c r="U332" s="1"/>
    </row>
    <row r="333" spans="1:21" x14ac:dyDescent="0.3">
      <c r="A333" t="s">
        <v>0</v>
      </c>
      <c r="B333">
        <v>1980</v>
      </c>
      <c r="C333" s="3">
        <v>1980.9166666598994</v>
      </c>
      <c r="D333">
        <v>27.8</v>
      </c>
      <c r="E333" s="1">
        <v>29556</v>
      </c>
      <c r="F333" s="2">
        <f>STANDARDIZE(D333,H$21,I$21)</f>
        <v>0.67059983746779361</v>
      </c>
      <c r="U333" s="1"/>
    </row>
    <row r="334" spans="1:21" x14ac:dyDescent="0.3">
      <c r="A334" t="s">
        <v>11</v>
      </c>
      <c r="B334">
        <v>1981</v>
      </c>
      <c r="C334" s="3">
        <v>1980.9999999932597</v>
      </c>
      <c r="D334">
        <v>27.4</v>
      </c>
      <c r="E334" s="1">
        <v>29587</v>
      </c>
      <c r="F334" s="2">
        <f>STANDARDIZE(D334,H$10,I$10)</f>
        <v>0.74592639305898389</v>
      </c>
      <c r="U334" s="1"/>
    </row>
    <row r="335" spans="1:21" x14ac:dyDescent="0.3">
      <c r="A335" t="s">
        <v>10</v>
      </c>
      <c r="B335">
        <v>1981</v>
      </c>
      <c r="C335" s="3">
        <v>1981.08333332662</v>
      </c>
      <c r="D335">
        <v>27.1</v>
      </c>
      <c r="E335" s="1">
        <v>29618</v>
      </c>
      <c r="F335" s="2">
        <f>STANDARDIZE(D335,H$11,I$11)</f>
        <v>0.38633036782362029</v>
      </c>
      <c r="U335" s="1"/>
    </row>
    <row r="336" spans="1:21" x14ac:dyDescent="0.3">
      <c r="A336" t="s">
        <v>9</v>
      </c>
      <c r="B336">
        <v>1981</v>
      </c>
      <c r="C336" s="3">
        <v>1981.1666666599799</v>
      </c>
      <c r="D336">
        <v>27.6</v>
      </c>
      <c r="E336" s="1">
        <v>29646</v>
      </c>
      <c r="F336" s="2">
        <f>STANDARDIZE(D336,H$12,I$12)</f>
        <v>0.64229999972023755</v>
      </c>
      <c r="U336" s="1"/>
    </row>
    <row r="337" spans="1:21" x14ac:dyDescent="0.3">
      <c r="A337" t="s">
        <v>8</v>
      </c>
      <c r="B337">
        <v>1981</v>
      </c>
      <c r="C337" s="3">
        <v>1981.24999999334</v>
      </c>
      <c r="D337">
        <v>27.6</v>
      </c>
      <c r="E337" s="1">
        <v>29677</v>
      </c>
      <c r="F337" s="2">
        <f>STANDARDIZE(D337,H$13,I$13)</f>
        <v>-0.17932072805234356</v>
      </c>
      <c r="U337" s="1"/>
    </row>
    <row r="338" spans="1:21" x14ac:dyDescent="0.3">
      <c r="A338" t="s">
        <v>7</v>
      </c>
      <c r="B338">
        <v>1981</v>
      </c>
      <c r="C338" s="3">
        <v>1981.3333333267001</v>
      </c>
      <c r="D338">
        <v>28</v>
      </c>
      <c r="E338" s="1">
        <v>29707</v>
      </c>
      <c r="F338" s="2">
        <f>STANDARDIZE(D338,H$14,I$14)</f>
        <v>-0.47598721741570227</v>
      </c>
      <c r="U338" s="1"/>
    </row>
    <row r="339" spans="1:21" x14ac:dyDescent="0.3">
      <c r="A339" t="s">
        <v>6</v>
      </c>
      <c r="B339">
        <v>1981</v>
      </c>
      <c r="C339" s="3">
        <v>1981.4166666600599</v>
      </c>
      <c r="D339">
        <v>28.1</v>
      </c>
      <c r="E339" s="1">
        <v>29738</v>
      </c>
      <c r="F339" s="2">
        <f>STANDARDIZE(D339,H$15,I$15)</f>
        <v>-0.59741248720008056</v>
      </c>
      <c r="U339" s="1"/>
    </row>
    <row r="340" spans="1:21" x14ac:dyDescent="0.3">
      <c r="A340" t="s">
        <v>5</v>
      </c>
      <c r="B340">
        <v>1981</v>
      </c>
      <c r="C340" s="3">
        <v>1981.49999999342</v>
      </c>
      <c r="D340">
        <v>28.4</v>
      </c>
      <c r="E340" s="1">
        <v>29768</v>
      </c>
      <c r="F340" s="2">
        <f>STANDARDIZE(D340,H$16,I$16)</f>
        <v>0.50574067592334937</v>
      </c>
      <c r="U340" s="1"/>
    </row>
    <row r="341" spans="1:21" x14ac:dyDescent="0.3">
      <c r="A341" t="s">
        <v>4</v>
      </c>
      <c r="B341">
        <v>1981</v>
      </c>
      <c r="C341" s="3">
        <v>1981.5833333267799</v>
      </c>
      <c r="D341">
        <v>27.9</v>
      </c>
      <c r="E341" s="1">
        <v>29799</v>
      </c>
      <c r="F341" s="2">
        <f>STANDARDIZE(D341,H$17,I$17)</f>
        <v>-0.57463337465171993</v>
      </c>
      <c r="U341" s="1"/>
    </row>
    <row r="342" spans="1:21" x14ac:dyDescent="0.3">
      <c r="A342" t="s">
        <v>3</v>
      </c>
      <c r="B342">
        <v>1981</v>
      </c>
      <c r="C342" s="3">
        <v>1981.66666666014</v>
      </c>
      <c r="D342">
        <v>28.3</v>
      </c>
      <c r="E342" s="1">
        <v>29830</v>
      </c>
      <c r="F342" s="2">
        <f>STANDARDIZE(D342,H$18,I$18)</f>
        <v>0.19156108276765069</v>
      </c>
      <c r="U342" s="1"/>
    </row>
    <row r="343" spans="1:21" x14ac:dyDescent="0.3">
      <c r="A343" t="s">
        <v>2</v>
      </c>
      <c r="B343">
        <v>1981</v>
      </c>
      <c r="C343" s="3">
        <v>1981.7499999935001</v>
      </c>
      <c r="D343">
        <v>27.9</v>
      </c>
      <c r="E343" s="1">
        <v>29860</v>
      </c>
      <c r="F343" s="2">
        <f>STANDARDIZE(D343,H$19,I$19)</f>
        <v>-2.468222352492774E-2</v>
      </c>
      <c r="U343" s="1"/>
    </row>
    <row r="344" spans="1:21" x14ac:dyDescent="0.3">
      <c r="A344" t="s">
        <v>1</v>
      </c>
      <c r="B344">
        <v>1981</v>
      </c>
      <c r="C344" s="3">
        <v>1981.8333333268599</v>
      </c>
      <c r="D344">
        <v>28.3</v>
      </c>
      <c r="E344" s="1">
        <v>29891</v>
      </c>
      <c r="F344" s="2">
        <f>STANDARDIZE(D344,H$20,I$20)</f>
        <v>0.83251896028748806</v>
      </c>
      <c r="U344" s="1"/>
    </row>
    <row r="345" spans="1:21" x14ac:dyDescent="0.3">
      <c r="A345" t="s">
        <v>0</v>
      </c>
      <c r="B345">
        <v>1981</v>
      </c>
      <c r="C345" s="3">
        <v>1981.91666666022</v>
      </c>
      <c r="D345">
        <v>27.7</v>
      </c>
      <c r="E345" s="1">
        <v>29921</v>
      </c>
      <c r="F345" s="2">
        <f>STANDARDIZE(D345,H$21,I$21)</f>
        <v>0.50294987810084224</v>
      </c>
      <c r="U345" s="1"/>
    </row>
    <row r="346" spans="1:21" x14ac:dyDescent="0.3">
      <c r="A346" t="s">
        <v>11</v>
      </c>
      <c r="B346">
        <v>1982</v>
      </c>
      <c r="C346" s="3">
        <v>1981.9999999935801</v>
      </c>
      <c r="D346">
        <v>26.7</v>
      </c>
      <c r="E346" s="1">
        <v>29952</v>
      </c>
      <c r="F346" s="2">
        <f>STANDARDIZE(D346,H$10,I$10)</f>
        <v>-0.4765640844543701</v>
      </c>
      <c r="U346" s="1"/>
    </row>
    <row r="347" spans="1:21" x14ac:dyDescent="0.3">
      <c r="A347" t="s">
        <v>10</v>
      </c>
      <c r="B347">
        <v>1982</v>
      </c>
      <c r="C347" s="3">
        <v>1982.08333332694</v>
      </c>
      <c r="D347">
        <v>26.8</v>
      </c>
      <c r="E347" s="1">
        <v>29983</v>
      </c>
      <c r="F347" s="2">
        <f>STANDARDIZE(D347,H$11,I$11)</f>
        <v>-0.19803489443062569</v>
      </c>
      <c r="U347" s="1"/>
    </row>
    <row r="348" spans="1:21" x14ac:dyDescent="0.3">
      <c r="A348" t="s">
        <v>9</v>
      </c>
      <c r="B348">
        <v>1982</v>
      </c>
      <c r="C348" s="3">
        <v>1982.1666666603001</v>
      </c>
      <c r="D348">
        <v>26.6</v>
      </c>
      <c r="E348" s="1">
        <v>30011</v>
      </c>
      <c r="F348" s="2">
        <f>STANDARDIZE(D348,H$12,I$12)</f>
        <v>-1.1254981646474409</v>
      </c>
      <c r="U348" s="1"/>
    </row>
    <row r="349" spans="1:21" x14ac:dyDescent="0.3">
      <c r="A349" t="s">
        <v>8</v>
      </c>
      <c r="B349">
        <v>1982</v>
      </c>
      <c r="C349" s="3">
        <v>1982.2499999936599</v>
      </c>
      <c r="D349">
        <v>27.3</v>
      </c>
      <c r="E349" s="1">
        <v>30042</v>
      </c>
      <c r="F349" s="2">
        <f>STANDARDIZE(D349,H$13,I$13)</f>
        <v>-0.81221741529590419</v>
      </c>
      <c r="U349" s="1"/>
    </row>
    <row r="350" spans="1:21" x14ac:dyDescent="0.3">
      <c r="A350" t="s">
        <v>7</v>
      </c>
      <c r="B350">
        <v>1982</v>
      </c>
      <c r="C350" s="3">
        <v>1982.33333332702</v>
      </c>
      <c r="D350">
        <v>28</v>
      </c>
      <c r="E350" s="1">
        <v>30072</v>
      </c>
      <c r="F350" s="2">
        <f>STANDARDIZE(D350,H$14,I$14)</f>
        <v>-0.47598721741570227</v>
      </c>
      <c r="U350" s="1"/>
    </row>
    <row r="351" spans="1:21" x14ac:dyDescent="0.3">
      <c r="A351" t="s">
        <v>6</v>
      </c>
      <c r="B351">
        <v>1982</v>
      </c>
      <c r="C351" s="3">
        <v>1982.4166666603801</v>
      </c>
      <c r="D351">
        <v>28.4</v>
      </c>
      <c r="E351" s="1">
        <v>30103</v>
      </c>
      <c r="F351" s="2">
        <f>STANDARDIZE(D351,H$15,I$15)</f>
        <v>0.11004966869475344</v>
      </c>
      <c r="U351" s="1"/>
    </row>
    <row r="352" spans="1:21" x14ac:dyDescent="0.3">
      <c r="A352" t="s">
        <v>5</v>
      </c>
      <c r="B352">
        <v>1982</v>
      </c>
      <c r="C352" s="3">
        <v>1982.4999999937399</v>
      </c>
      <c r="D352">
        <v>28.1</v>
      </c>
      <c r="E352" s="1">
        <v>30133</v>
      </c>
      <c r="F352" s="2">
        <f>STANDARDIZE(D352,H$16,I$16)</f>
        <v>-0.29986394059170085</v>
      </c>
      <c r="U352" s="1"/>
    </row>
    <row r="353" spans="1:21" x14ac:dyDescent="0.3">
      <c r="A353" t="s">
        <v>4</v>
      </c>
      <c r="B353">
        <v>1982</v>
      </c>
      <c r="C353" s="3">
        <v>1982.5833333271</v>
      </c>
      <c r="D353">
        <v>28.3</v>
      </c>
      <c r="E353" s="1">
        <v>30164</v>
      </c>
      <c r="F353" s="2">
        <f>STANDARDIZE(D353,H$17,I$17)</f>
        <v>0.26119698847808487</v>
      </c>
      <c r="U353" s="1"/>
    </row>
    <row r="354" spans="1:21" x14ac:dyDescent="0.3">
      <c r="A354" t="s">
        <v>3</v>
      </c>
      <c r="B354">
        <v>1982</v>
      </c>
      <c r="C354" s="3">
        <v>1982.6666666604599</v>
      </c>
      <c r="D354">
        <v>28.3</v>
      </c>
      <c r="E354" s="1">
        <v>30195</v>
      </c>
      <c r="F354" s="2">
        <f>STANDARDIZE(D354,H$18,I$18)</f>
        <v>0.19156108276765069</v>
      </c>
      <c r="U354" s="1"/>
    </row>
    <row r="355" spans="1:21" x14ac:dyDescent="0.3">
      <c r="A355" t="s">
        <v>2</v>
      </c>
      <c r="B355">
        <v>1982</v>
      </c>
      <c r="C355" s="3">
        <v>1982.74999999382</v>
      </c>
      <c r="D355">
        <v>27.6</v>
      </c>
      <c r="E355" s="1">
        <v>30225</v>
      </c>
      <c r="F355" s="2">
        <f>STANDARDIZE(D355,H$19,I$19)</f>
        <v>-0.64878987551216238</v>
      </c>
      <c r="U355" s="1"/>
    </row>
    <row r="356" spans="1:21" x14ac:dyDescent="0.3">
      <c r="A356" t="s">
        <v>1</v>
      </c>
      <c r="B356">
        <v>1982</v>
      </c>
      <c r="C356" s="3">
        <v>1982.8333333271801</v>
      </c>
      <c r="D356">
        <v>28</v>
      </c>
      <c r="E356" s="1">
        <v>30256</v>
      </c>
      <c r="F356" s="2">
        <f>STANDARDIZE(D356,H$20,I$20)</f>
        <v>0.29862093140746954</v>
      </c>
      <c r="U356" s="1"/>
    </row>
    <row r="357" spans="1:21" x14ac:dyDescent="0.3">
      <c r="A357" t="s">
        <v>0</v>
      </c>
      <c r="B357">
        <v>1982</v>
      </c>
      <c r="C357" s="3">
        <v>1982.9166666605399</v>
      </c>
      <c r="D357">
        <v>27</v>
      </c>
      <c r="E357" s="1">
        <v>30286</v>
      </c>
      <c r="F357" s="2">
        <f>STANDARDIZE(D357,H$21,I$21)</f>
        <v>-0.67059983746779961</v>
      </c>
      <c r="U357" s="1"/>
    </row>
    <row r="358" spans="1:21" x14ac:dyDescent="0.3">
      <c r="A358" t="s">
        <v>11</v>
      </c>
      <c r="B358">
        <v>1983</v>
      </c>
      <c r="C358" s="3">
        <v>1982.9999999939</v>
      </c>
      <c r="D358">
        <v>27.4</v>
      </c>
      <c r="E358" s="1">
        <v>30317</v>
      </c>
      <c r="F358" s="2">
        <f>STANDARDIZE(D358,H$10,I$10)</f>
        <v>0.74592639305898389</v>
      </c>
      <c r="U358" s="1"/>
    </row>
    <row r="359" spans="1:21" x14ac:dyDescent="0.3">
      <c r="A359" t="s">
        <v>10</v>
      </c>
      <c r="B359">
        <v>1983</v>
      </c>
      <c r="C359" s="3">
        <v>1983.0833333272601</v>
      </c>
      <c r="D359">
        <v>27.1</v>
      </c>
      <c r="E359" s="1">
        <v>30348</v>
      </c>
      <c r="F359" s="2">
        <f>STANDARDIZE(D359,H$11,I$11)</f>
        <v>0.38633036782362029</v>
      </c>
      <c r="U359" s="1"/>
    </row>
    <row r="360" spans="1:21" x14ac:dyDescent="0.3">
      <c r="A360" t="s">
        <v>9</v>
      </c>
      <c r="B360">
        <v>1983</v>
      </c>
      <c r="C360" s="3">
        <v>1983.16666666062</v>
      </c>
      <c r="D360">
        <v>28</v>
      </c>
      <c r="E360" s="1">
        <v>30376</v>
      </c>
      <c r="F360" s="2">
        <f>STANDARDIZE(D360,H$12,I$12)</f>
        <v>1.3494192654673065</v>
      </c>
      <c r="U360" s="1"/>
    </row>
    <row r="361" spans="1:21" x14ac:dyDescent="0.3">
      <c r="A361" t="s">
        <v>8</v>
      </c>
      <c r="B361">
        <v>1983</v>
      </c>
      <c r="C361" s="3">
        <v>1983.2499999939801</v>
      </c>
      <c r="D361">
        <v>28.1</v>
      </c>
      <c r="E361" s="1">
        <v>30407</v>
      </c>
      <c r="F361" s="2">
        <f>STANDARDIZE(D361,H$13,I$13)</f>
        <v>0.87550708402025501</v>
      </c>
      <c r="U361" s="1"/>
    </row>
    <row r="362" spans="1:21" x14ac:dyDescent="0.3">
      <c r="A362" t="s">
        <v>7</v>
      </c>
      <c r="B362">
        <v>1983</v>
      </c>
      <c r="C362" s="3">
        <v>1983.3333333273399</v>
      </c>
      <c r="D362">
        <v>28.6</v>
      </c>
      <c r="E362" s="1">
        <v>30437</v>
      </c>
      <c r="F362" s="2">
        <f>STANDARDIZE(D362,H$14,I$14)</f>
        <v>1.1254651028613878</v>
      </c>
      <c r="U362" s="1"/>
    </row>
    <row r="363" spans="1:21" x14ac:dyDescent="0.3">
      <c r="A363" t="s">
        <v>6</v>
      </c>
      <c r="B363">
        <v>1983</v>
      </c>
      <c r="C363" s="3">
        <v>1983.4166666607</v>
      </c>
      <c r="D363">
        <v>29.2</v>
      </c>
      <c r="E363" s="1">
        <v>30468</v>
      </c>
      <c r="F363" s="2">
        <f>STANDARDIZE(D363,H$15,I$15)</f>
        <v>1.9966154177476636</v>
      </c>
      <c r="U363" s="1"/>
    </row>
    <row r="364" spans="1:21" x14ac:dyDescent="0.3">
      <c r="A364" t="s">
        <v>5</v>
      </c>
      <c r="B364">
        <v>1983</v>
      </c>
      <c r="C364" s="3">
        <v>1983.4999999940601</v>
      </c>
      <c r="D364">
        <v>28.7</v>
      </c>
      <c r="E364" s="1">
        <v>30498</v>
      </c>
      <c r="F364" s="2">
        <f>STANDARDIZE(D364,H$16,I$16)</f>
        <v>1.3113452924384092</v>
      </c>
      <c r="U364" s="1"/>
    </row>
    <row r="365" spans="1:21" x14ac:dyDescent="0.3">
      <c r="A365" t="s">
        <v>4</v>
      </c>
      <c r="B365">
        <v>1983</v>
      </c>
      <c r="C365" s="3">
        <v>1983.58333332742</v>
      </c>
      <c r="D365">
        <v>28.6</v>
      </c>
      <c r="E365" s="1">
        <v>30529</v>
      </c>
      <c r="F365" s="2">
        <f>STANDARDIZE(D365,H$17,I$17)</f>
        <v>0.88806976082543654</v>
      </c>
      <c r="U365" s="1"/>
    </row>
    <row r="366" spans="1:21" x14ac:dyDescent="0.3">
      <c r="A366" t="s">
        <v>3</v>
      </c>
      <c r="B366">
        <v>1983</v>
      </c>
      <c r="C366" s="3">
        <v>1983.66666666078</v>
      </c>
      <c r="D366">
        <v>28.3</v>
      </c>
      <c r="E366" s="1">
        <v>30560</v>
      </c>
      <c r="F366" s="2">
        <f>STANDARDIZE(D366,H$18,I$18)</f>
        <v>0.19156108276765069</v>
      </c>
      <c r="U366" s="1"/>
    </row>
    <row r="367" spans="1:21" x14ac:dyDescent="0.3">
      <c r="A367" t="s">
        <v>2</v>
      </c>
      <c r="B367">
        <v>1983</v>
      </c>
      <c r="C367" s="3">
        <v>1983.7499999941399</v>
      </c>
      <c r="D367">
        <v>27.7</v>
      </c>
      <c r="E367" s="1">
        <v>30590</v>
      </c>
      <c r="F367" s="2">
        <f>STANDARDIZE(D367,H$19,I$19)</f>
        <v>-0.44075399151641997</v>
      </c>
      <c r="U367" s="1"/>
    </row>
    <row r="368" spans="1:21" x14ac:dyDescent="0.3">
      <c r="A368" t="s">
        <v>1</v>
      </c>
      <c r="B368">
        <v>1983</v>
      </c>
      <c r="C368" s="3">
        <v>1983.8333333275</v>
      </c>
      <c r="D368">
        <v>28.3</v>
      </c>
      <c r="E368" s="1">
        <v>30621</v>
      </c>
      <c r="F368" s="2">
        <f>STANDARDIZE(D368,H$20,I$20)</f>
        <v>0.83251896028748806</v>
      </c>
      <c r="U368" s="1"/>
    </row>
    <row r="369" spans="1:21" x14ac:dyDescent="0.3">
      <c r="A369" t="s">
        <v>0</v>
      </c>
      <c r="B369">
        <v>1983</v>
      </c>
      <c r="C369" s="3">
        <v>1983.9166666608601</v>
      </c>
      <c r="D369">
        <v>27.4</v>
      </c>
      <c r="E369" s="1">
        <v>30651</v>
      </c>
      <c r="F369" s="2">
        <f>STANDARDIZE(D369,H$21,I$21)</f>
        <v>-5.9561230389330787E-15</v>
      </c>
      <c r="U369" s="1"/>
    </row>
    <row r="370" spans="1:21" x14ac:dyDescent="0.3">
      <c r="A370" t="s">
        <v>11</v>
      </c>
      <c r="B370">
        <v>1984</v>
      </c>
      <c r="C370" s="3">
        <v>1983.9999999942199</v>
      </c>
      <c r="D370">
        <v>26.8</v>
      </c>
      <c r="E370" s="1">
        <v>30682</v>
      </c>
      <c r="F370" s="2">
        <f>STANDARDIZE(D370,H$10,I$10)</f>
        <v>-0.30192258766674546</v>
      </c>
      <c r="U370" s="1"/>
    </row>
    <row r="371" spans="1:21" x14ac:dyDescent="0.3">
      <c r="A371" t="s">
        <v>10</v>
      </c>
      <c r="B371">
        <v>1984</v>
      </c>
      <c r="C371" s="3">
        <v>1984.08333332758</v>
      </c>
      <c r="D371">
        <v>27.2</v>
      </c>
      <c r="E371" s="1">
        <v>30713</v>
      </c>
      <c r="F371" s="2">
        <f>STANDARDIZE(D371,H$11,I$11)</f>
        <v>0.58111878857503096</v>
      </c>
      <c r="U371" s="1"/>
    </row>
    <row r="372" spans="1:21" x14ac:dyDescent="0.3">
      <c r="A372" t="s">
        <v>9</v>
      </c>
      <c r="B372">
        <v>1984</v>
      </c>
      <c r="C372" s="3">
        <v>1984.1666666609401</v>
      </c>
      <c r="D372">
        <v>26.9</v>
      </c>
      <c r="E372" s="1">
        <v>30742</v>
      </c>
      <c r="F372" s="2">
        <f>STANDARDIZE(D372,H$12,I$12)</f>
        <v>-0.59515871533714237</v>
      </c>
      <c r="U372" s="1"/>
    </row>
    <row r="373" spans="1:21" x14ac:dyDescent="0.3">
      <c r="A373" t="s">
        <v>8</v>
      </c>
      <c r="B373">
        <v>1984</v>
      </c>
      <c r="C373" s="3">
        <v>1984.2499999943</v>
      </c>
      <c r="D373">
        <v>27.5</v>
      </c>
      <c r="E373" s="1">
        <v>30773</v>
      </c>
      <c r="F373" s="2">
        <f>STANDARDIZE(D373,H$13,I$13)</f>
        <v>-0.39028629046686625</v>
      </c>
      <c r="U373" s="1"/>
    </row>
    <row r="374" spans="1:21" x14ac:dyDescent="0.3">
      <c r="A374" t="s">
        <v>7</v>
      </c>
      <c r="B374">
        <v>1984</v>
      </c>
      <c r="C374" s="3">
        <v>1984.3333333276601</v>
      </c>
      <c r="D374">
        <v>28.1</v>
      </c>
      <c r="E374" s="1">
        <v>30803</v>
      </c>
      <c r="F374" s="2">
        <f>STANDARDIZE(D374,H$14,I$14)</f>
        <v>-0.20907849736951745</v>
      </c>
      <c r="U374" s="1"/>
    </row>
    <row r="375" spans="1:21" x14ac:dyDescent="0.3">
      <c r="A375" t="s">
        <v>6</v>
      </c>
      <c r="B375">
        <v>1984</v>
      </c>
      <c r="C375" s="3">
        <v>1984.4166666610199</v>
      </c>
      <c r="D375">
        <v>28.2</v>
      </c>
      <c r="E375" s="1">
        <v>30834</v>
      </c>
      <c r="F375" s="2">
        <f>STANDARDIZE(D375,H$15,I$15)</f>
        <v>-0.36159176856847203</v>
      </c>
      <c r="U375" s="1"/>
    </row>
    <row r="376" spans="1:21" x14ac:dyDescent="0.3">
      <c r="A376" t="s">
        <v>5</v>
      </c>
      <c r="B376">
        <v>1984</v>
      </c>
      <c r="C376" s="3">
        <v>1984.49999999438</v>
      </c>
      <c r="D376">
        <v>27.7</v>
      </c>
      <c r="E376" s="1">
        <v>30864</v>
      </c>
      <c r="F376" s="2">
        <f>STANDARDIZE(D376,H$16,I$16)</f>
        <v>-1.3740034292784504</v>
      </c>
      <c r="U376" s="1"/>
    </row>
    <row r="377" spans="1:21" x14ac:dyDescent="0.3">
      <c r="A377" t="s">
        <v>4</v>
      </c>
      <c r="B377">
        <v>1984</v>
      </c>
      <c r="C377" s="3">
        <v>1984.5833333277401</v>
      </c>
      <c r="D377">
        <v>27.6</v>
      </c>
      <c r="E377" s="1">
        <v>30895</v>
      </c>
      <c r="F377" s="2">
        <f>STANDARDIZE(D377,H$17,I$17)</f>
        <v>-1.2015061469990642</v>
      </c>
      <c r="U377" s="1"/>
    </row>
    <row r="378" spans="1:21" x14ac:dyDescent="0.3">
      <c r="A378" t="s">
        <v>3</v>
      </c>
      <c r="B378">
        <v>1984</v>
      </c>
      <c r="C378" s="3">
        <v>1984.6666666611</v>
      </c>
      <c r="D378">
        <v>27.5</v>
      </c>
      <c r="E378" s="1">
        <v>30926</v>
      </c>
      <c r="F378" s="2">
        <f>STANDARDIZE(D378,H$18,I$18)</f>
        <v>-1.6113667550454405</v>
      </c>
      <c r="U378" s="1"/>
    </row>
    <row r="379" spans="1:21" x14ac:dyDescent="0.3">
      <c r="A379" t="s">
        <v>2</v>
      </c>
      <c r="B379">
        <v>1984</v>
      </c>
      <c r="C379" s="3">
        <v>1984.74999999446</v>
      </c>
      <c r="D379">
        <v>27.5</v>
      </c>
      <c r="E379" s="1">
        <v>30956</v>
      </c>
      <c r="F379" s="2">
        <f>STANDARDIZE(D379,H$19,I$19)</f>
        <v>-0.85682575950791229</v>
      </c>
      <c r="U379" s="1"/>
    </row>
    <row r="380" spans="1:21" x14ac:dyDescent="0.3">
      <c r="A380" t="s">
        <v>1</v>
      </c>
      <c r="B380">
        <v>1984</v>
      </c>
      <c r="C380" s="3">
        <v>1984.8333333278199</v>
      </c>
      <c r="D380">
        <v>27.4</v>
      </c>
      <c r="E380" s="1">
        <v>30987</v>
      </c>
      <c r="F380" s="2">
        <f>STANDARDIZE(D380,H$20,I$20)</f>
        <v>-0.76917512635256757</v>
      </c>
      <c r="U380" s="1"/>
    </row>
    <row r="381" spans="1:21" x14ac:dyDescent="0.3">
      <c r="A381" t="s">
        <v>0</v>
      </c>
      <c r="B381">
        <v>1984</v>
      </c>
      <c r="C381" s="3">
        <v>1984.91666666118</v>
      </c>
      <c r="D381">
        <v>26.3</v>
      </c>
      <c r="E381" s="1">
        <v>31017</v>
      </c>
      <c r="F381" s="2">
        <f>STANDARDIZE(D381,H$21,I$21)</f>
        <v>-1.8441495530364413</v>
      </c>
      <c r="U381" s="1"/>
    </row>
    <row r="382" spans="1:21" x14ac:dyDescent="0.3">
      <c r="A382" t="s">
        <v>11</v>
      </c>
      <c r="B382">
        <v>1985</v>
      </c>
      <c r="C382" s="3">
        <v>1984.9999999945401</v>
      </c>
      <c r="D382">
        <v>25.9</v>
      </c>
      <c r="E382" s="1">
        <v>31048</v>
      </c>
      <c r="F382" s="2">
        <f>STANDARDIZE(D382,H$10,I$10)</f>
        <v>-1.8736960587553488</v>
      </c>
      <c r="U382" s="1"/>
    </row>
    <row r="383" spans="1:21" x14ac:dyDescent="0.3">
      <c r="A383" t="s">
        <v>10</v>
      </c>
      <c r="B383">
        <v>1985</v>
      </c>
      <c r="C383" s="3">
        <v>1985.0833333278999</v>
      </c>
      <c r="D383">
        <v>26.5</v>
      </c>
      <c r="E383" s="1">
        <v>31079</v>
      </c>
      <c r="F383" s="2">
        <f>STANDARDIZE(D383,H$11,I$11)</f>
        <v>-0.78240015668487162</v>
      </c>
      <c r="U383" s="1"/>
    </row>
    <row r="384" spans="1:21" x14ac:dyDescent="0.3">
      <c r="A384" t="s">
        <v>9</v>
      </c>
      <c r="B384">
        <v>1985</v>
      </c>
      <c r="C384" s="3">
        <v>1985.16666666126</v>
      </c>
      <c r="D384">
        <v>26.7</v>
      </c>
      <c r="E384" s="1">
        <v>31107</v>
      </c>
      <c r="F384" s="2">
        <f>STANDARDIZE(D384,H$12,I$12)</f>
        <v>-0.9487183482106768</v>
      </c>
      <c r="U384" s="1"/>
    </row>
    <row r="385" spans="1:21" x14ac:dyDescent="0.3">
      <c r="A385" t="s">
        <v>8</v>
      </c>
      <c r="B385">
        <v>1985</v>
      </c>
      <c r="C385" s="3">
        <v>1985.2499999946201</v>
      </c>
      <c r="D385">
        <v>27</v>
      </c>
      <c r="E385" s="1">
        <v>31138</v>
      </c>
      <c r="F385" s="2">
        <f>STANDARDIZE(D385,H$13,I$13)</f>
        <v>-1.4451141025394647</v>
      </c>
      <c r="U385" s="1"/>
    </row>
    <row r="386" spans="1:21" x14ac:dyDescent="0.3">
      <c r="A386" t="s">
        <v>7</v>
      </c>
      <c r="B386">
        <v>1985</v>
      </c>
      <c r="C386" s="3">
        <v>1985.33333332798</v>
      </c>
      <c r="D386">
        <v>28.2</v>
      </c>
      <c r="E386" s="1">
        <v>31168</v>
      </c>
      <c r="F386" s="2">
        <f>STANDARDIZE(D386,H$14,I$14)</f>
        <v>5.783022267665789E-2</v>
      </c>
      <c r="U386" s="1"/>
    </row>
    <row r="387" spans="1:21" x14ac:dyDescent="0.3">
      <c r="A387" t="s">
        <v>6</v>
      </c>
      <c r="B387">
        <v>1985</v>
      </c>
      <c r="C387" s="3">
        <v>1985.4166666613401</v>
      </c>
      <c r="D387">
        <v>28.5</v>
      </c>
      <c r="E387" s="1">
        <v>31199</v>
      </c>
      <c r="F387" s="2">
        <f>STANDARDIZE(D387,H$15,I$15)</f>
        <v>0.34587038732637038</v>
      </c>
      <c r="U387" s="1"/>
    </row>
    <row r="388" spans="1:21" x14ac:dyDescent="0.3">
      <c r="A388" t="s">
        <v>5</v>
      </c>
      <c r="B388">
        <v>1985</v>
      </c>
      <c r="C388" s="3">
        <v>1985.4999999946999</v>
      </c>
      <c r="D388">
        <v>28.3</v>
      </c>
      <c r="E388" s="1">
        <v>31229</v>
      </c>
      <c r="F388" s="2">
        <f>STANDARDIZE(D388,H$16,I$16)</f>
        <v>0.23720580375166916</v>
      </c>
      <c r="U388" s="1"/>
    </row>
    <row r="389" spans="1:21" x14ac:dyDescent="0.3">
      <c r="A389" t="s">
        <v>4</v>
      </c>
      <c r="B389">
        <v>1985</v>
      </c>
      <c r="C389" s="3">
        <v>1985.58333332806</v>
      </c>
      <c r="D389">
        <v>27.9</v>
      </c>
      <c r="E389" s="1">
        <v>31260</v>
      </c>
      <c r="F389" s="2">
        <f>STANDARDIZE(D389,H$17,I$17)</f>
        <v>-0.57463337465171993</v>
      </c>
      <c r="U389" s="1"/>
    </row>
    <row r="390" spans="1:21" x14ac:dyDescent="0.3">
      <c r="A390" t="s">
        <v>3</v>
      </c>
      <c r="B390">
        <v>1985</v>
      </c>
      <c r="C390" s="3">
        <v>1985.6666666614201</v>
      </c>
      <c r="D390">
        <v>27.8</v>
      </c>
      <c r="E390" s="1">
        <v>31291</v>
      </c>
      <c r="F390" s="2">
        <f>STANDARDIZE(D390,H$18,I$18)</f>
        <v>-0.93526881586553023</v>
      </c>
      <c r="U390" s="1"/>
    </row>
    <row r="391" spans="1:21" x14ac:dyDescent="0.3">
      <c r="A391" t="s">
        <v>2</v>
      </c>
      <c r="B391">
        <v>1985</v>
      </c>
      <c r="C391" s="3">
        <v>1985.74999999478</v>
      </c>
      <c r="D391">
        <v>28.2</v>
      </c>
      <c r="E391" s="1">
        <v>31321</v>
      </c>
      <c r="F391" s="2">
        <f>STANDARDIZE(D391,H$19,I$19)</f>
        <v>0.59942542846231428</v>
      </c>
      <c r="U391" s="1"/>
    </row>
    <row r="392" spans="1:21" x14ac:dyDescent="0.3">
      <c r="A392" t="s">
        <v>1</v>
      </c>
      <c r="B392">
        <v>1985</v>
      </c>
      <c r="C392" s="3">
        <v>1985.83333332814</v>
      </c>
      <c r="D392">
        <v>27.7</v>
      </c>
      <c r="E392" s="1">
        <v>31352</v>
      </c>
      <c r="F392" s="2">
        <f>STANDARDIZE(D392,H$20,I$20)</f>
        <v>-0.23527709747254905</v>
      </c>
      <c r="U392" s="1"/>
    </row>
    <row r="393" spans="1:21" x14ac:dyDescent="0.3">
      <c r="A393" t="s">
        <v>0</v>
      </c>
      <c r="B393">
        <v>1985</v>
      </c>
      <c r="C393" s="3">
        <v>1985.9166666614999</v>
      </c>
      <c r="D393">
        <v>26.9</v>
      </c>
      <c r="E393" s="1">
        <v>31382</v>
      </c>
      <c r="F393" s="2">
        <f>STANDARDIZE(D393,H$21,I$21)</f>
        <v>-0.83824979683475098</v>
      </c>
      <c r="U393" s="1"/>
    </row>
    <row r="394" spans="1:21" x14ac:dyDescent="0.3">
      <c r="A394" t="s">
        <v>11</v>
      </c>
      <c r="B394">
        <v>1986</v>
      </c>
      <c r="C394" s="3">
        <v>1985.99999999486</v>
      </c>
      <c r="D394">
        <v>26.5</v>
      </c>
      <c r="E394" s="1">
        <v>31413</v>
      </c>
      <c r="F394" s="2">
        <f>STANDARDIZE(D394,H$10,I$10)</f>
        <v>-0.82584707802961321</v>
      </c>
      <c r="U394" s="1"/>
    </row>
    <row r="395" spans="1:21" x14ac:dyDescent="0.3">
      <c r="A395" t="s">
        <v>10</v>
      </c>
      <c r="B395">
        <v>1986</v>
      </c>
      <c r="C395" s="3">
        <v>1986.0833333282201</v>
      </c>
      <c r="D395">
        <v>26.6</v>
      </c>
      <c r="E395" s="1">
        <v>31444</v>
      </c>
      <c r="F395" s="2">
        <f>STANDARDIZE(D395,H$11,I$11)</f>
        <v>-0.58761173593345406</v>
      </c>
      <c r="U395" s="1"/>
    </row>
    <row r="396" spans="1:21" x14ac:dyDescent="0.3">
      <c r="A396" t="s">
        <v>9</v>
      </c>
      <c r="B396">
        <v>1986</v>
      </c>
      <c r="C396" s="3">
        <v>1986.1666666615799</v>
      </c>
      <c r="D396">
        <v>27</v>
      </c>
      <c r="E396" s="1">
        <v>31472</v>
      </c>
      <c r="F396" s="2">
        <f>STANDARDIZE(D396,H$12,I$12)</f>
        <v>-0.418378898900372</v>
      </c>
      <c r="U396" s="1"/>
    </row>
    <row r="397" spans="1:21" x14ac:dyDescent="0.3">
      <c r="A397" t="s">
        <v>8</v>
      </c>
      <c r="B397">
        <v>1986</v>
      </c>
      <c r="C397" s="3">
        <v>1986.24999999494</v>
      </c>
      <c r="D397">
        <v>27.6</v>
      </c>
      <c r="E397" s="1">
        <v>31503</v>
      </c>
      <c r="F397" s="2">
        <f>STANDARDIZE(D397,H$13,I$13)</f>
        <v>-0.17932072805234356</v>
      </c>
      <c r="U397" s="1"/>
    </row>
    <row r="398" spans="1:21" x14ac:dyDescent="0.3">
      <c r="A398" t="s">
        <v>7</v>
      </c>
      <c r="B398">
        <v>1986</v>
      </c>
      <c r="C398" s="3">
        <v>1986.3333333282999</v>
      </c>
      <c r="D398">
        <v>28.3</v>
      </c>
      <c r="E398" s="1">
        <v>31533</v>
      </c>
      <c r="F398" s="2">
        <f>STANDARDIZE(D398,H$14,I$14)</f>
        <v>0.32473894272284271</v>
      </c>
      <c r="U398" s="1"/>
    </row>
    <row r="399" spans="1:21" x14ac:dyDescent="0.3">
      <c r="A399" t="s">
        <v>6</v>
      </c>
      <c r="B399">
        <v>1986</v>
      </c>
      <c r="C399" s="3">
        <v>1986.41666666166</v>
      </c>
      <c r="D399">
        <v>28.4</v>
      </c>
      <c r="E399" s="1">
        <v>31564</v>
      </c>
      <c r="F399" s="2">
        <f>STANDARDIZE(D399,H$15,I$15)</f>
        <v>0.11004966869475344</v>
      </c>
      <c r="U399" s="1"/>
    </row>
    <row r="400" spans="1:21" x14ac:dyDescent="0.3">
      <c r="A400" t="s">
        <v>5</v>
      </c>
      <c r="B400">
        <v>1986</v>
      </c>
      <c r="C400" s="3">
        <v>1986.4999999950201</v>
      </c>
      <c r="D400">
        <v>28.3</v>
      </c>
      <c r="E400" s="1">
        <v>31594</v>
      </c>
      <c r="F400" s="2">
        <f>STANDARDIZE(D400,H$16,I$16)</f>
        <v>0.23720580375166916</v>
      </c>
      <c r="U400" s="1"/>
    </row>
    <row r="401" spans="1:21" x14ac:dyDescent="0.3">
      <c r="A401" t="s">
        <v>4</v>
      </c>
      <c r="B401">
        <v>1986</v>
      </c>
      <c r="C401" s="3">
        <v>1986.5833333283799</v>
      </c>
      <c r="D401">
        <v>28.4</v>
      </c>
      <c r="E401" s="1">
        <v>31625</v>
      </c>
      <c r="F401" s="2">
        <f>STANDARDIZE(D401,H$17,I$17)</f>
        <v>0.4701545792605305</v>
      </c>
      <c r="U401" s="1"/>
    </row>
    <row r="402" spans="1:21" x14ac:dyDescent="0.3">
      <c r="A402" t="s">
        <v>3</v>
      </c>
      <c r="B402">
        <v>1986</v>
      </c>
      <c r="C402" s="3">
        <v>1986.66666666174</v>
      </c>
      <c r="D402">
        <v>28.3</v>
      </c>
      <c r="E402" s="1">
        <v>31656</v>
      </c>
      <c r="F402" s="2">
        <f>STANDARDIZE(D402,H$18,I$18)</f>
        <v>0.19156108276765069</v>
      </c>
      <c r="U402" s="1"/>
    </row>
    <row r="403" spans="1:21" x14ac:dyDescent="0.3">
      <c r="A403" t="s">
        <v>2</v>
      </c>
      <c r="B403">
        <v>1986</v>
      </c>
      <c r="C403" s="3">
        <v>1986.7499999951001</v>
      </c>
      <c r="D403">
        <v>27.6</v>
      </c>
      <c r="E403" s="1">
        <v>31686</v>
      </c>
      <c r="F403" s="2">
        <f>STANDARDIZE(D403,H$19,I$19)</f>
        <v>-0.64878987551216238</v>
      </c>
      <c r="U403" s="1"/>
    </row>
    <row r="404" spans="1:21" x14ac:dyDescent="0.3">
      <c r="A404" t="s">
        <v>1</v>
      </c>
      <c r="B404">
        <v>1986</v>
      </c>
      <c r="C404" s="3">
        <v>1986.83333332846</v>
      </c>
      <c r="D404">
        <v>27.9</v>
      </c>
      <c r="E404" s="1">
        <v>31717</v>
      </c>
      <c r="F404" s="2">
        <f>STANDARDIZE(D404,H$20,I$20)</f>
        <v>0.12065492178079455</v>
      </c>
      <c r="U404" s="1"/>
    </row>
    <row r="405" spans="1:21" x14ac:dyDescent="0.3">
      <c r="A405" t="s">
        <v>0</v>
      </c>
      <c r="B405">
        <v>1986</v>
      </c>
      <c r="C405" s="3">
        <v>1986.91666666182</v>
      </c>
      <c r="D405">
        <v>27.1</v>
      </c>
      <c r="E405" s="1">
        <v>31747</v>
      </c>
      <c r="F405" s="2">
        <f>STANDARDIZE(D405,H$21,I$21)</f>
        <v>-0.50294987810084812</v>
      </c>
      <c r="U405" s="1"/>
    </row>
    <row r="406" spans="1:21" x14ac:dyDescent="0.3">
      <c r="A406" t="s">
        <v>11</v>
      </c>
      <c r="B406">
        <v>1987</v>
      </c>
      <c r="C406" s="3">
        <v>1986.9999999951799</v>
      </c>
      <c r="D406">
        <v>27.1</v>
      </c>
      <c r="E406" s="1">
        <v>31778</v>
      </c>
      <c r="F406" s="2">
        <f>STANDARDIZE(D406,H$10,I$10)</f>
        <v>0.22200190269612233</v>
      </c>
      <c r="U406" s="1"/>
    </row>
    <row r="407" spans="1:21" x14ac:dyDescent="0.3">
      <c r="A407" t="s">
        <v>10</v>
      </c>
      <c r="B407">
        <v>1987</v>
      </c>
      <c r="C407" s="3">
        <v>1987.08333332854</v>
      </c>
      <c r="D407">
        <v>27.4</v>
      </c>
      <c r="E407" s="1">
        <v>31809</v>
      </c>
      <c r="F407" s="2">
        <f>STANDARDIZE(D407,H$11,I$11)</f>
        <v>0.97069563007785931</v>
      </c>
      <c r="U407" s="1"/>
    </row>
    <row r="408" spans="1:21" x14ac:dyDescent="0.3">
      <c r="A408" t="s">
        <v>9</v>
      </c>
      <c r="B408">
        <v>1987</v>
      </c>
      <c r="C408" s="3">
        <v>1987.1666666619001</v>
      </c>
      <c r="D408">
        <v>27.6</v>
      </c>
      <c r="E408" s="1">
        <v>31837</v>
      </c>
      <c r="F408" s="2">
        <f>STANDARDIZE(D408,H$12,I$12)</f>
        <v>0.64229999972023755</v>
      </c>
      <c r="U408" s="1"/>
    </row>
    <row r="409" spans="1:21" x14ac:dyDescent="0.3">
      <c r="A409" t="s">
        <v>8</v>
      </c>
      <c r="B409">
        <v>1987</v>
      </c>
      <c r="C409" s="3">
        <v>1987.2499999952599</v>
      </c>
      <c r="D409">
        <v>28.1</v>
      </c>
      <c r="E409" s="1">
        <v>31868</v>
      </c>
      <c r="F409" s="2">
        <f>STANDARDIZE(D409,H$13,I$13)</f>
        <v>0.87550708402025501</v>
      </c>
      <c r="U409" s="1"/>
    </row>
    <row r="410" spans="1:21" x14ac:dyDescent="0.3">
      <c r="A410" t="s">
        <v>7</v>
      </c>
      <c r="B410">
        <v>1987</v>
      </c>
      <c r="C410" s="3">
        <v>1987.33333332862</v>
      </c>
      <c r="D410">
        <v>28.1</v>
      </c>
      <c r="E410" s="1">
        <v>31898</v>
      </c>
      <c r="F410" s="2">
        <f>STANDARDIZE(D410,H$14,I$14)</f>
        <v>-0.20907849736951745</v>
      </c>
      <c r="U410" s="1"/>
    </row>
    <row r="411" spans="1:21" x14ac:dyDescent="0.3">
      <c r="A411" t="s">
        <v>6</v>
      </c>
      <c r="B411">
        <v>1987</v>
      </c>
      <c r="C411" s="3">
        <v>1987.4166666619799</v>
      </c>
      <c r="D411">
        <v>29.3</v>
      </c>
      <c r="E411" s="1">
        <v>31929</v>
      </c>
      <c r="F411" s="2">
        <f>STANDARDIZE(D411,H$15,I$15)</f>
        <v>2.2324361363792806</v>
      </c>
      <c r="U411" s="1"/>
    </row>
    <row r="412" spans="1:21" x14ac:dyDescent="0.3">
      <c r="A412" t="s">
        <v>5</v>
      </c>
      <c r="B412">
        <v>1987</v>
      </c>
      <c r="C412" s="3">
        <v>1987.49999999534</v>
      </c>
      <c r="D412">
        <v>28.7</v>
      </c>
      <c r="E412" s="1">
        <v>31959</v>
      </c>
      <c r="F412" s="2">
        <f>STANDARDIZE(D412,H$16,I$16)</f>
        <v>1.3113452924384092</v>
      </c>
      <c r="U412" s="1"/>
    </row>
    <row r="413" spans="1:21" x14ac:dyDescent="0.3">
      <c r="A413" t="s">
        <v>4</v>
      </c>
      <c r="B413">
        <v>1987</v>
      </c>
      <c r="C413" s="3">
        <v>1987.5833333287001</v>
      </c>
      <c r="D413">
        <v>28.7</v>
      </c>
      <c r="E413" s="1">
        <v>31990</v>
      </c>
      <c r="F413" s="2">
        <f>STANDARDIZE(D413,H$17,I$17)</f>
        <v>1.0970273516078821</v>
      </c>
      <c r="U413" s="1"/>
    </row>
    <row r="414" spans="1:21" x14ac:dyDescent="0.3">
      <c r="A414" t="s">
        <v>3</v>
      </c>
      <c r="B414">
        <v>1987</v>
      </c>
      <c r="C414" s="3">
        <v>1987.6666666620599</v>
      </c>
      <c r="D414">
        <v>28</v>
      </c>
      <c r="E414" s="1">
        <v>32021</v>
      </c>
      <c r="F414" s="2">
        <f>STANDARDIZE(D414,H$18,I$18)</f>
        <v>-0.48453685641225946</v>
      </c>
      <c r="U414" s="1"/>
    </row>
    <row r="415" spans="1:21" x14ac:dyDescent="0.3">
      <c r="A415" t="s">
        <v>2</v>
      </c>
      <c r="B415">
        <v>1987</v>
      </c>
      <c r="C415" s="3">
        <v>1987.74999999543</v>
      </c>
      <c r="D415">
        <v>27.7</v>
      </c>
      <c r="E415" s="1">
        <v>32051</v>
      </c>
      <c r="F415" s="2">
        <f>STANDARDIZE(D415,H$19,I$19)</f>
        <v>-0.44075399151641997</v>
      </c>
      <c r="U415" s="1"/>
    </row>
    <row r="416" spans="1:21" x14ac:dyDescent="0.3">
      <c r="A416" t="s">
        <v>1</v>
      </c>
      <c r="B416">
        <v>1987</v>
      </c>
      <c r="C416" s="3">
        <v>1987.8333333287901</v>
      </c>
      <c r="D416">
        <v>27.8</v>
      </c>
      <c r="E416" s="1">
        <v>32082</v>
      </c>
      <c r="F416" s="2">
        <f>STANDARDIZE(D416,H$20,I$20)</f>
        <v>-5.731108784587409E-2</v>
      </c>
      <c r="U416" s="1"/>
    </row>
    <row r="417" spans="1:21" x14ac:dyDescent="0.3">
      <c r="A417" t="s">
        <v>0</v>
      </c>
      <c r="B417">
        <v>1987</v>
      </c>
      <c r="C417" s="3">
        <v>1987.9166666621497</v>
      </c>
      <c r="D417">
        <v>27.1</v>
      </c>
      <c r="E417" s="1">
        <v>32112</v>
      </c>
      <c r="F417" s="2">
        <f>STANDARDIZE(D417,H$21,I$21)</f>
        <v>-0.50294987810084812</v>
      </c>
      <c r="U417" s="1"/>
    </row>
    <row r="418" spans="1:21" x14ac:dyDescent="0.3">
      <c r="A418" t="s">
        <v>11</v>
      </c>
      <c r="B418">
        <v>1988</v>
      </c>
      <c r="C418" s="3">
        <v>1987.9999999955098</v>
      </c>
      <c r="D418">
        <v>26.7</v>
      </c>
      <c r="E418" s="1">
        <v>32143</v>
      </c>
      <c r="F418" s="2">
        <f>STANDARDIZE(D418,H$10,I$10)</f>
        <v>-0.4765640844543701</v>
      </c>
      <c r="U418" s="1"/>
    </row>
    <row r="419" spans="1:21" x14ac:dyDescent="0.3">
      <c r="A419" t="s">
        <v>10</v>
      </c>
      <c r="B419">
        <v>1988</v>
      </c>
      <c r="C419" s="3">
        <v>1988.0833333288699</v>
      </c>
      <c r="D419">
        <v>26.7</v>
      </c>
      <c r="E419" s="1">
        <v>32174</v>
      </c>
      <c r="F419" s="2">
        <f>STANDARDIZE(D419,H$11,I$11)</f>
        <v>-0.39282331518204333</v>
      </c>
      <c r="U419" s="1"/>
    </row>
    <row r="420" spans="1:21" x14ac:dyDescent="0.3">
      <c r="A420" t="s">
        <v>9</v>
      </c>
      <c r="B420">
        <v>1988</v>
      </c>
      <c r="C420" s="3">
        <v>1988.1666666622298</v>
      </c>
      <c r="D420">
        <v>27</v>
      </c>
      <c r="E420" s="1">
        <v>32203</v>
      </c>
      <c r="F420" s="2">
        <f>STANDARDIZE(D420,H$12,I$12)</f>
        <v>-0.418378898900372</v>
      </c>
      <c r="U420" s="1"/>
    </row>
    <row r="421" spans="1:21" x14ac:dyDescent="0.3">
      <c r="A421" t="s">
        <v>8</v>
      </c>
      <c r="B421">
        <v>1988</v>
      </c>
      <c r="C421" s="3">
        <v>1988.2499999955899</v>
      </c>
      <c r="D421">
        <v>27.3</v>
      </c>
      <c r="E421" s="1">
        <v>32234</v>
      </c>
      <c r="F421" s="2">
        <f>STANDARDIZE(D421,H$13,I$13)</f>
        <v>-0.81221741529590419</v>
      </c>
      <c r="U421" s="1"/>
    </row>
    <row r="422" spans="1:21" x14ac:dyDescent="0.3">
      <c r="A422" t="s">
        <v>7</v>
      </c>
      <c r="B422">
        <v>1988</v>
      </c>
      <c r="C422" s="3">
        <v>1988.3333333289497</v>
      </c>
      <c r="D422">
        <v>28</v>
      </c>
      <c r="E422" s="1">
        <v>32264</v>
      </c>
      <c r="F422" s="2">
        <f>STANDARDIZE(D422,H$14,I$14)</f>
        <v>-0.47598721741570227</v>
      </c>
      <c r="U422" s="1"/>
    </row>
    <row r="423" spans="1:21" x14ac:dyDescent="0.3">
      <c r="A423" t="s">
        <v>6</v>
      </c>
      <c r="B423">
        <v>1988</v>
      </c>
      <c r="C423" s="3">
        <v>1988.4166666623098</v>
      </c>
      <c r="D423">
        <v>28.2</v>
      </c>
      <c r="E423" s="1">
        <v>32295</v>
      </c>
      <c r="F423" s="2">
        <f>STANDARDIZE(D423,H$15,I$15)</f>
        <v>-0.36159176856847203</v>
      </c>
      <c r="U423" s="1"/>
    </row>
    <row r="424" spans="1:21" x14ac:dyDescent="0.3">
      <c r="A424" t="s">
        <v>5</v>
      </c>
      <c r="B424">
        <v>1988</v>
      </c>
      <c r="C424" s="3">
        <v>1988.4999999956699</v>
      </c>
      <c r="D424">
        <v>28</v>
      </c>
      <c r="E424" s="1">
        <v>32325</v>
      </c>
      <c r="F424" s="2">
        <f>STANDARDIZE(D424,H$16,I$16)</f>
        <v>-0.56839881276339066</v>
      </c>
      <c r="U424" s="1"/>
    </row>
    <row r="425" spans="1:21" x14ac:dyDescent="0.3">
      <c r="A425" t="s">
        <v>4</v>
      </c>
      <c r="B425">
        <v>1988</v>
      </c>
      <c r="C425" s="3">
        <v>1988.5833333290298</v>
      </c>
      <c r="D425">
        <v>27.9</v>
      </c>
      <c r="E425" s="1">
        <v>32356</v>
      </c>
      <c r="F425" s="2">
        <f>STANDARDIZE(D425,H$17,I$17)</f>
        <v>-0.57463337465171993</v>
      </c>
      <c r="U425" s="1"/>
    </row>
    <row r="426" spans="1:21" x14ac:dyDescent="0.3">
      <c r="A426" t="s">
        <v>3</v>
      </c>
      <c r="B426">
        <v>1988</v>
      </c>
      <c r="C426" s="3">
        <v>1988.6666666623898</v>
      </c>
      <c r="D426">
        <v>27.9</v>
      </c>
      <c r="E426" s="1">
        <v>32387</v>
      </c>
      <c r="F426" s="2">
        <f>STANDARDIZE(D426,H$18,I$18)</f>
        <v>-0.70990283613889893</v>
      </c>
      <c r="U426" s="1"/>
    </row>
    <row r="427" spans="1:21" x14ac:dyDescent="0.3">
      <c r="A427" t="s">
        <v>2</v>
      </c>
      <c r="B427">
        <v>1988</v>
      </c>
      <c r="C427" s="3">
        <v>1988.7499999957499</v>
      </c>
      <c r="D427">
        <v>27.7</v>
      </c>
      <c r="E427" s="1">
        <v>32417</v>
      </c>
      <c r="F427" s="2">
        <f>STANDARDIZE(D427,H$19,I$19)</f>
        <v>-0.44075399151641997</v>
      </c>
      <c r="U427" s="1"/>
    </row>
    <row r="428" spans="1:21" x14ac:dyDescent="0.3">
      <c r="A428" t="s">
        <v>1</v>
      </c>
      <c r="B428">
        <v>1988</v>
      </c>
      <c r="C428" s="3">
        <v>1988.8333333291098</v>
      </c>
      <c r="D428">
        <v>27.7</v>
      </c>
      <c r="E428" s="1">
        <v>32448</v>
      </c>
      <c r="F428" s="2">
        <f>STANDARDIZE(D428,H$20,I$20)</f>
        <v>-0.23527709747254905</v>
      </c>
      <c r="U428" s="1"/>
    </row>
    <row r="429" spans="1:21" x14ac:dyDescent="0.3">
      <c r="A429" t="s">
        <v>0</v>
      </c>
      <c r="B429">
        <v>1988</v>
      </c>
      <c r="C429" s="3">
        <v>1988.9166666624699</v>
      </c>
      <c r="D429">
        <v>27</v>
      </c>
      <c r="E429" s="1">
        <v>32478</v>
      </c>
      <c r="F429" s="2">
        <f>STANDARDIZE(D429,H$21,I$21)</f>
        <v>-0.67059983746779961</v>
      </c>
      <c r="U429" s="1"/>
    </row>
    <row r="430" spans="1:21" x14ac:dyDescent="0.3">
      <c r="A430" t="s">
        <v>11</v>
      </c>
      <c r="B430">
        <v>1989</v>
      </c>
      <c r="C430" s="3">
        <v>1988.9999999958297</v>
      </c>
      <c r="D430">
        <v>26.7</v>
      </c>
      <c r="E430" s="1">
        <v>32509</v>
      </c>
      <c r="F430" s="2">
        <f>STANDARDIZE(D430,H$10,I$10)</f>
        <v>-0.4765640844543701</v>
      </c>
      <c r="U430" s="1"/>
    </row>
    <row r="431" spans="1:21" x14ac:dyDescent="0.3">
      <c r="A431" t="s">
        <v>10</v>
      </c>
      <c r="B431">
        <v>1989</v>
      </c>
      <c r="C431" s="3">
        <v>1989.0833333291898</v>
      </c>
      <c r="D431">
        <v>26.7</v>
      </c>
      <c r="E431" s="1">
        <v>32540</v>
      </c>
      <c r="F431" s="2">
        <f>STANDARDIZE(D431,H$11,I$11)</f>
        <v>-0.39282331518204333</v>
      </c>
      <c r="U431" s="1"/>
    </row>
    <row r="432" spans="1:21" x14ac:dyDescent="0.3">
      <c r="A432" t="s">
        <v>9</v>
      </c>
      <c r="B432">
        <v>1989</v>
      </c>
      <c r="C432" s="3">
        <v>1989.1666666625499</v>
      </c>
      <c r="D432">
        <v>27</v>
      </c>
      <c r="E432" s="1">
        <v>32568</v>
      </c>
      <c r="F432" s="2">
        <f>STANDARDIZE(D432,H$12,I$12)</f>
        <v>-0.418378898900372</v>
      </c>
      <c r="U432" s="1"/>
    </row>
    <row r="433" spans="1:21" x14ac:dyDescent="0.3">
      <c r="A433" t="s">
        <v>8</v>
      </c>
      <c r="B433">
        <v>1989</v>
      </c>
      <c r="C433" s="3">
        <v>1989.2499999959098</v>
      </c>
      <c r="D433">
        <v>27.4</v>
      </c>
      <c r="E433" s="1">
        <v>32599</v>
      </c>
      <c r="F433" s="2">
        <f>STANDARDIZE(D433,H$13,I$13)</f>
        <v>-0.60125185288138894</v>
      </c>
      <c r="U433" s="1"/>
    </row>
    <row r="434" spans="1:21" x14ac:dyDescent="0.3">
      <c r="A434" t="s">
        <v>7</v>
      </c>
      <c r="B434">
        <v>1989</v>
      </c>
      <c r="C434" s="3">
        <v>1989.3333333292699</v>
      </c>
      <c r="D434">
        <v>28</v>
      </c>
      <c r="E434" s="1">
        <v>32629</v>
      </c>
      <c r="F434" s="2">
        <f>STANDARDIZE(D434,H$14,I$14)</f>
        <v>-0.47598721741570227</v>
      </c>
      <c r="U434" s="1"/>
    </row>
    <row r="435" spans="1:21" x14ac:dyDescent="0.3">
      <c r="A435" t="s">
        <v>6</v>
      </c>
      <c r="B435">
        <v>1989</v>
      </c>
      <c r="C435" s="3">
        <v>1989.41666666263</v>
      </c>
      <c r="D435">
        <v>28.3</v>
      </c>
      <c r="E435" s="1">
        <v>32660</v>
      </c>
      <c r="F435" s="2">
        <f>STANDARDIZE(D435,H$15,I$15)</f>
        <v>-0.12577104993685509</v>
      </c>
      <c r="U435" s="1"/>
    </row>
    <row r="436" spans="1:21" x14ac:dyDescent="0.3">
      <c r="A436" t="s">
        <v>5</v>
      </c>
      <c r="B436">
        <v>1989</v>
      </c>
      <c r="C436" s="3">
        <v>1989.4999999959898</v>
      </c>
      <c r="D436">
        <v>28</v>
      </c>
      <c r="E436" s="1">
        <v>32690</v>
      </c>
      <c r="F436" s="2">
        <f>STANDARDIZE(D436,H$16,I$16)</f>
        <v>-0.56839881276339066</v>
      </c>
      <c r="U436" s="1"/>
    </row>
    <row r="437" spans="1:21" x14ac:dyDescent="0.3">
      <c r="A437" t="s">
        <v>4</v>
      </c>
      <c r="B437">
        <v>1989</v>
      </c>
      <c r="C437" s="3">
        <v>1989.5833333293499</v>
      </c>
      <c r="D437">
        <v>27.9</v>
      </c>
      <c r="E437" s="1">
        <v>32721</v>
      </c>
      <c r="F437" s="2">
        <f>STANDARDIZE(D437,H$17,I$17)</f>
        <v>-0.57463337465171993</v>
      </c>
      <c r="U437" s="1"/>
    </row>
    <row r="438" spans="1:21" x14ac:dyDescent="0.3">
      <c r="A438" t="s">
        <v>3</v>
      </c>
      <c r="B438">
        <v>1989</v>
      </c>
      <c r="C438" s="3">
        <v>1989.6666666627098</v>
      </c>
      <c r="D438">
        <v>27.9</v>
      </c>
      <c r="E438" s="1">
        <v>32752</v>
      </c>
      <c r="F438" s="2">
        <f>STANDARDIZE(D438,H$18,I$18)</f>
        <v>-0.70990283613889893</v>
      </c>
      <c r="U438" s="1"/>
    </row>
    <row r="439" spans="1:21" x14ac:dyDescent="0.3">
      <c r="A439" t="s">
        <v>2</v>
      </c>
      <c r="B439">
        <v>1989</v>
      </c>
      <c r="C439" s="3">
        <v>1989.7499999960698</v>
      </c>
      <c r="D439">
        <v>27.6</v>
      </c>
      <c r="E439" s="1">
        <v>32782</v>
      </c>
      <c r="F439" s="2">
        <f>STANDARDIZE(D439,H$19,I$19)</f>
        <v>-0.64878987551216238</v>
      </c>
      <c r="U439" s="1"/>
    </row>
    <row r="440" spans="1:21" x14ac:dyDescent="0.3">
      <c r="A440" t="s">
        <v>1</v>
      </c>
      <c r="B440">
        <v>1989</v>
      </c>
      <c r="C440" s="3">
        <v>1989.8333333294299</v>
      </c>
      <c r="D440">
        <v>27.7</v>
      </c>
      <c r="E440" s="1">
        <v>32813</v>
      </c>
      <c r="F440" s="2">
        <f>STANDARDIZE(D440,H$20,I$20)</f>
        <v>-0.23527709747254905</v>
      </c>
      <c r="U440" s="1"/>
    </row>
    <row r="441" spans="1:21" x14ac:dyDescent="0.3">
      <c r="A441" t="s">
        <v>0</v>
      </c>
      <c r="B441">
        <v>1989</v>
      </c>
      <c r="C441" s="3">
        <v>1989.9166666627898</v>
      </c>
      <c r="D441">
        <v>27.7</v>
      </c>
      <c r="E441" s="1">
        <v>32843</v>
      </c>
      <c r="F441" s="2">
        <f>STANDARDIZE(D441,H$21,I$21)</f>
        <v>0.50294987810084224</v>
      </c>
      <c r="U441" s="1"/>
    </row>
    <row r="442" spans="1:21" x14ac:dyDescent="0.3">
      <c r="A442" t="s">
        <v>11</v>
      </c>
      <c r="B442">
        <v>1990</v>
      </c>
      <c r="C442" s="3">
        <v>1989.9999999961499</v>
      </c>
      <c r="D442">
        <v>26.6</v>
      </c>
      <c r="E442" s="1">
        <v>32874</v>
      </c>
      <c r="F442" s="2">
        <f>STANDARDIZE(D442,H$10,I$10)</f>
        <v>-0.65120558124198857</v>
      </c>
      <c r="U442" s="1"/>
    </row>
    <row r="443" spans="1:21" x14ac:dyDescent="0.3">
      <c r="A443" t="s">
        <v>10</v>
      </c>
      <c r="B443">
        <v>1990</v>
      </c>
      <c r="C443" s="3">
        <v>1990.08333332951</v>
      </c>
      <c r="D443">
        <v>26.7</v>
      </c>
      <c r="E443" s="1">
        <v>32905</v>
      </c>
      <c r="F443" s="2">
        <f>STANDARDIZE(D443,H$11,I$11)</f>
        <v>-0.39282331518204333</v>
      </c>
      <c r="U443" s="1"/>
    </row>
    <row r="444" spans="1:21" x14ac:dyDescent="0.3">
      <c r="A444" t="s">
        <v>9</v>
      </c>
      <c r="B444">
        <v>1990</v>
      </c>
      <c r="C444" s="3">
        <v>1990.1666666628698</v>
      </c>
      <c r="D444">
        <v>27</v>
      </c>
      <c r="E444" s="1">
        <v>32933</v>
      </c>
      <c r="F444" s="2">
        <f>STANDARDIZE(D444,H$12,I$12)</f>
        <v>-0.418378898900372</v>
      </c>
      <c r="U444" s="1"/>
    </row>
    <row r="445" spans="1:21" x14ac:dyDescent="0.3">
      <c r="A445" t="s">
        <v>8</v>
      </c>
      <c r="B445">
        <v>1990</v>
      </c>
      <c r="C445" s="3">
        <v>1990.2499999962299</v>
      </c>
      <c r="D445">
        <v>27.3</v>
      </c>
      <c r="E445" s="1">
        <v>32964</v>
      </c>
      <c r="F445" s="2">
        <f>STANDARDIZE(D445,H$13,I$13)</f>
        <v>-0.81221741529590419</v>
      </c>
      <c r="U445" s="1"/>
    </row>
    <row r="446" spans="1:21" x14ac:dyDescent="0.3">
      <c r="A446" t="s">
        <v>7</v>
      </c>
      <c r="B446">
        <v>1990</v>
      </c>
      <c r="C446" s="3">
        <v>1990.3333333295898</v>
      </c>
      <c r="D446">
        <v>27.9</v>
      </c>
      <c r="E446" s="1">
        <v>32994</v>
      </c>
      <c r="F446" s="2">
        <f>STANDARDIZE(D446,H$14,I$14)</f>
        <v>-0.74289593746188709</v>
      </c>
      <c r="U446" s="1"/>
    </row>
    <row r="447" spans="1:21" x14ac:dyDescent="0.3">
      <c r="A447" t="s">
        <v>6</v>
      </c>
      <c r="B447">
        <v>1990</v>
      </c>
      <c r="C447" s="3">
        <v>1990.4166666629499</v>
      </c>
      <c r="D447">
        <v>28.2</v>
      </c>
      <c r="E447" s="1">
        <v>33025</v>
      </c>
      <c r="F447" s="2">
        <f>STANDARDIZE(D447,H$15,I$15)</f>
        <v>-0.36159176856847203</v>
      </c>
      <c r="U447" s="1"/>
    </row>
    <row r="448" spans="1:21" x14ac:dyDescent="0.3">
      <c r="A448" t="s">
        <v>5</v>
      </c>
      <c r="B448">
        <v>1990</v>
      </c>
      <c r="C448" s="3">
        <v>1990.49999999631</v>
      </c>
      <c r="D448">
        <v>28</v>
      </c>
      <c r="E448" s="1">
        <v>33055</v>
      </c>
      <c r="F448" s="2">
        <f>STANDARDIZE(D448,H$16,I$16)</f>
        <v>-0.56839881276339066</v>
      </c>
      <c r="U448" s="1"/>
    </row>
    <row r="449" spans="1:21" x14ac:dyDescent="0.3">
      <c r="A449" t="s">
        <v>4</v>
      </c>
      <c r="B449">
        <v>1990</v>
      </c>
      <c r="C449" s="3">
        <v>1990.5833333296698</v>
      </c>
      <c r="D449">
        <v>27.9</v>
      </c>
      <c r="E449" s="1">
        <v>33086</v>
      </c>
      <c r="F449" s="2">
        <f>STANDARDIZE(D449,H$17,I$17)</f>
        <v>-0.57463337465171993</v>
      </c>
      <c r="U449" s="1"/>
    </row>
    <row r="450" spans="1:21" x14ac:dyDescent="0.3">
      <c r="A450" t="s">
        <v>3</v>
      </c>
      <c r="B450">
        <v>1990</v>
      </c>
      <c r="C450" s="3">
        <v>1990.6666666630299</v>
      </c>
      <c r="D450">
        <v>27.9</v>
      </c>
      <c r="E450" s="1">
        <v>33117</v>
      </c>
      <c r="F450" s="2">
        <f>STANDARDIZE(D450,H$18,I$18)</f>
        <v>-0.70990283613889893</v>
      </c>
      <c r="U450" s="1"/>
    </row>
    <row r="451" spans="1:21" x14ac:dyDescent="0.3">
      <c r="A451" t="s">
        <v>2</v>
      </c>
      <c r="B451">
        <v>1990</v>
      </c>
      <c r="C451" s="3">
        <v>1990.74999999639</v>
      </c>
      <c r="D451">
        <v>27.6</v>
      </c>
      <c r="E451" s="1">
        <v>33147</v>
      </c>
      <c r="F451" s="2">
        <f>STANDARDIZE(D451,H$19,I$19)</f>
        <v>-0.64878987551216238</v>
      </c>
      <c r="U451" s="1"/>
    </row>
    <row r="452" spans="1:21" x14ac:dyDescent="0.3">
      <c r="A452" t="s">
        <v>1</v>
      </c>
      <c r="B452">
        <v>1990</v>
      </c>
      <c r="C452" s="3">
        <v>1990.8333333297498</v>
      </c>
      <c r="D452">
        <v>27.7</v>
      </c>
      <c r="E452" s="1">
        <v>33178</v>
      </c>
      <c r="F452" s="2">
        <f>STANDARDIZE(D452,H$20,I$20)</f>
        <v>-0.23527709747254905</v>
      </c>
      <c r="U452" s="1"/>
    </row>
    <row r="453" spans="1:21" x14ac:dyDescent="0.3">
      <c r="A453" t="s">
        <v>0</v>
      </c>
      <c r="B453">
        <v>1990</v>
      </c>
      <c r="C453" s="3">
        <v>1990.9166666631099</v>
      </c>
      <c r="D453">
        <v>26.9</v>
      </c>
      <c r="E453" s="1">
        <v>33208</v>
      </c>
      <c r="F453" s="2">
        <f>STANDARDIZE(D453,H$21,I$21)</f>
        <v>-0.83824979683475098</v>
      </c>
      <c r="U453" s="1"/>
    </row>
    <row r="454" spans="1:21" x14ac:dyDescent="0.3">
      <c r="A454" t="s">
        <v>11</v>
      </c>
      <c r="B454">
        <v>1991</v>
      </c>
      <c r="C454" s="3">
        <v>1990.9999999964698</v>
      </c>
      <c r="D454">
        <v>26.7</v>
      </c>
      <c r="E454" s="1">
        <v>33239</v>
      </c>
      <c r="F454" s="2">
        <f>STANDARDIZE(D454,H$10,I$10)</f>
        <v>-0.4765640844543701</v>
      </c>
      <c r="U454" s="1"/>
    </row>
    <row r="455" spans="1:21" x14ac:dyDescent="0.3">
      <c r="A455" t="s">
        <v>10</v>
      </c>
      <c r="B455">
        <v>1991</v>
      </c>
      <c r="C455" s="3">
        <v>1991.0833333298301</v>
      </c>
      <c r="D455">
        <v>26.7</v>
      </c>
      <c r="E455" s="1">
        <v>33270</v>
      </c>
      <c r="F455" s="2">
        <f>STANDARDIZE(D455,H$11,I$11)</f>
        <v>-0.39282331518204333</v>
      </c>
      <c r="U455" s="1"/>
    </row>
    <row r="456" spans="1:21" x14ac:dyDescent="0.3">
      <c r="A456" t="s">
        <v>9</v>
      </c>
      <c r="B456">
        <v>1991</v>
      </c>
      <c r="C456" s="3">
        <v>1991.16666666319</v>
      </c>
      <c r="D456">
        <v>27</v>
      </c>
      <c r="E456" s="1">
        <v>33298</v>
      </c>
      <c r="F456" s="2">
        <f>STANDARDIZE(D456,H$12,I$12)</f>
        <v>-0.418378898900372</v>
      </c>
      <c r="U456" s="1"/>
    </row>
    <row r="457" spans="1:21" x14ac:dyDescent="0.3">
      <c r="A457" t="s">
        <v>8</v>
      </c>
      <c r="B457">
        <v>1991</v>
      </c>
      <c r="C457" s="3">
        <v>1991.2499999965501</v>
      </c>
      <c r="D457">
        <v>27.6</v>
      </c>
      <c r="E457" s="1">
        <v>33329</v>
      </c>
      <c r="F457" s="2">
        <f>STANDARDIZE(D457,H$13,I$13)</f>
        <v>-0.17932072805234356</v>
      </c>
      <c r="U457" s="1"/>
    </row>
    <row r="458" spans="1:21" x14ac:dyDescent="0.3">
      <c r="A458" t="s">
        <v>7</v>
      </c>
      <c r="B458">
        <v>1991</v>
      </c>
      <c r="C458" s="3">
        <v>1991.3333333299099</v>
      </c>
      <c r="D458">
        <v>28.1</v>
      </c>
      <c r="E458" s="1">
        <v>33359</v>
      </c>
      <c r="F458" s="2">
        <f>STANDARDIZE(D458,H$14,I$14)</f>
        <v>-0.20907849736951745</v>
      </c>
      <c r="U458" s="1"/>
    </row>
    <row r="459" spans="1:21" x14ac:dyDescent="0.3">
      <c r="A459" t="s">
        <v>6</v>
      </c>
      <c r="B459">
        <v>1991</v>
      </c>
      <c r="C459" s="3">
        <v>1991.41666666327</v>
      </c>
      <c r="D459">
        <v>28.4</v>
      </c>
      <c r="E459" s="1">
        <v>33390</v>
      </c>
      <c r="F459" s="2">
        <f>STANDARDIZE(D459,H$15,I$15)</f>
        <v>0.11004966869475344</v>
      </c>
      <c r="U459" s="1"/>
    </row>
    <row r="460" spans="1:21" x14ac:dyDescent="0.3">
      <c r="A460" t="s">
        <v>5</v>
      </c>
      <c r="B460">
        <v>1991</v>
      </c>
      <c r="C460" s="3">
        <v>1991.4999999966301</v>
      </c>
      <c r="D460">
        <v>28.2</v>
      </c>
      <c r="E460" s="1">
        <v>33420</v>
      </c>
      <c r="F460" s="2">
        <f>STANDARDIZE(D460,H$16,I$16)</f>
        <v>-3.1329068420020617E-2</v>
      </c>
      <c r="U460" s="1"/>
    </row>
    <row r="461" spans="1:21" x14ac:dyDescent="0.3">
      <c r="A461" t="s">
        <v>4</v>
      </c>
      <c r="B461">
        <v>1991</v>
      </c>
      <c r="C461" s="3">
        <v>1991.58333332999</v>
      </c>
      <c r="D461">
        <v>28.4</v>
      </c>
      <c r="E461" s="1">
        <v>33451</v>
      </c>
      <c r="F461" s="2">
        <f>STANDARDIZE(D461,H$17,I$17)</f>
        <v>0.4701545792605305</v>
      </c>
      <c r="U461" s="1"/>
    </row>
    <row r="462" spans="1:21" x14ac:dyDescent="0.3">
      <c r="A462" t="s">
        <v>3</v>
      </c>
      <c r="B462">
        <v>1991</v>
      </c>
      <c r="C462" s="3">
        <v>1991.66666666335</v>
      </c>
      <c r="D462">
        <v>28.2</v>
      </c>
      <c r="E462" s="1">
        <v>33482</v>
      </c>
      <c r="F462" s="2">
        <f>STANDARDIZE(D462,H$18,I$18)</f>
        <v>-3.3804896958988702E-2</v>
      </c>
      <c r="U462" s="1"/>
    </row>
    <row r="463" spans="1:21" x14ac:dyDescent="0.3">
      <c r="A463" t="s">
        <v>2</v>
      </c>
      <c r="B463">
        <v>1991</v>
      </c>
      <c r="C463" s="3">
        <v>1991.7499999967099</v>
      </c>
      <c r="D463">
        <v>27.8</v>
      </c>
      <c r="E463" s="1">
        <v>33512</v>
      </c>
      <c r="F463" s="2">
        <f>STANDARDIZE(D463,H$19,I$19)</f>
        <v>-0.23271810752067018</v>
      </c>
      <c r="U463" s="1"/>
    </row>
    <row r="464" spans="1:21" x14ac:dyDescent="0.3">
      <c r="A464" t="s">
        <v>1</v>
      </c>
      <c r="B464">
        <v>1991</v>
      </c>
      <c r="C464" s="3">
        <v>1991.83333333007</v>
      </c>
      <c r="D464">
        <v>27.7</v>
      </c>
      <c r="E464" s="1">
        <v>33543</v>
      </c>
      <c r="F464" s="2">
        <f>STANDARDIZE(D464,H$20,I$20)</f>
        <v>-0.23527709747254905</v>
      </c>
      <c r="U464" s="1"/>
    </row>
    <row r="465" spans="1:21" x14ac:dyDescent="0.3">
      <c r="A465" t="s">
        <v>0</v>
      </c>
      <c r="B465">
        <v>1991</v>
      </c>
      <c r="C465" s="3">
        <v>1991.9166666634301</v>
      </c>
      <c r="D465">
        <v>26.7</v>
      </c>
      <c r="E465" s="1">
        <v>33573</v>
      </c>
      <c r="F465" s="2">
        <f>STANDARDIZE(D465,H$21,I$21)</f>
        <v>-1.1735497155686476</v>
      </c>
      <c r="U465" s="1"/>
    </row>
    <row r="466" spans="1:21" x14ac:dyDescent="0.3">
      <c r="A466" t="s">
        <v>11</v>
      </c>
      <c r="B466">
        <v>1992</v>
      </c>
      <c r="C466" s="3">
        <v>1991.9999999967899</v>
      </c>
      <c r="D466">
        <v>26.6</v>
      </c>
      <c r="E466" s="1">
        <v>33604</v>
      </c>
      <c r="F466" s="2">
        <f>STANDARDIZE(D466,H$10,I$10)</f>
        <v>-0.65120558124198857</v>
      </c>
      <c r="U466" s="1"/>
    </row>
    <row r="467" spans="1:21" x14ac:dyDescent="0.3">
      <c r="A467" t="s">
        <v>10</v>
      </c>
      <c r="B467">
        <v>1992</v>
      </c>
      <c r="C467" s="3">
        <v>1992.08333333015</v>
      </c>
      <c r="D467">
        <v>27.1</v>
      </c>
      <c r="E467" s="1">
        <v>33635</v>
      </c>
      <c r="F467" s="2">
        <f>STANDARDIZE(D467,H$11,I$11)</f>
        <v>0.38633036782362029</v>
      </c>
      <c r="U467" s="1"/>
    </row>
    <row r="468" spans="1:21" x14ac:dyDescent="0.3">
      <c r="A468" t="s">
        <v>9</v>
      </c>
      <c r="B468">
        <v>1992</v>
      </c>
      <c r="C468" s="3">
        <v>1992.1666666635101</v>
      </c>
      <c r="D468">
        <v>27.4</v>
      </c>
      <c r="E468" s="1">
        <v>33664</v>
      </c>
      <c r="F468" s="2">
        <f>STANDARDIZE(D468,H$12,I$12)</f>
        <v>0.28874036684669685</v>
      </c>
      <c r="U468" s="1"/>
    </row>
    <row r="469" spans="1:21" x14ac:dyDescent="0.3">
      <c r="A469" t="s">
        <v>8</v>
      </c>
      <c r="B469">
        <v>1992</v>
      </c>
      <c r="C469" s="3">
        <v>1992.24999999687</v>
      </c>
      <c r="D469">
        <v>28.2</v>
      </c>
      <c r="E469" s="1">
        <v>33695</v>
      </c>
      <c r="F469" s="2">
        <f>STANDARDIZE(D469,H$13,I$13)</f>
        <v>1.0864726464347703</v>
      </c>
      <c r="U469" s="1"/>
    </row>
    <row r="470" spans="1:21" x14ac:dyDescent="0.3">
      <c r="A470" t="s">
        <v>7</v>
      </c>
      <c r="B470">
        <v>1992</v>
      </c>
      <c r="C470" s="3">
        <v>1992.3333333302301</v>
      </c>
      <c r="D470">
        <v>28.4</v>
      </c>
      <c r="E470" s="1">
        <v>33725</v>
      </c>
      <c r="F470" s="2">
        <f>STANDARDIZE(D470,H$14,I$14)</f>
        <v>0.59164766276901803</v>
      </c>
      <c r="U470" s="1"/>
    </row>
    <row r="471" spans="1:21" x14ac:dyDescent="0.3">
      <c r="A471" t="s">
        <v>6</v>
      </c>
      <c r="B471">
        <v>1992</v>
      </c>
      <c r="C471" s="3">
        <v>1992.4166666635899</v>
      </c>
      <c r="D471">
        <v>28.7</v>
      </c>
      <c r="E471" s="1">
        <v>33756</v>
      </c>
      <c r="F471" s="2">
        <f>STANDARDIZE(D471,H$15,I$15)</f>
        <v>0.81751182458959581</v>
      </c>
      <c r="U471" s="1"/>
    </row>
    <row r="472" spans="1:21" x14ac:dyDescent="0.3">
      <c r="A472" t="s">
        <v>5</v>
      </c>
      <c r="B472">
        <v>1992</v>
      </c>
      <c r="C472" s="3">
        <v>1992.49999999695</v>
      </c>
      <c r="D472">
        <v>27.9</v>
      </c>
      <c r="E472" s="1">
        <v>33786</v>
      </c>
      <c r="F472" s="2">
        <f>STANDARDIZE(D472,H$16,I$16)</f>
        <v>-0.83693368493508047</v>
      </c>
      <c r="U472" s="1"/>
    </row>
    <row r="473" spans="1:21" x14ac:dyDescent="0.3">
      <c r="A473" t="s">
        <v>4</v>
      </c>
      <c r="B473">
        <v>1992</v>
      </c>
      <c r="C473" s="3">
        <v>1992.5833333303101</v>
      </c>
      <c r="D473">
        <v>28</v>
      </c>
      <c r="E473" s="1">
        <v>33817</v>
      </c>
      <c r="F473" s="2">
        <f>STANDARDIZE(D473,H$17,I$17)</f>
        <v>-0.36567578386926686</v>
      </c>
      <c r="U473" s="1"/>
    </row>
    <row r="474" spans="1:21" x14ac:dyDescent="0.3">
      <c r="A474" t="s">
        <v>3</v>
      </c>
      <c r="B474">
        <v>1992</v>
      </c>
      <c r="C474" s="3">
        <v>1992.66666666367</v>
      </c>
      <c r="D474">
        <v>27.8</v>
      </c>
      <c r="E474" s="1">
        <v>33848</v>
      </c>
      <c r="F474" s="2">
        <f>STANDARDIZE(D474,H$18,I$18)</f>
        <v>-0.93526881586553023</v>
      </c>
      <c r="U474" s="1"/>
    </row>
    <row r="475" spans="1:21" x14ac:dyDescent="0.3">
      <c r="A475" t="s">
        <v>2</v>
      </c>
      <c r="B475">
        <v>1992</v>
      </c>
      <c r="C475" s="3">
        <v>1992.74999999703</v>
      </c>
      <c r="D475">
        <v>27.9</v>
      </c>
      <c r="E475" s="1">
        <v>33878</v>
      </c>
      <c r="F475" s="2">
        <f>STANDARDIZE(D475,H$19,I$19)</f>
        <v>-2.468222352492774E-2</v>
      </c>
      <c r="U475" s="1"/>
    </row>
    <row r="476" spans="1:21" x14ac:dyDescent="0.3">
      <c r="A476" t="s">
        <v>1</v>
      </c>
      <c r="B476">
        <v>1992</v>
      </c>
      <c r="C476" s="3">
        <v>1992.8333333303899</v>
      </c>
      <c r="D476">
        <v>27.9</v>
      </c>
      <c r="E476" s="1">
        <v>33909</v>
      </c>
      <c r="F476" s="2">
        <f>STANDARDIZE(D476,H$20,I$20)</f>
        <v>0.12065492178079455</v>
      </c>
      <c r="U476" s="1"/>
    </row>
    <row r="477" spans="1:21" x14ac:dyDescent="0.3">
      <c r="A477" t="s">
        <v>0</v>
      </c>
      <c r="B477">
        <v>1992</v>
      </c>
      <c r="C477" s="3">
        <v>1992.91666666375</v>
      </c>
      <c r="D477">
        <v>27.4</v>
      </c>
      <c r="E477" s="1">
        <v>33939</v>
      </c>
      <c r="F477" s="2">
        <f>STANDARDIZE(D477,H$21,I$21)</f>
        <v>-5.9561230389330787E-15</v>
      </c>
      <c r="U477" s="1"/>
    </row>
    <row r="478" spans="1:21" x14ac:dyDescent="0.3">
      <c r="A478" t="s">
        <v>11</v>
      </c>
      <c r="B478">
        <v>1993</v>
      </c>
      <c r="C478" s="3">
        <v>1992.9999999971101</v>
      </c>
      <c r="D478">
        <v>27.1</v>
      </c>
      <c r="E478" s="1">
        <v>33970</v>
      </c>
      <c r="F478" s="2">
        <f>STANDARDIZE(D478,H$10,I$10)</f>
        <v>0.22200190269612233</v>
      </c>
      <c r="U478" s="1"/>
    </row>
    <row r="479" spans="1:21" x14ac:dyDescent="0.3">
      <c r="A479" t="s">
        <v>10</v>
      </c>
      <c r="B479">
        <v>1993</v>
      </c>
      <c r="C479" s="3">
        <v>1993.0833333304699</v>
      </c>
      <c r="D479">
        <v>27</v>
      </c>
      <c r="E479" s="1">
        <v>34001</v>
      </c>
      <c r="F479" s="2">
        <f>STANDARDIZE(D479,H$11,I$11)</f>
        <v>0.19154194707220265</v>
      </c>
      <c r="U479" s="1"/>
    </row>
    <row r="480" spans="1:21" x14ac:dyDescent="0.3">
      <c r="A480" t="s">
        <v>9</v>
      </c>
      <c r="B480">
        <v>1993</v>
      </c>
      <c r="C480" s="3">
        <v>1993.16666666383</v>
      </c>
      <c r="D480">
        <v>27.3</v>
      </c>
      <c r="E480" s="1">
        <v>34029</v>
      </c>
      <c r="F480" s="2">
        <f>STANDARDIZE(D480,H$12,I$12)</f>
        <v>0.11196055040993279</v>
      </c>
      <c r="U480" s="1"/>
    </row>
    <row r="481" spans="1:21" x14ac:dyDescent="0.3">
      <c r="A481" t="s">
        <v>8</v>
      </c>
      <c r="B481">
        <v>1993</v>
      </c>
      <c r="C481" s="3">
        <v>1993.2499999971899</v>
      </c>
      <c r="D481">
        <v>27.9</v>
      </c>
      <c r="E481" s="1">
        <v>34060</v>
      </c>
      <c r="F481" s="2">
        <f>STANDARDIZE(D481,H$13,I$13)</f>
        <v>0.45357595919120958</v>
      </c>
      <c r="U481" s="1"/>
    </row>
    <row r="482" spans="1:21" x14ac:dyDescent="0.3">
      <c r="A482" t="s">
        <v>7</v>
      </c>
      <c r="B482">
        <v>1993</v>
      </c>
      <c r="C482" s="3">
        <v>1993.33333333055</v>
      </c>
      <c r="D482">
        <v>28.1</v>
      </c>
      <c r="E482" s="1">
        <v>34090</v>
      </c>
      <c r="F482" s="2">
        <f>STANDARDIZE(D482,H$14,I$14)</f>
        <v>-0.20907849736951745</v>
      </c>
      <c r="U482" s="1"/>
    </row>
    <row r="483" spans="1:21" x14ac:dyDescent="0.3">
      <c r="A483" t="s">
        <v>6</v>
      </c>
      <c r="B483">
        <v>1993</v>
      </c>
      <c r="C483" s="3">
        <v>1993.4166666639101</v>
      </c>
      <c r="D483">
        <v>28.6</v>
      </c>
      <c r="E483" s="1">
        <v>34121</v>
      </c>
      <c r="F483" s="2">
        <f>STANDARDIZE(D483,H$15,I$15)</f>
        <v>0.58169110595798723</v>
      </c>
      <c r="U483" s="1"/>
    </row>
    <row r="484" spans="1:21" x14ac:dyDescent="0.3">
      <c r="A484" t="s">
        <v>5</v>
      </c>
      <c r="B484">
        <v>1993</v>
      </c>
      <c r="C484" s="3">
        <v>1993.4999999972699</v>
      </c>
      <c r="D484">
        <v>28.2</v>
      </c>
      <c r="E484" s="1">
        <v>34151</v>
      </c>
      <c r="F484" s="2">
        <f>STANDARDIZE(D484,H$16,I$16)</f>
        <v>-3.1329068420020617E-2</v>
      </c>
      <c r="U484" s="1"/>
    </row>
    <row r="485" spans="1:21" x14ac:dyDescent="0.3">
      <c r="A485" t="s">
        <v>4</v>
      </c>
      <c r="B485">
        <v>1993</v>
      </c>
      <c r="C485" s="3">
        <v>1993.58333333063</v>
      </c>
      <c r="D485">
        <v>28.5</v>
      </c>
      <c r="E485" s="1">
        <v>34182</v>
      </c>
      <c r="F485" s="2">
        <f>STANDARDIZE(D485,H$17,I$17)</f>
        <v>0.67911217004298352</v>
      </c>
      <c r="U485" s="1"/>
    </row>
    <row r="486" spans="1:21" x14ac:dyDescent="0.3">
      <c r="A486" t="s">
        <v>3</v>
      </c>
      <c r="B486">
        <v>1993</v>
      </c>
      <c r="C486" s="3">
        <v>1993.6666666639901</v>
      </c>
      <c r="D486">
        <v>27.6</v>
      </c>
      <c r="E486" s="1">
        <v>34213</v>
      </c>
      <c r="F486" s="2">
        <f>STANDARDIZE(D486,H$18,I$18)</f>
        <v>-1.3860007753188011</v>
      </c>
      <c r="U486" s="1"/>
    </row>
    <row r="487" spans="1:21" x14ac:dyDescent="0.3">
      <c r="A487" t="s">
        <v>2</v>
      </c>
      <c r="B487">
        <v>1993</v>
      </c>
      <c r="C487" s="3">
        <v>1993.74999999735</v>
      </c>
      <c r="D487">
        <v>28.3</v>
      </c>
      <c r="E487" s="1">
        <v>34243</v>
      </c>
      <c r="F487" s="2">
        <f>STANDARDIZE(D487,H$19,I$19)</f>
        <v>0.80746131245806418</v>
      </c>
      <c r="U487" s="1"/>
    </row>
    <row r="488" spans="1:21" x14ac:dyDescent="0.3">
      <c r="A488" t="s">
        <v>1</v>
      </c>
      <c r="B488">
        <v>1993</v>
      </c>
      <c r="C488" s="3">
        <v>1993.83333333071</v>
      </c>
      <c r="D488">
        <v>27.5</v>
      </c>
      <c r="E488" s="1">
        <v>34274</v>
      </c>
      <c r="F488" s="2">
        <f>STANDARDIZE(D488,H$20,I$20)</f>
        <v>-0.5912091167258926</v>
      </c>
      <c r="U488" s="1"/>
    </row>
    <row r="489" spans="1:21" x14ac:dyDescent="0.3">
      <c r="A489" t="s">
        <v>0</v>
      </c>
      <c r="B489">
        <v>1993</v>
      </c>
      <c r="C489" s="3">
        <v>1993.9166666640699</v>
      </c>
      <c r="D489">
        <v>27.4</v>
      </c>
      <c r="E489" s="1">
        <v>34304</v>
      </c>
      <c r="F489" s="2">
        <f>STANDARDIZE(D489,H$21,I$21)</f>
        <v>-5.9561230389330787E-15</v>
      </c>
      <c r="U489" s="1"/>
    </row>
    <row r="490" spans="1:21" x14ac:dyDescent="0.3">
      <c r="A490" t="s">
        <v>11</v>
      </c>
      <c r="B490">
        <v>1994</v>
      </c>
      <c r="C490" s="3">
        <v>1993.99999999743</v>
      </c>
      <c r="D490">
        <v>26.5</v>
      </c>
      <c r="E490" s="1">
        <v>34335</v>
      </c>
      <c r="F490" s="2">
        <f>STANDARDIZE(D490,H$10,I$10)</f>
        <v>-0.82584707802961321</v>
      </c>
      <c r="U490" s="1"/>
    </row>
    <row r="491" spans="1:21" x14ac:dyDescent="0.3">
      <c r="A491" t="s">
        <v>10</v>
      </c>
      <c r="B491">
        <v>1994</v>
      </c>
      <c r="C491" s="3">
        <v>1994.0833333307901</v>
      </c>
      <c r="D491">
        <v>26.4</v>
      </c>
      <c r="E491" s="1">
        <v>34366</v>
      </c>
      <c r="F491" s="2">
        <f>STANDARDIZE(D491,H$11,I$11)</f>
        <v>-0.97718857743628929</v>
      </c>
      <c r="U491" s="1"/>
    </row>
    <row r="492" spans="1:21" x14ac:dyDescent="0.3">
      <c r="A492" t="s">
        <v>9</v>
      </c>
      <c r="B492">
        <v>1994</v>
      </c>
      <c r="C492" s="3">
        <v>1994.1666666641499</v>
      </c>
      <c r="D492">
        <v>27</v>
      </c>
      <c r="E492" s="1">
        <v>34394</v>
      </c>
      <c r="F492" s="2">
        <f>STANDARDIZE(D492,H$12,I$12)</f>
        <v>-0.418378898900372</v>
      </c>
      <c r="U492" s="1"/>
    </row>
    <row r="493" spans="1:21" x14ac:dyDescent="0.3">
      <c r="A493" t="s">
        <v>8</v>
      </c>
      <c r="B493">
        <v>1994</v>
      </c>
      <c r="C493" s="3">
        <v>1994.24999999751</v>
      </c>
      <c r="D493">
        <v>27.3</v>
      </c>
      <c r="E493" s="1">
        <v>34425</v>
      </c>
      <c r="F493" s="2">
        <f>STANDARDIZE(D493,H$13,I$13)</f>
        <v>-0.81221741529590419</v>
      </c>
      <c r="U493" s="1"/>
    </row>
    <row r="494" spans="1:21" x14ac:dyDescent="0.3">
      <c r="A494" t="s">
        <v>7</v>
      </c>
      <c r="B494">
        <v>1994</v>
      </c>
      <c r="C494" s="3">
        <v>1994.3333333308699</v>
      </c>
      <c r="D494">
        <v>28.1</v>
      </c>
      <c r="E494" s="1">
        <v>34455</v>
      </c>
      <c r="F494" s="2">
        <f>STANDARDIZE(D494,H$14,I$14)</f>
        <v>-0.20907849736951745</v>
      </c>
      <c r="U494" s="1"/>
    </row>
    <row r="495" spans="1:21" x14ac:dyDescent="0.3">
      <c r="A495" t="s">
        <v>6</v>
      </c>
      <c r="B495">
        <v>1994</v>
      </c>
      <c r="C495" s="3">
        <v>1994.41666666423</v>
      </c>
      <c r="D495">
        <v>28.3</v>
      </c>
      <c r="E495" s="1">
        <v>34486</v>
      </c>
      <c r="F495" s="2">
        <f>STANDARDIZE(D495,H$15,I$15)</f>
        <v>-0.12577104993685509</v>
      </c>
      <c r="U495" s="1"/>
    </row>
    <row r="496" spans="1:21" x14ac:dyDescent="0.3">
      <c r="A496" t="s">
        <v>5</v>
      </c>
      <c r="B496">
        <v>1994</v>
      </c>
      <c r="C496" s="3">
        <v>1994.4999999975901</v>
      </c>
      <c r="D496">
        <v>28</v>
      </c>
      <c r="E496" s="1">
        <v>34516</v>
      </c>
      <c r="F496" s="2">
        <f>STANDARDIZE(D496,H$16,I$16)</f>
        <v>-0.56839881276339066</v>
      </c>
      <c r="U496" s="1"/>
    </row>
    <row r="497" spans="1:21" x14ac:dyDescent="0.3">
      <c r="A497" t="s">
        <v>4</v>
      </c>
      <c r="B497">
        <v>1994</v>
      </c>
      <c r="C497" s="3">
        <v>1994.5833333309499</v>
      </c>
      <c r="D497">
        <v>28.1</v>
      </c>
      <c r="E497" s="1">
        <v>34547</v>
      </c>
      <c r="F497" s="2">
        <f>STANDARDIZE(D497,H$17,I$17)</f>
        <v>-0.15671819308681381</v>
      </c>
      <c r="U497" s="1"/>
    </row>
    <row r="498" spans="1:21" x14ac:dyDescent="0.3">
      <c r="A498" t="s">
        <v>3</v>
      </c>
      <c r="B498">
        <v>1994</v>
      </c>
      <c r="C498" s="3">
        <v>1994.66666666431</v>
      </c>
      <c r="D498">
        <v>28.2</v>
      </c>
      <c r="E498" s="1">
        <v>34578</v>
      </c>
      <c r="F498" s="2">
        <f>STANDARDIZE(D498,H$18,I$18)</f>
        <v>-3.3804896958988702E-2</v>
      </c>
      <c r="U498" s="1"/>
    </row>
    <row r="499" spans="1:21" x14ac:dyDescent="0.3">
      <c r="A499" t="s">
        <v>2</v>
      </c>
      <c r="B499">
        <v>1994</v>
      </c>
      <c r="C499" s="3">
        <v>1994.7499999976701</v>
      </c>
      <c r="D499">
        <v>27.6</v>
      </c>
      <c r="E499" s="1">
        <v>34608</v>
      </c>
      <c r="F499" s="2">
        <f>STANDARDIZE(D499,H$19,I$19)</f>
        <v>-0.64878987551216238</v>
      </c>
      <c r="U499" s="1"/>
    </row>
    <row r="500" spans="1:21" x14ac:dyDescent="0.3">
      <c r="A500" t="s">
        <v>1</v>
      </c>
      <c r="B500">
        <v>1994</v>
      </c>
      <c r="C500" s="3">
        <v>1994.83333333103</v>
      </c>
      <c r="D500">
        <v>27.5</v>
      </c>
      <c r="E500" s="1">
        <v>34639</v>
      </c>
      <c r="F500" s="2">
        <f>STANDARDIZE(D500,H$20,I$20)</f>
        <v>-0.5912091167258926</v>
      </c>
      <c r="U500" s="1"/>
    </row>
    <row r="501" spans="1:21" x14ac:dyDescent="0.3">
      <c r="A501" t="s">
        <v>0</v>
      </c>
      <c r="B501">
        <v>1994</v>
      </c>
      <c r="C501" s="3">
        <v>1994.91666666439</v>
      </c>
      <c r="D501">
        <v>27</v>
      </c>
      <c r="E501" s="1">
        <v>34669</v>
      </c>
      <c r="F501" s="2">
        <f>STANDARDIZE(D501,H$21,I$21)</f>
        <v>-0.67059983746779961</v>
      </c>
      <c r="U501" s="1"/>
    </row>
    <row r="502" spans="1:21" x14ac:dyDescent="0.3">
      <c r="A502" t="s">
        <v>11</v>
      </c>
      <c r="B502">
        <v>1995</v>
      </c>
      <c r="C502" s="3">
        <v>1994.9999999977499</v>
      </c>
      <c r="D502">
        <v>27</v>
      </c>
      <c r="E502" s="1">
        <v>34700</v>
      </c>
      <c r="F502" s="2">
        <f>STANDARDIZE(D502,H$10,I$10)</f>
        <v>4.7360405908497653E-2</v>
      </c>
      <c r="U502" s="1"/>
    </row>
    <row r="503" spans="1:21" x14ac:dyDescent="0.3">
      <c r="A503" t="s">
        <v>10</v>
      </c>
      <c r="B503">
        <v>1995</v>
      </c>
      <c r="C503" s="3">
        <v>1995.08333333111</v>
      </c>
      <c r="D503">
        <v>26.7</v>
      </c>
      <c r="E503" s="1">
        <v>34731</v>
      </c>
      <c r="F503" s="2">
        <f>STANDARDIZE(D503,H$11,I$11)</f>
        <v>-0.39282331518204333</v>
      </c>
      <c r="U503" s="1"/>
    </row>
    <row r="504" spans="1:21" x14ac:dyDescent="0.3">
      <c r="A504" t="s">
        <v>9</v>
      </c>
      <c r="B504">
        <v>1995</v>
      </c>
      <c r="C504" s="3">
        <v>1995.1666666644701</v>
      </c>
      <c r="D504">
        <v>27.2</v>
      </c>
      <c r="E504" s="1">
        <v>34759</v>
      </c>
      <c r="F504" s="2">
        <f>STANDARDIZE(D504,H$12,I$12)</f>
        <v>-6.4819266026837574E-2</v>
      </c>
      <c r="U504" s="1"/>
    </row>
    <row r="505" spans="1:21" x14ac:dyDescent="0.3">
      <c r="A505" t="s">
        <v>8</v>
      </c>
      <c r="B505">
        <v>1995</v>
      </c>
      <c r="C505" s="3">
        <v>1995.2499999978299</v>
      </c>
      <c r="D505">
        <v>27.9</v>
      </c>
      <c r="E505" s="1">
        <v>34790</v>
      </c>
      <c r="F505" s="2">
        <f>STANDARDIZE(D505,H$13,I$13)</f>
        <v>0.45357595919120958</v>
      </c>
      <c r="U505" s="1"/>
    </row>
    <row r="506" spans="1:21" x14ac:dyDescent="0.3">
      <c r="A506" t="s">
        <v>7</v>
      </c>
      <c r="B506">
        <v>1995</v>
      </c>
      <c r="C506" s="3">
        <v>1995.33333333119</v>
      </c>
      <c r="D506">
        <v>28.4</v>
      </c>
      <c r="E506" s="1">
        <v>34820</v>
      </c>
      <c r="F506" s="2">
        <f>STANDARDIZE(D506,H$14,I$14)</f>
        <v>0.59164766276901803</v>
      </c>
      <c r="U506" s="1"/>
    </row>
    <row r="507" spans="1:21" x14ac:dyDescent="0.3">
      <c r="A507" t="s">
        <v>6</v>
      </c>
      <c r="B507">
        <v>1995</v>
      </c>
      <c r="C507" s="3">
        <v>1995.4166666645499</v>
      </c>
      <c r="D507">
        <v>28.5</v>
      </c>
      <c r="E507" s="1">
        <v>34851</v>
      </c>
      <c r="F507" s="2">
        <f>STANDARDIZE(D507,H$15,I$15)</f>
        <v>0.34587038732637038</v>
      </c>
      <c r="U507" s="1"/>
    </row>
    <row r="508" spans="1:21" x14ac:dyDescent="0.3">
      <c r="A508" t="s">
        <v>5</v>
      </c>
      <c r="B508">
        <v>1995</v>
      </c>
      <c r="C508" s="3">
        <v>1995.49999999791</v>
      </c>
      <c r="D508">
        <v>28</v>
      </c>
      <c r="E508" s="1">
        <v>34881</v>
      </c>
      <c r="F508" s="2">
        <f>STANDARDIZE(D508,H$16,I$16)</f>
        <v>-0.56839881276339066</v>
      </c>
      <c r="U508" s="1"/>
    </row>
    <row r="509" spans="1:21" x14ac:dyDescent="0.3">
      <c r="A509" t="s">
        <v>4</v>
      </c>
      <c r="B509">
        <v>1995</v>
      </c>
      <c r="C509" s="3">
        <v>1995.5833333312701</v>
      </c>
      <c r="D509">
        <v>28</v>
      </c>
      <c r="E509" s="1">
        <v>34912</v>
      </c>
      <c r="F509" s="2">
        <f>STANDARDIZE(D509,H$17,I$17)</f>
        <v>-0.36567578386926686</v>
      </c>
      <c r="U509" s="1"/>
    </row>
    <row r="510" spans="1:21" x14ac:dyDescent="0.3">
      <c r="A510" t="s">
        <v>3</v>
      </c>
      <c r="B510">
        <v>1995</v>
      </c>
      <c r="C510" s="3">
        <v>1995.6666666646299</v>
      </c>
      <c r="D510">
        <v>28.6</v>
      </c>
      <c r="E510" s="1">
        <v>34943</v>
      </c>
      <c r="F510" s="2">
        <f>STANDARDIZE(D510,H$18,I$18)</f>
        <v>0.86765902194756084</v>
      </c>
      <c r="U510" s="1"/>
    </row>
    <row r="511" spans="1:21" x14ac:dyDescent="0.3">
      <c r="A511" t="s">
        <v>2</v>
      </c>
      <c r="B511">
        <v>1995</v>
      </c>
      <c r="C511" s="3">
        <v>1995.74999999799</v>
      </c>
      <c r="D511">
        <v>27.7</v>
      </c>
      <c r="E511" s="1">
        <v>34973</v>
      </c>
      <c r="F511" s="2">
        <f>STANDARDIZE(D511,H$19,I$19)</f>
        <v>-0.44075399151641997</v>
      </c>
      <c r="U511" s="1"/>
    </row>
    <row r="512" spans="1:21" x14ac:dyDescent="0.3">
      <c r="A512" t="s">
        <v>1</v>
      </c>
      <c r="B512">
        <v>1995</v>
      </c>
      <c r="C512" s="3">
        <v>1995.8333333313501</v>
      </c>
      <c r="D512">
        <v>28</v>
      </c>
      <c r="E512" s="1">
        <v>35004</v>
      </c>
      <c r="F512" s="2">
        <f>STANDARDIZE(D512,H$20,I$20)</f>
        <v>0.29862093140746954</v>
      </c>
      <c r="U512" s="1"/>
    </row>
    <row r="513" spans="1:21" x14ac:dyDescent="0.3">
      <c r="A513" t="s">
        <v>0</v>
      </c>
      <c r="B513">
        <v>1995</v>
      </c>
      <c r="C513" s="3">
        <v>1995.91666666471</v>
      </c>
      <c r="D513">
        <v>27.5</v>
      </c>
      <c r="E513" s="1">
        <v>35034</v>
      </c>
      <c r="F513" s="2">
        <f>STANDARDIZE(D513,H$21,I$21)</f>
        <v>0.16764995936694543</v>
      </c>
      <c r="U513" s="1"/>
    </row>
    <row r="514" spans="1:21" x14ac:dyDescent="0.3">
      <c r="A514" t="s">
        <v>11</v>
      </c>
      <c r="B514">
        <v>1996</v>
      </c>
      <c r="C514" s="3">
        <v>1995.9999999980701</v>
      </c>
      <c r="D514">
        <v>27.3</v>
      </c>
      <c r="E514" s="1">
        <v>35065</v>
      </c>
      <c r="F514" s="2">
        <f>STANDARDIZE(D514,H$10,I$10)</f>
        <v>0.57128489627136547</v>
      </c>
      <c r="U514" s="1"/>
    </row>
    <row r="515" spans="1:21" x14ac:dyDescent="0.3">
      <c r="A515" t="s">
        <v>10</v>
      </c>
      <c r="B515">
        <v>1996</v>
      </c>
      <c r="C515" s="3">
        <v>1996.0833333314299</v>
      </c>
      <c r="D515">
        <v>27.2</v>
      </c>
      <c r="E515" s="1">
        <v>35096</v>
      </c>
      <c r="F515" s="2">
        <f>STANDARDIZE(D515,H$11,I$11)</f>
        <v>0.58111878857503096</v>
      </c>
      <c r="U515" s="1"/>
    </row>
    <row r="516" spans="1:21" x14ac:dyDescent="0.3">
      <c r="A516" t="s">
        <v>9</v>
      </c>
      <c r="B516">
        <v>1996</v>
      </c>
      <c r="C516" s="3">
        <v>1996.16666666479</v>
      </c>
      <c r="D516">
        <v>27.4</v>
      </c>
      <c r="E516" s="1">
        <v>35125</v>
      </c>
      <c r="F516" s="2">
        <f>STANDARDIZE(D516,H$12,I$12)</f>
        <v>0.28874036684669685</v>
      </c>
      <c r="U516" s="1"/>
    </row>
    <row r="517" spans="1:21" x14ac:dyDescent="0.3">
      <c r="A517" t="s">
        <v>8</v>
      </c>
      <c r="B517">
        <v>1996</v>
      </c>
      <c r="C517" s="3">
        <v>1996.2499999981501</v>
      </c>
      <c r="D517">
        <v>27.9</v>
      </c>
      <c r="E517" s="1">
        <v>35156</v>
      </c>
      <c r="F517" s="2">
        <f>STANDARDIZE(D517,H$13,I$13)</f>
        <v>0.45357595919120958</v>
      </c>
      <c r="U517" s="1"/>
    </row>
    <row r="518" spans="1:21" x14ac:dyDescent="0.3">
      <c r="A518" t="s">
        <v>7</v>
      </c>
      <c r="B518">
        <v>1996</v>
      </c>
      <c r="C518" s="3">
        <v>1996.3333333315099</v>
      </c>
      <c r="D518">
        <v>27.9</v>
      </c>
      <c r="E518" s="1">
        <v>35186</v>
      </c>
      <c r="F518" s="2">
        <f>STANDARDIZE(D518,H$14,I$14)</f>
        <v>-0.74289593746188709</v>
      </c>
      <c r="U518" s="1"/>
    </row>
    <row r="519" spans="1:21" x14ac:dyDescent="0.3">
      <c r="A519" t="s">
        <v>6</v>
      </c>
      <c r="B519">
        <v>1996</v>
      </c>
      <c r="C519" s="3">
        <v>1996.41666666487</v>
      </c>
      <c r="D519">
        <v>28.4</v>
      </c>
      <c r="E519" s="1">
        <v>35217</v>
      </c>
      <c r="F519" s="2">
        <f>STANDARDIZE(D519,H$15,I$15)</f>
        <v>0.11004966869475344</v>
      </c>
      <c r="U519" s="1"/>
    </row>
    <row r="520" spans="1:21" x14ac:dyDescent="0.3">
      <c r="A520" t="s">
        <v>5</v>
      </c>
      <c r="B520">
        <v>1996</v>
      </c>
      <c r="C520" s="3">
        <v>1996.4999999982299</v>
      </c>
      <c r="D520">
        <v>28</v>
      </c>
      <c r="E520" s="1">
        <v>35247</v>
      </c>
      <c r="F520" s="2">
        <f>STANDARDIZE(D520,H$16,I$16)</f>
        <v>-0.56839881276339066</v>
      </c>
      <c r="U520" s="1"/>
    </row>
    <row r="521" spans="1:21" x14ac:dyDescent="0.3">
      <c r="A521" t="s">
        <v>4</v>
      </c>
      <c r="B521">
        <v>1996</v>
      </c>
      <c r="C521" s="3">
        <v>1996.58333333159</v>
      </c>
      <c r="D521">
        <v>28</v>
      </c>
      <c r="E521" s="1">
        <v>35278</v>
      </c>
      <c r="F521" s="2">
        <f>STANDARDIZE(D521,H$17,I$17)</f>
        <v>-0.36567578386926686</v>
      </c>
      <c r="U521" s="1"/>
    </row>
    <row r="522" spans="1:21" x14ac:dyDescent="0.3">
      <c r="A522" t="s">
        <v>3</v>
      </c>
      <c r="B522">
        <v>1996</v>
      </c>
      <c r="C522" s="3">
        <v>1996.6666666649501</v>
      </c>
      <c r="D522">
        <v>28</v>
      </c>
      <c r="E522" s="1">
        <v>35309</v>
      </c>
      <c r="F522" s="2">
        <f>STANDARDIZE(D522,H$18,I$18)</f>
        <v>-0.48453685641225946</v>
      </c>
      <c r="U522" s="1"/>
    </row>
    <row r="523" spans="1:21" x14ac:dyDescent="0.3">
      <c r="A523" t="s">
        <v>2</v>
      </c>
      <c r="B523">
        <v>1996</v>
      </c>
      <c r="C523" s="3">
        <v>1996.7499999983099</v>
      </c>
      <c r="D523">
        <v>27.8</v>
      </c>
      <c r="E523" s="1">
        <v>35339</v>
      </c>
      <c r="F523" s="2">
        <f>STANDARDIZE(D523,H$19,I$19)</f>
        <v>-0.23271810752067018</v>
      </c>
      <c r="U523" s="1"/>
    </row>
    <row r="524" spans="1:21" x14ac:dyDescent="0.3">
      <c r="A524" t="s">
        <v>1</v>
      </c>
      <c r="B524">
        <v>1996</v>
      </c>
      <c r="C524" s="3">
        <v>1996.83333333167</v>
      </c>
      <c r="D524">
        <v>27.5</v>
      </c>
      <c r="E524" s="1">
        <v>35370</v>
      </c>
      <c r="F524" s="2">
        <f>STANDARDIZE(D524,H$20,I$20)</f>
        <v>-0.5912091167258926</v>
      </c>
      <c r="U524" s="1"/>
    </row>
    <row r="525" spans="1:21" x14ac:dyDescent="0.3">
      <c r="A525" t="s">
        <v>0</v>
      </c>
      <c r="B525">
        <v>1996</v>
      </c>
      <c r="C525" s="3">
        <v>1996.9166666650301</v>
      </c>
      <c r="D525">
        <v>26.9</v>
      </c>
      <c r="E525" s="1">
        <v>35400</v>
      </c>
      <c r="F525" s="2">
        <f>STANDARDIZE(D525,H$21,I$21)</f>
        <v>-0.83824979683475098</v>
      </c>
      <c r="U525" s="1"/>
    </row>
    <row r="526" spans="1:21" x14ac:dyDescent="0.3">
      <c r="A526" t="s">
        <v>11</v>
      </c>
      <c r="B526">
        <v>1997</v>
      </c>
      <c r="C526" s="3">
        <v>1996.99999999839</v>
      </c>
      <c r="D526">
        <v>26.5</v>
      </c>
      <c r="E526" s="1">
        <v>35431</v>
      </c>
      <c r="F526" s="2">
        <f>STANDARDIZE(D526,H$10,I$10)</f>
        <v>-0.82584707802961321</v>
      </c>
      <c r="U526" s="1"/>
    </row>
    <row r="527" spans="1:21" x14ac:dyDescent="0.3">
      <c r="A527" t="s">
        <v>10</v>
      </c>
      <c r="B527">
        <v>1997</v>
      </c>
      <c r="C527" s="3">
        <v>1997.0833333317501</v>
      </c>
      <c r="D527">
        <v>27</v>
      </c>
      <c r="E527" s="1">
        <v>35462</v>
      </c>
      <c r="F527" s="2">
        <f>STANDARDIZE(D527,H$11,I$11)</f>
        <v>0.19154194707220265</v>
      </c>
      <c r="U527" s="1"/>
    </row>
    <row r="528" spans="1:21" x14ac:dyDescent="0.3">
      <c r="A528" t="s">
        <v>9</v>
      </c>
      <c r="B528">
        <v>1997</v>
      </c>
      <c r="C528" s="3">
        <v>1997.1666666651099</v>
      </c>
      <c r="D528">
        <v>26.4</v>
      </c>
      <c r="E528" s="1">
        <v>35490</v>
      </c>
      <c r="F528" s="2">
        <f>STANDARDIZE(D528,H$12,I$12)</f>
        <v>-1.4790577975209815</v>
      </c>
      <c r="U528" s="1"/>
    </row>
    <row r="529" spans="1:21" x14ac:dyDescent="0.3">
      <c r="A529" t="s">
        <v>8</v>
      </c>
      <c r="B529">
        <v>1997</v>
      </c>
      <c r="C529" s="3">
        <v>1997.24999999848</v>
      </c>
      <c r="D529">
        <v>27.2</v>
      </c>
      <c r="E529" s="1">
        <v>35521</v>
      </c>
      <c r="F529" s="2">
        <f>STANDARDIZE(D529,H$13,I$13)</f>
        <v>-1.0231829777104269</v>
      </c>
      <c r="U529" s="1"/>
    </row>
    <row r="530" spans="1:21" x14ac:dyDescent="0.3">
      <c r="A530" t="s">
        <v>7</v>
      </c>
      <c r="B530">
        <v>1997</v>
      </c>
      <c r="C530" s="3">
        <v>1997.3333333318401</v>
      </c>
      <c r="D530">
        <v>28.2</v>
      </c>
      <c r="E530" s="1">
        <v>35551</v>
      </c>
      <c r="F530" s="2">
        <f>STANDARDIZE(D530,H$14,I$14)</f>
        <v>5.783022267665789E-2</v>
      </c>
      <c r="U530" s="1"/>
    </row>
    <row r="531" spans="1:21" x14ac:dyDescent="0.3">
      <c r="A531" t="s">
        <v>6</v>
      </c>
      <c r="B531">
        <v>1997</v>
      </c>
      <c r="C531" s="3">
        <v>1997.4166666652</v>
      </c>
      <c r="D531">
        <v>28.1</v>
      </c>
      <c r="E531" s="1">
        <v>35582</v>
      </c>
      <c r="F531" s="2">
        <f>STANDARDIZE(D531,H$15,I$15)</f>
        <v>-0.59741248720008056</v>
      </c>
      <c r="U531" s="1"/>
    </row>
    <row r="532" spans="1:21" x14ac:dyDescent="0.3">
      <c r="A532" t="s">
        <v>5</v>
      </c>
      <c r="B532">
        <v>1997</v>
      </c>
      <c r="C532" s="3">
        <v>1997.49999999856</v>
      </c>
      <c r="D532">
        <v>28.4</v>
      </c>
      <c r="E532" s="1">
        <v>35612</v>
      </c>
      <c r="F532" s="2">
        <f>STANDARDIZE(D532,H$16,I$16)</f>
        <v>0.50574067592334937</v>
      </c>
      <c r="U532" s="1"/>
    </row>
    <row r="533" spans="1:21" x14ac:dyDescent="0.3">
      <c r="A533" t="s">
        <v>4</v>
      </c>
      <c r="B533">
        <v>1997</v>
      </c>
      <c r="C533" s="3">
        <v>1997.5833333319199</v>
      </c>
      <c r="D533">
        <v>28.6</v>
      </c>
      <c r="E533" s="1">
        <v>35643</v>
      </c>
      <c r="F533" s="2">
        <f>STANDARDIZE(D533,H$17,I$17)</f>
        <v>0.88806976082543654</v>
      </c>
      <c r="U533" s="1"/>
    </row>
    <row r="534" spans="1:21" x14ac:dyDescent="0.3">
      <c r="A534" t="s">
        <v>3</v>
      </c>
      <c r="B534">
        <v>1997</v>
      </c>
      <c r="C534" s="3">
        <v>1997.66666666528</v>
      </c>
      <c r="D534">
        <v>28.5</v>
      </c>
      <c r="E534" s="1">
        <v>35674</v>
      </c>
      <c r="F534" s="2">
        <f>STANDARDIZE(D534,H$18,I$18)</f>
        <v>0.64229304222092143</v>
      </c>
      <c r="U534" s="1"/>
    </row>
    <row r="535" spans="1:21" x14ac:dyDescent="0.3">
      <c r="A535" t="s">
        <v>2</v>
      </c>
      <c r="B535">
        <v>1997</v>
      </c>
      <c r="C535" s="3">
        <v>1997.7499999986401</v>
      </c>
      <c r="D535">
        <v>28.5</v>
      </c>
      <c r="E535" s="1">
        <v>35704</v>
      </c>
      <c r="F535" s="2">
        <f>STANDARDIZE(D535,H$19,I$19)</f>
        <v>1.2235330804495563</v>
      </c>
      <c r="U535" s="1"/>
    </row>
    <row r="536" spans="1:21" x14ac:dyDescent="0.3">
      <c r="A536" t="s">
        <v>1</v>
      </c>
      <c r="B536">
        <v>1997</v>
      </c>
      <c r="C536" s="3">
        <v>1997.8333333319999</v>
      </c>
      <c r="D536">
        <v>28</v>
      </c>
      <c r="E536" s="1">
        <v>35735</v>
      </c>
      <c r="F536" s="2">
        <f>STANDARDIZE(D536,H$20,I$20)</f>
        <v>0.29862093140746954</v>
      </c>
      <c r="U536" s="1"/>
    </row>
    <row r="537" spans="1:21" x14ac:dyDescent="0.3">
      <c r="A537" t="s">
        <v>0</v>
      </c>
      <c r="B537">
        <v>1997</v>
      </c>
      <c r="C537" s="3">
        <v>1997.91666666536</v>
      </c>
      <c r="D537">
        <v>27.8</v>
      </c>
      <c r="E537" s="1">
        <v>35765</v>
      </c>
      <c r="F537" s="2">
        <f>STANDARDIZE(D537,H$21,I$21)</f>
        <v>0.67059983746779361</v>
      </c>
      <c r="U537" s="1"/>
    </row>
    <row r="538" spans="1:21" x14ac:dyDescent="0.3">
      <c r="A538" t="s">
        <v>11</v>
      </c>
      <c r="B538">
        <v>1998</v>
      </c>
      <c r="C538" s="3">
        <v>1997.9999999987201</v>
      </c>
      <c r="D538">
        <v>27.4</v>
      </c>
      <c r="E538" s="1">
        <v>35796</v>
      </c>
      <c r="F538" s="2">
        <f>STANDARDIZE(D538,H$10,I$10)</f>
        <v>0.74592639305898389</v>
      </c>
      <c r="U538" s="1"/>
    </row>
    <row r="539" spans="1:21" x14ac:dyDescent="0.3">
      <c r="A539" t="s">
        <v>10</v>
      </c>
      <c r="B539">
        <v>1998</v>
      </c>
      <c r="C539" s="3">
        <v>1998.08333333208</v>
      </c>
      <c r="D539">
        <v>27.7</v>
      </c>
      <c r="E539" s="1">
        <v>35827</v>
      </c>
      <c r="F539" s="2">
        <f>STANDARDIZE(D539,H$11,I$11)</f>
        <v>1.5550608923321052</v>
      </c>
      <c r="U539" s="1"/>
    </row>
    <row r="540" spans="1:21" x14ac:dyDescent="0.3">
      <c r="A540" t="s">
        <v>9</v>
      </c>
      <c r="B540">
        <v>1998</v>
      </c>
      <c r="C540" s="3">
        <v>1998.1666666654401</v>
      </c>
      <c r="D540">
        <v>27.5</v>
      </c>
      <c r="E540" s="1">
        <v>35855</v>
      </c>
      <c r="F540" s="2">
        <f>STANDARDIZE(D540,H$12,I$12)</f>
        <v>0.46552018328346723</v>
      </c>
      <c r="U540" s="1"/>
    </row>
    <row r="541" spans="1:21" x14ac:dyDescent="0.3">
      <c r="A541" t="s">
        <v>8</v>
      </c>
      <c r="B541">
        <v>1998</v>
      </c>
      <c r="C541" s="3">
        <v>1998.2499999987999</v>
      </c>
      <c r="D541">
        <v>28.4</v>
      </c>
      <c r="E541" s="1">
        <v>35886</v>
      </c>
      <c r="F541" s="2">
        <f>STANDARDIZE(D541,H$13,I$13)</f>
        <v>1.5084037712638081</v>
      </c>
      <c r="U541" s="1"/>
    </row>
    <row r="542" spans="1:21" x14ac:dyDescent="0.3">
      <c r="A542" t="s">
        <v>7</v>
      </c>
      <c r="B542">
        <v>1998</v>
      </c>
      <c r="C542" s="3">
        <v>1998.33333333216</v>
      </c>
      <c r="D542">
        <v>28.5</v>
      </c>
      <c r="E542" s="1">
        <v>35916</v>
      </c>
      <c r="F542" s="2">
        <f>STANDARDIZE(D542,H$14,I$14)</f>
        <v>0.85855638281520286</v>
      </c>
      <c r="U542" s="1"/>
    </row>
    <row r="543" spans="1:21" x14ac:dyDescent="0.3">
      <c r="A543" t="s">
        <v>6</v>
      </c>
      <c r="B543">
        <v>1998</v>
      </c>
      <c r="C543" s="3">
        <v>1998.4166666655201</v>
      </c>
      <c r="D543">
        <v>28.6</v>
      </c>
      <c r="E543" s="1">
        <v>35947</v>
      </c>
      <c r="F543" s="2">
        <f>STANDARDIZE(D543,H$15,I$15)</f>
        <v>0.58169110595798723</v>
      </c>
      <c r="U543" s="1"/>
    </row>
    <row r="544" spans="1:21" x14ac:dyDescent="0.3">
      <c r="A544" t="s">
        <v>5</v>
      </c>
      <c r="B544">
        <v>1998</v>
      </c>
      <c r="C544" s="3">
        <v>1998.49999999888</v>
      </c>
      <c r="D544">
        <v>28.3</v>
      </c>
      <c r="E544" s="1">
        <v>35977</v>
      </c>
      <c r="F544" s="2">
        <f>STANDARDIZE(D544,H$16,I$16)</f>
        <v>0.23720580375166916</v>
      </c>
      <c r="U544" s="1"/>
    </row>
    <row r="545" spans="1:21" x14ac:dyDescent="0.3">
      <c r="A545" t="s">
        <v>4</v>
      </c>
      <c r="B545">
        <v>1998</v>
      </c>
      <c r="C545" s="3">
        <v>1998.58333333224</v>
      </c>
      <c r="D545">
        <v>28.9</v>
      </c>
      <c r="E545" s="1">
        <v>36008</v>
      </c>
      <c r="F545" s="2">
        <f>STANDARDIZE(D545,H$17,I$17)</f>
        <v>1.5149425331727808</v>
      </c>
      <c r="U545" s="1"/>
    </row>
    <row r="546" spans="1:21" x14ac:dyDescent="0.3">
      <c r="A546" t="s">
        <v>3</v>
      </c>
      <c r="B546">
        <v>1998</v>
      </c>
      <c r="C546" s="3">
        <v>1998.6666666655999</v>
      </c>
      <c r="D546">
        <v>28.4</v>
      </c>
      <c r="E546" s="1">
        <v>36039</v>
      </c>
      <c r="F546" s="2">
        <f>STANDARDIZE(D546,H$18,I$18)</f>
        <v>0.41692706249428207</v>
      </c>
      <c r="U546" s="1"/>
    </row>
    <row r="547" spans="1:21" x14ac:dyDescent="0.3">
      <c r="A547" t="s">
        <v>2</v>
      </c>
      <c r="B547">
        <v>1998</v>
      </c>
      <c r="C547" s="3">
        <v>1998.74999999896</v>
      </c>
      <c r="D547">
        <v>28.2</v>
      </c>
      <c r="E547" s="1">
        <v>36069</v>
      </c>
      <c r="F547" s="2">
        <f>STANDARDIZE(D547,H$19,I$19)</f>
        <v>0.59942542846231428</v>
      </c>
      <c r="U547" s="1"/>
    </row>
    <row r="548" spans="1:21" x14ac:dyDescent="0.3">
      <c r="A548" t="s">
        <v>1</v>
      </c>
      <c r="B548">
        <v>1998</v>
      </c>
      <c r="C548" s="3">
        <v>1998.8333333323201</v>
      </c>
      <c r="D548">
        <v>28</v>
      </c>
      <c r="E548" s="1">
        <v>36100</v>
      </c>
      <c r="F548" s="2">
        <f>STANDARDIZE(D548,H$20,I$20)</f>
        <v>0.29862093140746954</v>
      </c>
      <c r="U548" s="1"/>
    </row>
    <row r="549" spans="1:21" x14ac:dyDescent="0.3">
      <c r="A549" t="s">
        <v>0</v>
      </c>
      <c r="B549">
        <v>1998</v>
      </c>
      <c r="C549" s="3">
        <v>1998.9166666656799</v>
      </c>
      <c r="D549">
        <v>27.3</v>
      </c>
      <c r="E549" s="1">
        <v>36130</v>
      </c>
      <c r="F549" s="2">
        <f>STANDARDIZE(D549,H$21,I$21)</f>
        <v>-0.16764995936695137</v>
      </c>
      <c r="U549" s="1"/>
    </row>
    <row r="550" spans="1:21" x14ac:dyDescent="0.3">
      <c r="A550" t="s">
        <v>11</v>
      </c>
      <c r="B550">
        <v>1999</v>
      </c>
      <c r="C550" s="3">
        <v>1998.99999999904</v>
      </c>
      <c r="D550">
        <v>26.8</v>
      </c>
      <c r="E550" s="1">
        <v>36161</v>
      </c>
      <c r="F550" s="2">
        <f>STANDARDIZE(D550,H$10,I$10)</f>
        <v>-0.30192258766674546</v>
      </c>
      <c r="U550" s="1"/>
    </row>
    <row r="551" spans="1:21" x14ac:dyDescent="0.3">
      <c r="A551" t="s">
        <v>10</v>
      </c>
      <c r="B551">
        <v>1999</v>
      </c>
      <c r="C551" s="3">
        <v>1999.0833333323999</v>
      </c>
      <c r="D551">
        <v>26.3</v>
      </c>
      <c r="E551" s="1">
        <v>36192</v>
      </c>
      <c r="F551" s="2">
        <f>STANDARDIZE(D551,H$11,I$11)</f>
        <v>-1.1719769981877</v>
      </c>
      <c r="U551" s="1"/>
    </row>
    <row r="552" spans="1:21" x14ac:dyDescent="0.3">
      <c r="A552" t="s">
        <v>9</v>
      </c>
      <c r="B552">
        <v>1999</v>
      </c>
      <c r="C552" s="3">
        <v>1999.16666666576</v>
      </c>
      <c r="D552">
        <v>27.3</v>
      </c>
      <c r="E552" s="1">
        <v>36220</v>
      </c>
      <c r="F552" s="2">
        <f>STANDARDIZE(D552,H$12,I$12)</f>
        <v>0.11196055040993279</v>
      </c>
      <c r="U552" s="1"/>
    </row>
    <row r="553" spans="1:21" x14ac:dyDescent="0.3">
      <c r="A553" t="s">
        <v>8</v>
      </c>
      <c r="B553">
        <v>1999</v>
      </c>
      <c r="C553" s="3">
        <v>1999.2499999991201</v>
      </c>
      <c r="D553">
        <v>27.8</v>
      </c>
      <c r="E553" s="1">
        <v>36251</v>
      </c>
      <c r="F553" s="2">
        <f>STANDARDIZE(D553,H$13,I$13)</f>
        <v>0.24261039677669438</v>
      </c>
      <c r="U553" s="1"/>
    </row>
    <row r="554" spans="1:21" x14ac:dyDescent="0.3">
      <c r="A554" t="s">
        <v>7</v>
      </c>
      <c r="B554">
        <v>1999</v>
      </c>
      <c r="C554" s="3">
        <v>1999.3333333324799</v>
      </c>
      <c r="D554">
        <v>28.2</v>
      </c>
      <c r="E554" s="1">
        <v>36281</v>
      </c>
      <c r="F554" s="2">
        <f>STANDARDIZE(D554,H$14,I$14)</f>
        <v>5.783022267665789E-2</v>
      </c>
      <c r="U554" s="1"/>
    </row>
    <row r="555" spans="1:21" x14ac:dyDescent="0.3">
      <c r="A555" t="s">
        <v>6</v>
      </c>
      <c r="B555">
        <v>1999</v>
      </c>
      <c r="C555" s="3">
        <v>1999.41666666584</v>
      </c>
      <c r="D555">
        <v>28</v>
      </c>
      <c r="E555" s="1">
        <v>36312</v>
      </c>
      <c r="F555" s="2">
        <f>STANDARDIZE(D555,H$15,I$15)</f>
        <v>-0.83323320583169747</v>
      </c>
      <c r="U555" s="1"/>
    </row>
    <row r="556" spans="1:21" x14ac:dyDescent="0.3">
      <c r="A556" t="s">
        <v>5</v>
      </c>
      <c r="B556">
        <v>1999</v>
      </c>
      <c r="C556" s="3">
        <v>1999.4999999992001</v>
      </c>
      <c r="D556">
        <v>28.1</v>
      </c>
      <c r="E556" s="1">
        <v>36342</v>
      </c>
      <c r="F556" s="2">
        <f>STANDARDIZE(D556,H$16,I$16)</f>
        <v>-0.29986394059170085</v>
      </c>
      <c r="U556" s="1"/>
    </row>
    <row r="557" spans="1:21" x14ac:dyDescent="0.3">
      <c r="A557" t="s">
        <v>4</v>
      </c>
      <c r="B557">
        <v>1999</v>
      </c>
      <c r="C557" s="3">
        <v>1999.58333333256</v>
      </c>
      <c r="D557">
        <v>27.6</v>
      </c>
      <c r="E557" s="1">
        <v>36373</v>
      </c>
      <c r="F557" s="2">
        <f>STANDARDIZE(D557,H$17,I$17)</f>
        <v>-1.2015061469990642</v>
      </c>
      <c r="U557" s="1"/>
    </row>
    <row r="558" spans="1:21" x14ac:dyDescent="0.3">
      <c r="A558" t="s">
        <v>3</v>
      </c>
      <c r="B558">
        <v>1999</v>
      </c>
      <c r="C558" s="3">
        <v>1999.66666666592</v>
      </c>
      <c r="D558">
        <v>27.4</v>
      </c>
      <c r="E558" s="1">
        <v>36404</v>
      </c>
      <c r="F558" s="2">
        <f>STANDARDIZE(D558,H$18,I$18)</f>
        <v>-1.8367327347720799</v>
      </c>
      <c r="U558" s="1"/>
    </row>
    <row r="559" spans="1:21" x14ac:dyDescent="0.3">
      <c r="A559" t="s">
        <v>2</v>
      </c>
      <c r="B559">
        <v>1999</v>
      </c>
      <c r="C559" s="3">
        <v>1999.7499999992799</v>
      </c>
      <c r="D559">
        <v>27.2</v>
      </c>
      <c r="E559" s="1">
        <v>36434</v>
      </c>
      <c r="F559" s="2">
        <f>STANDARDIZE(D559,H$19,I$19)</f>
        <v>-1.4809334114951542</v>
      </c>
      <c r="U559" s="1"/>
    </row>
    <row r="560" spans="1:21" x14ac:dyDescent="0.3">
      <c r="A560" t="s">
        <v>1</v>
      </c>
      <c r="B560">
        <v>1999</v>
      </c>
      <c r="C560" s="3">
        <v>1999.83333333264</v>
      </c>
      <c r="D560">
        <v>27.4</v>
      </c>
      <c r="E560" s="1">
        <v>36465</v>
      </c>
      <c r="F560" s="2">
        <f>STANDARDIZE(D560,H$20,I$20)</f>
        <v>-0.76917512635256757</v>
      </c>
      <c r="U560" s="1"/>
    </row>
    <row r="561" spans="1:21" x14ac:dyDescent="0.3">
      <c r="A561" t="s">
        <v>0</v>
      </c>
      <c r="B561">
        <v>1999</v>
      </c>
      <c r="C561" s="3">
        <v>1999.9166666660001</v>
      </c>
      <c r="D561">
        <v>26.8</v>
      </c>
      <c r="E561" s="1">
        <v>36495</v>
      </c>
      <c r="F561" s="2">
        <f>STANDARDIZE(D561,H$21,I$21)</f>
        <v>-1.0058997562016962</v>
      </c>
      <c r="U561" s="1"/>
    </row>
    <row r="562" spans="1:21" x14ac:dyDescent="0.3">
      <c r="A562" t="s">
        <v>11</v>
      </c>
      <c r="B562">
        <v>2000</v>
      </c>
      <c r="C562" s="3">
        <v>2000</v>
      </c>
      <c r="D562">
        <v>26.1</v>
      </c>
      <c r="E562" s="1">
        <v>36526</v>
      </c>
      <c r="F562" s="2">
        <f>STANDARDIZE(D562,H$10,I$10)</f>
        <v>-1.5244130651800996</v>
      </c>
      <c r="U562" s="1"/>
    </row>
    <row r="563" spans="1:21" x14ac:dyDescent="0.3">
      <c r="A563" t="s">
        <v>10</v>
      </c>
      <c r="B563">
        <v>2000</v>
      </c>
      <c r="C563" s="3">
        <v>2000.0833333333101</v>
      </c>
      <c r="D563">
        <v>26.3</v>
      </c>
      <c r="E563" s="1">
        <v>36557</v>
      </c>
      <c r="F563" s="2">
        <f>STANDARDIZE(D563,H$11,I$11)</f>
        <v>-1.1719769981877</v>
      </c>
      <c r="U563" s="1"/>
    </row>
    <row r="564" spans="1:21" x14ac:dyDescent="0.3">
      <c r="A564" t="s">
        <v>9</v>
      </c>
      <c r="B564">
        <v>2000</v>
      </c>
      <c r="C564" s="3">
        <v>2000.1666666666399</v>
      </c>
      <c r="D564">
        <v>26.4</v>
      </c>
      <c r="E564" s="1">
        <v>36586</v>
      </c>
      <c r="F564" s="2">
        <f>STANDARDIZE(D564,H$12,I$12)</f>
        <v>-1.4790577975209815</v>
      </c>
      <c r="U564" s="1"/>
    </row>
    <row r="565" spans="1:21" x14ac:dyDescent="0.3">
      <c r="A565" t="s">
        <v>8</v>
      </c>
      <c r="B565">
        <v>2000</v>
      </c>
      <c r="C565" s="3">
        <v>2000.24999999997</v>
      </c>
      <c r="D565">
        <v>27.3</v>
      </c>
      <c r="E565" s="1">
        <v>36617</v>
      </c>
      <c r="F565" s="2">
        <f>STANDARDIZE(D565,H$13,I$13)</f>
        <v>-0.81221741529590419</v>
      </c>
      <c r="U565" s="1"/>
    </row>
    <row r="566" spans="1:21" x14ac:dyDescent="0.3">
      <c r="A566" t="s">
        <v>7</v>
      </c>
      <c r="B566">
        <v>2000</v>
      </c>
      <c r="C566" s="3">
        <v>2000.3333333333101</v>
      </c>
      <c r="D566">
        <v>27.9</v>
      </c>
      <c r="E566" s="1">
        <v>36647</v>
      </c>
      <c r="F566" s="2">
        <f>STANDARDIZE(D566,H$14,I$14)</f>
        <v>-0.74289593746188709</v>
      </c>
      <c r="U566" s="1"/>
    </row>
    <row r="567" spans="1:21" x14ac:dyDescent="0.3">
      <c r="A567" t="s">
        <v>6</v>
      </c>
      <c r="B567">
        <v>2000</v>
      </c>
      <c r="C567" s="3">
        <v>2000.4166666666399</v>
      </c>
      <c r="D567">
        <v>28.1</v>
      </c>
      <c r="E567" s="1">
        <v>36678</v>
      </c>
      <c r="F567" s="2">
        <f>STANDARDIZE(D567,H$15,I$15)</f>
        <v>-0.59741248720008056</v>
      </c>
      <c r="U567" s="1"/>
    </row>
    <row r="568" spans="1:21" x14ac:dyDescent="0.3">
      <c r="A568" t="s">
        <v>5</v>
      </c>
      <c r="B568">
        <v>2000</v>
      </c>
      <c r="C568" s="3">
        <v>2000.49999999997</v>
      </c>
      <c r="D568">
        <v>27.8</v>
      </c>
      <c r="E568" s="1">
        <v>36708</v>
      </c>
      <c r="F568" s="2">
        <f>STANDARDIZE(D568,H$16,I$16)</f>
        <v>-1.1054685571067606</v>
      </c>
      <c r="U568" s="1"/>
    </row>
    <row r="569" spans="1:21" x14ac:dyDescent="0.3">
      <c r="A569" t="s">
        <v>4</v>
      </c>
      <c r="B569">
        <v>2000</v>
      </c>
      <c r="C569" s="3">
        <v>2000.5833333333101</v>
      </c>
      <c r="D569">
        <v>28.2</v>
      </c>
      <c r="E569" s="1">
        <v>36739</v>
      </c>
      <c r="F569" s="2">
        <f>STANDARDIZE(D569,H$17,I$17)</f>
        <v>5.2239397695631823E-2</v>
      </c>
      <c r="U569" s="1"/>
    </row>
    <row r="570" spans="1:21" x14ac:dyDescent="0.3">
      <c r="A570" t="s">
        <v>3</v>
      </c>
      <c r="B570">
        <v>2000</v>
      </c>
      <c r="C570" s="3">
        <v>2000.6666666666399</v>
      </c>
      <c r="D570">
        <v>27.7</v>
      </c>
      <c r="E570" s="1">
        <v>36770</v>
      </c>
      <c r="F570" s="2">
        <f>STANDARDIZE(D570,H$18,I$18)</f>
        <v>-1.1606347955921696</v>
      </c>
      <c r="U570" s="1"/>
    </row>
    <row r="571" spans="1:21" x14ac:dyDescent="0.3">
      <c r="A571" t="s">
        <v>2</v>
      </c>
      <c r="B571">
        <v>2000</v>
      </c>
      <c r="C571" s="3">
        <v>2000.74999999997</v>
      </c>
      <c r="D571">
        <v>27.8</v>
      </c>
      <c r="E571" s="1">
        <v>36800</v>
      </c>
      <c r="F571" s="2">
        <f>STANDARDIZE(D571,H$19,I$19)</f>
        <v>-0.23271810752067018</v>
      </c>
      <c r="U571" s="1"/>
    </row>
    <row r="572" spans="1:21" x14ac:dyDescent="0.3">
      <c r="A572" t="s">
        <v>1</v>
      </c>
      <c r="B572">
        <v>2000</v>
      </c>
      <c r="C572" s="3">
        <v>2000.8333333333101</v>
      </c>
      <c r="D572">
        <v>27.7</v>
      </c>
      <c r="E572" s="1">
        <v>36831</v>
      </c>
      <c r="F572" s="2">
        <f>STANDARDIZE(D572,H$20,I$20)</f>
        <v>-0.23527709747254905</v>
      </c>
      <c r="U572" s="1"/>
    </row>
    <row r="573" spans="1:21" x14ac:dyDescent="0.3">
      <c r="A573" t="s">
        <v>0</v>
      </c>
      <c r="B573">
        <v>2000</v>
      </c>
      <c r="C573" s="3">
        <v>2000.9166666666399</v>
      </c>
      <c r="E573" s="1">
        <v>36861</v>
      </c>
      <c r="F573" s="2"/>
      <c r="U573" s="1"/>
    </row>
    <row r="574" spans="1:21" x14ac:dyDescent="0.3">
      <c r="A574" t="s">
        <v>11</v>
      </c>
      <c r="B574">
        <v>2001</v>
      </c>
      <c r="C574" s="3">
        <v>2001</v>
      </c>
      <c r="D574">
        <v>26.9</v>
      </c>
      <c r="E574" s="1">
        <v>36892</v>
      </c>
      <c r="F574" s="2">
        <f>STANDARDIZE(D574,H$10,I$10)</f>
        <v>-0.12728109087912701</v>
      </c>
      <c r="U574" s="1"/>
    </row>
    <row r="575" spans="1:21" x14ac:dyDescent="0.3">
      <c r="A575" t="s">
        <v>10</v>
      </c>
      <c r="B575">
        <v>2001</v>
      </c>
      <c r="C575" s="3">
        <v>2001.0833333333101</v>
      </c>
      <c r="D575">
        <v>26</v>
      </c>
      <c r="E575" s="1">
        <v>36923</v>
      </c>
      <c r="F575" s="2">
        <f>STANDARDIZE(D575,H$11,I$11)</f>
        <v>-1.7563422604419459</v>
      </c>
      <c r="U575" s="1"/>
    </row>
    <row r="576" spans="1:21" x14ac:dyDescent="0.3">
      <c r="A576" t="s">
        <v>9</v>
      </c>
      <c r="B576">
        <v>2001</v>
      </c>
      <c r="C576" s="3">
        <v>2001.1666666666399</v>
      </c>
      <c r="D576">
        <v>26.7</v>
      </c>
      <c r="E576" s="1">
        <v>36951</v>
      </c>
      <c r="F576" s="2">
        <f>STANDARDIZE(D576,H$12,I$12)</f>
        <v>-0.9487183482106768</v>
      </c>
      <c r="U576" s="1"/>
    </row>
    <row r="577" spans="1:21" x14ac:dyDescent="0.3">
      <c r="A577" t="s">
        <v>8</v>
      </c>
      <c r="B577">
        <v>2001</v>
      </c>
      <c r="C577" s="3">
        <v>2001.24999999997</v>
      </c>
      <c r="D577">
        <v>27.3</v>
      </c>
      <c r="E577" s="1">
        <v>36982</v>
      </c>
      <c r="F577" s="2">
        <f>STANDARDIZE(D577,H$13,I$13)</f>
        <v>-0.81221741529590419</v>
      </c>
      <c r="U577" s="1"/>
    </row>
    <row r="578" spans="1:21" x14ac:dyDescent="0.3">
      <c r="A578" t="s">
        <v>7</v>
      </c>
      <c r="B578">
        <v>2001</v>
      </c>
      <c r="C578" s="3">
        <v>2001.3333333333101</v>
      </c>
      <c r="D578">
        <v>28</v>
      </c>
      <c r="E578" s="1">
        <v>37012</v>
      </c>
      <c r="F578" s="2">
        <f>STANDARDIZE(D578,H$14,I$14)</f>
        <v>-0.47598721741570227</v>
      </c>
      <c r="U578" s="1"/>
    </row>
    <row r="579" spans="1:21" x14ac:dyDescent="0.3">
      <c r="A579" t="s">
        <v>6</v>
      </c>
      <c r="B579">
        <v>2001</v>
      </c>
      <c r="C579" s="3">
        <v>2001.4166666666399</v>
      </c>
      <c r="D579">
        <v>28.2</v>
      </c>
      <c r="E579" s="1">
        <v>37043</v>
      </c>
      <c r="F579" s="2">
        <f>STANDARDIZE(D579,H$15,I$15)</f>
        <v>-0.36159176856847203</v>
      </c>
      <c r="U579" s="1"/>
    </row>
    <row r="580" spans="1:21" x14ac:dyDescent="0.3">
      <c r="A580" t="s">
        <v>5</v>
      </c>
      <c r="B580">
        <v>2001</v>
      </c>
      <c r="C580" s="3">
        <v>2001.49999999998</v>
      </c>
      <c r="D580">
        <v>28.3</v>
      </c>
      <c r="E580" s="1">
        <v>37073</v>
      </c>
      <c r="F580" s="2">
        <f>STANDARDIZE(D580,H$16,I$16)</f>
        <v>0.23720580375166916</v>
      </c>
      <c r="U580" s="1"/>
    </row>
    <row r="581" spans="1:21" x14ac:dyDescent="0.3">
      <c r="A581" t="s">
        <v>4</v>
      </c>
      <c r="B581">
        <v>2001</v>
      </c>
      <c r="C581" s="3">
        <v>2001.5833333333101</v>
      </c>
      <c r="D581">
        <v>28.8</v>
      </c>
      <c r="E581" s="1">
        <v>37104</v>
      </c>
      <c r="F581" s="2">
        <f>STANDARDIZE(D581,H$17,I$17)</f>
        <v>1.3059849423903354</v>
      </c>
      <c r="U581" s="1"/>
    </row>
    <row r="582" spans="1:21" x14ac:dyDescent="0.3">
      <c r="A582" t="s">
        <v>3</v>
      </c>
      <c r="B582">
        <v>2001</v>
      </c>
      <c r="C582" s="3">
        <v>2001.6666666666399</v>
      </c>
      <c r="D582">
        <v>28.2</v>
      </c>
      <c r="E582" s="1">
        <v>37135</v>
      </c>
      <c r="F582" s="2">
        <f>STANDARDIZE(D582,H$18,I$18)</f>
        <v>-3.3804896958988702E-2</v>
      </c>
      <c r="U582" s="1"/>
    </row>
    <row r="583" spans="1:21" x14ac:dyDescent="0.3">
      <c r="A583" t="s">
        <v>2</v>
      </c>
      <c r="B583">
        <v>2001</v>
      </c>
      <c r="C583" s="3">
        <v>2001.74999999998</v>
      </c>
      <c r="D583">
        <v>28.1</v>
      </c>
      <c r="E583" s="1">
        <v>37165</v>
      </c>
      <c r="F583" s="2">
        <f>STANDARDIZE(D583,H$19,I$19)</f>
        <v>0.39138954446657193</v>
      </c>
      <c r="U583" s="1"/>
    </row>
    <row r="584" spans="1:21" x14ac:dyDescent="0.3">
      <c r="A584" t="s">
        <v>1</v>
      </c>
      <c r="B584">
        <v>2001</v>
      </c>
      <c r="C584" s="3">
        <v>2001.8333333333101</v>
      </c>
      <c r="D584">
        <v>28.1</v>
      </c>
      <c r="E584" s="1">
        <v>37196</v>
      </c>
      <c r="F584" s="2">
        <f>STANDARDIZE(D584,H$20,I$20)</f>
        <v>0.47658694103414445</v>
      </c>
      <c r="U584" s="1"/>
    </row>
    <row r="585" spans="1:21" x14ac:dyDescent="0.3">
      <c r="A585" t="s">
        <v>0</v>
      </c>
      <c r="B585">
        <v>2001</v>
      </c>
      <c r="C585" s="3">
        <v>2001.9166666666399</v>
      </c>
      <c r="D585">
        <v>27.9</v>
      </c>
      <c r="E585" s="1">
        <v>37226</v>
      </c>
      <c r="F585" s="2">
        <f>STANDARDIZE(D585,H$21,I$21)</f>
        <v>0.83824979683473899</v>
      </c>
      <c r="U585" s="1"/>
    </row>
    <row r="586" spans="1:21" x14ac:dyDescent="0.3">
      <c r="A586" t="s">
        <v>11</v>
      </c>
      <c r="B586">
        <v>2002</v>
      </c>
      <c r="C586" s="3">
        <v>2002</v>
      </c>
      <c r="D586">
        <v>27.7</v>
      </c>
      <c r="E586" s="1">
        <v>37257</v>
      </c>
      <c r="F586" s="2">
        <f>STANDARDIZE(D586,H$10,I$10)</f>
        <v>1.2698508834218516</v>
      </c>
      <c r="U586" s="1"/>
    </row>
    <row r="587" spans="1:21" x14ac:dyDescent="0.3">
      <c r="A587" t="s">
        <v>10</v>
      </c>
      <c r="B587">
        <v>2002</v>
      </c>
      <c r="C587" s="3">
        <v>2002.0833333333101</v>
      </c>
      <c r="D587">
        <v>26.7</v>
      </c>
      <c r="E587" s="1">
        <v>37288</v>
      </c>
      <c r="F587" s="2">
        <f>STANDARDIZE(D587,H$11,I$11)</f>
        <v>-0.39282331518204333</v>
      </c>
      <c r="U587" s="1"/>
    </row>
    <row r="588" spans="1:21" x14ac:dyDescent="0.3">
      <c r="A588" t="s">
        <v>9</v>
      </c>
      <c r="B588">
        <v>2002</v>
      </c>
      <c r="C588" s="3">
        <v>2002.1666666666399</v>
      </c>
      <c r="D588">
        <v>27</v>
      </c>
      <c r="E588" s="1">
        <v>37316</v>
      </c>
      <c r="F588" s="2">
        <f>STANDARDIZE(D588,H$12,I$12)</f>
        <v>-0.418378898900372</v>
      </c>
      <c r="U588" s="1"/>
    </row>
    <row r="589" spans="1:21" x14ac:dyDescent="0.3">
      <c r="A589" t="s">
        <v>8</v>
      </c>
      <c r="B589">
        <v>2002</v>
      </c>
      <c r="C589" s="3">
        <v>2002.24999999998</v>
      </c>
      <c r="D589">
        <v>27.7</v>
      </c>
      <c r="E589" s="1">
        <v>37347</v>
      </c>
      <c r="F589" s="2">
        <f>STANDARDIZE(D589,H$13,I$13)</f>
        <v>3.1644834362171657E-2</v>
      </c>
      <c r="U589" s="1"/>
    </row>
    <row r="590" spans="1:21" x14ac:dyDescent="0.3">
      <c r="A590" t="s">
        <v>7</v>
      </c>
      <c r="B590">
        <v>2002</v>
      </c>
      <c r="C590" s="3">
        <v>2002.3333333333101</v>
      </c>
      <c r="D590">
        <v>28.5</v>
      </c>
      <c r="E590" s="1">
        <v>37377</v>
      </c>
      <c r="F590" s="2">
        <f>STANDARDIZE(D590,H$14,I$14)</f>
        <v>0.85855638281520286</v>
      </c>
      <c r="U590" s="1"/>
    </row>
    <row r="591" spans="1:21" x14ac:dyDescent="0.3">
      <c r="A591" t="s">
        <v>6</v>
      </c>
      <c r="B591">
        <v>2002</v>
      </c>
      <c r="C591" s="3">
        <v>2002.4166666666399</v>
      </c>
      <c r="D591">
        <v>28.7</v>
      </c>
      <c r="E591" s="1">
        <v>37408</v>
      </c>
      <c r="F591" s="2">
        <f>STANDARDIZE(D591,H$15,I$15)</f>
        <v>0.81751182458959581</v>
      </c>
      <c r="U591" s="1"/>
    </row>
    <row r="592" spans="1:21" x14ac:dyDescent="0.3">
      <c r="A592" t="s">
        <v>5</v>
      </c>
      <c r="B592">
        <v>2002</v>
      </c>
      <c r="C592" s="3">
        <v>2002.49999999998</v>
      </c>
      <c r="D592">
        <v>28.4</v>
      </c>
      <c r="E592" s="1">
        <v>37438</v>
      </c>
      <c r="F592" s="2">
        <f>STANDARDIZE(D592,H$16,I$16)</f>
        <v>0.50574067592334937</v>
      </c>
      <c r="U592" s="1"/>
    </row>
    <row r="593" spans="1:21" x14ac:dyDescent="0.3">
      <c r="A593" t="s">
        <v>4</v>
      </c>
      <c r="B593">
        <v>2002</v>
      </c>
      <c r="C593" s="3">
        <v>2002.5833333333101</v>
      </c>
      <c r="D593">
        <v>28.8</v>
      </c>
      <c r="E593" s="1">
        <v>37469</v>
      </c>
      <c r="F593" s="2">
        <f>STANDARDIZE(D593,H$17,I$17)</f>
        <v>1.3059849423903354</v>
      </c>
      <c r="U593" s="1"/>
    </row>
    <row r="594" spans="1:21" x14ac:dyDescent="0.3">
      <c r="A594" t="s">
        <v>3</v>
      </c>
      <c r="B594">
        <v>2002</v>
      </c>
      <c r="C594" s="3">
        <v>2002.6666666666399</v>
      </c>
      <c r="D594">
        <v>28.5</v>
      </c>
      <c r="E594" s="1">
        <v>37500</v>
      </c>
      <c r="F594" s="2">
        <f>STANDARDIZE(D594,H$18,I$18)</f>
        <v>0.64229304222092143</v>
      </c>
      <c r="U594" s="1"/>
    </row>
    <row r="595" spans="1:21" x14ac:dyDescent="0.3">
      <c r="A595" t="s">
        <v>2</v>
      </c>
      <c r="B595">
        <v>2002</v>
      </c>
      <c r="C595" s="3">
        <v>2002.74999999998</v>
      </c>
      <c r="D595">
        <v>28.4</v>
      </c>
      <c r="E595" s="1">
        <v>37530</v>
      </c>
      <c r="F595" s="2">
        <f>STANDARDIZE(D595,H$19,I$19)</f>
        <v>1.0154971964538066</v>
      </c>
      <c r="U595" s="1"/>
    </row>
    <row r="596" spans="1:21" x14ac:dyDescent="0.3">
      <c r="A596" t="s">
        <v>1</v>
      </c>
      <c r="B596">
        <v>2002</v>
      </c>
      <c r="C596" s="3">
        <v>2002.8333333333101</v>
      </c>
      <c r="D596">
        <v>28.3</v>
      </c>
      <c r="E596" s="1">
        <v>37561</v>
      </c>
      <c r="F596" s="2">
        <f>STANDARDIZE(D596,H$20,I$20)</f>
        <v>0.83251896028748806</v>
      </c>
      <c r="U596" s="1"/>
    </row>
    <row r="597" spans="1:21" x14ac:dyDescent="0.3">
      <c r="A597" t="s">
        <v>0</v>
      </c>
      <c r="B597">
        <v>2002</v>
      </c>
      <c r="C597" s="3">
        <v>2002.9166666666399</v>
      </c>
      <c r="D597">
        <v>27.9</v>
      </c>
      <c r="E597" s="1">
        <v>37591</v>
      </c>
      <c r="F597" s="2">
        <f>STANDARDIZE(D597,H$21,I$21)</f>
        <v>0.83824979683473899</v>
      </c>
      <c r="U597" s="1"/>
    </row>
    <row r="598" spans="1:21" x14ac:dyDescent="0.3">
      <c r="A598" t="s">
        <v>11</v>
      </c>
      <c r="B598">
        <v>2003</v>
      </c>
      <c r="C598" s="3">
        <v>2003</v>
      </c>
      <c r="D598">
        <v>27.3</v>
      </c>
      <c r="E598" s="1">
        <v>37622</v>
      </c>
      <c r="F598" s="2">
        <f>STANDARDIZE(D598,H$10,I$10)</f>
        <v>0.57128489627136547</v>
      </c>
      <c r="U598" s="1"/>
    </row>
    <row r="599" spans="1:21" x14ac:dyDescent="0.3">
      <c r="A599" t="s">
        <v>10</v>
      </c>
      <c r="B599">
        <v>2003</v>
      </c>
      <c r="C599" s="3">
        <v>2003.0833333333101</v>
      </c>
      <c r="D599">
        <v>27.4</v>
      </c>
      <c r="E599" s="1">
        <v>37653</v>
      </c>
      <c r="F599" s="2">
        <f>STANDARDIZE(D599,H$11,I$11)</f>
        <v>0.97069563007785931</v>
      </c>
      <c r="U599" s="1"/>
    </row>
    <row r="600" spans="1:21" x14ac:dyDescent="0.3">
      <c r="A600" t="s">
        <v>9</v>
      </c>
      <c r="B600">
        <v>2003</v>
      </c>
      <c r="C600" s="3">
        <v>2003.1666666666499</v>
      </c>
      <c r="D600">
        <v>27.5</v>
      </c>
      <c r="E600" s="1">
        <v>37681</v>
      </c>
      <c r="F600" s="2">
        <f>STANDARDIZE(D600,H$12,I$12)</f>
        <v>0.46552018328346723</v>
      </c>
      <c r="U600" s="1"/>
    </row>
    <row r="601" spans="1:21" x14ac:dyDescent="0.3">
      <c r="A601" t="s">
        <v>8</v>
      </c>
      <c r="B601">
        <v>2003</v>
      </c>
      <c r="C601" s="3">
        <v>2003.24999999998</v>
      </c>
      <c r="D601">
        <v>27.9</v>
      </c>
      <c r="E601" s="1">
        <v>37712</v>
      </c>
      <c r="F601" s="2">
        <f>STANDARDIZE(D601,H$13,I$13)</f>
        <v>0.45357595919120958</v>
      </c>
      <c r="U601" s="1"/>
    </row>
    <row r="602" spans="1:21" x14ac:dyDescent="0.3">
      <c r="A602" t="s">
        <v>7</v>
      </c>
      <c r="B602">
        <v>2003</v>
      </c>
      <c r="C602" s="3">
        <v>2003.3333333333101</v>
      </c>
      <c r="D602">
        <v>28.7</v>
      </c>
      <c r="E602" s="1">
        <v>37742</v>
      </c>
      <c r="F602" s="2">
        <f>STANDARDIZE(D602,H$14,I$14)</f>
        <v>1.3923738229075631</v>
      </c>
      <c r="U602" s="1"/>
    </row>
    <row r="603" spans="1:21" x14ac:dyDescent="0.3">
      <c r="A603" t="s">
        <v>6</v>
      </c>
      <c r="B603">
        <v>2003</v>
      </c>
      <c r="C603" s="3">
        <v>2003.4166666666499</v>
      </c>
      <c r="D603">
        <v>28.3</v>
      </c>
      <c r="E603" s="1">
        <v>37773</v>
      </c>
      <c r="F603" s="2">
        <f>STANDARDIZE(D603,H$15,I$15)</f>
        <v>-0.12577104993685509</v>
      </c>
      <c r="U603" s="1"/>
    </row>
    <row r="604" spans="1:21" x14ac:dyDescent="0.3">
      <c r="A604" t="s">
        <v>5</v>
      </c>
      <c r="B604">
        <v>2003</v>
      </c>
      <c r="C604" s="3">
        <v>2003.49999999998</v>
      </c>
      <c r="D604">
        <v>28.2</v>
      </c>
      <c r="E604" s="1">
        <v>37803</v>
      </c>
      <c r="F604" s="2">
        <f>STANDARDIZE(D604,H$16,I$16)</f>
        <v>-3.1329068420020617E-2</v>
      </c>
      <c r="U604" s="1"/>
    </row>
    <row r="605" spans="1:21" x14ac:dyDescent="0.3">
      <c r="A605" t="s">
        <v>4</v>
      </c>
      <c r="B605">
        <v>2003</v>
      </c>
      <c r="C605" s="3">
        <v>2003.5833333333101</v>
      </c>
      <c r="D605">
        <v>28.4</v>
      </c>
      <c r="E605" s="1">
        <v>37834</v>
      </c>
      <c r="F605" s="2">
        <f>STANDARDIZE(D605,H$17,I$17)</f>
        <v>0.4701545792605305</v>
      </c>
      <c r="U605" s="1"/>
    </row>
    <row r="606" spans="1:21" x14ac:dyDescent="0.3">
      <c r="A606" t="s">
        <v>3</v>
      </c>
      <c r="B606">
        <v>2003</v>
      </c>
      <c r="C606" s="3">
        <v>2003.6666666666499</v>
      </c>
      <c r="D606">
        <v>28.6</v>
      </c>
      <c r="E606" s="1">
        <v>37865</v>
      </c>
      <c r="F606" s="2">
        <f>STANDARDIZE(D606,H$18,I$18)</f>
        <v>0.86765902194756084</v>
      </c>
      <c r="U606" s="1"/>
    </row>
    <row r="607" spans="1:21" x14ac:dyDescent="0.3">
      <c r="A607" t="s">
        <v>2</v>
      </c>
      <c r="B607">
        <v>2003</v>
      </c>
      <c r="C607" s="3">
        <v>2003.74999999998</v>
      </c>
      <c r="D607">
        <v>27.9</v>
      </c>
      <c r="E607" s="1">
        <v>37895</v>
      </c>
      <c r="F607" s="2">
        <f>STANDARDIZE(D607,H$19,I$19)</f>
        <v>-2.468222352492774E-2</v>
      </c>
      <c r="U607" s="1"/>
    </row>
    <row r="608" spans="1:21" x14ac:dyDescent="0.3">
      <c r="A608" t="s">
        <v>1</v>
      </c>
      <c r="B608">
        <v>2003</v>
      </c>
      <c r="C608" s="3">
        <v>2003.8333333333101</v>
      </c>
      <c r="D608">
        <v>28.3</v>
      </c>
      <c r="E608" s="1">
        <v>37926</v>
      </c>
      <c r="F608" s="2">
        <f>STANDARDIZE(D608,H$20,I$20)</f>
        <v>0.83251896028748806</v>
      </c>
      <c r="U608" s="1"/>
    </row>
    <row r="609" spans="1:21" x14ac:dyDescent="0.3">
      <c r="A609" t="s">
        <v>0</v>
      </c>
      <c r="B609">
        <v>2003</v>
      </c>
      <c r="C609" s="3">
        <v>2003.9166666666499</v>
      </c>
      <c r="D609">
        <v>27.8</v>
      </c>
      <c r="E609" s="1">
        <v>37956</v>
      </c>
      <c r="F609" s="2">
        <f>STANDARDIZE(D609,H$21,I$21)</f>
        <v>0.67059983746779361</v>
      </c>
      <c r="U609" s="1"/>
    </row>
    <row r="610" spans="1:21" x14ac:dyDescent="0.3">
      <c r="A610" t="s">
        <v>11</v>
      </c>
      <c r="B610">
        <v>2004</v>
      </c>
      <c r="C610" s="3">
        <v>2004</v>
      </c>
      <c r="D610">
        <v>27</v>
      </c>
      <c r="E610" s="1">
        <v>37987</v>
      </c>
      <c r="F610" s="2">
        <f>STANDARDIZE(D610,H$10,I$10)</f>
        <v>4.7360405908497653E-2</v>
      </c>
      <c r="U610" s="1"/>
    </row>
    <row r="611" spans="1:21" x14ac:dyDescent="0.3">
      <c r="A611" t="s">
        <v>10</v>
      </c>
      <c r="B611">
        <v>2004</v>
      </c>
      <c r="C611" s="3">
        <v>2004.0833333333101</v>
      </c>
      <c r="D611">
        <v>27.4</v>
      </c>
      <c r="E611" s="1">
        <v>38018</v>
      </c>
      <c r="F611" s="2">
        <f>STANDARDIZE(D611,H$11,I$11)</f>
        <v>0.97069563007785931</v>
      </c>
      <c r="U611" s="1"/>
    </row>
    <row r="612" spans="1:21" x14ac:dyDescent="0.3">
      <c r="A612" t="s">
        <v>9</v>
      </c>
      <c r="B612">
        <v>2004</v>
      </c>
      <c r="C612" s="3">
        <v>2004.1666666666499</v>
      </c>
      <c r="D612">
        <v>27.1</v>
      </c>
      <c r="E612" s="1">
        <v>38047</v>
      </c>
      <c r="F612" s="2">
        <f>STANDARDIZE(D612,H$12,I$12)</f>
        <v>-0.24159908246360165</v>
      </c>
      <c r="U612" s="1"/>
    </row>
    <row r="613" spans="1:21" x14ac:dyDescent="0.3">
      <c r="A613" t="s">
        <v>8</v>
      </c>
      <c r="B613">
        <v>2004</v>
      </c>
      <c r="C613" s="3">
        <v>2004.24999999998</v>
      </c>
      <c r="D613">
        <v>27.8</v>
      </c>
      <c r="E613" s="1">
        <v>38078</v>
      </c>
      <c r="F613" s="2">
        <f>STANDARDIZE(D613,H$13,I$13)</f>
        <v>0.24261039677669438</v>
      </c>
      <c r="U613" s="1"/>
    </row>
    <row r="614" spans="1:21" x14ac:dyDescent="0.3">
      <c r="A614" t="s">
        <v>7</v>
      </c>
      <c r="B614">
        <v>2004</v>
      </c>
      <c r="C614" s="3">
        <v>2004.3333333333101</v>
      </c>
      <c r="D614">
        <v>28.2</v>
      </c>
      <c r="E614" s="1">
        <v>38108</v>
      </c>
      <c r="F614" s="2">
        <f>STANDARDIZE(D614,H$14,I$14)</f>
        <v>5.783022267665789E-2</v>
      </c>
      <c r="U614" s="1"/>
    </row>
    <row r="615" spans="1:21" x14ac:dyDescent="0.3">
      <c r="A615" t="s">
        <v>6</v>
      </c>
      <c r="B615">
        <v>2004</v>
      </c>
      <c r="C615" s="3">
        <v>2004.4166666666499</v>
      </c>
      <c r="D615">
        <v>28.5</v>
      </c>
      <c r="E615" s="1">
        <v>38139</v>
      </c>
      <c r="F615" s="2">
        <f>STANDARDIZE(D615,H$15,I$15)</f>
        <v>0.34587038732637038</v>
      </c>
      <c r="U615" s="1"/>
    </row>
    <row r="616" spans="1:21" x14ac:dyDescent="0.3">
      <c r="A616" t="s">
        <v>5</v>
      </c>
      <c r="B616">
        <v>2004</v>
      </c>
      <c r="C616" s="3">
        <v>2004.49999999998</v>
      </c>
      <c r="D616">
        <v>28.2</v>
      </c>
      <c r="E616" s="1">
        <v>38169</v>
      </c>
      <c r="F616" s="2">
        <f>STANDARDIZE(D616,H$16,I$16)</f>
        <v>-3.1329068420020617E-2</v>
      </c>
      <c r="U616" s="1"/>
    </row>
    <row r="617" spans="1:21" x14ac:dyDescent="0.3">
      <c r="A617" t="s">
        <v>4</v>
      </c>
      <c r="B617">
        <v>2004</v>
      </c>
      <c r="C617" s="3">
        <v>2004.5833333333101</v>
      </c>
      <c r="D617">
        <v>28.6</v>
      </c>
      <c r="E617" s="1">
        <v>38200</v>
      </c>
      <c r="F617" s="2">
        <f>STANDARDIZE(D617,H$17,I$17)</f>
        <v>0.88806976082543654</v>
      </c>
      <c r="U617" s="1"/>
    </row>
    <row r="618" spans="1:21" x14ac:dyDescent="0.3">
      <c r="A618" t="s">
        <v>3</v>
      </c>
      <c r="B618">
        <v>2004</v>
      </c>
      <c r="C618" s="3">
        <v>2004.6666666666499</v>
      </c>
      <c r="D618">
        <v>28.3</v>
      </c>
      <c r="E618" s="1">
        <v>38231</v>
      </c>
      <c r="F618" s="2">
        <f>STANDARDIZE(D618,H$18,I$18)</f>
        <v>0.19156108276765069</v>
      </c>
      <c r="U618" s="1"/>
    </row>
    <row r="619" spans="1:21" x14ac:dyDescent="0.3">
      <c r="A619" t="s">
        <v>2</v>
      </c>
      <c r="B619">
        <v>2004</v>
      </c>
      <c r="C619" s="3">
        <v>2004.74999999998</v>
      </c>
      <c r="D619">
        <v>28</v>
      </c>
      <c r="E619" s="1">
        <v>38261</v>
      </c>
      <c r="F619" s="2">
        <f>STANDARDIZE(D619,H$19,I$19)</f>
        <v>0.18335366047082208</v>
      </c>
      <c r="U619" s="1"/>
    </row>
    <row r="620" spans="1:21" x14ac:dyDescent="0.3">
      <c r="A620" t="s">
        <v>1</v>
      </c>
      <c r="B620">
        <v>2004</v>
      </c>
      <c r="C620" s="3">
        <v>2004.8333333333101</v>
      </c>
      <c r="D620">
        <v>27.6</v>
      </c>
      <c r="E620" s="1">
        <v>38292</v>
      </c>
      <c r="F620" s="2">
        <f>STANDARDIZE(D620,H$20,I$20)</f>
        <v>-0.41324310709921769</v>
      </c>
      <c r="U620" s="1"/>
    </row>
    <row r="621" spans="1:21" x14ac:dyDescent="0.3">
      <c r="A621" t="s">
        <v>0</v>
      </c>
      <c r="B621">
        <v>2004</v>
      </c>
      <c r="C621" s="3">
        <v>2004.9166666666499</v>
      </c>
      <c r="D621">
        <v>27.6</v>
      </c>
      <c r="E621" s="1">
        <v>38322</v>
      </c>
      <c r="F621" s="2">
        <f>STANDARDIZE(D621,H$21,I$21)</f>
        <v>0.33529991873389681</v>
      </c>
      <c r="U621" s="1"/>
    </row>
    <row r="622" spans="1:21" x14ac:dyDescent="0.3">
      <c r="A622" t="s">
        <v>11</v>
      </c>
      <c r="B622">
        <v>2005</v>
      </c>
      <c r="C622" s="3">
        <v>2005</v>
      </c>
      <c r="D622">
        <v>27.4</v>
      </c>
      <c r="E622" s="1">
        <v>38353</v>
      </c>
      <c r="F622" s="2">
        <f>STANDARDIZE(D622,H$10,I$10)</f>
        <v>0.74592639305898389</v>
      </c>
      <c r="U622" s="1"/>
    </row>
    <row r="623" spans="1:21" x14ac:dyDescent="0.3">
      <c r="A623" t="s">
        <v>10</v>
      </c>
      <c r="B623">
        <v>2005</v>
      </c>
      <c r="C623" s="3">
        <v>2005.0833333333201</v>
      </c>
      <c r="D623">
        <v>27.3</v>
      </c>
      <c r="E623" s="1">
        <v>38384</v>
      </c>
      <c r="F623" s="2">
        <f>STANDARDIZE(D623,H$11,I$11)</f>
        <v>0.77590720932644863</v>
      </c>
      <c r="U623" s="1"/>
    </row>
    <row r="624" spans="1:21" x14ac:dyDescent="0.3">
      <c r="A624" t="s">
        <v>9</v>
      </c>
      <c r="B624">
        <v>2005</v>
      </c>
      <c r="C624" s="3">
        <v>2005.1666666666499</v>
      </c>
      <c r="D624">
        <v>28.2</v>
      </c>
      <c r="E624" s="1">
        <v>38412</v>
      </c>
      <c r="F624" s="2">
        <f>STANDARDIZE(D624,H$12,I$12)</f>
        <v>1.7029788983408409</v>
      </c>
      <c r="U624" s="1"/>
    </row>
    <row r="625" spans="1:21" x14ac:dyDescent="0.3">
      <c r="A625" t="s">
        <v>8</v>
      </c>
      <c r="B625">
        <v>2005</v>
      </c>
      <c r="C625" s="3">
        <v>2005.24999999998</v>
      </c>
      <c r="D625">
        <v>28.3</v>
      </c>
      <c r="E625" s="1">
        <v>38443</v>
      </c>
      <c r="F625" s="2">
        <f>STANDARDIZE(D625,H$13,I$13)</f>
        <v>1.2974382088492928</v>
      </c>
      <c r="U625" s="1"/>
    </row>
    <row r="626" spans="1:21" x14ac:dyDescent="0.3">
      <c r="A626" t="s">
        <v>7</v>
      </c>
      <c r="B626">
        <v>2005</v>
      </c>
      <c r="C626" s="3">
        <v>2005.3333333333201</v>
      </c>
      <c r="D626">
        <v>28.5</v>
      </c>
      <c r="E626" s="1">
        <v>38473</v>
      </c>
      <c r="F626" s="2">
        <f>STANDARDIZE(D626,H$14,I$14)</f>
        <v>0.85855638281520286</v>
      </c>
      <c r="U626" s="1"/>
    </row>
    <row r="627" spans="1:21" x14ac:dyDescent="0.3">
      <c r="A627" t="s">
        <v>6</v>
      </c>
      <c r="B627">
        <v>2005</v>
      </c>
      <c r="C627" s="3">
        <v>2005.4166666666499</v>
      </c>
      <c r="D627">
        <v>28.8</v>
      </c>
      <c r="E627" s="1">
        <v>38504</v>
      </c>
      <c r="F627" s="2">
        <f>STANDARDIZE(D627,H$15,I$15)</f>
        <v>1.0533325432212126</v>
      </c>
      <c r="U627" s="1"/>
    </row>
    <row r="628" spans="1:21" x14ac:dyDescent="0.3">
      <c r="A628" t="s">
        <v>5</v>
      </c>
      <c r="B628">
        <v>2005</v>
      </c>
      <c r="C628" s="3">
        <v>2005.49999999998</v>
      </c>
      <c r="D628">
        <v>28.7</v>
      </c>
      <c r="E628" s="1">
        <v>38534</v>
      </c>
      <c r="F628" s="2">
        <f>STANDARDIZE(D628,H$16,I$16)</f>
        <v>1.3113452924384092</v>
      </c>
      <c r="U628" s="1"/>
    </row>
    <row r="629" spans="1:21" x14ac:dyDescent="0.3">
      <c r="A629" t="s">
        <v>4</v>
      </c>
      <c r="B629">
        <v>2005</v>
      </c>
      <c r="C629" s="3">
        <v>2005.5833333333201</v>
      </c>
      <c r="D629">
        <v>28.6</v>
      </c>
      <c r="E629" s="1">
        <v>38565</v>
      </c>
      <c r="F629" s="2">
        <f>STANDARDIZE(D629,H$17,I$17)</f>
        <v>0.88806976082543654</v>
      </c>
      <c r="U629" s="1"/>
    </row>
    <row r="630" spans="1:21" x14ac:dyDescent="0.3">
      <c r="A630" t="s">
        <v>3</v>
      </c>
      <c r="B630">
        <v>2005</v>
      </c>
      <c r="C630" s="3">
        <v>2005.6666666666499</v>
      </c>
      <c r="D630">
        <v>28.5</v>
      </c>
      <c r="E630" s="1">
        <v>38596</v>
      </c>
      <c r="F630" s="2">
        <f>STANDARDIZE(D630,H$18,I$18)</f>
        <v>0.64229304222092143</v>
      </c>
      <c r="U630" s="1"/>
    </row>
    <row r="631" spans="1:21" x14ac:dyDescent="0.3">
      <c r="A631" t="s">
        <v>2</v>
      </c>
      <c r="B631">
        <v>2005</v>
      </c>
      <c r="C631" s="3">
        <v>2005.74999999998</v>
      </c>
      <c r="D631">
        <v>27.8</v>
      </c>
      <c r="E631" s="1">
        <v>38626</v>
      </c>
      <c r="F631" s="2">
        <f>STANDARDIZE(D631,H$19,I$19)</f>
        <v>-0.23271810752067018</v>
      </c>
      <c r="U631" s="1"/>
    </row>
    <row r="632" spans="1:21" x14ac:dyDescent="0.3">
      <c r="A632" t="s">
        <v>1</v>
      </c>
      <c r="B632">
        <v>2005</v>
      </c>
      <c r="C632" s="3">
        <v>2005.8333333333201</v>
      </c>
      <c r="D632">
        <v>28</v>
      </c>
      <c r="E632" s="1">
        <v>38657</v>
      </c>
      <c r="F632" s="2">
        <f>STANDARDIZE(D632,H$20,I$20)</f>
        <v>0.29862093140746954</v>
      </c>
      <c r="U632" s="1"/>
    </row>
    <row r="633" spans="1:21" x14ac:dyDescent="0.3">
      <c r="A633" t="s">
        <v>0</v>
      </c>
      <c r="B633">
        <v>2005</v>
      </c>
      <c r="C633" s="3">
        <v>2005.9166666666499</v>
      </c>
      <c r="D633">
        <v>27.5</v>
      </c>
      <c r="E633" s="1">
        <v>38687</v>
      </c>
      <c r="F633" s="2">
        <f>STANDARDIZE(D633,H$21,I$21)</f>
        <v>0.16764995936694543</v>
      </c>
      <c r="U633" s="1"/>
    </row>
    <row r="634" spans="1:21" x14ac:dyDescent="0.3">
      <c r="A634" t="s">
        <v>11</v>
      </c>
      <c r="B634">
        <v>2006</v>
      </c>
      <c r="C634" s="3">
        <v>2006</v>
      </c>
      <c r="D634">
        <v>27.2</v>
      </c>
      <c r="E634" s="1">
        <v>38718</v>
      </c>
      <c r="F634" s="2">
        <f>STANDARDIZE(D634,H$10,I$10)</f>
        <v>0.39664339948374078</v>
      </c>
      <c r="U634" s="1"/>
    </row>
    <row r="635" spans="1:21" x14ac:dyDescent="0.3">
      <c r="A635" t="s">
        <v>10</v>
      </c>
      <c r="B635">
        <v>2006</v>
      </c>
      <c r="C635" s="3">
        <v>2006.0833333333201</v>
      </c>
      <c r="D635">
        <v>26.8</v>
      </c>
      <c r="E635" s="1">
        <v>38749</v>
      </c>
      <c r="F635" s="2">
        <f>STANDARDIZE(D635,H$11,I$11)</f>
        <v>-0.19803489443062569</v>
      </c>
      <c r="U635" s="1"/>
    </row>
    <row r="636" spans="1:21" x14ac:dyDescent="0.3">
      <c r="A636" t="s">
        <v>9</v>
      </c>
      <c r="B636">
        <v>2006</v>
      </c>
      <c r="C636" s="3">
        <v>2006.1666666666499</v>
      </c>
      <c r="D636">
        <v>27.1</v>
      </c>
      <c r="E636" s="1">
        <v>38777</v>
      </c>
      <c r="F636" s="2">
        <f>STANDARDIZE(D636,H$12,I$12)</f>
        <v>-0.24159908246360165</v>
      </c>
      <c r="U636" s="1"/>
    </row>
    <row r="637" spans="1:21" x14ac:dyDescent="0.3">
      <c r="A637" t="s">
        <v>8</v>
      </c>
      <c r="B637">
        <v>2006</v>
      </c>
      <c r="C637" s="3">
        <v>2006.24999999998</v>
      </c>
      <c r="D637">
        <v>27.6</v>
      </c>
      <c r="E637" s="1">
        <v>38808</v>
      </c>
      <c r="F637" s="2">
        <f>STANDARDIZE(D637,H$13,I$13)</f>
        <v>-0.17932072805234356</v>
      </c>
      <c r="U637" s="1"/>
    </row>
    <row r="638" spans="1:21" x14ac:dyDescent="0.3">
      <c r="A638" t="s">
        <v>7</v>
      </c>
      <c r="B638">
        <v>2006</v>
      </c>
      <c r="C638" s="3">
        <v>2006.3333333333201</v>
      </c>
      <c r="D638">
        <v>28.3</v>
      </c>
      <c r="E638" s="1">
        <v>38838</v>
      </c>
      <c r="F638" s="2">
        <f>STANDARDIZE(D638,H$14,I$14)</f>
        <v>0.32473894272284271</v>
      </c>
      <c r="U638" s="1"/>
    </row>
    <row r="639" spans="1:21" x14ac:dyDescent="0.3">
      <c r="A639" t="s">
        <v>6</v>
      </c>
      <c r="B639">
        <v>2006</v>
      </c>
      <c r="C639" s="3">
        <v>2006.4166666666499</v>
      </c>
      <c r="D639">
        <v>28.5</v>
      </c>
      <c r="E639" s="1">
        <v>38869</v>
      </c>
      <c r="F639" s="2">
        <f>STANDARDIZE(D639,H$15,I$15)</f>
        <v>0.34587038732637038</v>
      </c>
      <c r="U639" s="1"/>
    </row>
    <row r="640" spans="1:21" x14ac:dyDescent="0.3">
      <c r="A640" t="s">
        <v>5</v>
      </c>
      <c r="B640">
        <v>2006</v>
      </c>
      <c r="C640" s="3">
        <v>2006.49999999998</v>
      </c>
      <c r="D640">
        <v>28.6</v>
      </c>
      <c r="E640" s="1">
        <v>38899</v>
      </c>
      <c r="F640" s="2">
        <f>STANDARDIZE(D640,H$16,I$16)</f>
        <v>1.042810420266729</v>
      </c>
      <c r="U640" s="1"/>
    </row>
    <row r="641" spans="1:21" x14ac:dyDescent="0.3">
      <c r="A641" t="s">
        <v>4</v>
      </c>
      <c r="B641">
        <v>2006</v>
      </c>
      <c r="C641" s="3">
        <v>2006.5833333333201</v>
      </c>
      <c r="D641">
        <v>28.7</v>
      </c>
      <c r="E641" s="1">
        <v>38930</v>
      </c>
      <c r="F641" s="2">
        <f>STANDARDIZE(D641,H$17,I$17)</f>
        <v>1.0970273516078821</v>
      </c>
      <c r="U641" s="1"/>
    </row>
    <row r="642" spans="1:21" x14ac:dyDescent="0.3">
      <c r="A642" t="s">
        <v>3</v>
      </c>
      <c r="B642">
        <v>2006</v>
      </c>
      <c r="C642" s="3">
        <v>2006.6666666666499</v>
      </c>
      <c r="D642">
        <v>28.5</v>
      </c>
      <c r="E642" s="1">
        <v>38961</v>
      </c>
      <c r="F642" s="2">
        <f>STANDARDIZE(D642,H$18,I$18)</f>
        <v>0.64229304222092143</v>
      </c>
      <c r="U642" s="1"/>
    </row>
    <row r="643" spans="1:21" x14ac:dyDescent="0.3">
      <c r="A643" t="s">
        <v>2</v>
      </c>
      <c r="B643">
        <v>2006</v>
      </c>
      <c r="C643" s="3">
        <v>2006.74999999998</v>
      </c>
      <c r="D643">
        <v>28.4</v>
      </c>
      <c r="E643" s="1">
        <v>38991</v>
      </c>
      <c r="F643" s="2">
        <f>STANDARDIZE(D643,H$19,I$19)</f>
        <v>1.0154971964538066</v>
      </c>
      <c r="U643" s="1"/>
    </row>
    <row r="644" spans="1:21" x14ac:dyDescent="0.3">
      <c r="A644" t="s">
        <v>1</v>
      </c>
      <c r="B644">
        <v>2006</v>
      </c>
      <c r="C644" s="3">
        <v>2006.8333333333201</v>
      </c>
      <c r="D644">
        <v>28.2</v>
      </c>
      <c r="E644" s="1">
        <v>39022</v>
      </c>
      <c r="F644" s="2">
        <f>STANDARDIZE(D644,H$20,I$20)</f>
        <v>0.65455295066081309</v>
      </c>
      <c r="U644" s="1"/>
    </row>
    <row r="645" spans="1:21" x14ac:dyDescent="0.3">
      <c r="A645" t="s">
        <v>0</v>
      </c>
      <c r="B645">
        <v>2006</v>
      </c>
      <c r="C645" s="3">
        <v>2006.9166666666499</v>
      </c>
      <c r="D645">
        <v>27.8</v>
      </c>
      <c r="E645" s="1">
        <v>39052</v>
      </c>
      <c r="F645" s="2">
        <f>STANDARDIZE(D645,H$21,I$21)</f>
        <v>0.67059983746779361</v>
      </c>
      <c r="U645" s="1"/>
    </row>
    <row r="646" spans="1:21" x14ac:dyDescent="0.3">
      <c r="A646" t="s">
        <v>11</v>
      </c>
      <c r="B646">
        <v>2007</v>
      </c>
      <c r="C646" s="3">
        <v>2007</v>
      </c>
      <c r="D646">
        <v>26.9</v>
      </c>
      <c r="E646" s="1">
        <v>39083</v>
      </c>
      <c r="F646" s="2">
        <f>STANDARDIZE(D646,H$10,I$10)</f>
        <v>-0.12728109087912701</v>
      </c>
      <c r="U646" s="1"/>
    </row>
    <row r="647" spans="1:21" x14ac:dyDescent="0.3">
      <c r="A647" t="s">
        <v>10</v>
      </c>
      <c r="B647">
        <v>2007</v>
      </c>
      <c r="C647" s="3">
        <v>2007.0833333333201</v>
      </c>
      <c r="D647">
        <v>27.1</v>
      </c>
      <c r="E647" s="1">
        <v>39114</v>
      </c>
      <c r="F647" s="2">
        <f>STANDARDIZE(D647,H$11,I$11)</f>
        <v>0.38633036782362029</v>
      </c>
      <c r="U647" s="1"/>
    </row>
    <row r="648" spans="1:21" x14ac:dyDescent="0.3">
      <c r="A648" t="s">
        <v>9</v>
      </c>
      <c r="B648">
        <v>2007</v>
      </c>
      <c r="C648" s="3">
        <v>2007.1666666666499</v>
      </c>
      <c r="D648">
        <v>27.4</v>
      </c>
      <c r="E648" s="1">
        <v>39142</v>
      </c>
      <c r="F648" s="2">
        <f>STANDARDIZE(D648,H$12,I$12)</f>
        <v>0.28874036684669685</v>
      </c>
      <c r="U648" s="1"/>
    </row>
    <row r="649" spans="1:21" x14ac:dyDescent="0.3">
      <c r="A649" t="s">
        <v>8</v>
      </c>
      <c r="B649">
        <v>2007</v>
      </c>
      <c r="C649" s="3">
        <v>2007.24999999999</v>
      </c>
      <c r="D649">
        <v>27.8</v>
      </c>
      <c r="E649" s="1">
        <v>39173</v>
      </c>
      <c r="F649" s="2">
        <f>STANDARDIZE(D649,H$13,I$13)</f>
        <v>0.24261039677669438</v>
      </c>
      <c r="U649" s="1"/>
    </row>
    <row r="650" spans="1:21" x14ac:dyDescent="0.3">
      <c r="A650" t="s">
        <v>7</v>
      </c>
      <c r="B650">
        <v>2007</v>
      </c>
      <c r="C650" s="3">
        <v>2007.3333333333201</v>
      </c>
      <c r="D650">
        <v>27.9</v>
      </c>
      <c r="E650" s="1">
        <v>39203</v>
      </c>
      <c r="F650" s="2">
        <f>STANDARDIZE(D650,H$14,I$14)</f>
        <v>-0.74289593746188709</v>
      </c>
      <c r="U650" s="1"/>
    </row>
    <row r="651" spans="1:21" x14ac:dyDescent="0.3">
      <c r="A651" t="s">
        <v>6</v>
      </c>
      <c r="B651">
        <v>2007</v>
      </c>
      <c r="C651" s="3">
        <v>2007.4166666666499</v>
      </c>
      <c r="D651">
        <v>28.7</v>
      </c>
      <c r="E651" s="1">
        <v>39234</v>
      </c>
      <c r="F651" s="2">
        <f>STANDARDIZE(D651,H$15,I$15)</f>
        <v>0.81751182458959581</v>
      </c>
      <c r="U651" s="1"/>
    </row>
    <row r="652" spans="1:21" x14ac:dyDescent="0.3">
      <c r="A652" t="s">
        <v>5</v>
      </c>
      <c r="B652">
        <v>2007</v>
      </c>
      <c r="C652" s="3">
        <v>2007.49999999999</v>
      </c>
      <c r="D652">
        <v>28.4</v>
      </c>
      <c r="E652" s="1">
        <v>39264</v>
      </c>
      <c r="F652" s="2">
        <f>STANDARDIZE(D652,H$16,I$16)</f>
        <v>0.50574067592334937</v>
      </c>
      <c r="U652" s="1"/>
    </row>
    <row r="653" spans="1:21" x14ac:dyDescent="0.3">
      <c r="A653" t="s">
        <v>4</v>
      </c>
      <c r="B653">
        <v>2007</v>
      </c>
      <c r="C653" s="3">
        <v>2007.5833333333201</v>
      </c>
      <c r="D653">
        <v>27.8</v>
      </c>
      <c r="E653" s="1">
        <v>39295</v>
      </c>
      <c r="F653" s="2">
        <f>STANDARDIZE(D653,H$17,I$17)</f>
        <v>-0.78359096543416551</v>
      </c>
      <c r="U653" s="1"/>
    </row>
    <row r="654" spans="1:21" x14ac:dyDescent="0.3">
      <c r="A654" t="s">
        <v>3</v>
      </c>
      <c r="B654">
        <v>2007</v>
      </c>
      <c r="C654" s="3">
        <v>2007.6666666666499</v>
      </c>
      <c r="D654">
        <v>28</v>
      </c>
      <c r="E654" s="1">
        <v>39326</v>
      </c>
      <c r="F654" s="2">
        <f>STANDARDIZE(D654,H$18,I$18)</f>
        <v>-0.48453685641225946</v>
      </c>
      <c r="U654" s="1"/>
    </row>
    <row r="655" spans="1:21" x14ac:dyDescent="0.3">
      <c r="A655" t="s">
        <v>2</v>
      </c>
      <c r="B655">
        <v>2007</v>
      </c>
      <c r="C655" s="3">
        <v>2007.74999999999</v>
      </c>
      <c r="D655">
        <v>27.5</v>
      </c>
      <c r="E655" s="1">
        <v>39356</v>
      </c>
      <c r="F655" s="2">
        <f>STANDARDIZE(D655,H$19,I$19)</f>
        <v>-0.85682575950791229</v>
      </c>
      <c r="U655" s="1"/>
    </row>
    <row r="656" spans="1:21" x14ac:dyDescent="0.3">
      <c r="A656" t="s">
        <v>1</v>
      </c>
      <c r="B656">
        <v>2007</v>
      </c>
      <c r="C656" s="3">
        <v>2007.8333333333201</v>
      </c>
      <c r="D656">
        <v>28.2</v>
      </c>
      <c r="E656" s="1">
        <v>39387</v>
      </c>
      <c r="F656" s="2">
        <f>STANDARDIZE(D656,H$20,I$20)</f>
        <v>0.65455295066081309</v>
      </c>
      <c r="U656" s="1"/>
    </row>
    <row r="657" spans="1:21" x14ac:dyDescent="0.3">
      <c r="A657" t="s">
        <v>0</v>
      </c>
      <c r="B657">
        <v>2007</v>
      </c>
      <c r="C657" s="3">
        <v>2007.9166666666499</v>
      </c>
      <c r="D657">
        <v>27.6</v>
      </c>
      <c r="E657" s="1">
        <v>39417</v>
      </c>
      <c r="F657" s="2">
        <f>STANDARDIZE(D657,H$21,I$21)</f>
        <v>0.33529991873389681</v>
      </c>
      <c r="U657" s="1"/>
    </row>
    <row r="658" spans="1:21" x14ac:dyDescent="0.3">
      <c r="A658" t="s">
        <v>11</v>
      </c>
      <c r="B658">
        <v>2008</v>
      </c>
      <c r="C658" s="3">
        <v>2008</v>
      </c>
      <c r="D658">
        <v>27</v>
      </c>
      <c r="E658" s="1">
        <v>39448</v>
      </c>
      <c r="F658" s="2">
        <f>STANDARDIZE(D658,H$10,I$10)</f>
        <v>4.7360405908497653E-2</v>
      </c>
      <c r="U658" s="1"/>
    </row>
    <row r="659" spans="1:21" x14ac:dyDescent="0.3">
      <c r="A659" t="s">
        <v>10</v>
      </c>
      <c r="B659">
        <v>2008</v>
      </c>
      <c r="C659" s="3">
        <v>2008.0833333333201</v>
      </c>
      <c r="D659">
        <v>26.9</v>
      </c>
      <c r="E659" s="1">
        <v>39479</v>
      </c>
      <c r="F659" s="2">
        <f>STANDARDIZE(D659,H$11,I$11)</f>
        <v>-3.2464736792149761E-3</v>
      </c>
      <c r="U659" s="1"/>
    </row>
    <row r="660" spans="1:21" x14ac:dyDescent="0.3">
      <c r="A660" t="s">
        <v>9</v>
      </c>
      <c r="B660">
        <v>2008</v>
      </c>
      <c r="C660" s="3">
        <v>2008.1666666666499</v>
      </c>
      <c r="D660">
        <v>27</v>
      </c>
      <c r="E660" s="1">
        <v>39508</v>
      </c>
      <c r="F660" s="2">
        <f>STANDARDIZE(D660,H$12,I$12)</f>
        <v>-0.418378898900372</v>
      </c>
      <c r="U660" s="1"/>
    </row>
    <row r="661" spans="1:21" x14ac:dyDescent="0.3">
      <c r="A661" t="s">
        <v>8</v>
      </c>
      <c r="B661">
        <v>2008</v>
      </c>
      <c r="C661" s="3">
        <v>2008.24999999999</v>
      </c>
      <c r="D661">
        <v>27.7</v>
      </c>
      <c r="E661" s="1">
        <v>39539</v>
      </c>
      <c r="F661" s="2">
        <f>STANDARDIZE(D661,H$13,I$13)</f>
        <v>3.1644834362171657E-2</v>
      </c>
      <c r="U661" s="1"/>
    </row>
    <row r="662" spans="1:21" x14ac:dyDescent="0.3">
      <c r="A662" t="s">
        <v>7</v>
      </c>
      <c r="B662">
        <v>2008</v>
      </c>
      <c r="C662" s="3">
        <v>2008.3333333333201</v>
      </c>
      <c r="D662">
        <v>28</v>
      </c>
      <c r="E662" s="1">
        <v>39569</v>
      </c>
      <c r="F662" s="2">
        <f>STANDARDIZE(D662,H$14,I$14)</f>
        <v>-0.47598721741570227</v>
      </c>
      <c r="U662" s="1"/>
    </row>
    <row r="663" spans="1:21" x14ac:dyDescent="0.3">
      <c r="A663" t="s">
        <v>6</v>
      </c>
      <c r="B663">
        <v>2008</v>
      </c>
      <c r="C663" s="3">
        <v>2008.4166666666499</v>
      </c>
      <c r="D663">
        <v>28.2</v>
      </c>
      <c r="E663" s="1">
        <v>39600</v>
      </c>
      <c r="F663" s="2">
        <f>STANDARDIZE(D663,H$15,I$15)</f>
        <v>-0.36159176856847203</v>
      </c>
      <c r="U663" s="1"/>
    </row>
    <row r="664" spans="1:21" x14ac:dyDescent="0.3">
      <c r="A664" t="s">
        <v>5</v>
      </c>
      <c r="B664">
        <v>2008</v>
      </c>
      <c r="C664" s="3">
        <v>2008.49999999999</v>
      </c>
      <c r="D664">
        <v>28</v>
      </c>
      <c r="E664" s="1">
        <v>39630</v>
      </c>
      <c r="F664" s="2">
        <f>STANDARDIZE(D664,H$16,I$16)</f>
        <v>-0.56839881276339066</v>
      </c>
      <c r="U664" s="1"/>
    </row>
    <row r="665" spans="1:21" x14ac:dyDescent="0.3">
      <c r="A665" t="s">
        <v>4</v>
      </c>
      <c r="B665">
        <v>2008</v>
      </c>
      <c r="C665" s="3">
        <v>2008.5833333333201</v>
      </c>
      <c r="D665">
        <v>27.8</v>
      </c>
      <c r="E665" s="1">
        <v>39661</v>
      </c>
      <c r="F665" s="2">
        <f>STANDARDIZE(D665,H$17,I$17)</f>
        <v>-0.78359096543416551</v>
      </c>
      <c r="U665" s="1"/>
    </row>
    <row r="666" spans="1:21" x14ac:dyDescent="0.3">
      <c r="A666" t="s">
        <v>3</v>
      </c>
      <c r="B666">
        <v>2008</v>
      </c>
      <c r="C666" s="3">
        <v>2008.6666666666599</v>
      </c>
      <c r="D666">
        <v>28.2</v>
      </c>
      <c r="E666" s="1">
        <v>39692</v>
      </c>
      <c r="F666" s="2">
        <f>STANDARDIZE(D666,H$18,I$18)</f>
        <v>-3.3804896958988702E-2</v>
      </c>
      <c r="U666" s="1"/>
    </row>
    <row r="667" spans="1:21" x14ac:dyDescent="0.3">
      <c r="A667" t="s">
        <v>2</v>
      </c>
      <c r="B667">
        <v>2008</v>
      </c>
      <c r="C667" s="3">
        <v>2008.74999999999</v>
      </c>
      <c r="D667">
        <v>28</v>
      </c>
      <c r="E667" s="1">
        <v>39722</v>
      </c>
      <c r="F667" s="2">
        <f>STANDARDIZE(D667,H$19,I$19)</f>
        <v>0.18335366047082208</v>
      </c>
      <c r="U667" s="1"/>
    </row>
    <row r="668" spans="1:21" x14ac:dyDescent="0.3">
      <c r="A668" t="s">
        <v>1</v>
      </c>
      <c r="B668">
        <v>2008</v>
      </c>
      <c r="C668" s="3">
        <v>2008.8333333333201</v>
      </c>
      <c r="D668">
        <v>27.7</v>
      </c>
      <c r="E668" s="1">
        <v>39753</v>
      </c>
      <c r="F668" s="2">
        <f>STANDARDIZE(D668,H$20,I$20)</f>
        <v>-0.23527709747254905</v>
      </c>
      <c r="U668" s="1"/>
    </row>
    <row r="669" spans="1:21" x14ac:dyDescent="0.3">
      <c r="A669" t="s">
        <v>0</v>
      </c>
      <c r="B669">
        <v>2008</v>
      </c>
      <c r="C669" s="3">
        <v>2008.9166666666599</v>
      </c>
      <c r="D669">
        <v>27.1</v>
      </c>
      <c r="E669" s="1">
        <v>39783</v>
      </c>
      <c r="F669" s="2">
        <f>STANDARDIZE(D669,H$21,I$21)</f>
        <v>-0.50294987810084812</v>
      </c>
      <c r="U669" s="1"/>
    </row>
    <row r="670" spans="1:21" x14ac:dyDescent="0.3">
      <c r="A670" t="s">
        <v>11</v>
      </c>
      <c r="B670">
        <v>2009</v>
      </c>
      <c r="C670" s="3">
        <v>2009</v>
      </c>
      <c r="D670">
        <v>26.7</v>
      </c>
      <c r="E670" s="1">
        <v>39814</v>
      </c>
      <c r="F670" s="2">
        <f>STANDARDIZE(D670,H$10,I$10)</f>
        <v>-0.4765640844543701</v>
      </c>
      <c r="U670" s="1"/>
    </row>
    <row r="671" spans="1:21" x14ac:dyDescent="0.3">
      <c r="A671" t="s">
        <v>10</v>
      </c>
      <c r="B671">
        <v>2009</v>
      </c>
      <c r="C671" s="3">
        <v>2009.0833333333201</v>
      </c>
      <c r="D671">
        <v>27</v>
      </c>
      <c r="E671" s="1">
        <v>39845</v>
      </c>
      <c r="F671" s="2">
        <f>STANDARDIZE(D671,H$11,I$11)</f>
        <v>0.19154194707220265</v>
      </c>
      <c r="U671" s="1"/>
    </row>
    <row r="672" spans="1:21" x14ac:dyDescent="0.3">
      <c r="A672" t="s">
        <v>9</v>
      </c>
      <c r="B672">
        <v>2009</v>
      </c>
      <c r="C672" s="3">
        <v>2009.1666666666599</v>
      </c>
      <c r="D672">
        <v>27.4</v>
      </c>
      <c r="E672" s="1">
        <v>39873</v>
      </c>
      <c r="F672" s="2">
        <f>STANDARDIZE(D672,H$12,I$12)</f>
        <v>0.28874036684669685</v>
      </c>
      <c r="U672" s="1"/>
    </row>
    <row r="673" spans="1:21" x14ac:dyDescent="0.3">
      <c r="A673" t="s">
        <v>8</v>
      </c>
      <c r="B673">
        <v>2009</v>
      </c>
      <c r="C673" s="3">
        <v>2009.24999999999</v>
      </c>
      <c r="D673">
        <v>28</v>
      </c>
      <c r="E673" s="1">
        <v>39904</v>
      </c>
      <c r="F673" s="2">
        <f>STANDARDIZE(D673,H$13,I$13)</f>
        <v>0.66454152160573232</v>
      </c>
      <c r="U673" s="1"/>
    </row>
    <row r="674" spans="1:21" x14ac:dyDescent="0.3">
      <c r="A674" t="s">
        <v>7</v>
      </c>
      <c r="B674">
        <v>2009</v>
      </c>
      <c r="C674" s="3">
        <v>2009.3333333333201</v>
      </c>
      <c r="D674">
        <v>28.7</v>
      </c>
      <c r="E674" s="1">
        <v>39934</v>
      </c>
      <c r="F674" s="2">
        <f>STANDARDIZE(D674,H$14,I$14)</f>
        <v>1.3923738229075631</v>
      </c>
      <c r="U674" s="1"/>
    </row>
    <row r="675" spans="1:21" x14ac:dyDescent="0.3">
      <c r="A675" t="s">
        <v>6</v>
      </c>
      <c r="B675">
        <v>2009</v>
      </c>
      <c r="C675" s="3">
        <v>2009.4166666666599</v>
      </c>
      <c r="D675">
        <v>28.6</v>
      </c>
      <c r="E675" s="1">
        <v>39965</v>
      </c>
      <c r="F675" s="2">
        <f>STANDARDIZE(D675,H$15,I$15)</f>
        <v>0.58169110595798723</v>
      </c>
      <c r="U675" s="1"/>
    </row>
    <row r="676" spans="1:21" x14ac:dyDescent="0.3">
      <c r="A676" t="s">
        <v>5</v>
      </c>
      <c r="B676">
        <v>2009</v>
      </c>
      <c r="C676" s="3">
        <v>2009.49999999999</v>
      </c>
      <c r="D676">
        <v>28.8</v>
      </c>
      <c r="E676" s="1">
        <v>39995</v>
      </c>
      <c r="F676" s="2">
        <f>STANDARDIZE(D676,H$16,I$16)</f>
        <v>1.5798801646100991</v>
      </c>
      <c r="U676" s="1"/>
    </row>
    <row r="677" spans="1:21" x14ac:dyDescent="0.3">
      <c r="A677" t="s">
        <v>4</v>
      </c>
      <c r="B677">
        <v>2009</v>
      </c>
      <c r="C677" s="3">
        <v>2009.5833333333201</v>
      </c>
      <c r="D677">
        <v>28.6</v>
      </c>
      <c r="E677" s="1">
        <v>40026</v>
      </c>
      <c r="F677" s="2">
        <f>STANDARDIZE(D677,H$17,I$17)</f>
        <v>0.88806976082543654</v>
      </c>
      <c r="U677" s="1"/>
    </row>
    <row r="678" spans="1:21" x14ac:dyDescent="0.3">
      <c r="A678" t="s">
        <v>3</v>
      </c>
      <c r="B678">
        <v>2009</v>
      </c>
      <c r="C678" s="3">
        <v>2009.6666666666599</v>
      </c>
      <c r="D678">
        <v>29</v>
      </c>
      <c r="E678" s="1">
        <v>40057</v>
      </c>
      <c r="F678" s="2">
        <f>STANDARDIZE(D678,H$18,I$18)</f>
        <v>1.7691229408541025</v>
      </c>
      <c r="U678" s="1"/>
    </row>
    <row r="679" spans="1:21" x14ac:dyDescent="0.3">
      <c r="A679" t="s">
        <v>2</v>
      </c>
      <c r="B679">
        <v>2009</v>
      </c>
      <c r="C679" s="3">
        <v>2009.74999999999</v>
      </c>
      <c r="D679">
        <v>28.3</v>
      </c>
      <c r="E679" s="1">
        <v>40087</v>
      </c>
      <c r="F679" s="2">
        <f>STANDARDIZE(D679,H$19,I$19)</f>
        <v>0.80746131245806418</v>
      </c>
      <c r="U679" s="1"/>
    </row>
    <row r="680" spans="1:21" x14ac:dyDescent="0.3">
      <c r="A680" t="s">
        <v>1</v>
      </c>
      <c r="B680">
        <v>2009</v>
      </c>
      <c r="C680" s="3">
        <v>2009.8333333333201</v>
      </c>
      <c r="D680">
        <v>28.5</v>
      </c>
      <c r="E680" s="1">
        <v>40118</v>
      </c>
      <c r="F680" s="2">
        <f>STANDARDIZE(D680,H$20,I$20)</f>
        <v>1.1884509795408318</v>
      </c>
      <c r="U680" s="1"/>
    </row>
    <row r="681" spans="1:21" x14ac:dyDescent="0.3">
      <c r="A681" t="s">
        <v>0</v>
      </c>
      <c r="B681">
        <v>2009</v>
      </c>
      <c r="C681" s="3">
        <v>2009.9166666666599</v>
      </c>
      <c r="D681">
        <v>28.4</v>
      </c>
      <c r="E681" s="1">
        <v>40148</v>
      </c>
      <c r="F681" s="2">
        <f>STANDARDIZE(D681,H$21,I$21)</f>
        <v>1.676499593669484</v>
      </c>
      <c r="U681" s="1"/>
    </row>
    <row r="682" spans="1:21" x14ac:dyDescent="0.3">
      <c r="A682" t="s">
        <v>11</v>
      </c>
      <c r="B682">
        <v>2010</v>
      </c>
      <c r="C682" s="3">
        <v>2010</v>
      </c>
      <c r="D682">
        <v>27.9</v>
      </c>
      <c r="E682" s="1">
        <v>40179</v>
      </c>
      <c r="F682" s="2">
        <f>STANDARDIZE(D682,H$10,I$10)</f>
        <v>1.6191338769970949</v>
      </c>
      <c r="U682" s="1"/>
    </row>
    <row r="683" spans="1:21" x14ac:dyDescent="0.3">
      <c r="A683" t="s">
        <v>10</v>
      </c>
      <c r="B683">
        <v>2010</v>
      </c>
      <c r="C683" s="3">
        <v>2010.0833333333201</v>
      </c>
      <c r="D683">
        <v>28</v>
      </c>
      <c r="E683" s="1">
        <v>40210</v>
      </c>
      <c r="F683" s="2">
        <f>STANDARDIZE(D683,H$11,I$11)</f>
        <v>2.1394261545863511</v>
      </c>
      <c r="U683" s="1"/>
    </row>
    <row r="684" spans="1:21" x14ac:dyDescent="0.3">
      <c r="A684" t="s">
        <v>9</v>
      </c>
      <c r="B684">
        <v>2010</v>
      </c>
      <c r="C684" s="3">
        <v>2010.1666666666599</v>
      </c>
      <c r="D684">
        <v>28.6</v>
      </c>
      <c r="E684" s="1">
        <v>40238</v>
      </c>
      <c r="F684" s="2">
        <f>STANDARDIZE(D684,H$12,I$12)</f>
        <v>2.4100981640879162</v>
      </c>
      <c r="U684" s="1"/>
    </row>
    <row r="685" spans="1:21" x14ac:dyDescent="0.3">
      <c r="A685" t="s">
        <v>8</v>
      </c>
      <c r="B685">
        <v>2010</v>
      </c>
      <c r="C685" s="3">
        <v>2010.24999999999</v>
      </c>
      <c r="D685">
        <v>28.8</v>
      </c>
      <c r="E685" s="1">
        <v>40269</v>
      </c>
      <c r="F685" s="2">
        <f>STANDARDIZE(D685,H$13,I$13)</f>
        <v>2.3522660209218915</v>
      </c>
      <c r="U685" s="1"/>
    </row>
    <row r="686" spans="1:21" x14ac:dyDescent="0.3">
      <c r="A686" t="s">
        <v>7</v>
      </c>
      <c r="B686">
        <v>2010</v>
      </c>
      <c r="C686" s="3">
        <v>2010.3333333333201</v>
      </c>
      <c r="D686">
        <v>29</v>
      </c>
      <c r="E686" s="1">
        <v>40299</v>
      </c>
      <c r="F686" s="2">
        <f>STANDARDIZE(D686,H$14,I$14)</f>
        <v>2.1930999830461082</v>
      </c>
      <c r="U686" s="1"/>
    </row>
    <row r="687" spans="1:21" x14ac:dyDescent="0.3">
      <c r="A687" t="s">
        <v>6</v>
      </c>
      <c r="B687">
        <v>2010</v>
      </c>
      <c r="C687" s="3">
        <v>2010.4166666666599</v>
      </c>
      <c r="D687">
        <v>28.7</v>
      </c>
      <c r="E687" s="1">
        <v>40330</v>
      </c>
      <c r="F687" s="2">
        <f>STANDARDIZE(D687,H$15,I$15)</f>
        <v>0.81751182458959581</v>
      </c>
      <c r="U687" s="1"/>
    </row>
    <row r="688" spans="1:21" x14ac:dyDescent="0.3">
      <c r="A688" t="s">
        <v>5</v>
      </c>
      <c r="B688">
        <v>2010</v>
      </c>
      <c r="C688" s="3">
        <v>2010.49999999999</v>
      </c>
      <c r="D688">
        <v>28.1</v>
      </c>
      <c r="E688" s="1">
        <v>40360</v>
      </c>
      <c r="F688" s="2">
        <f>STANDARDIZE(D688,H$16,I$16)</f>
        <v>-0.29986394059170085</v>
      </c>
      <c r="U688" s="1"/>
    </row>
    <row r="689" spans="1:21" x14ac:dyDescent="0.3">
      <c r="A689" t="s">
        <v>4</v>
      </c>
      <c r="B689">
        <v>2010</v>
      </c>
      <c r="C689" s="3">
        <v>2010.5833333333301</v>
      </c>
      <c r="D689">
        <v>28.1</v>
      </c>
      <c r="E689" s="1">
        <v>40391</v>
      </c>
      <c r="F689" s="2">
        <f>STANDARDIZE(D689,H$17,I$17)</f>
        <v>-0.15671819308681381</v>
      </c>
      <c r="U689" s="1"/>
    </row>
    <row r="690" spans="1:21" x14ac:dyDescent="0.3">
      <c r="A690" t="s">
        <v>3</v>
      </c>
      <c r="B690">
        <v>2010</v>
      </c>
      <c r="C690" s="3">
        <v>2010.6666666666599</v>
      </c>
      <c r="D690">
        <v>28.2</v>
      </c>
      <c r="E690" s="1">
        <v>40422</v>
      </c>
      <c r="F690" s="2">
        <f>STANDARDIZE(D690,H$18,I$18)</f>
        <v>-3.3804896958988702E-2</v>
      </c>
      <c r="U690" s="1"/>
    </row>
    <row r="691" spans="1:21" x14ac:dyDescent="0.3">
      <c r="A691" t="s">
        <v>2</v>
      </c>
      <c r="B691">
        <v>2010</v>
      </c>
      <c r="C691" s="3">
        <v>2010.74999999999</v>
      </c>
      <c r="D691">
        <v>27.9</v>
      </c>
      <c r="E691" s="1">
        <v>40452</v>
      </c>
      <c r="F691" s="2">
        <f>STANDARDIZE(D691,H$19,I$19)</f>
        <v>-2.468222352492774E-2</v>
      </c>
      <c r="U691" s="1"/>
    </row>
    <row r="692" spans="1:21" x14ac:dyDescent="0.3">
      <c r="A692" t="s">
        <v>1</v>
      </c>
      <c r="B692">
        <v>2010</v>
      </c>
      <c r="C692" s="3">
        <v>2010.8333333333301</v>
      </c>
      <c r="D692">
        <v>27.1</v>
      </c>
      <c r="E692" s="1">
        <v>40483</v>
      </c>
      <c r="F692" s="2">
        <f>STANDARDIZE(D692,H$20,I$20)</f>
        <v>-1.3030731552325798</v>
      </c>
      <c r="U692" s="1"/>
    </row>
    <row r="693" spans="1:21" x14ac:dyDescent="0.3">
      <c r="A693" t="s">
        <v>0</v>
      </c>
      <c r="B693">
        <v>2010</v>
      </c>
      <c r="C693" s="3">
        <v>2010.9166666666599</v>
      </c>
      <c r="D693">
        <v>27.2</v>
      </c>
      <c r="E693" s="1">
        <v>40513</v>
      </c>
      <c r="F693" s="2">
        <f>STANDARDIZE(D693,H$21,I$21)</f>
        <v>-0.33529991873390275</v>
      </c>
      <c r="U693" s="1"/>
    </row>
    <row r="694" spans="1:21" x14ac:dyDescent="0.3">
      <c r="A694" t="s">
        <v>11</v>
      </c>
      <c r="B694">
        <v>2011</v>
      </c>
      <c r="C694" s="3">
        <v>2011</v>
      </c>
      <c r="E694" s="1">
        <v>40544</v>
      </c>
      <c r="F694" s="2"/>
      <c r="U694" s="1"/>
    </row>
    <row r="695" spans="1:21" x14ac:dyDescent="0.3">
      <c r="A695" t="s">
        <v>10</v>
      </c>
      <c r="B695">
        <v>2011</v>
      </c>
      <c r="C695" s="3">
        <v>2011.0833333333301</v>
      </c>
      <c r="D695">
        <v>27.1</v>
      </c>
      <c r="E695" s="1">
        <v>40575</v>
      </c>
      <c r="F695" s="2">
        <f>STANDARDIZE(D695,H$11,I$11)</f>
        <v>0.38633036782362029</v>
      </c>
      <c r="U695" s="1"/>
    </row>
    <row r="696" spans="1:21" x14ac:dyDescent="0.3">
      <c r="A696" t="s">
        <v>9</v>
      </c>
      <c r="B696">
        <v>2011</v>
      </c>
      <c r="C696" s="3">
        <v>2011.1666666666599</v>
      </c>
      <c r="D696">
        <v>27.3</v>
      </c>
      <c r="E696" s="1">
        <v>40603</v>
      </c>
      <c r="F696" s="2">
        <f>STANDARDIZE(D696,H$12,I$12)</f>
        <v>0.11196055040993279</v>
      </c>
      <c r="U696" s="1"/>
    </row>
    <row r="697" spans="1:21" x14ac:dyDescent="0.3">
      <c r="A697" t="s">
        <v>8</v>
      </c>
      <c r="B697">
        <v>2011</v>
      </c>
      <c r="C697" s="3">
        <v>2011.24999999999</v>
      </c>
      <c r="D697">
        <v>28</v>
      </c>
      <c r="E697" s="1">
        <v>40634</v>
      </c>
      <c r="F697" s="2">
        <f>STANDARDIZE(D697,H$13,I$13)</f>
        <v>0.66454152160573232</v>
      </c>
      <c r="U697" s="1"/>
    </row>
    <row r="698" spans="1:21" x14ac:dyDescent="0.3">
      <c r="A698" t="s">
        <v>7</v>
      </c>
      <c r="B698">
        <v>2011</v>
      </c>
      <c r="C698" s="3">
        <v>2011.3333333333301</v>
      </c>
      <c r="D698">
        <v>28.3</v>
      </c>
      <c r="E698" s="1">
        <v>40664</v>
      </c>
      <c r="F698" s="2">
        <f>STANDARDIZE(D698,H$14,I$14)</f>
        <v>0.32473894272284271</v>
      </c>
      <c r="U698" s="1"/>
    </row>
    <row r="699" spans="1:21" x14ac:dyDescent="0.3">
      <c r="A699" t="s">
        <v>6</v>
      </c>
      <c r="B699">
        <v>2011</v>
      </c>
      <c r="C699" s="3">
        <v>2011.4166666666599</v>
      </c>
      <c r="D699">
        <v>28.6</v>
      </c>
      <c r="E699" s="1">
        <v>40695</v>
      </c>
      <c r="F699" s="2">
        <f>STANDARDIZE(D699,H$15,I$15)</f>
        <v>0.58169110595798723</v>
      </c>
      <c r="U699" s="1"/>
    </row>
    <row r="700" spans="1:21" x14ac:dyDescent="0.3">
      <c r="A700" t="s">
        <v>5</v>
      </c>
      <c r="B700">
        <v>2011</v>
      </c>
      <c r="C700" s="3">
        <v>2011.49999999999</v>
      </c>
      <c r="D700">
        <v>28.1</v>
      </c>
      <c r="E700" s="1">
        <v>40725</v>
      </c>
      <c r="F700" s="2">
        <f>STANDARDIZE(D700,H$16,I$16)</f>
        <v>-0.29986394059170085</v>
      </c>
      <c r="U700" s="1"/>
    </row>
    <row r="701" spans="1:21" x14ac:dyDescent="0.3">
      <c r="A701" t="s">
        <v>4</v>
      </c>
      <c r="B701">
        <v>2011</v>
      </c>
      <c r="C701" s="3">
        <v>2011.5833333333301</v>
      </c>
      <c r="D701">
        <v>28.1</v>
      </c>
      <c r="E701" s="1">
        <v>40756</v>
      </c>
      <c r="F701" s="2">
        <f>STANDARDIZE(D701,H$17,I$17)</f>
        <v>-0.15671819308681381</v>
      </c>
      <c r="U701" s="1"/>
    </row>
    <row r="702" spans="1:21" x14ac:dyDescent="0.3">
      <c r="A702" t="s">
        <v>3</v>
      </c>
      <c r="B702">
        <v>2011</v>
      </c>
      <c r="C702" s="3">
        <v>2011.6666666666599</v>
      </c>
      <c r="D702">
        <v>28.2</v>
      </c>
      <c r="E702" s="1">
        <v>40787</v>
      </c>
      <c r="F702" s="2">
        <f>STANDARDIZE(D702,H$18,I$18)</f>
        <v>-3.3804896958988702E-2</v>
      </c>
      <c r="U702" s="1"/>
    </row>
    <row r="703" spans="1:21" x14ac:dyDescent="0.3">
      <c r="A703" t="s">
        <v>2</v>
      </c>
      <c r="B703">
        <v>2011</v>
      </c>
      <c r="C703" s="3">
        <v>2011.74999999999</v>
      </c>
      <c r="D703">
        <v>27.3</v>
      </c>
      <c r="E703" s="1">
        <v>40817</v>
      </c>
      <c r="F703" s="2">
        <f>STANDARDIZE(D703,H$19,I$19)</f>
        <v>-1.2728975274994045</v>
      </c>
      <c r="U703" s="1"/>
    </row>
    <row r="704" spans="1:21" x14ac:dyDescent="0.3">
      <c r="A704" t="s">
        <v>1</v>
      </c>
      <c r="B704">
        <v>2011</v>
      </c>
      <c r="C704" s="3">
        <v>2011.8333333333301</v>
      </c>
      <c r="D704">
        <v>27.3</v>
      </c>
      <c r="E704" s="1">
        <v>40848</v>
      </c>
      <c r="F704" s="2">
        <f>STANDARDIZE(D704,H$20,I$20)</f>
        <v>-0.94714113597923622</v>
      </c>
      <c r="U704" s="1"/>
    </row>
    <row r="705" spans="1:21" x14ac:dyDescent="0.3">
      <c r="A705" t="s">
        <v>0</v>
      </c>
      <c r="B705">
        <v>2011</v>
      </c>
      <c r="C705" s="3">
        <v>2011.9166666666599</v>
      </c>
      <c r="D705">
        <v>27.1</v>
      </c>
      <c r="E705" s="1">
        <v>40878</v>
      </c>
      <c r="F705" s="2">
        <f>STANDARDIZE(D705,H$21,I$21)</f>
        <v>-0.50294987810084812</v>
      </c>
      <c r="U705" s="1"/>
    </row>
    <row r="706" spans="1:21" x14ac:dyDescent="0.3">
      <c r="A706" t="s">
        <v>11</v>
      </c>
      <c r="B706">
        <v>2012</v>
      </c>
      <c r="C706" s="3">
        <v>2012</v>
      </c>
      <c r="D706">
        <v>26.9</v>
      </c>
      <c r="E706" s="1">
        <v>40909</v>
      </c>
      <c r="F706" s="2">
        <f>STANDARDIZE(D706,H$10,I$10)</f>
        <v>-0.12728109087912701</v>
      </c>
      <c r="U706" s="1"/>
    </row>
    <row r="707" spans="1:21" x14ac:dyDescent="0.3">
      <c r="A707" t="s">
        <v>10</v>
      </c>
      <c r="B707">
        <v>2012</v>
      </c>
      <c r="C707" s="3">
        <v>2012.0833333333301</v>
      </c>
      <c r="D707">
        <v>26.7</v>
      </c>
      <c r="E707" s="1">
        <v>40940</v>
      </c>
      <c r="F707" s="2">
        <f>STANDARDIZE(D707,H$11,I$11)</f>
        <v>-0.39282331518204333</v>
      </c>
      <c r="U707" s="1"/>
    </row>
    <row r="708" spans="1:21" x14ac:dyDescent="0.3">
      <c r="A708" t="s">
        <v>9</v>
      </c>
      <c r="B708">
        <v>2012</v>
      </c>
      <c r="C708" s="3">
        <v>2012.1666666666599</v>
      </c>
      <c r="D708">
        <v>27.4</v>
      </c>
      <c r="E708" s="1">
        <v>40969</v>
      </c>
      <c r="F708" s="2">
        <f>STANDARDIZE(D708,H$12,I$12)</f>
        <v>0.28874036684669685</v>
      </c>
      <c r="U708" s="1"/>
    </row>
    <row r="709" spans="1:21" x14ac:dyDescent="0.3">
      <c r="A709" t="s">
        <v>8</v>
      </c>
      <c r="B709">
        <v>2012</v>
      </c>
      <c r="C709" s="3">
        <v>2012.24999999999</v>
      </c>
      <c r="D709">
        <v>28</v>
      </c>
      <c r="E709" s="1">
        <v>41000</v>
      </c>
      <c r="F709" s="2">
        <f>STANDARDIZE(D709,H$13,I$13)</f>
        <v>0.66454152160573232</v>
      </c>
      <c r="U709" s="1"/>
    </row>
    <row r="710" spans="1:21" x14ac:dyDescent="0.3">
      <c r="A710" t="s">
        <v>7</v>
      </c>
      <c r="B710">
        <v>2012</v>
      </c>
      <c r="C710" s="3">
        <v>2012.3333333333301</v>
      </c>
      <c r="D710">
        <v>28.9</v>
      </c>
      <c r="E710" s="1">
        <v>41030</v>
      </c>
      <c r="F710" s="2">
        <f>STANDARDIZE(D710,H$14,I$14)</f>
        <v>1.9261912629999232</v>
      </c>
      <c r="U710" s="1"/>
    </row>
    <row r="711" spans="1:21" x14ac:dyDescent="0.3">
      <c r="A711" t="s">
        <v>6</v>
      </c>
      <c r="B711">
        <v>2012</v>
      </c>
      <c r="C711" s="3">
        <v>2012.4166666666599</v>
      </c>
      <c r="D711">
        <v>29</v>
      </c>
      <c r="E711" s="1">
        <v>41061</v>
      </c>
      <c r="F711" s="2">
        <f>STANDARDIZE(D711,H$15,I$15)</f>
        <v>1.5249739804844382</v>
      </c>
      <c r="U711" s="1"/>
    </row>
    <row r="712" spans="1:21" x14ac:dyDescent="0.3">
      <c r="A712" t="s">
        <v>5</v>
      </c>
      <c r="B712">
        <v>2012</v>
      </c>
      <c r="C712" s="3">
        <v>2012.5</v>
      </c>
      <c r="D712">
        <v>28.9</v>
      </c>
      <c r="E712" s="1">
        <v>41091</v>
      </c>
      <c r="F712" s="2">
        <f>STANDARDIZE(D712,H$16,I$16)</f>
        <v>1.8484150367817793</v>
      </c>
      <c r="U712" s="1"/>
    </row>
    <row r="713" spans="1:21" x14ac:dyDescent="0.3">
      <c r="A713" t="s">
        <v>4</v>
      </c>
      <c r="B713">
        <v>2012</v>
      </c>
      <c r="C713" s="3">
        <v>2012.5833333333301</v>
      </c>
      <c r="D713">
        <v>28.4</v>
      </c>
      <c r="E713" s="1">
        <v>41122</v>
      </c>
      <c r="F713" s="2">
        <f>STANDARDIZE(D713,H$17,I$17)</f>
        <v>0.4701545792605305</v>
      </c>
      <c r="U713" s="1"/>
    </row>
    <row r="714" spans="1:21" x14ac:dyDescent="0.3">
      <c r="A714" t="s">
        <v>3</v>
      </c>
      <c r="B714">
        <v>2012</v>
      </c>
      <c r="C714" s="3">
        <v>2012.6666666666599</v>
      </c>
      <c r="D714">
        <v>28.9</v>
      </c>
      <c r="E714" s="1">
        <v>41153</v>
      </c>
      <c r="F714" s="2">
        <f>STANDARDIZE(D714,H$18,I$18)</f>
        <v>1.5437569611274631</v>
      </c>
      <c r="U714" s="1"/>
    </row>
    <row r="715" spans="1:21" x14ac:dyDescent="0.3">
      <c r="A715" t="s">
        <v>2</v>
      </c>
      <c r="B715">
        <v>2012</v>
      </c>
      <c r="C715" s="3">
        <v>2012.75</v>
      </c>
      <c r="E715" s="1">
        <v>41183</v>
      </c>
      <c r="F715" s="2"/>
      <c r="U715" s="1"/>
    </row>
    <row r="716" spans="1:21" x14ac:dyDescent="0.3">
      <c r="A716" t="s">
        <v>1</v>
      </c>
      <c r="B716">
        <v>2012</v>
      </c>
      <c r="C716" s="3">
        <v>2012.8333333333301</v>
      </c>
      <c r="E716" s="1">
        <v>41214</v>
      </c>
      <c r="F716" s="2"/>
      <c r="U716" s="1"/>
    </row>
    <row r="717" spans="1:21" x14ac:dyDescent="0.3">
      <c r="A717" t="s">
        <v>0</v>
      </c>
      <c r="B717">
        <v>2012</v>
      </c>
      <c r="C717" s="3">
        <v>2012.9166666666599</v>
      </c>
      <c r="E717" s="1">
        <v>41244</v>
      </c>
      <c r="F717" s="2"/>
      <c r="U717" s="1"/>
    </row>
    <row r="718" spans="1:21" x14ac:dyDescent="0.3">
      <c r="A718" t="s">
        <v>11</v>
      </c>
      <c r="B718">
        <v>2013</v>
      </c>
      <c r="C718" s="3">
        <v>2013</v>
      </c>
      <c r="D718">
        <v>27</v>
      </c>
      <c r="E718" s="1">
        <v>41275</v>
      </c>
      <c r="F718" s="2">
        <f>STANDARDIZE(D718,H$10,I$10)</f>
        <v>4.7360405908497653E-2</v>
      </c>
      <c r="U718" s="1"/>
    </row>
    <row r="719" spans="1:21" x14ac:dyDescent="0.3">
      <c r="A719" t="s">
        <v>10</v>
      </c>
      <c r="B719">
        <v>2013</v>
      </c>
      <c r="C719" s="3">
        <v>2013.0833333333301</v>
      </c>
      <c r="D719">
        <v>27.2</v>
      </c>
      <c r="E719" s="1">
        <v>41306</v>
      </c>
      <c r="F719" s="2">
        <f>STANDARDIZE(D719,H$11,I$11)</f>
        <v>0.58111878857503096</v>
      </c>
      <c r="U719" s="1"/>
    </row>
    <row r="720" spans="1:21" x14ac:dyDescent="0.3">
      <c r="A720" t="s">
        <v>9</v>
      </c>
      <c r="B720">
        <v>2013</v>
      </c>
      <c r="C720" s="3">
        <v>2013.1666666666599</v>
      </c>
      <c r="D720">
        <v>28.1</v>
      </c>
      <c r="E720" s="1">
        <v>41334</v>
      </c>
      <c r="F720" s="2">
        <f>STANDARDIZE(D720,H$12,I$12)</f>
        <v>1.5261990819040767</v>
      </c>
      <c r="U720" s="1"/>
    </row>
    <row r="721" spans="1:21" x14ac:dyDescent="0.3">
      <c r="A721" t="s">
        <v>8</v>
      </c>
      <c r="B721">
        <v>2013</v>
      </c>
      <c r="C721" s="3">
        <v>2013.25</v>
      </c>
      <c r="D721">
        <v>28.3</v>
      </c>
      <c r="E721" s="1">
        <v>41365</v>
      </c>
      <c r="F721" s="2">
        <f>STANDARDIZE(D721,H$13,I$13)</f>
        <v>1.2974382088492928</v>
      </c>
      <c r="U721" s="1"/>
    </row>
    <row r="722" spans="1:21" x14ac:dyDescent="0.3">
      <c r="A722" t="s">
        <v>7</v>
      </c>
      <c r="B722">
        <v>2013</v>
      </c>
      <c r="C722" s="3">
        <v>2013.3333333333301</v>
      </c>
      <c r="D722">
        <v>28.1</v>
      </c>
      <c r="E722" s="1">
        <v>41395</v>
      </c>
      <c r="F722" s="2">
        <f>STANDARDIZE(D722,H$14,I$14)</f>
        <v>-0.20907849736951745</v>
      </c>
      <c r="U722" s="1"/>
    </row>
    <row r="723" spans="1:21" x14ac:dyDescent="0.3">
      <c r="A723" t="s">
        <v>6</v>
      </c>
      <c r="B723">
        <v>2013</v>
      </c>
      <c r="C723" s="3">
        <v>2013.4166666666599</v>
      </c>
      <c r="D723">
        <v>28.8</v>
      </c>
      <c r="E723" s="1">
        <v>41426</v>
      </c>
      <c r="F723" s="2">
        <f>STANDARDIZE(D723,H$15,I$15)</f>
        <v>1.0533325432212126</v>
      </c>
      <c r="U723" s="1"/>
    </row>
    <row r="724" spans="1:21" x14ac:dyDescent="0.3">
      <c r="A724" t="s">
        <v>5</v>
      </c>
      <c r="B724">
        <v>2013</v>
      </c>
      <c r="C724" s="3">
        <v>2013.5</v>
      </c>
      <c r="D724">
        <v>28.3</v>
      </c>
      <c r="E724" s="1">
        <v>41456</v>
      </c>
      <c r="F724" s="2">
        <f>STANDARDIZE(D724,H$16,I$16)</f>
        <v>0.23720580375166916</v>
      </c>
      <c r="U724" s="1"/>
    </row>
    <row r="725" spans="1:21" x14ac:dyDescent="0.3">
      <c r="A725" t="s">
        <v>4</v>
      </c>
      <c r="B725">
        <v>2013</v>
      </c>
      <c r="C725" s="3">
        <v>2013.5833333333301</v>
      </c>
      <c r="D725">
        <v>28.2</v>
      </c>
      <c r="E725" s="1">
        <v>41487</v>
      </c>
      <c r="F725" s="2">
        <f>STANDARDIZE(D725,H$17,I$17)</f>
        <v>5.2239397695631823E-2</v>
      </c>
      <c r="U725" s="1"/>
    </row>
    <row r="726" spans="1:21" x14ac:dyDescent="0.3">
      <c r="A726" t="s">
        <v>3</v>
      </c>
      <c r="B726">
        <v>2013</v>
      </c>
      <c r="C726" s="3">
        <v>2013.6666666666599</v>
      </c>
      <c r="D726">
        <v>28.3</v>
      </c>
      <c r="E726" s="1">
        <v>41518</v>
      </c>
      <c r="F726" s="2">
        <f>STANDARDIZE(D726,H$18,I$18)</f>
        <v>0.19156108276765069</v>
      </c>
      <c r="U726" s="1"/>
    </row>
    <row r="727" spans="1:21" x14ac:dyDescent="0.3">
      <c r="A727" t="s">
        <v>2</v>
      </c>
      <c r="B727">
        <v>2013</v>
      </c>
      <c r="C727" s="3">
        <v>2013.75</v>
      </c>
      <c r="D727">
        <v>28.4</v>
      </c>
      <c r="E727" s="1">
        <v>41548</v>
      </c>
      <c r="F727" s="2">
        <f>STANDARDIZE(D727,H$19,I$19)</f>
        <v>1.0154971964538066</v>
      </c>
      <c r="U727" s="1"/>
    </row>
    <row r="728" spans="1:21" x14ac:dyDescent="0.3">
      <c r="A728" t="s">
        <v>1</v>
      </c>
      <c r="B728">
        <v>2013</v>
      </c>
      <c r="C728" s="3">
        <v>2013.8333333333301</v>
      </c>
      <c r="D728">
        <v>28.8</v>
      </c>
      <c r="E728" s="1">
        <v>41579</v>
      </c>
      <c r="F728" s="2">
        <f>STANDARDIZE(D728,H$20,I$20)</f>
        <v>1.7223490084208501</v>
      </c>
      <c r="U728" s="1"/>
    </row>
    <row r="729" spans="1:21" x14ac:dyDescent="0.3">
      <c r="A729" t="s">
        <v>0</v>
      </c>
      <c r="B729">
        <v>2013</v>
      </c>
      <c r="C729" s="3">
        <v>2013.9166666666599</v>
      </c>
      <c r="D729">
        <v>28.8</v>
      </c>
      <c r="E729" s="1">
        <v>41609</v>
      </c>
      <c r="F729" s="2">
        <f>STANDARDIZE(D729,H$21,I$21)</f>
        <v>2.3470994311372837</v>
      </c>
      <c r="U729" s="1"/>
    </row>
    <row r="730" spans="1:21" x14ac:dyDescent="0.3">
      <c r="U730" s="1"/>
    </row>
    <row r="731" spans="1:21" x14ac:dyDescent="0.3">
      <c r="U731" s="1"/>
    </row>
    <row r="732" spans="1:21" x14ac:dyDescent="0.3">
      <c r="U732" s="1"/>
    </row>
    <row r="733" spans="1:21" x14ac:dyDescent="0.3">
      <c r="U733" s="1"/>
    </row>
    <row r="734" spans="1:21" x14ac:dyDescent="0.3">
      <c r="U734" s="1"/>
    </row>
    <row r="735" spans="1:21" x14ac:dyDescent="0.3">
      <c r="U735" s="1"/>
    </row>
    <row r="736" spans="1:21" x14ac:dyDescent="0.3">
      <c r="U736" s="1"/>
    </row>
    <row r="737" spans="21:21" x14ac:dyDescent="0.3">
      <c r="U737" s="1"/>
    </row>
    <row r="738" spans="21:21" x14ac:dyDescent="0.3">
      <c r="U738" s="1"/>
    </row>
    <row r="739" spans="21:21" x14ac:dyDescent="0.3">
      <c r="U739" s="1"/>
    </row>
    <row r="740" spans="21:21" x14ac:dyDescent="0.3">
      <c r="U740" s="1"/>
    </row>
    <row r="741" spans="21:21" x14ac:dyDescent="0.3">
      <c r="U741" s="1"/>
    </row>
  </sheetData>
  <autoFilter ref="A9:F729" xr:uid="{226A718E-7A4B-4F64-83F4-F4C2516C0316}"/>
  <mergeCells count="1">
    <mergeCell ref="G9:H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E497-0C92-449D-A59F-1813AAB9BFA1}">
  <dimension ref="A1:O181"/>
  <sheetViews>
    <sheetView workbookViewId="0">
      <selection activeCell="R8" sqref="R8"/>
    </sheetView>
  </sheetViews>
  <sheetFormatPr baseColWidth="10" defaultRowHeight="14.4" x14ac:dyDescent="0.3"/>
  <cols>
    <col min="1" max="1" width="8.6640625" customWidth="1"/>
    <col min="2" max="2" width="8.5546875" customWidth="1"/>
    <col min="3" max="3" width="8" customWidth="1"/>
    <col min="4" max="4" width="10.33203125" customWidth="1"/>
    <col min="5" max="5" width="7.44140625" customWidth="1"/>
    <col min="6" max="6" width="8" customWidth="1"/>
    <col min="8" max="8" width="6.88671875" customWidth="1"/>
    <col min="9" max="9" width="9.44140625" customWidth="1"/>
    <col min="10" max="10" width="7.5546875" customWidth="1"/>
    <col min="12" max="12" width="7.77734375" customWidth="1"/>
    <col min="13" max="13" width="9.44140625" customWidth="1"/>
    <col min="14" max="14" width="7.88671875" customWidth="1"/>
    <col min="15" max="15" width="6.5546875" customWidth="1"/>
  </cols>
  <sheetData>
    <row r="1" spans="1:15" x14ac:dyDescent="0.3">
      <c r="A1" t="s">
        <v>39</v>
      </c>
      <c r="B1" t="s">
        <v>38</v>
      </c>
      <c r="C1" t="s">
        <v>37</v>
      </c>
      <c r="D1" s="20" t="s">
        <v>36</v>
      </c>
      <c r="E1" t="s">
        <v>97</v>
      </c>
      <c r="F1" t="s">
        <v>96</v>
      </c>
      <c r="H1" s="27" t="s">
        <v>15</v>
      </c>
      <c r="I1" s="27"/>
      <c r="J1" s="5" t="s">
        <v>14</v>
      </c>
      <c r="L1" s="4" t="s">
        <v>13</v>
      </c>
      <c r="M1" s="4" t="s">
        <v>35</v>
      </c>
      <c r="N1" s="4" t="s">
        <v>99</v>
      </c>
      <c r="O1" s="4" t="s">
        <v>112</v>
      </c>
    </row>
    <row r="2" spans="1:15" x14ac:dyDescent="0.3">
      <c r="A2">
        <v>2003</v>
      </c>
      <c r="B2">
        <v>1</v>
      </c>
      <c r="C2" s="3">
        <v>2003</v>
      </c>
      <c r="D2">
        <v>28.186</v>
      </c>
      <c r="E2">
        <v>0.59899999999999998</v>
      </c>
      <c r="F2">
        <v>24</v>
      </c>
      <c r="H2">
        <v>1</v>
      </c>
      <c r="I2" s="2">
        <f>AVERAGEIF(B$2:B$157,H2,D$2:D$157)</f>
        <v>28.170153846153845</v>
      </c>
      <c r="J2" s="9">
        <f t="array" ref="J2">_xlfn.STDEV.S(IF(B$2:B$181=H2,D$2:D$181))</f>
        <v>0.30775879249661497</v>
      </c>
      <c r="L2">
        <v>2015</v>
      </c>
      <c r="M2" s="2">
        <f t="shared" ref="M2:M14" si="0">AVERAGEIF(A$2:A$157,L2,D$2:D$157)</f>
        <v>29.328666666666674</v>
      </c>
      <c r="N2" s="2">
        <f t="array" ref="N2">_xlfn.STDEV.S(IF(A$2:A$157=L2,D$2:D$157))</f>
        <v>1.100942929189944</v>
      </c>
      <c r="O2" s="19">
        <f>SUMIF(A$2:A$157,L2,F$2:F$157)</f>
        <v>160</v>
      </c>
    </row>
    <row r="3" spans="1:15" x14ac:dyDescent="0.3">
      <c r="A3">
        <v>2003</v>
      </c>
      <c r="B3">
        <v>2</v>
      </c>
      <c r="C3" s="3">
        <v>2003.0833333333101</v>
      </c>
      <c r="D3">
        <v>27.972999999999999</v>
      </c>
      <c r="E3">
        <v>0.53100000000000003</v>
      </c>
      <c r="F3">
        <v>22</v>
      </c>
      <c r="H3">
        <v>2</v>
      </c>
      <c r="I3" s="2">
        <f t="shared" ref="I3:I13" si="1">AVERAGEIF(B$2:B$157,H3,D$2:D$157)</f>
        <v>27.715230769230775</v>
      </c>
      <c r="J3" s="9">
        <f t="array" ref="J3">_xlfn.STDEV.S(IF(B$2:B$181=H3,D$2:D$181))</f>
        <v>0.32250766240151862</v>
      </c>
      <c r="L3">
        <v>2014</v>
      </c>
      <c r="M3" s="2">
        <f t="shared" si="0"/>
        <v>29.308416666666659</v>
      </c>
      <c r="N3" s="2">
        <f t="array" ref="N3">_xlfn.STDEV.S(IF(A$2:A$157=L3,D$2:D$157))</f>
        <v>0.99365198392169185</v>
      </c>
      <c r="O3" s="19">
        <f t="shared" ref="O3:O14" si="2">SUMIF(A$2:A$157,L3,F$2:F$157)</f>
        <v>151</v>
      </c>
    </row>
    <row r="4" spans="1:15" x14ac:dyDescent="0.3">
      <c r="A4">
        <v>2003</v>
      </c>
      <c r="B4">
        <v>3</v>
      </c>
      <c r="C4" s="3">
        <v>2003.1666666666499</v>
      </c>
      <c r="D4">
        <v>28.050999999999998</v>
      </c>
      <c r="E4">
        <v>0.80900000000000005</v>
      </c>
      <c r="F4">
        <v>16</v>
      </c>
      <c r="H4">
        <v>3</v>
      </c>
      <c r="I4" s="2">
        <f t="shared" si="1"/>
        <v>27.664461538461538</v>
      </c>
      <c r="J4" s="9">
        <f t="array" ref="J4">_xlfn.STDEV.S(IF(B$2:B$181=H4,D$2:D$181))</f>
        <v>0.360657412554864</v>
      </c>
      <c r="L4">
        <v>2013</v>
      </c>
      <c r="M4" s="2">
        <f t="shared" si="0"/>
        <v>29.215999999999998</v>
      </c>
      <c r="N4" s="2">
        <f t="array" ref="N4">_xlfn.STDEV.S(IF(A$2:A$157=L4,D$2:D$157))</f>
        <v>1.0549641096868054</v>
      </c>
      <c r="O4" s="19">
        <f t="shared" si="2"/>
        <v>140</v>
      </c>
    </row>
    <row r="5" spans="1:15" x14ac:dyDescent="0.3">
      <c r="A5">
        <v>2003</v>
      </c>
      <c r="B5">
        <v>4</v>
      </c>
      <c r="C5" s="3">
        <v>2003.24999999998</v>
      </c>
      <c r="D5">
        <v>28.254000000000001</v>
      </c>
      <c r="E5">
        <v>0.74099999999999999</v>
      </c>
      <c r="F5">
        <v>9</v>
      </c>
      <c r="H5">
        <v>4</v>
      </c>
      <c r="I5" s="2">
        <f t="shared" si="1"/>
        <v>28.303307692307691</v>
      </c>
      <c r="J5" s="9">
        <f t="array" ref="J5">_xlfn.STDEV.S(IF(B$2:B$181=H5,D$2:D$181))</f>
        <v>0.31560428403708973</v>
      </c>
      <c r="L5">
        <v>2012</v>
      </c>
      <c r="M5" s="2">
        <f t="shared" si="0"/>
        <v>29.115750000000002</v>
      </c>
      <c r="N5" s="2">
        <f t="array" ref="N5">_xlfn.STDEV.S(IF(A$2:A$157=L5,D$2:D$157))</f>
        <v>1.1532423954777562</v>
      </c>
      <c r="O5" s="19">
        <f t="shared" si="2"/>
        <v>126</v>
      </c>
    </row>
    <row r="6" spans="1:15" x14ac:dyDescent="0.3">
      <c r="A6">
        <v>2003</v>
      </c>
      <c r="B6">
        <v>5</v>
      </c>
      <c r="C6" s="3">
        <v>2003.3333333333101</v>
      </c>
      <c r="D6">
        <v>30.050999999999998</v>
      </c>
      <c r="E6">
        <v>0.66200000000000003</v>
      </c>
      <c r="F6">
        <v>9</v>
      </c>
      <c r="H6">
        <v>5</v>
      </c>
      <c r="I6" s="2">
        <f t="shared" si="1"/>
        <v>29.613923076923076</v>
      </c>
      <c r="J6" s="9">
        <f t="array" ref="J6">_xlfn.STDEV.S(IF(B$2:B$181=H6,D$2:D$181))</f>
        <v>0.42313915393135543</v>
      </c>
      <c r="L6">
        <v>2011</v>
      </c>
      <c r="M6" s="2">
        <f t="shared" si="0"/>
        <v>29.185249999999996</v>
      </c>
      <c r="N6" s="2">
        <f t="array" ref="N6">_xlfn.STDEV.S(IF(A$2:A$157=L6,D$2:D$157))</f>
        <v>1.0814021306534487</v>
      </c>
      <c r="O6" s="19">
        <f t="shared" si="2"/>
        <v>106</v>
      </c>
    </row>
    <row r="7" spans="1:15" x14ac:dyDescent="0.3">
      <c r="A7">
        <v>2003</v>
      </c>
      <c r="B7">
        <v>6</v>
      </c>
      <c r="C7" s="3">
        <v>2003.4166666666499</v>
      </c>
      <c r="D7">
        <v>30.373000000000001</v>
      </c>
      <c r="E7">
        <v>0.32800000000000001</v>
      </c>
      <c r="F7">
        <v>6</v>
      </c>
      <c r="H7">
        <v>6</v>
      </c>
      <c r="I7" s="2">
        <f t="shared" si="1"/>
        <v>30.240076923076931</v>
      </c>
      <c r="J7" s="9">
        <f t="array" ref="J7">_xlfn.STDEV.S(IF(B$2:B$181=H7,D$2:D$181))</f>
        <v>0.23109105764411741</v>
      </c>
      <c r="L7">
        <v>2010</v>
      </c>
      <c r="M7" s="2">
        <f t="shared" si="0"/>
        <v>29.420666666666666</v>
      </c>
      <c r="N7" s="2">
        <f t="array" ref="N7">_xlfn.STDEV.S(IF(A$2:A$157=L7,D$2:D$157))</f>
        <v>1.0280728072319081</v>
      </c>
      <c r="O7" s="19">
        <f t="shared" si="2"/>
        <v>95</v>
      </c>
    </row>
    <row r="8" spans="1:15" x14ac:dyDescent="0.3">
      <c r="A8">
        <v>2003</v>
      </c>
      <c r="B8">
        <v>7</v>
      </c>
      <c r="C8" s="3">
        <v>2003.49999999998</v>
      </c>
      <c r="D8">
        <v>29.864000000000001</v>
      </c>
      <c r="E8">
        <v>0.69699999999999995</v>
      </c>
      <c r="F8">
        <v>7</v>
      </c>
      <c r="H8">
        <v>7</v>
      </c>
      <c r="I8" s="2">
        <f t="shared" si="1"/>
        <v>30.236000000000004</v>
      </c>
      <c r="J8" s="9">
        <f t="array" ref="J8">_xlfn.STDEV.S(IF(B$2:B$181=H8,D$2:D$181))</f>
        <v>0.40513475124539305</v>
      </c>
      <c r="L8">
        <v>2009</v>
      </c>
      <c r="M8" s="2">
        <f t="shared" si="0"/>
        <v>29.097750000000005</v>
      </c>
      <c r="N8" s="2">
        <f t="array" ref="N8">_xlfn.STDEV.S(IF(A$2:A$157=L8,D$2:D$157))</f>
        <v>1.2011957016391475</v>
      </c>
      <c r="O8" s="19">
        <f t="shared" si="2"/>
        <v>136</v>
      </c>
    </row>
    <row r="9" spans="1:15" x14ac:dyDescent="0.3">
      <c r="A9">
        <v>2003</v>
      </c>
      <c r="B9">
        <v>8</v>
      </c>
      <c r="C9" s="3">
        <v>2003.5833333333101</v>
      </c>
      <c r="D9">
        <v>30.396999999999998</v>
      </c>
      <c r="E9">
        <v>0.42199999999999999</v>
      </c>
      <c r="F9">
        <v>11</v>
      </c>
      <c r="H9">
        <v>8</v>
      </c>
      <c r="I9" s="2">
        <f t="shared" si="1"/>
        <v>30.270769230769233</v>
      </c>
      <c r="J9" s="9">
        <f t="array" ref="J9">_xlfn.STDEV.S(IF(B$2:B$181=H9,D$2:D$181))</f>
        <v>0.29453159248942884</v>
      </c>
      <c r="L9">
        <v>2008</v>
      </c>
      <c r="M9" s="2">
        <f t="shared" si="0"/>
        <v>29.203916666666668</v>
      </c>
      <c r="N9" s="2">
        <f t="array" ref="N9">_xlfn.STDEV.S(IF(A$2:A$157=L9,D$2:D$157))</f>
        <v>0.94342388605964345</v>
      </c>
      <c r="O9" s="19">
        <f t="shared" si="2"/>
        <v>120</v>
      </c>
    </row>
    <row r="10" spans="1:15" x14ac:dyDescent="0.3">
      <c r="A10">
        <v>2003</v>
      </c>
      <c r="B10">
        <v>9</v>
      </c>
      <c r="C10" s="3">
        <v>2003.6666666666499</v>
      </c>
      <c r="D10">
        <v>30.056000000000001</v>
      </c>
      <c r="E10">
        <v>0.73599999999999999</v>
      </c>
      <c r="F10">
        <v>7</v>
      </c>
      <c r="H10">
        <v>9</v>
      </c>
      <c r="I10" s="2">
        <f t="shared" si="1"/>
        <v>30.412000000000003</v>
      </c>
      <c r="J10" s="9">
        <f t="array" ref="J10">_xlfn.STDEV.S(IF(B$2:B$181=H10,D$2:D$181))</f>
        <v>0.27241022986175345</v>
      </c>
      <c r="L10">
        <v>2007</v>
      </c>
      <c r="M10" s="2">
        <f t="shared" si="0"/>
        <v>29.279</v>
      </c>
      <c r="N10" s="2">
        <f t="array" ref="N10">_xlfn.STDEV.S(IF(A$2:A$157=L10,D$2:D$157))</f>
        <v>1.1101414324310217</v>
      </c>
      <c r="O10" s="19">
        <f t="shared" si="2"/>
        <v>126</v>
      </c>
    </row>
    <row r="11" spans="1:15" x14ac:dyDescent="0.3">
      <c r="A11">
        <v>2003</v>
      </c>
      <c r="B11">
        <v>10</v>
      </c>
      <c r="C11" s="3">
        <v>2003.74999999998</v>
      </c>
      <c r="D11">
        <v>29.789000000000001</v>
      </c>
      <c r="E11">
        <v>0.52500000000000002</v>
      </c>
      <c r="F11">
        <v>9</v>
      </c>
      <c r="H11">
        <v>10</v>
      </c>
      <c r="I11" s="2">
        <f t="shared" si="1"/>
        <v>29.86853846153846</v>
      </c>
      <c r="J11" s="9">
        <f t="array" ref="J11">_xlfn.STDEV.S(IF(B$2:B$181=H11,D$2:D$181))</f>
        <v>0.62218815688190543</v>
      </c>
      <c r="L11">
        <v>2006</v>
      </c>
      <c r="M11" s="2">
        <f t="shared" si="0"/>
        <v>29.386416666666666</v>
      </c>
      <c r="N11" s="2">
        <f t="array" ref="N11">_xlfn.STDEV.S(IF(A$2:A$157=L11,D$2:D$157))</f>
        <v>1.1368293594133831</v>
      </c>
      <c r="O11" s="19">
        <f t="shared" si="2"/>
        <v>141</v>
      </c>
    </row>
    <row r="12" spans="1:15" x14ac:dyDescent="0.3">
      <c r="A12">
        <v>2003</v>
      </c>
      <c r="B12">
        <v>11</v>
      </c>
      <c r="C12" s="3">
        <v>2003.8333333333101</v>
      </c>
      <c r="D12">
        <v>29.943999999999999</v>
      </c>
      <c r="E12">
        <v>0.43099999999999999</v>
      </c>
      <c r="F12">
        <v>7</v>
      </c>
      <c r="H12">
        <v>11</v>
      </c>
      <c r="I12" s="2">
        <f t="shared" si="1"/>
        <v>29.671230769230768</v>
      </c>
      <c r="J12" s="9">
        <f t="array" ref="J12">_xlfn.STDEV.S(IF(B$2:B$181=H12,D$2:D$181))</f>
        <v>0.2345258172874766</v>
      </c>
      <c r="L12">
        <v>2005</v>
      </c>
      <c r="M12" s="2">
        <f t="shared" si="0"/>
        <v>29.444083333333335</v>
      </c>
      <c r="N12" s="2">
        <f t="array" ref="N12">_xlfn.STDEV.S(IF(A$2:A$157=L12,D$2:D$157))</f>
        <v>1.2665943928742953</v>
      </c>
      <c r="O12" s="19">
        <f t="shared" si="2"/>
        <v>126</v>
      </c>
    </row>
    <row r="13" spans="1:15" x14ac:dyDescent="0.3">
      <c r="A13">
        <v>2003</v>
      </c>
      <c r="B13">
        <v>12</v>
      </c>
      <c r="C13" s="3">
        <v>2003.9166666666499</v>
      </c>
      <c r="D13">
        <v>29.605</v>
      </c>
      <c r="E13">
        <v>0.71</v>
      </c>
      <c r="F13">
        <v>14</v>
      </c>
      <c r="H13">
        <v>12</v>
      </c>
      <c r="I13" s="2">
        <f t="shared" si="1"/>
        <v>29.216230769230762</v>
      </c>
      <c r="J13" s="9">
        <f t="array" ref="J13">_xlfn.STDEV.S(IF(B$2:B$181=H13,D$2:D$181))</f>
        <v>0.39509116117805743</v>
      </c>
      <c r="L13">
        <v>2004</v>
      </c>
      <c r="M13" s="2">
        <f t="shared" si="0"/>
        <v>29.299250000000001</v>
      </c>
      <c r="N13" s="2">
        <f t="array" ref="N13">_xlfn.STDEV.S(IF(A$2:A$157=L13,D$2:D$157))</f>
        <v>1.2016537184609009</v>
      </c>
      <c r="O13" s="19">
        <f t="shared" si="2"/>
        <v>147</v>
      </c>
    </row>
    <row r="14" spans="1:15" x14ac:dyDescent="0.3">
      <c r="A14">
        <v>2004</v>
      </c>
      <c r="B14">
        <v>1</v>
      </c>
      <c r="C14" s="3">
        <v>2004</v>
      </c>
      <c r="D14">
        <v>28.030999999999999</v>
      </c>
      <c r="E14">
        <v>0.626</v>
      </c>
      <c r="F14">
        <v>17</v>
      </c>
      <c r="L14">
        <v>2003</v>
      </c>
      <c r="M14" s="2">
        <f t="shared" si="0"/>
        <v>29.378583333333335</v>
      </c>
      <c r="N14" s="2">
        <f t="array" ref="N14">_xlfn.STDEV.S(IF(A$2:A$157=L14,D$2:D$157))</f>
        <v>0.95998063032858172</v>
      </c>
      <c r="O14" s="19">
        <f t="shared" si="2"/>
        <v>141</v>
      </c>
    </row>
    <row r="15" spans="1:15" x14ac:dyDescent="0.3">
      <c r="A15">
        <v>2004</v>
      </c>
      <c r="B15">
        <v>2</v>
      </c>
      <c r="C15" s="3">
        <v>2004.0833333333101</v>
      </c>
      <c r="D15">
        <v>28.106999999999999</v>
      </c>
      <c r="E15">
        <v>0.41599999999999998</v>
      </c>
      <c r="F15">
        <v>22</v>
      </c>
      <c r="M15" s="2"/>
      <c r="N15" s="3"/>
    </row>
    <row r="16" spans="1:15" x14ac:dyDescent="0.3">
      <c r="A16">
        <v>2004</v>
      </c>
      <c r="B16">
        <v>3</v>
      </c>
      <c r="C16" s="3">
        <v>2004.1666666666499</v>
      </c>
      <c r="D16">
        <v>27.518000000000001</v>
      </c>
      <c r="E16">
        <v>0.35799999999999998</v>
      </c>
      <c r="F16">
        <v>22</v>
      </c>
      <c r="M16" s="2"/>
      <c r="N16" s="3"/>
    </row>
    <row r="17" spans="1:6" x14ac:dyDescent="0.3">
      <c r="A17">
        <v>2004</v>
      </c>
      <c r="B17">
        <v>4</v>
      </c>
      <c r="C17" s="3">
        <v>2004.24999999998</v>
      </c>
      <c r="D17">
        <v>27.847000000000001</v>
      </c>
      <c r="E17">
        <v>0.89800000000000002</v>
      </c>
      <c r="F17">
        <v>12</v>
      </c>
    </row>
    <row r="18" spans="1:6" x14ac:dyDescent="0.3">
      <c r="A18">
        <v>2004</v>
      </c>
      <c r="B18">
        <v>5</v>
      </c>
      <c r="C18" s="3">
        <v>2004.3333333333101</v>
      </c>
      <c r="D18">
        <v>30.335000000000001</v>
      </c>
      <c r="E18">
        <v>0.30099999999999999</v>
      </c>
      <c r="F18">
        <v>4</v>
      </c>
    </row>
    <row r="19" spans="1:6" x14ac:dyDescent="0.3">
      <c r="A19">
        <v>2004</v>
      </c>
      <c r="B19">
        <v>6</v>
      </c>
      <c r="C19" s="3">
        <v>2004.4166666666499</v>
      </c>
      <c r="D19">
        <v>30.173999999999999</v>
      </c>
      <c r="E19">
        <v>0.45</v>
      </c>
      <c r="F19">
        <v>9</v>
      </c>
    </row>
    <row r="20" spans="1:6" x14ac:dyDescent="0.3">
      <c r="A20">
        <v>2004</v>
      </c>
      <c r="B20">
        <v>7</v>
      </c>
      <c r="C20" s="3">
        <v>2004.49999999998</v>
      </c>
      <c r="D20">
        <v>30.265000000000001</v>
      </c>
      <c r="E20">
        <v>0.53200000000000003</v>
      </c>
      <c r="F20">
        <v>11</v>
      </c>
    </row>
    <row r="21" spans="1:6" x14ac:dyDescent="0.3">
      <c r="A21">
        <v>2004</v>
      </c>
      <c r="B21">
        <v>8</v>
      </c>
      <c r="C21" s="3">
        <v>2004.5833333333101</v>
      </c>
      <c r="D21">
        <v>30.847000000000001</v>
      </c>
      <c r="E21">
        <v>0.33600000000000002</v>
      </c>
      <c r="F21">
        <v>9</v>
      </c>
    </row>
    <row r="22" spans="1:6" x14ac:dyDescent="0.3">
      <c r="A22">
        <v>2004</v>
      </c>
      <c r="B22">
        <v>9</v>
      </c>
      <c r="C22" s="3">
        <v>2004.6666666666499</v>
      </c>
      <c r="D22">
        <v>30.204000000000001</v>
      </c>
      <c r="E22">
        <v>0.65400000000000003</v>
      </c>
      <c r="F22">
        <v>7</v>
      </c>
    </row>
    <row r="23" spans="1:6" x14ac:dyDescent="0.3">
      <c r="A23">
        <v>2004</v>
      </c>
      <c r="B23">
        <v>10</v>
      </c>
      <c r="C23" s="3">
        <v>2004.74999999998</v>
      </c>
      <c r="D23">
        <v>30.419</v>
      </c>
      <c r="E23">
        <v>0.58799999999999997</v>
      </c>
      <c r="F23">
        <v>7</v>
      </c>
    </row>
    <row r="24" spans="1:6" x14ac:dyDescent="0.3">
      <c r="A24">
        <v>2004</v>
      </c>
      <c r="B24">
        <v>11</v>
      </c>
      <c r="C24" s="3">
        <v>2004.8333333333101</v>
      </c>
      <c r="D24">
        <v>29.077999999999999</v>
      </c>
      <c r="E24">
        <v>0.55900000000000005</v>
      </c>
      <c r="F24">
        <v>8</v>
      </c>
    </row>
    <row r="25" spans="1:6" x14ac:dyDescent="0.3">
      <c r="A25">
        <v>2004</v>
      </c>
      <c r="B25">
        <v>12</v>
      </c>
      <c r="C25" s="3">
        <v>2004.9166666666499</v>
      </c>
      <c r="D25">
        <v>28.765999999999998</v>
      </c>
      <c r="E25">
        <v>0.61699999999999999</v>
      </c>
      <c r="F25">
        <v>19</v>
      </c>
    </row>
    <row r="26" spans="1:6" x14ac:dyDescent="0.3">
      <c r="A26">
        <v>2005</v>
      </c>
      <c r="B26">
        <v>1</v>
      </c>
      <c r="C26" s="3">
        <v>2005</v>
      </c>
      <c r="D26">
        <v>27.768000000000001</v>
      </c>
      <c r="E26">
        <v>0.63400000000000001</v>
      </c>
      <c r="F26">
        <v>23</v>
      </c>
    </row>
    <row r="27" spans="1:6" x14ac:dyDescent="0.3">
      <c r="A27">
        <v>2005</v>
      </c>
      <c r="B27">
        <v>2</v>
      </c>
      <c r="C27" s="3">
        <v>2005.0833333333201</v>
      </c>
      <c r="D27">
        <v>26.978000000000002</v>
      </c>
      <c r="E27">
        <v>0.55200000000000005</v>
      </c>
      <c r="F27">
        <v>18</v>
      </c>
    </row>
    <row r="28" spans="1:6" x14ac:dyDescent="0.3">
      <c r="A28">
        <v>2005</v>
      </c>
      <c r="B28">
        <v>3</v>
      </c>
      <c r="C28" s="3">
        <v>2005.1666666666499</v>
      </c>
      <c r="D28">
        <v>28.138000000000002</v>
      </c>
      <c r="E28">
        <v>0.55000000000000004</v>
      </c>
      <c r="F28">
        <v>13</v>
      </c>
    </row>
    <row r="29" spans="1:6" x14ac:dyDescent="0.3">
      <c r="A29">
        <v>2005</v>
      </c>
      <c r="B29">
        <v>4</v>
      </c>
      <c r="C29" s="3">
        <v>2005.24999999998</v>
      </c>
      <c r="D29">
        <v>28.83</v>
      </c>
      <c r="E29">
        <v>0.79500000000000004</v>
      </c>
      <c r="F29">
        <v>11</v>
      </c>
    </row>
    <row r="30" spans="1:6" x14ac:dyDescent="0.3">
      <c r="A30">
        <v>2005</v>
      </c>
      <c r="B30">
        <v>5</v>
      </c>
      <c r="C30" s="3">
        <v>2005.3333333333201</v>
      </c>
      <c r="D30">
        <v>29.591000000000001</v>
      </c>
      <c r="E30">
        <v>0.72599999999999998</v>
      </c>
      <c r="F30">
        <v>6</v>
      </c>
    </row>
    <row r="31" spans="1:6" x14ac:dyDescent="0.3">
      <c r="A31">
        <v>2005</v>
      </c>
      <c r="B31">
        <v>6</v>
      </c>
      <c r="C31" s="3">
        <v>2005.4166666666499</v>
      </c>
      <c r="D31">
        <v>30.582999999999998</v>
      </c>
      <c r="E31">
        <v>1.0780000000000001</v>
      </c>
      <c r="F31">
        <v>4</v>
      </c>
    </row>
    <row r="32" spans="1:6" x14ac:dyDescent="0.3">
      <c r="A32">
        <v>2005</v>
      </c>
      <c r="B32">
        <v>7</v>
      </c>
      <c r="C32" s="3">
        <v>2005.49999999998</v>
      </c>
      <c r="D32">
        <v>30.91</v>
      </c>
      <c r="E32">
        <v>0.53200000000000003</v>
      </c>
      <c r="F32">
        <v>10</v>
      </c>
    </row>
    <row r="33" spans="1:6" x14ac:dyDescent="0.3">
      <c r="A33">
        <v>2005</v>
      </c>
      <c r="B33">
        <v>8</v>
      </c>
      <c r="C33" s="3">
        <v>2005.5833333333201</v>
      </c>
      <c r="D33">
        <v>30.448</v>
      </c>
      <c r="E33">
        <v>0.64</v>
      </c>
      <c r="F33">
        <v>7</v>
      </c>
    </row>
    <row r="34" spans="1:6" x14ac:dyDescent="0.3">
      <c r="A34">
        <v>2005</v>
      </c>
      <c r="B34">
        <v>9</v>
      </c>
      <c r="C34" s="3">
        <v>2005.6666666666499</v>
      </c>
      <c r="D34">
        <v>30.74</v>
      </c>
      <c r="E34">
        <v>0.23699999999999999</v>
      </c>
      <c r="F34">
        <v>4</v>
      </c>
    </row>
    <row r="35" spans="1:6" x14ac:dyDescent="0.3">
      <c r="A35">
        <v>2005</v>
      </c>
      <c r="B35">
        <v>10</v>
      </c>
      <c r="C35" s="3">
        <v>2005.74999999998</v>
      </c>
      <c r="D35">
        <v>30.12</v>
      </c>
      <c r="E35">
        <v>0.34300000000000003</v>
      </c>
      <c r="F35">
        <v>3</v>
      </c>
    </row>
    <row r="36" spans="1:6" x14ac:dyDescent="0.3">
      <c r="A36">
        <v>2005</v>
      </c>
      <c r="B36">
        <v>11</v>
      </c>
      <c r="C36" s="3">
        <v>2005.8333333333201</v>
      </c>
      <c r="D36">
        <v>29.663</v>
      </c>
      <c r="E36">
        <v>0.67</v>
      </c>
      <c r="F36">
        <v>11</v>
      </c>
    </row>
    <row r="37" spans="1:6" x14ac:dyDescent="0.3">
      <c r="A37">
        <v>2005</v>
      </c>
      <c r="B37">
        <v>12</v>
      </c>
      <c r="C37" s="3">
        <v>2005.9166666666499</v>
      </c>
      <c r="D37">
        <v>29.56</v>
      </c>
      <c r="E37">
        <v>0.84299999999999997</v>
      </c>
      <c r="F37">
        <v>16</v>
      </c>
    </row>
    <row r="38" spans="1:6" x14ac:dyDescent="0.3">
      <c r="A38">
        <v>2006</v>
      </c>
      <c r="B38">
        <v>1</v>
      </c>
      <c r="C38" s="3">
        <v>2006</v>
      </c>
      <c r="D38">
        <v>28.849</v>
      </c>
      <c r="E38">
        <v>0.63800000000000001</v>
      </c>
      <c r="F38">
        <v>17</v>
      </c>
    </row>
    <row r="39" spans="1:6" x14ac:dyDescent="0.3">
      <c r="A39">
        <v>2006</v>
      </c>
      <c r="B39">
        <v>2</v>
      </c>
      <c r="C39" s="3">
        <v>2006.0833333333201</v>
      </c>
      <c r="D39">
        <v>27.62</v>
      </c>
      <c r="E39">
        <v>0.57399999999999995</v>
      </c>
      <c r="F39">
        <v>19</v>
      </c>
    </row>
    <row r="40" spans="1:6" x14ac:dyDescent="0.3">
      <c r="A40">
        <v>2006</v>
      </c>
      <c r="B40">
        <v>3</v>
      </c>
      <c r="C40" s="3">
        <v>2006.1666666666499</v>
      </c>
      <c r="D40">
        <v>27.367999999999999</v>
      </c>
      <c r="E40">
        <v>0.34499999999999997</v>
      </c>
      <c r="F40">
        <v>12</v>
      </c>
    </row>
    <row r="41" spans="1:6" x14ac:dyDescent="0.3">
      <c r="A41">
        <v>2006</v>
      </c>
      <c r="B41">
        <v>4</v>
      </c>
      <c r="C41" s="3">
        <v>2006.24999999998</v>
      </c>
      <c r="D41">
        <v>28.283999999999999</v>
      </c>
      <c r="E41">
        <v>0.81899999999999995</v>
      </c>
      <c r="F41">
        <v>11</v>
      </c>
    </row>
    <row r="42" spans="1:6" x14ac:dyDescent="0.3">
      <c r="A42">
        <v>2006</v>
      </c>
      <c r="B42">
        <v>5</v>
      </c>
      <c r="C42" s="3">
        <v>2006.3333333333201</v>
      </c>
      <c r="D42">
        <v>29.327000000000002</v>
      </c>
      <c r="E42">
        <v>0.55600000000000005</v>
      </c>
      <c r="F42">
        <v>8</v>
      </c>
    </row>
    <row r="43" spans="1:6" x14ac:dyDescent="0.3">
      <c r="A43">
        <v>2006</v>
      </c>
      <c r="B43">
        <v>6</v>
      </c>
      <c r="C43" s="3">
        <v>2006.4166666666499</v>
      </c>
      <c r="D43">
        <v>30.396999999999998</v>
      </c>
      <c r="E43">
        <v>0.66400000000000003</v>
      </c>
      <c r="F43">
        <v>9</v>
      </c>
    </row>
    <row r="44" spans="1:6" x14ac:dyDescent="0.3">
      <c r="A44">
        <v>2006</v>
      </c>
      <c r="B44">
        <v>7</v>
      </c>
      <c r="C44" s="3">
        <v>2006.49999999998</v>
      </c>
      <c r="D44">
        <v>30.759</v>
      </c>
      <c r="E44">
        <v>0.96399999999999997</v>
      </c>
      <c r="F44">
        <v>10</v>
      </c>
    </row>
    <row r="45" spans="1:6" x14ac:dyDescent="0.3">
      <c r="A45">
        <v>2006</v>
      </c>
      <c r="B45">
        <v>8</v>
      </c>
      <c r="C45" s="3">
        <v>2006.5833333333201</v>
      </c>
      <c r="D45">
        <v>30.408000000000001</v>
      </c>
      <c r="E45">
        <v>0.47099999999999997</v>
      </c>
      <c r="F45">
        <v>10</v>
      </c>
    </row>
    <row r="46" spans="1:6" x14ac:dyDescent="0.3">
      <c r="A46">
        <v>2006</v>
      </c>
      <c r="B46">
        <v>9</v>
      </c>
      <c r="C46" s="3">
        <v>2006.6666666666499</v>
      </c>
      <c r="D46">
        <v>30.17</v>
      </c>
      <c r="E46">
        <v>0.47399999999999998</v>
      </c>
      <c r="F46">
        <v>11</v>
      </c>
    </row>
    <row r="47" spans="1:6" x14ac:dyDescent="0.3">
      <c r="A47">
        <v>2006</v>
      </c>
      <c r="B47">
        <v>10</v>
      </c>
      <c r="C47" s="3">
        <v>2006.74999999998</v>
      </c>
      <c r="D47">
        <v>30.297000000000001</v>
      </c>
      <c r="E47">
        <v>0.49399999999999999</v>
      </c>
      <c r="F47">
        <v>9</v>
      </c>
    </row>
    <row r="48" spans="1:6" x14ac:dyDescent="0.3">
      <c r="A48">
        <v>2006</v>
      </c>
      <c r="B48">
        <v>11</v>
      </c>
      <c r="C48" s="3">
        <v>2006.8333333333201</v>
      </c>
      <c r="D48">
        <v>29.734000000000002</v>
      </c>
      <c r="E48">
        <v>0.79500000000000004</v>
      </c>
      <c r="F48">
        <v>7</v>
      </c>
    </row>
    <row r="49" spans="1:6" x14ac:dyDescent="0.3">
      <c r="A49">
        <v>2006</v>
      </c>
      <c r="B49">
        <v>12</v>
      </c>
      <c r="C49" s="3">
        <v>2006.9166666666499</v>
      </c>
      <c r="D49">
        <v>29.423999999999999</v>
      </c>
      <c r="E49">
        <v>0.58799999999999997</v>
      </c>
      <c r="F49">
        <v>18</v>
      </c>
    </row>
    <row r="50" spans="1:6" x14ac:dyDescent="0.3">
      <c r="A50">
        <v>2007</v>
      </c>
      <c r="B50">
        <v>1</v>
      </c>
      <c r="C50" s="3">
        <v>2007</v>
      </c>
      <c r="D50">
        <v>27.923999999999999</v>
      </c>
      <c r="E50">
        <v>0.64</v>
      </c>
      <c r="F50">
        <v>24</v>
      </c>
    </row>
    <row r="51" spans="1:6" x14ac:dyDescent="0.3">
      <c r="A51">
        <v>2007</v>
      </c>
      <c r="B51">
        <v>2</v>
      </c>
      <c r="C51" s="3">
        <v>2007.0833333333201</v>
      </c>
      <c r="D51">
        <v>27.757999999999999</v>
      </c>
      <c r="E51">
        <v>0.35</v>
      </c>
      <c r="F51">
        <v>19</v>
      </c>
    </row>
    <row r="52" spans="1:6" x14ac:dyDescent="0.3">
      <c r="A52">
        <v>2007</v>
      </c>
      <c r="B52">
        <v>3</v>
      </c>
      <c r="C52" s="3">
        <v>2007.1666666666499</v>
      </c>
      <c r="D52">
        <v>27.625</v>
      </c>
      <c r="E52">
        <v>0.44700000000000001</v>
      </c>
      <c r="F52">
        <v>12</v>
      </c>
    </row>
    <row r="53" spans="1:6" x14ac:dyDescent="0.3">
      <c r="A53">
        <v>2007</v>
      </c>
      <c r="B53">
        <v>4</v>
      </c>
      <c r="C53" s="3">
        <v>2007.24999999999</v>
      </c>
      <c r="D53">
        <v>28.231999999999999</v>
      </c>
      <c r="E53">
        <v>0.82799999999999996</v>
      </c>
      <c r="F53">
        <v>6</v>
      </c>
    </row>
    <row r="54" spans="1:6" x14ac:dyDescent="0.3">
      <c r="A54">
        <v>2007</v>
      </c>
      <c r="B54">
        <v>5</v>
      </c>
      <c r="C54" s="3">
        <v>2007.3333333333201</v>
      </c>
      <c r="D54">
        <v>29.704999999999998</v>
      </c>
      <c r="E54">
        <v>0.64200000000000002</v>
      </c>
      <c r="F54">
        <v>4</v>
      </c>
    </row>
    <row r="55" spans="1:6" x14ac:dyDescent="0.3">
      <c r="A55">
        <v>2007</v>
      </c>
      <c r="B55">
        <v>6</v>
      </c>
      <c r="C55" s="3">
        <v>2007.4166666666499</v>
      </c>
      <c r="D55">
        <v>29.995000000000001</v>
      </c>
      <c r="E55">
        <v>0.51</v>
      </c>
      <c r="F55">
        <v>7</v>
      </c>
    </row>
    <row r="56" spans="1:6" x14ac:dyDescent="0.3">
      <c r="A56">
        <v>2007</v>
      </c>
      <c r="B56">
        <v>7</v>
      </c>
      <c r="C56" s="3">
        <v>2007.49999999999</v>
      </c>
      <c r="D56">
        <v>30.716999999999999</v>
      </c>
      <c r="E56">
        <v>0.86199999999999999</v>
      </c>
      <c r="F56">
        <v>10</v>
      </c>
    </row>
    <row r="57" spans="1:6" x14ac:dyDescent="0.3">
      <c r="A57">
        <v>2007</v>
      </c>
      <c r="B57">
        <v>8</v>
      </c>
      <c r="C57" s="3">
        <v>2007.5833333333201</v>
      </c>
      <c r="D57">
        <v>30.05</v>
      </c>
      <c r="E57">
        <v>0.58599999999999997</v>
      </c>
      <c r="F57">
        <v>6</v>
      </c>
    </row>
    <row r="58" spans="1:6" x14ac:dyDescent="0.3">
      <c r="A58">
        <v>2007</v>
      </c>
      <c r="B58">
        <v>9</v>
      </c>
      <c r="C58" s="3">
        <v>2007.6666666666499</v>
      </c>
      <c r="D58">
        <v>30.577000000000002</v>
      </c>
      <c r="E58">
        <v>0.56999999999999995</v>
      </c>
      <c r="F58">
        <v>6</v>
      </c>
    </row>
    <row r="59" spans="1:6" x14ac:dyDescent="0.3">
      <c r="A59">
        <v>2007</v>
      </c>
      <c r="B59">
        <v>10</v>
      </c>
      <c r="C59" s="3">
        <v>2007.74999999999</v>
      </c>
      <c r="D59">
        <v>29.896999999999998</v>
      </c>
      <c r="E59">
        <v>0.4</v>
      </c>
      <c r="F59">
        <v>3</v>
      </c>
    </row>
    <row r="60" spans="1:6" x14ac:dyDescent="0.3">
      <c r="A60">
        <v>2007</v>
      </c>
      <c r="B60">
        <v>11</v>
      </c>
      <c r="C60" s="3">
        <v>2007.8333333333201</v>
      </c>
      <c r="D60">
        <v>29.661999999999999</v>
      </c>
      <c r="E60">
        <v>0.60099999999999998</v>
      </c>
      <c r="F60">
        <v>9</v>
      </c>
    </row>
    <row r="61" spans="1:6" x14ac:dyDescent="0.3">
      <c r="A61">
        <v>2007</v>
      </c>
      <c r="B61">
        <v>12</v>
      </c>
      <c r="C61" s="3">
        <v>2007.9166666666499</v>
      </c>
      <c r="D61">
        <v>29.206</v>
      </c>
      <c r="E61">
        <v>0.61599999999999999</v>
      </c>
      <c r="F61">
        <v>20</v>
      </c>
    </row>
    <row r="62" spans="1:6" x14ac:dyDescent="0.3">
      <c r="A62">
        <v>2008</v>
      </c>
      <c r="B62">
        <v>1</v>
      </c>
      <c r="C62" s="3">
        <v>2008</v>
      </c>
      <c r="D62">
        <v>27.98</v>
      </c>
      <c r="E62">
        <v>0.59</v>
      </c>
      <c r="F62">
        <v>22</v>
      </c>
    </row>
    <row r="63" spans="1:6" x14ac:dyDescent="0.3">
      <c r="A63">
        <v>2008</v>
      </c>
      <c r="B63">
        <v>2</v>
      </c>
      <c r="C63" s="3">
        <v>2008.0833333333201</v>
      </c>
      <c r="D63">
        <v>27.876000000000001</v>
      </c>
      <c r="E63">
        <v>0.66600000000000004</v>
      </c>
      <c r="F63">
        <v>14</v>
      </c>
    </row>
    <row r="64" spans="1:6" x14ac:dyDescent="0.3">
      <c r="A64">
        <v>2008</v>
      </c>
      <c r="B64">
        <v>3</v>
      </c>
      <c r="C64" s="3">
        <v>2008.1666666666499</v>
      </c>
      <c r="D64">
        <v>28.148</v>
      </c>
      <c r="E64">
        <v>0.69699999999999995</v>
      </c>
      <c r="F64">
        <v>13</v>
      </c>
    </row>
    <row r="65" spans="1:6" x14ac:dyDescent="0.3">
      <c r="A65">
        <v>2008</v>
      </c>
      <c r="B65">
        <v>4</v>
      </c>
      <c r="C65" s="3">
        <v>2008.24999999999</v>
      </c>
      <c r="D65">
        <v>28.463000000000001</v>
      </c>
      <c r="E65">
        <v>0.57699999999999996</v>
      </c>
      <c r="F65">
        <v>9</v>
      </c>
    </row>
    <row r="66" spans="1:6" x14ac:dyDescent="0.3">
      <c r="A66">
        <v>2008</v>
      </c>
      <c r="B66">
        <v>5</v>
      </c>
      <c r="C66" s="3">
        <v>2008.3333333333201</v>
      </c>
      <c r="D66">
        <v>29.001000000000001</v>
      </c>
      <c r="E66">
        <v>0.95599999999999996</v>
      </c>
      <c r="F66">
        <v>5</v>
      </c>
    </row>
    <row r="67" spans="1:6" x14ac:dyDescent="0.3">
      <c r="A67">
        <v>2008</v>
      </c>
      <c r="B67">
        <v>6</v>
      </c>
      <c r="C67" s="3">
        <v>2008.4166666666499</v>
      </c>
      <c r="D67">
        <v>29.791</v>
      </c>
      <c r="E67">
        <v>0.46300000000000002</v>
      </c>
      <c r="F67">
        <v>6</v>
      </c>
    </row>
    <row r="68" spans="1:6" x14ac:dyDescent="0.3">
      <c r="A68">
        <v>2008</v>
      </c>
      <c r="B68">
        <v>7</v>
      </c>
      <c r="C68" s="3">
        <v>2008.49999999999</v>
      </c>
      <c r="D68">
        <v>30.382999999999999</v>
      </c>
      <c r="E68">
        <v>0.53300000000000003</v>
      </c>
      <c r="F68">
        <v>5</v>
      </c>
    </row>
    <row r="69" spans="1:6" x14ac:dyDescent="0.3">
      <c r="A69">
        <v>2008</v>
      </c>
      <c r="B69">
        <v>8</v>
      </c>
      <c r="C69" s="3">
        <v>2008.5833333333201</v>
      </c>
      <c r="D69">
        <v>29.908000000000001</v>
      </c>
      <c r="E69">
        <v>0.73899999999999999</v>
      </c>
      <c r="F69">
        <v>10</v>
      </c>
    </row>
    <row r="70" spans="1:6" x14ac:dyDescent="0.3">
      <c r="A70">
        <v>2008</v>
      </c>
      <c r="B70">
        <v>9</v>
      </c>
      <c r="C70" s="3">
        <v>2008.6666666666599</v>
      </c>
      <c r="D70">
        <v>30.341000000000001</v>
      </c>
      <c r="E70">
        <v>0.65900000000000003</v>
      </c>
      <c r="F70">
        <v>9</v>
      </c>
    </row>
    <row r="71" spans="1:6" x14ac:dyDescent="0.3">
      <c r="A71">
        <v>2008</v>
      </c>
      <c r="B71">
        <v>10</v>
      </c>
      <c r="C71" s="3">
        <v>2008.74999999999</v>
      </c>
      <c r="D71">
        <v>30.181000000000001</v>
      </c>
      <c r="E71">
        <v>0.68400000000000005</v>
      </c>
      <c r="F71">
        <v>4</v>
      </c>
    </row>
    <row r="72" spans="1:6" x14ac:dyDescent="0.3">
      <c r="A72">
        <v>2008</v>
      </c>
      <c r="B72">
        <v>11</v>
      </c>
      <c r="C72" s="3">
        <v>2008.8333333333201</v>
      </c>
      <c r="D72">
        <v>29.603000000000002</v>
      </c>
      <c r="E72">
        <v>0.64300000000000002</v>
      </c>
      <c r="F72">
        <v>7</v>
      </c>
    </row>
    <row r="73" spans="1:6" x14ac:dyDescent="0.3">
      <c r="A73">
        <v>2008</v>
      </c>
      <c r="B73">
        <v>12</v>
      </c>
      <c r="C73" s="3">
        <v>2008.9166666666599</v>
      </c>
      <c r="D73">
        <v>28.771999999999998</v>
      </c>
      <c r="E73">
        <v>0.68300000000000005</v>
      </c>
      <c r="F73">
        <v>16</v>
      </c>
    </row>
    <row r="74" spans="1:6" x14ac:dyDescent="0.3">
      <c r="A74">
        <v>2009</v>
      </c>
      <c r="B74">
        <v>1</v>
      </c>
      <c r="C74" s="3">
        <v>2009</v>
      </c>
      <c r="D74">
        <v>28.007000000000001</v>
      </c>
      <c r="E74">
        <v>0.51400000000000001</v>
      </c>
      <c r="F74">
        <v>15</v>
      </c>
    </row>
    <row r="75" spans="1:6" x14ac:dyDescent="0.3">
      <c r="A75">
        <v>2009</v>
      </c>
      <c r="B75">
        <v>2</v>
      </c>
      <c r="C75" s="3">
        <v>2009.0833333333201</v>
      </c>
      <c r="D75">
        <v>27.216000000000001</v>
      </c>
      <c r="E75">
        <v>1.1850000000000001</v>
      </c>
      <c r="F75">
        <v>17</v>
      </c>
    </row>
    <row r="76" spans="1:6" x14ac:dyDescent="0.3">
      <c r="A76">
        <v>2009</v>
      </c>
      <c r="B76">
        <v>3</v>
      </c>
      <c r="C76" s="3">
        <v>2009.1666666666599</v>
      </c>
      <c r="D76">
        <v>27.052</v>
      </c>
      <c r="E76">
        <v>0.60699999999999998</v>
      </c>
      <c r="F76">
        <v>16</v>
      </c>
    </row>
    <row r="77" spans="1:6" x14ac:dyDescent="0.3">
      <c r="A77">
        <v>2009</v>
      </c>
      <c r="B77">
        <v>4</v>
      </c>
      <c r="C77" s="3">
        <v>2009.24999999999</v>
      </c>
      <c r="D77">
        <v>28.036999999999999</v>
      </c>
      <c r="E77">
        <v>0.61299999999999999</v>
      </c>
      <c r="F77">
        <v>16</v>
      </c>
    </row>
    <row r="78" spans="1:6" x14ac:dyDescent="0.3">
      <c r="A78">
        <v>2009</v>
      </c>
      <c r="B78">
        <v>5</v>
      </c>
      <c r="C78" s="3">
        <v>2009.3333333333201</v>
      </c>
      <c r="D78">
        <v>29.324000000000002</v>
      </c>
      <c r="E78">
        <v>0.504</v>
      </c>
      <c r="F78">
        <v>11</v>
      </c>
    </row>
    <row r="79" spans="1:6" x14ac:dyDescent="0.3">
      <c r="A79">
        <v>2009</v>
      </c>
      <c r="B79">
        <v>6</v>
      </c>
      <c r="C79" s="3">
        <v>2009.4166666666599</v>
      </c>
      <c r="D79">
        <v>30.114000000000001</v>
      </c>
      <c r="E79">
        <v>0.92900000000000005</v>
      </c>
      <c r="F79">
        <v>7</v>
      </c>
    </row>
    <row r="80" spans="1:6" x14ac:dyDescent="0.3">
      <c r="A80">
        <v>2009</v>
      </c>
      <c r="B80">
        <v>7</v>
      </c>
      <c r="C80" s="3">
        <v>2009.49999999999</v>
      </c>
      <c r="D80">
        <v>29.542999999999999</v>
      </c>
      <c r="E80">
        <v>0.78100000000000003</v>
      </c>
      <c r="F80">
        <v>11</v>
      </c>
    </row>
    <row r="81" spans="1:6" x14ac:dyDescent="0.3">
      <c r="A81">
        <v>2009</v>
      </c>
      <c r="B81">
        <v>8</v>
      </c>
      <c r="C81" s="3">
        <v>2009.5833333333201</v>
      </c>
      <c r="D81">
        <v>30.245000000000001</v>
      </c>
      <c r="E81">
        <v>0.68100000000000005</v>
      </c>
      <c r="F81">
        <v>6</v>
      </c>
    </row>
    <row r="82" spans="1:6" x14ac:dyDescent="0.3">
      <c r="A82">
        <v>2009</v>
      </c>
      <c r="B82">
        <v>9</v>
      </c>
      <c r="C82" s="3">
        <v>2009.6666666666599</v>
      </c>
      <c r="D82">
        <v>30.44</v>
      </c>
      <c r="E82">
        <v>0.59699999999999998</v>
      </c>
      <c r="F82">
        <v>9</v>
      </c>
    </row>
    <row r="83" spans="1:6" x14ac:dyDescent="0.3">
      <c r="A83">
        <v>2009</v>
      </c>
      <c r="B83">
        <v>10</v>
      </c>
      <c r="C83" s="3">
        <v>2009.74999999999</v>
      </c>
      <c r="D83">
        <v>30.056999999999999</v>
      </c>
      <c r="E83">
        <v>0.73599999999999999</v>
      </c>
      <c r="F83">
        <v>4</v>
      </c>
    </row>
    <row r="84" spans="1:6" x14ac:dyDescent="0.3">
      <c r="A84">
        <v>2009</v>
      </c>
      <c r="B84">
        <v>11</v>
      </c>
      <c r="C84" s="3">
        <v>2009.8333333333201</v>
      </c>
      <c r="D84">
        <v>29.751000000000001</v>
      </c>
      <c r="E84">
        <v>0.312</v>
      </c>
      <c r="F84">
        <v>4</v>
      </c>
    </row>
    <row r="85" spans="1:6" x14ac:dyDescent="0.3">
      <c r="A85">
        <v>2009</v>
      </c>
      <c r="B85">
        <v>12</v>
      </c>
      <c r="C85" s="3">
        <v>2009.9166666666599</v>
      </c>
      <c r="D85">
        <v>29.387</v>
      </c>
      <c r="E85">
        <v>0.63400000000000001</v>
      </c>
      <c r="F85">
        <v>20</v>
      </c>
    </row>
    <row r="86" spans="1:6" x14ac:dyDescent="0.3">
      <c r="A86">
        <v>2010</v>
      </c>
      <c r="B86">
        <v>1</v>
      </c>
      <c r="C86" s="3">
        <v>2010</v>
      </c>
      <c r="D86">
        <v>28.26</v>
      </c>
      <c r="E86">
        <v>0.377</v>
      </c>
      <c r="F86">
        <v>21</v>
      </c>
    </row>
    <row r="87" spans="1:6" x14ac:dyDescent="0.3">
      <c r="A87">
        <v>2010</v>
      </c>
      <c r="B87">
        <v>2</v>
      </c>
      <c r="C87" s="3">
        <v>2010.0833333333201</v>
      </c>
      <c r="D87">
        <v>27.731000000000002</v>
      </c>
      <c r="E87">
        <v>0.497</v>
      </c>
      <c r="F87">
        <v>13</v>
      </c>
    </row>
    <row r="88" spans="1:6" x14ac:dyDescent="0.3">
      <c r="A88">
        <v>2010</v>
      </c>
      <c r="B88">
        <v>3</v>
      </c>
      <c r="C88" s="3">
        <v>2010.1666666666599</v>
      </c>
      <c r="D88">
        <v>28.132999999999999</v>
      </c>
      <c r="E88">
        <v>0.66200000000000003</v>
      </c>
      <c r="F88">
        <v>10</v>
      </c>
    </row>
    <row r="89" spans="1:6" x14ac:dyDescent="0.3">
      <c r="A89">
        <v>2010</v>
      </c>
      <c r="B89">
        <v>4</v>
      </c>
      <c r="C89" s="3">
        <v>2010.24999999999</v>
      </c>
      <c r="D89">
        <v>29.015000000000001</v>
      </c>
      <c r="E89">
        <v>0.80300000000000005</v>
      </c>
      <c r="F89">
        <v>10</v>
      </c>
    </row>
    <row r="90" spans="1:6" x14ac:dyDescent="0.3">
      <c r="A90">
        <v>2010</v>
      </c>
      <c r="B90">
        <v>5</v>
      </c>
      <c r="C90" s="3">
        <v>2010.3333333333201</v>
      </c>
      <c r="D90">
        <v>30.068999999999999</v>
      </c>
      <c r="E90">
        <v>0.59399999999999997</v>
      </c>
      <c r="F90">
        <v>6</v>
      </c>
    </row>
    <row r="91" spans="1:6" x14ac:dyDescent="0.3">
      <c r="A91">
        <v>2010</v>
      </c>
      <c r="B91">
        <v>6</v>
      </c>
      <c r="C91" s="3">
        <v>2010.4166666666599</v>
      </c>
      <c r="D91">
        <v>30.597000000000001</v>
      </c>
      <c r="E91">
        <v>0.91700000000000004</v>
      </c>
      <c r="F91">
        <v>6</v>
      </c>
    </row>
    <row r="92" spans="1:6" x14ac:dyDescent="0.3">
      <c r="A92">
        <v>2010</v>
      </c>
      <c r="B92">
        <v>7</v>
      </c>
      <c r="C92" s="3">
        <v>2010.49999999999</v>
      </c>
      <c r="D92">
        <v>30.364999999999998</v>
      </c>
      <c r="E92">
        <v>0.72</v>
      </c>
      <c r="F92">
        <v>5</v>
      </c>
    </row>
    <row r="93" spans="1:6" x14ac:dyDescent="0.3">
      <c r="A93">
        <v>2010</v>
      </c>
      <c r="B93">
        <v>8</v>
      </c>
      <c r="C93" s="3">
        <v>2010.5833333333301</v>
      </c>
      <c r="D93">
        <v>30.565999999999999</v>
      </c>
      <c r="E93">
        <v>0.52600000000000002</v>
      </c>
      <c r="F93">
        <v>4</v>
      </c>
    </row>
    <row r="94" spans="1:6" x14ac:dyDescent="0.3">
      <c r="A94">
        <v>2010</v>
      </c>
      <c r="B94">
        <v>9</v>
      </c>
      <c r="C94" s="3">
        <v>2010.6666666666599</v>
      </c>
      <c r="D94">
        <v>30.492000000000001</v>
      </c>
      <c r="E94">
        <v>0.748</v>
      </c>
      <c r="F94">
        <v>7</v>
      </c>
    </row>
    <row r="95" spans="1:6" x14ac:dyDescent="0.3">
      <c r="A95">
        <v>2010</v>
      </c>
      <c r="B95">
        <v>10</v>
      </c>
      <c r="C95" s="3">
        <v>2010.74999999999</v>
      </c>
      <c r="D95">
        <v>29.640999999999998</v>
      </c>
      <c r="E95">
        <v>0.72599999999999998</v>
      </c>
      <c r="F95">
        <v>5</v>
      </c>
    </row>
    <row r="96" spans="1:6" x14ac:dyDescent="0.3">
      <c r="A96">
        <v>2010</v>
      </c>
      <c r="B96">
        <v>11</v>
      </c>
      <c r="C96" s="3">
        <v>2010.8333333333301</v>
      </c>
      <c r="D96">
        <v>29.388000000000002</v>
      </c>
      <c r="E96">
        <v>0.48599999999999999</v>
      </c>
      <c r="F96">
        <v>3</v>
      </c>
    </row>
    <row r="97" spans="1:6" x14ac:dyDescent="0.3">
      <c r="A97">
        <v>2010</v>
      </c>
      <c r="B97">
        <v>12</v>
      </c>
      <c r="C97" s="3">
        <v>2010.9166666666599</v>
      </c>
      <c r="D97">
        <v>28.791</v>
      </c>
      <c r="E97">
        <v>0.66800000000000004</v>
      </c>
      <c r="F97">
        <v>5</v>
      </c>
    </row>
    <row r="98" spans="1:6" x14ac:dyDescent="0.3">
      <c r="A98">
        <v>2011</v>
      </c>
      <c r="B98">
        <v>1</v>
      </c>
      <c r="C98" s="3">
        <v>2011</v>
      </c>
      <c r="D98">
        <v>28.45</v>
      </c>
      <c r="E98">
        <v>0.61199999999999999</v>
      </c>
      <c r="F98">
        <v>17</v>
      </c>
    </row>
    <row r="99" spans="1:6" x14ac:dyDescent="0.3">
      <c r="A99">
        <v>2011</v>
      </c>
      <c r="B99">
        <v>2</v>
      </c>
      <c r="C99" s="3">
        <v>2011.0833333333301</v>
      </c>
      <c r="D99">
        <v>27.911999999999999</v>
      </c>
      <c r="E99">
        <v>0.66900000000000004</v>
      </c>
      <c r="F99">
        <v>19</v>
      </c>
    </row>
    <row r="100" spans="1:6" x14ac:dyDescent="0.3">
      <c r="A100">
        <v>2011</v>
      </c>
      <c r="B100">
        <v>3</v>
      </c>
      <c r="C100" s="3">
        <v>2011.1666666666599</v>
      </c>
      <c r="D100">
        <v>27.302</v>
      </c>
      <c r="E100">
        <v>0.64200000000000002</v>
      </c>
      <c r="F100">
        <v>11</v>
      </c>
    </row>
    <row r="101" spans="1:6" x14ac:dyDescent="0.3">
      <c r="A101">
        <v>2011</v>
      </c>
      <c r="B101">
        <v>4</v>
      </c>
      <c r="C101" s="3">
        <v>2011.24999999999</v>
      </c>
      <c r="D101">
        <v>28.062999999999999</v>
      </c>
      <c r="E101">
        <v>0.64</v>
      </c>
      <c r="F101">
        <v>8</v>
      </c>
    </row>
    <row r="102" spans="1:6" x14ac:dyDescent="0.3">
      <c r="A102">
        <v>2011</v>
      </c>
      <c r="B102">
        <v>5</v>
      </c>
      <c r="C102" s="3">
        <v>2011.3333333333301</v>
      </c>
      <c r="D102">
        <v>29.141999999999999</v>
      </c>
      <c r="E102">
        <v>0.81799999999999995</v>
      </c>
      <c r="F102">
        <v>6</v>
      </c>
    </row>
    <row r="103" spans="1:6" x14ac:dyDescent="0.3">
      <c r="A103">
        <v>2011</v>
      </c>
      <c r="B103">
        <v>6</v>
      </c>
      <c r="C103" s="3">
        <v>2011.4166666666599</v>
      </c>
      <c r="D103">
        <v>30.271000000000001</v>
      </c>
      <c r="E103">
        <v>0.64200000000000002</v>
      </c>
      <c r="F103">
        <v>6</v>
      </c>
    </row>
    <row r="104" spans="1:6" x14ac:dyDescent="0.3">
      <c r="A104">
        <v>2011</v>
      </c>
      <c r="B104">
        <v>7</v>
      </c>
      <c r="C104" s="3">
        <v>2011.49999999999</v>
      </c>
      <c r="D104">
        <v>30.337</v>
      </c>
      <c r="E104">
        <v>0.79800000000000004</v>
      </c>
      <c r="F104">
        <v>6</v>
      </c>
    </row>
    <row r="105" spans="1:6" x14ac:dyDescent="0.3">
      <c r="A105">
        <v>2011</v>
      </c>
      <c r="B105">
        <v>8</v>
      </c>
      <c r="C105" s="3">
        <v>2011.5833333333301</v>
      </c>
      <c r="D105">
        <v>30.434000000000001</v>
      </c>
      <c r="E105">
        <v>0.42599999999999999</v>
      </c>
      <c r="F105">
        <v>5</v>
      </c>
    </row>
    <row r="106" spans="1:6" x14ac:dyDescent="0.3">
      <c r="A106">
        <v>2011</v>
      </c>
      <c r="B106">
        <v>9</v>
      </c>
      <c r="C106" s="3">
        <v>2011.6666666666599</v>
      </c>
      <c r="D106">
        <v>30.33</v>
      </c>
      <c r="E106">
        <v>0.40699999999999997</v>
      </c>
      <c r="F106">
        <v>5</v>
      </c>
    </row>
    <row r="107" spans="1:6" x14ac:dyDescent="0.3">
      <c r="A107">
        <v>2011</v>
      </c>
      <c r="B107">
        <v>10</v>
      </c>
      <c r="C107" s="3">
        <v>2011.74999999999</v>
      </c>
      <c r="D107">
        <v>29.058</v>
      </c>
      <c r="E107">
        <v>0.47399999999999998</v>
      </c>
      <c r="F107">
        <v>5</v>
      </c>
    </row>
    <row r="108" spans="1:6" x14ac:dyDescent="0.3">
      <c r="A108">
        <v>2011</v>
      </c>
      <c r="B108">
        <v>11</v>
      </c>
      <c r="C108" s="3">
        <v>2011.8333333333301</v>
      </c>
      <c r="D108">
        <v>29.88</v>
      </c>
      <c r="E108">
        <v>0.69599999999999995</v>
      </c>
      <c r="F108">
        <v>6</v>
      </c>
    </row>
    <row r="109" spans="1:6" x14ac:dyDescent="0.3">
      <c r="A109">
        <v>2011</v>
      </c>
      <c r="B109">
        <v>12</v>
      </c>
      <c r="C109" s="3">
        <v>2011.9166666666599</v>
      </c>
      <c r="D109">
        <v>29.044</v>
      </c>
      <c r="E109">
        <v>0.82799999999999996</v>
      </c>
      <c r="F109">
        <v>12</v>
      </c>
    </row>
    <row r="110" spans="1:6" x14ac:dyDescent="0.3">
      <c r="A110">
        <v>2012</v>
      </c>
      <c r="B110">
        <v>1</v>
      </c>
      <c r="C110" s="3">
        <v>2012</v>
      </c>
      <c r="D110">
        <v>28.234999999999999</v>
      </c>
      <c r="E110">
        <v>0.77400000000000002</v>
      </c>
      <c r="F110">
        <v>20</v>
      </c>
    </row>
    <row r="111" spans="1:6" x14ac:dyDescent="0.3">
      <c r="A111">
        <v>2012</v>
      </c>
      <c r="B111">
        <v>2</v>
      </c>
      <c r="C111" s="3">
        <v>2012.0833333333301</v>
      </c>
      <c r="D111">
        <v>27.503</v>
      </c>
      <c r="E111">
        <v>0.66400000000000003</v>
      </c>
      <c r="F111">
        <v>18</v>
      </c>
    </row>
    <row r="112" spans="1:6" x14ac:dyDescent="0.3">
      <c r="A112">
        <v>2012</v>
      </c>
      <c r="B112">
        <v>3</v>
      </c>
      <c r="C112" s="3">
        <v>2012.1666666666599</v>
      </c>
      <c r="D112">
        <v>27.422999999999998</v>
      </c>
      <c r="E112">
        <v>0.39200000000000002</v>
      </c>
      <c r="F112">
        <v>20</v>
      </c>
    </row>
    <row r="113" spans="1:6" x14ac:dyDescent="0.3">
      <c r="A113">
        <v>2012</v>
      </c>
      <c r="B113">
        <v>4</v>
      </c>
      <c r="C113" s="3">
        <v>2012.24999999999</v>
      </c>
      <c r="D113">
        <v>28.233000000000001</v>
      </c>
      <c r="E113">
        <v>1.6080000000000001</v>
      </c>
      <c r="F113">
        <v>4</v>
      </c>
    </row>
    <row r="114" spans="1:6" x14ac:dyDescent="0.3">
      <c r="A114">
        <v>2012</v>
      </c>
      <c r="B114">
        <v>5</v>
      </c>
      <c r="C114" s="3">
        <v>2012.3333333333301</v>
      </c>
      <c r="D114">
        <v>30.193000000000001</v>
      </c>
      <c r="E114">
        <v>0.86699999999999999</v>
      </c>
      <c r="F114">
        <v>9</v>
      </c>
    </row>
    <row r="115" spans="1:6" x14ac:dyDescent="0.3">
      <c r="A115">
        <v>2012</v>
      </c>
      <c r="B115">
        <v>6</v>
      </c>
      <c r="C115" s="3">
        <v>2012.4166666666599</v>
      </c>
      <c r="D115">
        <v>30.216000000000001</v>
      </c>
      <c r="E115">
        <v>1.028</v>
      </c>
      <c r="F115">
        <v>10</v>
      </c>
    </row>
    <row r="116" spans="1:6" x14ac:dyDescent="0.3">
      <c r="A116">
        <v>2012</v>
      </c>
      <c r="B116">
        <v>7</v>
      </c>
      <c r="C116" s="3">
        <v>2012.5</v>
      </c>
      <c r="D116">
        <v>30.169</v>
      </c>
      <c r="E116">
        <v>0.44</v>
      </c>
      <c r="F116">
        <v>7</v>
      </c>
    </row>
    <row r="117" spans="1:6" x14ac:dyDescent="0.3">
      <c r="A117">
        <v>2012</v>
      </c>
      <c r="B117">
        <v>8</v>
      </c>
      <c r="C117" s="3">
        <v>2012.5833333333301</v>
      </c>
      <c r="D117">
        <v>30.373999999999999</v>
      </c>
      <c r="E117">
        <v>0.60799999999999998</v>
      </c>
      <c r="F117">
        <v>6</v>
      </c>
    </row>
    <row r="118" spans="1:6" x14ac:dyDescent="0.3">
      <c r="A118">
        <v>2012</v>
      </c>
      <c r="B118">
        <v>9</v>
      </c>
      <c r="C118" s="3">
        <v>2012.6666666666599</v>
      </c>
      <c r="D118">
        <v>30.321000000000002</v>
      </c>
      <c r="E118">
        <v>0.34499999999999997</v>
      </c>
      <c r="F118">
        <v>7</v>
      </c>
    </row>
    <row r="119" spans="1:6" x14ac:dyDescent="0.3">
      <c r="A119">
        <v>2012</v>
      </c>
      <c r="B119">
        <v>10</v>
      </c>
      <c r="C119" s="3">
        <v>2012.75</v>
      </c>
      <c r="D119">
        <v>28.175000000000001</v>
      </c>
      <c r="E119">
        <v>0</v>
      </c>
      <c r="F119">
        <v>1</v>
      </c>
    </row>
    <row r="120" spans="1:6" x14ac:dyDescent="0.3">
      <c r="A120">
        <v>2012</v>
      </c>
      <c r="B120">
        <v>11</v>
      </c>
      <c r="C120" s="3">
        <v>2012.8333333333301</v>
      </c>
      <c r="D120">
        <v>29.553999999999998</v>
      </c>
      <c r="E120">
        <v>0.752</v>
      </c>
      <c r="F120">
        <v>9</v>
      </c>
    </row>
    <row r="121" spans="1:6" x14ac:dyDescent="0.3">
      <c r="A121">
        <v>2012</v>
      </c>
      <c r="B121">
        <v>12</v>
      </c>
      <c r="C121" s="3">
        <v>2012.9166666666599</v>
      </c>
      <c r="D121">
        <v>28.992999999999999</v>
      </c>
      <c r="E121">
        <v>0.52500000000000002</v>
      </c>
      <c r="F121">
        <v>15</v>
      </c>
    </row>
    <row r="122" spans="1:6" x14ac:dyDescent="0.3">
      <c r="A122">
        <v>2013</v>
      </c>
      <c r="B122">
        <v>1</v>
      </c>
      <c r="C122" s="3">
        <v>2013</v>
      </c>
      <c r="D122">
        <v>27.896999999999998</v>
      </c>
      <c r="E122">
        <v>0.58199999999999996</v>
      </c>
      <c r="F122">
        <v>24</v>
      </c>
    </row>
    <row r="123" spans="1:6" x14ac:dyDescent="0.3">
      <c r="A123">
        <v>2013</v>
      </c>
      <c r="B123">
        <v>2</v>
      </c>
      <c r="C123" s="3">
        <v>2013.0833333333301</v>
      </c>
      <c r="D123">
        <v>27.74</v>
      </c>
      <c r="E123">
        <v>0.55800000000000005</v>
      </c>
      <c r="F123">
        <v>18</v>
      </c>
    </row>
    <row r="124" spans="1:6" x14ac:dyDescent="0.3">
      <c r="A124">
        <v>2013</v>
      </c>
      <c r="B124">
        <v>3</v>
      </c>
      <c r="C124" s="3">
        <v>2013.1666666666599</v>
      </c>
      <c r="D124">
        <v>27.443999999999999</v>
      </c>
      <c r="E124">
        <v>0.57099999999999995</v>
      </c>
      <c r="F124">
        <v>9</v>
      </c>
    </row>
    <row r="125" spans="1:6" x14ac:dyDescent="0.3">
      <c r="A125">
        <v>2013</v>
      </c>
      <c r="B125">
        <v>4</v>
      </c>
      <c r="C125" s="3">
        <v>2013.25</v>
      </c>
      <c r="D125">
        <v>28.337</v>
      </c>
      <c r="E125">
        <v>0.49399999999999999</v>
      </c>
      <c r="F125">
        <v>10</v>
      </c>
    </row>
    <row r="126" spans="1:6" x14ac:dyDescent="0.3">
      <c r="A126">
        <v>2013</v>
      </c>
      <c r="B126">
        <v>5</v>
      </c>
      <c r="C126" s="3">
        <v>2013.3333333333301</v>
      </c>
      <c r="D126">
        <v>29.405000000000001</v>
      </c>
      <c r="E126">
        <v>0.84099999999999997</v>
      </c>
      <c r="F126">
        <v>8</v>
      </c>
    </row>
    <row r="127" spans="1:6" x14ac:dyDescent="0.3">
      <c r="A127">
        <v>2013</v>
      </c>
      <c r="B127">
        <v>6</v>
      </c>
      <c r="C127" s="3">
        <v>2013.4166666666599</v>
      </c>
      <c r="D127">
        <v>30.297000000000001</v>
      </c>
      <c r="E127">
        <v>0.69799999999999995</v>
      </c>
      <c r="F127">
        <v>7</v>
      </c>
    </row>
    <row r="128" spans="1:6" x14ac:dyDescent="0.3">
      <c r="A128">
        <v>2013</v>
      </c>
      <c r="B128">
        <v>7</v>
      </c>
      <c r="C128" s="3">
        <v>2013.5</v>
      </c>
      <c r="D128">
        <v>29.922000000000001</v>
      </c>
      <c r="E128">
        <v>0.73099999999999998</v>
      </c>
      <c r="F128">
        <v>11</v>
      </c>
    </row>
    <row r="129" spans="1:6" x14ac:dyDescent="0.3">
      <c r="A129">
        <v>2013</v>
      </c>
      <c r="B129">
        <v>8</v>
      </c>
      <c r="C129" s="3">
        <v>2013.5833333333301</v>
      </c>
      <c r="D129">
        <v>30.048999999999999</v>
      </c>
      <c r="E129">
        <v>0.443</v>
      </c>
      <c r="F129">
        <v>6</v>
      </c>
    </row>
    <row r="130" spans="1:6" x14ac:dyDescent="0.3">
      <c r="A130">
        <v>2013</v>
      </c>
      <c r="B130">
        <v>9</v>
      </c>
      <c r="C130" s="3">
        <v>2013.6666666666599</v>
      </c>
      <c r="D130">
        <v>30.058</v>
      </c>
      <c r="E130">
        <v>0.36699999999999999</v>
      </c>
      <c r="F130">
        <v>3</v>
      </c>
    </row>
    <row r="131" spans="1:6" x14ac:dyDescent="0.3">
      <c r="A131">
        <v>2013</v>
      </c>
      <c r="B131">
        <v>10</v>
      </c>
      <c r="C131" s="3">
        <v>2013.75</v>
      </c>
      <c r="D131">
        <v>30.169</v>
      </c>
      <c r="E131">
        <v>0.51300000000000001</v>
      </c>
      <c r="F131">
        <v>10</v>
      </c>
    </row>
    <row r="132" spans="1:6" x14ac:dyDescent="0.3">
      <c r="A132">
        <v>2013</v>
      </c>
      <c r="B132">
        <v>11</v>
      </c>
      <c r="C132" s="3">
        <v>2013.8333333333301</v>
      </c>
      <c r="D132">
        <v>29.783999999999999</v>
      </c>
      <c r="E132">
        <v>0.53500000000000003</v>
      </c>
      <c r="F132">
        <v>15</v>
      </c>
    </row>
    <row r="133" spans="1:6" x14ac:dyDescent="0.3">
      <c r="A133">
        <v>2013</v>
      </c>
      <c r="B133">
        <v>12</v>
      </c>
      <c r="C133" s="3">
        <v>2013.9166666666599</v>
      </c>
      <c r="D133">
        <v>29.49</v>
      </c>
      <c r="E133">
        <v>0.54900000000000004</v>
      </c>
      <c r="F133">
        <v>19</v>
      </c>
    </row>
    <row r="134" spans="1:6" x14ac:dyDescent="0.3">
      <c r="A134">
        <v>2014</v>
      </c>
      <c r="B134">
        <v>1</v>
      </c>
      <c r="C134" s="3">
        <v>2014</v>
      </c>
      <c r="D134">
        <v>28.6</v>
      </c>
      <c r="E134">
        <v>0.78600000000000003</v>
      </c>
      <c r="F134">
        <v>23</v>
      </c>
    </row>
    <row r="135" spans="1:6" x14ac:dyDescent="0.3">
      <c r="A135">
        <v>2014</v>
      </c>
      <c r="B135">
        <v>2</v>
      </c>
      <c r="C135" s="3">
        <v>2014.0833333333333</v>
      </c>
      <c r="D135">
        <v>28.016999999999999</v>
      </c>
      <c r="E135">
        <v>0.36599999999999999</v>
      </c>
      <c r="F135">
        <v>16</v>
      </c>
    </row>
    <row r="136" spans="1:6" x14ac:dyDescent="0.3">
      <c r="A136">
        <v>2014</v>
      </c>
      <c r="B136">
        <v>3</v>
      </c>
      <c r="C136" s="3">
        <v>2014.1666666666665</v>
      </c>
      <c r="D136">
        <v>27.762</v>
      </c>
      <c r="E136">
        <v>0.34100000000000003</v>
      </c>
      <c r="F136">
        <v>17</v>
      </c>
    </row>
    <row r="137" spans="1:6" x14ac:dyDescent="0.3">
      <c r="A137">
        <v>2014</v>
      </c>
      <c r="B137">
        <v>4</v>
      </c>
      <c r="C137" s="3">
        <v>2014.25</v>
      </c>
      <c r="D137">
        <v>28.202000000000002</v>
      </c>
      <c r="E137">
        <v>0.35399999999999998</v>
      </c>
      <c r="F137">
        <v>9</v>
      </c>
    </row>
    <row r="138" spans="1:6" x14ac:dyDescent="0.3">
      <c r="A138">
        <v>2014</v>
      </c>
      <c r="B138">
        <v>5</v>
      </c>
      <c r="C138" s="3">
        <v>2014.3333333333333</v>
      </c>
      <c r="D138">
        <v>29.388000000000002</v>
      </c>
      <c r="E138">
        <v>0.65</v>
      </c>
      <c r="F138">
        <v>13</v>
      </c>
    </row>
    <row r="139" spans="1:6" x14ac:dyDescent="0.3">
      <c r="A139">
        <v>2014</v>
      </c>
      <c r="B139">
        <v>6</v>
      </c>
      <c r="C139" s="3">
        <v>2014.4166666666665</v>
      </c>
      <c r="D139">
        <v>30.318999999999999</v>
      </c>
      <c r="E139">
        <v>0.57499999999999996</v>
      </c>
      <c r="F139">
        <v>7</v>
      </c>
    </row>
    <row r="140" spans="1:6" x14ac:dyDescent="0.3">
      <c r="A140">
        <v>2014</v>
      </c>
      <c r="B140">
        <v>7</v>
      </c>
      <c r="C140" s="3">
        <v>2014.5</v>
      </c>
      <c r="D140">
        <v>30.050999999999998</v>
      </c>
      <c r="E140">
        <v>0.59899999999999998</v>
      </c>
      <c r="F140">
        <v>14</v>
      </c>
    </row>
    <row r="141" spans="1:6" x14ac:dyDescent="0.3">
      <c r="A141">
        <v>2014</v>
      </c>
      <c r="B141">
        <v>8</v>
      </c>
      <c r="C141" s="3">
        <v>2014.5833333333333</v>
      </c>
      <c r="D141">
        <v>29.831</v>
      </c>
      <c r="E141">
        <v>0.61499999999999999</v>
      </c>
      <c r="F141">
        <v>9</v>
      </c>
    </row>
    <row r="142" spans="1:6" x14ac:dyDescent="0.3">
      <c r="A142">
        <v>2014</v>
      </c>
      <c r="B142">
        <v>9</v>
      </c>
      <c r="C142" s="3">
        <v>2014.6666666666665</v>
      </c>
      <c r="D142">
        <v>30.652000000000001</v>
      </c>
      <c r="E142">
        <v>0.35</v>
      </c>
      <c r="F142">
        <v>5</v>
      </c>
    </row>
    <row r="143" spans="1:6" x14ac:dyDescent="0.3">
      <c r="A143">
        <v>2014</v>
      </c>
      <c r="B143">
        <v>10</v>
      </c>
      <c r="C143" s="3">
        <v>2014.75</v>
      </c>
      <c r="D143">
        <v>30.187999999999999</v>
      </c>
      <c r="E143">
        <v>0.627</v>
      </c>
      <c r="F143">
        <v>6</v>
      </c>
    </row>
    <row r="144" spans="1:6" x14ac:dyDescent="0.3">
      <c r="A144">
        <v>2014</v>
      </c>
      <c r="B144">
        <v>11</v>
      </c>
      <c r="C144" s="3">
        <v>2014.8333333333333</v>
      </c>
      <c r="D144">
        <v>29.911999999999999</v>
      </c>
      <c r="E144">
        <v>0.53300000000000003</v>
      </c>
      <c r="F144">
        <v>14</v>
      </c>
    </row>
    <row r="145" spans="1:6" x14ac:dyDescent="0.3">
      <c r="A145">
        <v>2014</v>
      </c>
      <c r="B145">
        <v>12</v>
      </c>
      <c r="C145" s="3">
        <v>2014.9166666666665</v>
      </c>
      <c r="D145">
        <v>28.779</v>
      </c>
      <c r="E145">
        <v>0.51400000000000001</v>
      </c>
      <c r="F145">
        <v>18</v>
      </c>
    </row>
    <row r="146" spans="1:6" x14ac:dyDescent="0.3">
      <c r="A146">
        <v>2015</v>
      </c>
      <c r="B146">
        <v>1</v>
      </c>
      <c r="C146" s="3">
        <v>2014.9999999999998</v>
      </c>
      <c r="D146">
        <v>28.024999999999999</v>
      </c>
      <c r="E146">
        <v>0.51100000000000001</v>
      </c>
      <c r="F146">
        <v>20</v>
      </c>
    </row>
    <row r="147" spans="1:6" x14ac:dyDescent="0.3">
      <c r="A147">
        <v>2015</v>
      </c>
      <c r="B147">
        <v>2</v>
      </c>
      <c r="C147" s="3">
        <v>2015.083333333333</v>
      </c>
      <c r="D147">
        <v>27.867000000000001</v>
      </c>
      <c r="E147">
        <v>0.42599999999999999</v>
      </c>
      <c r="F147">
        <v>21</v>
      </c>
    </row>
    <row r="148" spans="1:6" x14ac:dyDescent="0.3">
      <c r="A148">
        <v>2015</v>
      </c>
      <c r="B148">
        <v>3</v>
      </c>
      <c r="C148" s="3">
        <v>2015.1666666666665</v>
      </c>
      <c r="D148">
        <v>27.673999999999999</v>
      </c>
      <c r="E148">
        <v>0.58099999999999996</v>
      </c>
      <c r="F148">
        <v>21</v>
      </c>
    </row>
    <row r="149" spans="1:6" x14ac:dyDescent="0.3">
      <c r="A149">
        <v>2015</v>
      </c>
      <c r="B149">
        <v>4</v>
      </c>
      <c r="C149" s="3">
        <v>2015.2499999999998</v>
      </c>
      <c r="D149">
        <v>28.146000000000001</v>
      </c>
      <c r="E149">
        <v>0.59499999999999997</v>
      </c>
      <c r="F149">
        <v>8</v>
      </c>
    </row>
    <row r="150" spans="1:6" x14ac:dyDescent="0.3">
      <c r="A150">
        <v>2015</v>
      </c>
      <c r="B150">
        <v>5</v>
      </c>
      <c r="C150" s="3">
        <v>2015.3333333333333</v>
      </c>
      <c r="D150">
        <v>29.45</v>
      </c>
      <c r="E150">
        <v>0.28100000000000003</v>
      </c>
      <c r="F150">
        <v>7</v>
      </c>
    </row>
    <row r="151" spans="1:6" x14ac:dyDescent="0.3">
      <c r="A151">
        <v>2015</v>
      </c>
      <c r="B151">
        <v>6</v>
      </c>
      <c r="C151" s="3">
        <v>2015.4166666666665</v>
      </c>
      <c r="D151">
        <v>29.994</v>
      </c>
      <c r="E151">
        <v>0.77400000000000002</v>
      </c>
      <c r="F151">
        <v>6</v>
      </c>
    </row>
    <row r="152" spans="1:6" x14ac:dyDescent="0.3">
      <c r="A152">
        <v>2015</v>
      </c>
      <c r="B152">
        <v>7</v>
      </c>
      <c r="C152" s="3">
        <v>2015.4999999999998</v>
      </c>
      <c r="D152">
        <v>29.783000000000001</v>
      </c>
      <c r="E152">
        <v>0.873</v>
      </c>
      <c r="F152">
        <v>8</v>
      </c>
    </row>
    <row r="153" spans="1:6" x14ac:dyDescent="0.3">
      <c r="A153">
        <v>2015</v>
      </c>
      <c r="B153">
        <v>8</v>
      </c>
      <c r="C153" s="3">
        <v>2015.5833333333333</v>
      </c>
      <c r="D153">
        <v>29.963000000000001</v>
      </c>
      <c r="E153">
        <v>0.82599999999999996</v>
      </c>
      <c r="F153">
        <v>14</v>
      </c>
    </row>
    <row r="154" spans="1:6" x14ac:dyDescent="0.3">
      <c r="A154">
        <v>2015</v>
      </c>
      <c r="B154">
        <v>9</v>
      </c>
      <c r="C154" s="3">
        <v>2015.6666666666665</v>
      </c>
      <c r="D154">
        <v>30.975000000000001</v>
      </c>
      <c r="E154">
        <v>0.50600000000000001</v>
      </c>
      <c r="F154">
        <v>11</v>
      </c>
    </row>
    <row r="155" spans="1:6" x14ac:dyDescent="0.3">
      <c r="A155">
        <v>2015</v>
      </c>
      <c r="B155">
        <v>10</v>
      </c>
      <c r="C155" s="3">
        <v>2015.7499999999998</v>
      </c>
      <c r="D155">
        <v>30.3</v>
      </c>
      <c r="E155">
        <v>0.46100000000000002</v>
      </c>
      <c r="F155">
        <v>13</v>
      </c>
    </row>
    <row r="156" spans="1:6" x14ac:dyDescent="0.3">
      <c r="A156">
        <v>2015</v>
      </c>
      <c r="B156">
        <v>11</v>
      </c>
      <c r="C156" s="3">
        <v>2015.8333333333333</v>
      </c>
      <c r="D156">
        <v>29.773</v>
      </c>
      <c r="E156">
        <v>0.68</v>
      </c>
      <c r="F156">
        <v>11</v>
      </c>
    </row>
    <row r="157" spans="1:6" x14ac:dyDescent="0.3">
      <c r="A157">
        <v>2015</v>
      </c>
      <c r="B157">
        <v>12</v>
      </c>
      <c r="C157" s="3">
        <v>2015.9166666666665</v>
      </c>
      <c r="D157">
        <v>29.994</v>
      </c>
      <c r="E157">
        <v>0.42699999999999999</v>
      </c>
      <c r="F157">
        <v>20</v>
      </c>
    </row>
    <row r="158" spans="1:6" x14ac:dyDescent="0.3">
      <c r="C158" s="3"/>
    </row>
    <row r="159" spans="1:6" x14ac:dyDescent="0.3">
      <c r="C159" s="3"/>
    </row>
    <row r="160" spans="1:6" x14ac:dyDescent="0.3">
      <c r="C160" s="3"/>
    </row>
    <row r="161" spans="3:3" x14ac:dyDescent="0.3">
      <c r="C161" s="3"/>
    </row>
    <row r="162" spans="3:3" x14ac:dyDescent="0.3">
      <c r="C162" s="3"/>
    </row>
    <row r="163" spans="3:3" x14ac:dyDescent="0.3">
      <c r="C163" s="3"/>
    </row>
    <row r="164" spans="3:3" x14ac:dyDescent="0.3">
      <c r="C164" s="3"/>
    </row>
    <row r="165" spans="3:3" x14ac:dyDescent="0.3">
      <c r="C165" s="3"/>
    </row>
    <row r="166" spans="3:3" x14ac:dyDescent="0.3">
      <c r="C166" s="3"/>
    </row>
    <row r="167" spans="3:3" x14ac:dyDescent="0.3">
      <c r="C167" s="3"/>
    </row>
    <row r="168" spans="3:3" x14ac:dyDescent="0.3">
      <c r="C168" s="3"/>
    </row>
    <row r="169" spans="3:3" x14ac:dyDescent="0.3">
      <c r="C169" s="3"/>
    </row>
    <row r="170" spans="3:3" x14ac:dyDescent="0.3">
      <c r="C170" s="3"/>
    </row>
    <row r="171" spans="3:3" x14ac:dyDescent="0.3">
      <c r="C171" s="3"/>
    </row>
    <row r="172" spans="3:3" x14ac:dyDescent="0.3">
      <c r="C172" s="3"/>
    </row>
    <row r="173" spans="3:3" x14ac:dyDescent="0.3">
      <c r="C173" s="3"/>
    </row>
    <row r="174" spans="3:3" x14ac:dyDescent="0.3">
      <c r="C174" s="3"/>
    </row>
    <row r="175" spans="3:3" x14ac:dyDescent="0.3">
      <c r="C175" s="3"/>
    </row>
    <row r="176" spans="3:3" x14ac:dyDescent="0.3">
      <c r="C176" s="3"/>
    </row>
    <row r="177" spans="3:3" x14ac:dyDescent="0.3">
      <c r="C177" s="3"/>
    </row>
    <row r="178" spans="3:3" x14ac:dyDescent="0.3">
      <c r="C178" s="3"/>
    </row>
    <row r="179" spans="3:3" x14ac:dyDescent="0.3">
      <c r="C179" s="3"/>
    </row>
    <row r="180" spans="3:3" x14ac:dyDescent="0.3">
      <c r="C180" s="3"/>
    </row>
    <row r="181" spans="3:3" x14ac:dyDescent="0.3">
      <c r="C181" s="3"/>
    </row>
  </sheetData>
  <autoFilter ref="A1:F1" xr:uid="{248DE497-0C92-449D-A59F-1813AAB9BFA1}"/>
  <mergeCells count="1">
    <mergeCell ref="H1:I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95C1-31D0-49FB-9C61-C64CCA1FEBF1}">
  <dimension ref="A1:O205"/>
  <sheetViews>
    <sheetView workbookViewId="0">
      <selection activeCell="M9" sqref="M9"/>
    </sheetView>
  </sheetViews>
  <sheetFormatPr baseColWidth="10" defaultRowHeight="14.4" x14ac:dyDescent="0.3"/>
  <cols>
    <col min="1" max="1" width="8.6640625" customWidth="1"/>
    <col min="2" max="2" width="8.88671875" customWidth="1"/>
    <col min="3" max="3" width="9.5546875" customWidth="1"/>
    <col min="4" max="4" width="11.109375" customWidth="1"/>
    <col min="5" max="5" width="7.109375" customWidth="1"/>
    <col min="6" max="6" width="8.33203125" customWidth="1"/>
    <col min="8" max="8" width="7.6640625" customWidth="1"/>
    <col min="10" max="10" width="8.77734375" customWidth="1"/>
    <col min="12" max="12" width="8.77734375" customWidth="1"/>
    <col min="13" max="13" width="9.21875" customWidth="1"/>
    <col min="14" max="14" width="8.109375" customWidth="1"/>
    <col min="15" max="15" width="7" customWidth="1"/>
  </cols>
  <sheetData>
    <row r="1" spans="1:15" x14ac:dyDescent="0.3">
      <c r="A1" s="4" t="s">
        <v>39</v>
      </c>
      <c r="B1" s="4" t="s">
        <v>38</v>
      </c>
      <c r="C1" s="4" t="s">
        <v>37</v>
      </c>
      <c r="D1" s="25" t="s">
        <v>36</v>
      </c>
      <c r="E1" s="4" t="s">
        <v>97</v>
      </c>
      <c r="F1" s="4" t="s">
        <v>96</v>
      </c>
      <c r="H1" s="27" t="s">
        <v>15</v>
      </c>
      <c r="I1" s="27"/>
      <c r="J1" s="5" t="s">
        <v>14</v>
      </c>
      <c r="L1" s="26" t="s">
        <v>13</v>
      </c>
      <c r="M1" s="26" t="s">
        <v>93</v>
      </c>
      <c r="N1" s="26" t="s">
        <v>99</v>
      </c>
      <c r="O1" s="26" t="s">
        <v>112</v>
      </c>
    </row>
    <row r="2" spans="1:15" x14ac:dyDescent="0.3">
      <c r="A2">
        <v>2001</v>
      </c>
      <c r="B2">
        <v>1</v>
      </c>
      <c r="C2" s="3">
        <v>2001</v>
      </c>
      <c r="D2">
        <v>27.834</v>
      </c>
      <c r="E2">
        <v>0.47199999999999998</v>
      </c>
      <c r="F2">
        <v>19</v>
      </c>
      <c r="H2">
        <v>1</v>
      </c>
      <c r="I2" s="2">
        <f t="shared" ref="I2:I13" si="0">AVERAGEIF(B$2:B$205,H2,D$2:D$205)</f>
        <v>27.975733333333338</v>
      </c>
      <c r="J2" s="9">
        <f t="array" ref="J2">_xlfn.STDEV.S(IF(B$2:B$205=H2,D$2:D$205))</f>
        <v>0.25258279170732673</v>
      </c>
      <c r="L2">
        <v>2015</v>
      </c>
      <c r="M2" s="2">
        <f>AVERAGEIF(A$2:A$181,L2,D$2:D$181)</f>
        <v>29.277833333333337</v>
      </c>
      <c r="N2" s="2">
        <f t="array" ref="N2">_xlfn.STDEV.S(IF(A$2:A$181=L2,D$2:D$181))</f>
        <v>1.076113785242006</v>
      </c>
      <c r="O2" s="19">
        <f>SUMIF(A$2:A$181,L2,F$2:F$181)</f>
        <v>171</v>
      </c>
    </row>
    <row r="3" spans="1:15" x14ac:dyDescent="0.3">
      <c r="A3">
        <v>2001</v>
      </c>
      <c r="B3">
        <v>2</v>
      </c>
      <c r="C3" s="3">
        <v>2001.0833333333101</v>
      </c>
      <c r="D3">
        <v>27.367000000000001</v>
      </c>
      <c r="E3">
        <v>0.56299999999999994</v>
      </c>
      <c r="F3">
        <v>21</v>
      </c>
      <c r="H3">
        <v>2</v>
      </c>
      <c r="I3" s="2">
        <f t="shared" si="0"/>
        <v>27.628133333333331</v>
      </c>
      <c r="J3" s="9">
        <f t="array" ref="J3">_xlfn.STDEV.S(IF(B$2:B$205=H3,D$2:D$205))</f>
        <v>0.29896914954715997</v>
      </c>
      <c r="L3">
        <v>2014</v>
      </c>
      <c r="M3" s="2">
        <f t="shared" ref="M3:M16" si="1">AVERAGEIF(A$2:A$181,L3,D$2:D$181)</f>
        <v>29.270416666666673</v>
      </c>
      <c r="N3" s="2" cm="1">
        <f t="array" ref="N3">_xlfn.STDEV.S(IF(A$2:A$181=L3,D$2:D$181))</f>
        <v>1.0632980817278199</v>
      </c>
      <c r="O3" s="19">
        <f t="shared" ref="O3:O16" si="2">SUMIF(A$2:A$181,L3,F$2:F$181)</f>
        <v>156</v>
      </c>
    </row>
    <row r="4" spans="1:15" x14ac:dyDescent="0.3">
      <c r="A4">
        <v>2001</v>
      </c>
      <c r="B4">
        <v>3</v>
      </c>
      <c r="C4" s="3">
        <v>2001.1666666666399</v>
      </c>
      <c r="D4">
        <v>27.350999999999999</v>
      </c>
      <c r="E4">
        <v>0.52600000000000002</v>
      </c>
      <c r="F4">
        <v>8</v>
      </c>
      <c r="H4">
        <v>3</v>
      </c>
      <c r="I4" s="2">
        <f t="shared" si="0"/>
        <v>27.591000000000001</v>
      </c>
      <c r="J4" s="9">
        <f t="array" ref="J4">_xlfn.STDEV.S(IF(B$2:B$205=H4,D$2:D$205))</f>
        <v>0.33592090905875005</v>
      </c>
      <c r="L4">
        <v>2013</v>
      </c>
      <c r="M4" s="2">
        <f t="shared" si="1"/>
        <v>29.205333333333328</v>
      </c>
      <c r="N4" s="2" cm="1">
        <f t="array" ref="N4">_xlfn.STDEV.S(IF(A$2:A$181=L4,D$2:D$181))</f>
        <v>1.1043992470885238</v>
      </c>
      <c r="O4" s="19">
        <f t="shared" si="2"/>
        <v>143</v>
      </c>
    </row>
    <row r="5" spans="1:15" x14ac:dyDescent="0.3">
      <c r="A5">
        <v>2001</v>
      </c>
      <c r="B5">
        <v>4</v>
      </c>
      <c r="C5" s="3">
        <v>2001.24999999997</v>
      </c>
      <c r="D5">
        <v>27.882999999999999</v>
      </c>
      <c r="E5">
        <v>0.39200000000000002</v>
      </c>
      <c r="F5">
        <v>13</v>
      </c>
      <c r="H5">
        <v>4</v>
      </c>
      <c r="I5" s="2">
        <f t="shared" si="0"/>
        <v>28.218599999999999</v>
      </c>
      <c r="J5" s="9">
        <f t="array" ref="J5">_xlfn.STDEV.S(IF(B$2:B$205=H5,D$2:D$205))</f>
        <v>0.34553949536506368</v>
      </c>
      <c r="L5">
        <v>2012</v>
      </c>
      <c r="M5" s="2">
        <f t="shared" si="1"/>
        <v>29.073250000000005</v>
      </c>
      <c r="N5" s="2" cm="1">
        <f t="array" ref="N5">_xlfn.STDEV.S(IF(A$2:A$181=L5,D$2:D$181))</f>
        <v>1.0140789932472982</v>
      </c>
      <c r="O5" s="19">
        <f t="shared" si="2"/>
        <v>149</v>
      </c>
    </row>
    <row r="6" spans="1:15" x14ac:dyDescent="0.3">
      <c r="A6">
        <v>2001</v>
      </c>
      <c r="B6">
        <v>5</v>
      </c>
      <c r="C6" s="3">
        <v>2001.3333333333101</v>
      </c>
      <c r="D6">
        <v>29.123000000000001</v>
      </c>
      <c r="E6">
        <v>0.82699999999999996</v>
      </c>
      <c r="F6">
        <v>8</v>
      </c>
      <c r="H6">
        <v>5</v>
      </c>
      <c r="I6" s="2">
        <f t="shared" si="0"/>
        <v>29.453799999999998</v>
      </c>
      <c r="J6" s="9">
        <f t="array" ref="J6">_xlfn.STDEV.S(IF(B$2:B$205=H6,D$2:D$205))</f>
        <v>0.37260745334160217</v>
      </c>
      <c r="L6">
        <v>2011</v>
      </c>
      <c r="M6" s="2">
        <f t="shared" si="1"/>
        <v>29.02633333333333</v>
      </c>
      <c r="N6" s="2" cm="1">
        <f t="array" ref="N6">_xlfn.STDEV.S(IF(A$2:A$181=L6,D$2:D$181))</f>
        <v>0.98675716210711961</v>
      </c>
      <c r="O6" s="19">
        <f t="shared" si="2"/>
        <v>125</v>
      </c>
    </row>
    <row r="7" spans="1:15" x14ac:dyDescent="0.3">
      <c r="A7">
        <v>2001</v>
      </c>
      <c r="B7">
        <v>6</v>
      </c>
      <c r="C7" s="3">
        <v>2001.4166666666399</v>
      </c>
      <c r="D7">
        <v>29.143000000000001</v>
      </c>
      <c r="E7">
        <v>0.86499999999999999</v>
      </c>
      <c r="F7">
        <v>3</v>
      </c>
      <c r="H7">
        <v>6</v>
      </c>
      <c r="I7" s="2">
        <f t="shared" si="0"/>
        <v>30.03446666666667</v>
      </c>
      <c r="J7" s="9">
        <f t="array" ref="J7">_xlfn.STDEV.S(IF(B$2:B$205=H7,D$2:D$205))</f>
        <v>0.38156273902141419</v>
      </c>
      <c r="L7">
        <v>2010</v>
      </c>
      <c r="M7" s="2">
        <f t="shared" si="1"/>
        <v>29.070833333333336</v>
      </c>
      <c r="N7" s="2" cm="1">
        <f t="array" ref="N7">_xlfn.STDEV.S(IF(A$2:A$181=L7,D$2:D$181))</f>
        <v>0.92016933553591407</v>
      </c>
      <c r="O7" s="19">
        <f t="shared" si="2"/>
        <v>89</v>
      </c>
    </row>
    <row r="8" spans="1:15" x14ac:dyDescent="0.3">
      <c r="A8">
        <v>2001</v>
      </c>
      <c r="B8">
        <v>7</v>
      </c>
      <c r="C8" s="3">
        <v>2001.49999999998</v>
      </c>
      <c r="D8">
        <v>29.568000000000001</v>
      </c>
      <c r="E8">
        <v>0.43</v>
      </c>
      <c r="F8">
        <v>7</v>
      </c>
      <c r="H8">
        <v>7</v>
      </c>
      <c r="I8" s="2">
        <f t="shared" si="0"/>
        <v>30.15806666666667</v>
      </c>
      <c r="J8" s="9">
        <f t="array" ref="J8">_xlfn.STDEV.S(IF(B$2:B$205=H8,D$2:D$205))</f>
        <v>0.35253783316053294</v>
      </c>
      <c r="L8">
        <v>2009</v>
      </c>
      <c r="M8" s="2">
        <f t="shared" si="1"/>
        <v>28.970666666666663</v>
      </c>
      <c r="N8" s="2" cm="1">
        <f t="array" ref="N8">_xlfn.STDEV.S(IF(A$2:A$181=L8,D$2:D$181))</f>
        <v>1.1079842740378358</v>
      </c>
      <c r="O8" s="19">
        <f t="shared" si="2"/>
        <v>151</v>
      </c>
    </row>
    <row r="9" spans="1:15" x14ac:dyDescent="0.3">
      <c r="A9">
        <v>2001</v>
      </c>
      <c r="B9">
        <v>8</v>
      </c>
      <c r="C9" s="3">
        <v>2001.5833333333101</v>
      </c>
      <c r="D9">
        <v>29.654</v>
      </c>
      <c r="E9">
        <v>0.64200000000000002</v>
      </c>
      <c r="F9">
        <v>8</v>
      </c>
      <c r="H9">
        <v>8</v>
      </c>
      <c r="I9" s="2">
        <f t="shared" si="0"/>
        <v>29.891999999999992</v>
      </c>
      <c r="J9" s="9">
        <f t="array" ref="J9">_xlfn.STDEV.S(IF(B$2:B$205=H9,D$2:D$205))</f>
        <v>0.35846617692608068</v>
      </c>
      <c r="L9">
        <v>2008</v>
      </c>
      <c r="M9" s="2">
        <f t="shared" si="1"/>
        <v>28.866250000000004</v>
      </c>
      <c r="N9" s="2" cm="1">
        <f t="array" ref="N9">_xlfn.STDEV.S(IF(A$2:A$181=L9,D$2:D$181))</f>
        <v>0.93274922333731425</v>
      </c>
      <c r="O9" s="19">
        <f t="shared" si="2"/>
        <v>121</v>
      </c>
    </row>
    <row r="10" spans="1:15" x14ac:dyDescent="0.3">
      <c r="A10">
        <v>2001</v>
      </c>
      <c r="B10">
        <v>9</v>
      </c>
      <c r="C10" s="3">
        <v>2001.6666666666399</v>
      </c>
      <c r="D10">
        <v>29.751999999999999</v>
      </c>
      <c r="E10">
        <v>0.502</v>
      </c>
      <c r="F10">
        <v>5</v>
      </c>
      <c r="H10">
        <v>9</v>
      </c>
      <c r="I10" s="2">
        <f t="shared" si="0"/>
        <v>30.086466666666663</v>
      </c>
      <c r="J10" s="9">
        <f t="array" ref="J10">_xlfn.STDEV.S(IF(B$2:B$205=H10,D$2:D$205))</f>
        <v>0.23260139622067955</v>
      </c>
      <c r="L10">
        <v>2007</v>
      </c>
      <c r="M10" s="2">
        <f t="shared" si="1"/>
        <v>28.985583333333327</v>
      </c>
      <c r="N10" s="2" cm="1">
        <f t="array" ref="N10">_xlfn.STDEV.S(IF(A$2:A$181=L10,D$2:D$181))</f>
        <v>1.0217459618741151</v>
      </c>
      <c r="O10" s="19">
        <f t="shared" si="2"/>
        <v>125</v>
      </c>
    </row>
    <row r="11" spans="1:15" x14ac:dyDescent="0.3">
      <c r="A11">
        <v>2001</v>
      </c>
      <c r="B11">
        <v>10</v>
      </c>
      <c r="C11" s="3">
        <v>2001.74999999998</v>
      </c>
      <c r="D11">
        <v>29.678999999999998</v>
      </c>
      <c r="E11">
        <v>0.60899999999999999</v>
      </c>
      <c r="F11">
        <v>10</v>
      </c>
      <c r="H11">
        <v>10</v>
      </c>
      <c r="I11" s="2">
        <f t="shared" si="0"/>
        <v>29.728000000000005</v>
      </c>
      <c r="J11" s="9">
        <f t="array" ref="J11">_xlfn.STDEV.S(IF(B$2:B$205=H11,D$2:D$205))</f>
        <v>0.29576680003002398</v>
      </c>
      <c r="L11">
        <v>2006</v>
      </c>
      <c r="M11" s="2">
        <f t="shared" si="1"/>
        <v>29.177083333333339</v>
      </c>
      <c r="N11" s="2" cm="1">
        <f t="array" ref="N11">_xlfn.STDEV.S(IF(A$2:A$181=L11,D$2:D$181))</f>
        <v>1.0709948186219909</v>
      </c>
      <c r="O11" s="19">
        <f t="shared" si="2"/>
        <v>148</v>
      </c>
    </row>
    <row r="12" spans="1:15" x14ac:dyDescent="0.3">
      <c r="A12">
        <v>2001</v>
      </c>
      <c r="B12">
        <v>11</v>
      </c>
      <c r="C12" s="3">
        <v>2001.8333333333101</v>
      </c>
      <c r="D12">
        <v>29.259</v>
      </c>
      <c r="E12">
        <v>0.51800000000000002</v>
      </c>
      <c r="F12">
        <v>9</v>
      </c>
      <c r="H12">
        <v>11</v>
      </c>
      <c r="I12" s="2">
        <f t="shared" si="0"/>
        <v>29.3674</v>
      </c>
      <c r="J12" s="9">
        <f t="array" ref="J12">_xlfn.STDEV.S(IF(B$2:B$205=H12,D$2:D$205))</f>
        <v>0.26376255555761852</v>
      </c>
      <c r="L12">
        <v>2005</v>
      </c>
      <c r="M12" s="2">
        <f t="shared" si="1"/>
        <v>29.142250000000001</v>
      </c>
      <c r="N12" s="2" cm="1">
        <f t="array" ref="N12">_xlfn.STDEV.S(IF(A$2:A$181=L12,D$2:D$181))</f>
        <v>1.2185727959752379</v>
      </c>
      <c r="O12" s="19">
        <f t="shared" si="2"/>
        <v>130</v>
      </c>
    </row>
    <row r="13" spans="1:15" x14ac:dyDescent="0.3">
      <c r="A13">
        <v>2001</v>
      </c>
      <c r="B13">
        <v>12</v>
      </c>
      <c r="C13" s="3">
        <v>2001.9166666666399</v>
      </c>
      <c r="D13">
        <v>28.608000000000001</v>
      </c>
      <c r="E13">
        <v>0.86499999999999999</v>
      </c>
      <c r="F13">
        <v>9</v>
      </c>
      <c r="H13">
        <v>12</v>
      </c>
      <c r="I13" s="2">
        <f t="shared" si="0"/>
        <v>28.901200000000003</v>
      </c>
      <c r="J13" s="9">
        <f t="array" ref="J13">_xlfn.STDEV.S(IF(B$2:B$205=H13,D$2:D$205))</f>
        <v>0.43257702864840814</v>
      </c>
      <c r="L13">
        <v>2004</v>
      </c>
      <c r="M13" s="2">
        <f t="shared" si="1"/>
        <v>29.041083333333333</v>
      </c>
      <c r="N13" s="2" cm="1">
        <f t="array" ref="N13">_xlfn.STDEV.S(IF(A$2:A$181=L13,D$2:D$181))</f>
        <v>1.0831737423241969</v>
      </c>
      <c r="O13" s="19">
        <f t="shared" si="2"/>
        <v>143</v>
      </c>
    </row>
    <row r="14" spans="1:15" x14ac:dyDescent="0.3">
      <c r="A14">
        <v>2002</v>
      </c>
      <c r="B14">
        <v>1</v>
      </c>
      <c r="C14" s="3">
        <v>2002</v>
      </c>
      <c r="D14">
        <v>28.477</v>
      </c>
      <c r="E14">
        <v>0.32600000000000001</v>
      </c>
      <c r="F14">
        <v>24</v>
      </c>
      <c r="L14">
        <v>2003</v>
      </c>
      <c r="M14" s="2">
        <f t="shared" si="1"/>
        <v>29.23041666666667</v>
      </c>
      <c r="N14" s="2" cm="1">
        <f t="array" ref="N14">_xlfn.STDEV.S(IF(A$2:A$181=L14,D$2:D$181))</f>
        <v>0.87548308309634382</v>
      </c>
      <c r="O14" s="19">
        <f t="shared" si="2"/>
        <v>117</v>
      </c>
    </row>
    <row r="15" spans="1:15" x14ac:dyDescent="0.3">
      <c r="A15">
        <v>2002</v>
      </c>
      <c r="B15">
        <v>2</v>
      </c>
      <c r="C15" s="3">
        <v>2002.0833333333101</v>
      </c>
      <c r="D15">
        <v>27.678000000000001</v>
      </c>
      <c r="E15">
        <v>0.434</v>
      </c>
      <c r="F15">
        <v>20</v>
      </c>
      <c r="L15">
        <v>2002</v>
      </c>
      <c r="M15" s="2">
        <f t="shared" si="1"/>
        <v>29.187833333333334</v>
      </c>
      <c r="N15" s="2" cm="1">
        <f t="array" ref="N15">_xlfn.STDEV.S(IF(A$2:A$181=L15,D$2:D$181))</f>
        <v>1.0111596253207438</v>
      </c>
      <c r="O15" s="19">
        <f t="shared" si="2"/>
        <v>142</v>
      </c>
    </row>
    <row r="16" spans="1:15" x14ac:dyDescent="0.3">
      <c r="A16">
        <v>2002</v>
      </c>
      <c r="B16">
        <v>3</v>
      </c>
      <c r="C16" s="3">
        <v>2002.1666666666399</v>
      </c>
      <c r="D16">
        <v>27.53</v>
      </c>
      <c r="E16">
        <v>0.30399999999999999</v>
      </c>
      <c r="F16">
        <v>12</v>
      </c>
      <c r="L16">
        <v>2001</v>
      </c>
      <c r="M16" s="2">
        <f t="shared" si="1"/>
        <v>28.768416666666667</v>
      </c>
      <c r="N16" s="2" cm="1">
        <f t="array" ref="N16">_xlfn.STDEV.S(IF(A$2:A$181=L16,D$2:D$181))</f>
        <v>0.92356881501088284</v>
      </c>
      <c r="O16" s="19">
        <f t="shared" si="2"/>
        <v>120</v>
      </c>
    </row>
    <row r="17" spans="1:6" x14ac:dyDescent="0.3">
      <c r="A17">
        <v>2002</v>
      </c>
      <c r="B17">
        <v>4</v>
      </c>
      <c r="C17" s="3">
        <v>2002.24999999998</v>
      </c>
      <c r="D17">
        <v>28.459</v>
      </c>
      <c r="E17">
        <v>0.67900000000000005</v>
      </c>
      <c r="F17">
        <v>5</v>
      </c>
    </row>
    <row r="18" spans="1:6" x14ac:dyDescent="0.3">
      <c r="A18">
        <v>2002</v>
      </c>
      <c r="B18">
        <v>5</v>
      </c>
      <c r="C18" s="3">
        <v>2002.3333333333101</v>
      </c>
      <c r="D18">
        <v>28.736000000000001</v>
      </c>
      <c r="E18">
        <v>0.75</v>
      </c>
      <c r="F18">
        <v>8</v>
      </c>
    </row>
    <row r="19" spans="1:6" x14ac:dyDescent="0.3">
      <c r="A19">
        <v>2002</v>
      </c>
      <c r="B19">
        <v>6</v>
      </c>
      <c r="C19" s="3">
        <v>2002.4166666666399</v>
      </c>
      <c r="D19">
        <v>30.331</v>
      </c>
      <c r="E19">
        <v>0.75800000000000001</v>
      </c>
      <c r="F19">
        <v>12</v>
      </c>
    </row>
    <row r="20" spans="1:6" x14ac:dyDescent="0.3">
      <c r="A20">
        <v>2002</v>
      </c>
      <c r="B20">
        <v>7</v>
      </c>
      <c r="C20" s="3">
        <v>2002.49999999998</v>
      </c>
      <c r="D20">
        <v>29.861000000000001</v>
      </c>
      <c r="E20">
        <v>0.69199999999999995</v>
      </c>
      <c r="F20">
        <v>8</v>
      </c>
    </row>
    <row r="21" spans="1:6" x14ac:dyDescent="0.3">
      <c r="A21">
        <v>2002</v>
      </c>
      <c r="B21">
        <v>8</v>
      </c>
      <c r="C21" s="3">
        <v>2002.5833333333101</v>
      </c>
      <c r="D21">
        <v>30.091000000000001</v>
      </c>
      <c r="E21">
        <v>0.70499999999999996</v>
      </c>
      <c r="F21">
        <v>8</v>
      </c>
    </row>
    <row r="22" spans="1:6" x14ac:dyDescent="0.3">
      <c r="A22">
        <v>2002</v>
      </c>
      <c r="B22">
        <v>9</v>
      </c>
      <c r="C22" s="3">
        <v>2002.6666666666399</v>
      </c>
      <c r="D22">
        <v>30.303999999999998</v>
      </c>
      <c r="E22">
        <v>0.59199999999999997</v>
      </c>
      <c r="F22">
        <v>5</v>
      </c>
    </row>
    <row r="23" spans="1:6" x14ac:dyDescent="0.3">
      <c r="A23">
        <v>2002</v>
      </c>
      <c r="B23">
        <v>10</v>
      </c>
      <c r="C23" s="3">
        <v>2002.74999999998</v>
      </c>
      <c r="D23">
        <v>30.088000000000001</v>
      </c>
      <c r="E23">
        <v>0.871</v>
      </c>
      <c r="F23">
        <v>10</v>
      </c>
    </row>
    <row r="24" spans="1:6" x14ac:dyDescent="0.3">
      <c r="A24">
        <v>2002</v>
      </c>
      <c r="B24">
        <v>11</v>
      </c>
      <c r="C24" s="3">
        <v>2002.8333333333101</v>
      </c>
      <c r="D24">
        <v>29.733000000000001</v>
      </c>
      <c r="E24">
        <v>0.59799999999999998</v>
      </c>
      <c r="F24">
        <v>12</v>
      </c>
    </row>
    <row r="25" spans="1:6" x14ac:dyDescent="0.3">
      <c r="A25">
        <v>2002</v>
      </c>
      <c r="B25">
        <v>12</v>
      </c>
      <c r="C25" s="3">
        <v>2002.9166666666399</v>
      </c>
      <c r="D25">
        <v>28.966000000000001</v>
      </c>
      <c r="E25">
        <v>0.78200000000000003</v>
      </c>
      <c r="F25">
        <v>18</v>
      </c>
    </row>
    <row r="26" spans="1:6" x14ac:dyDescent="0.3">
      <c r="A26">
        <v>2003</v>
      </c>
      <c r="B26">
        <v>1</v>
      </c>
      <c r="C26" s="3">
        <v>2003</v>
      </c>
      <c r="D26">
        <v>28.048999999999999</v>
      </c>
      <c r="E26">
        <v>0.59399999999999997</v>
      </c>
      <c r="F26">
        <v>21</v>
      </c>
    </row>
    <row r="27" spans="1:6" x14ac:dyDescent="0.3">
      <c r="A27">
        <v>2003</v>
      </c>
      <c r="B27">
        <v>2</v>
      </c>
      <c r="C27" s="3">
        <v>2003.0833333333101</v>
      </c>
      <c r="D27">
        <v>27.9</v>
      </c>
      <c r="E27">
        <v>0.38600000000000001</v>
      </c>
      <c r="F27">
        <v>18</v>
      </c>
    </row>
    <row r="28" spans="1:6" x14ac:dyDescent="0.3">
      <c r="A28">
        <v>2003</v>
      </c>
      <c r="B28">
        <v>3</v>
      </c>
      <c r="C28" s="3">
        <v>2003.1666666666499</v>
      </c>
      <c r="D28">
        <v>28.268999999999998</v>
      </c>
      <c r="E28">
        <v>0.82199999999999995</v>
      </c>
      <c r="F28">
        <v>7</v>
      </c>
    </row>
    <row r="29" spans="1:6" x14ac:dyDescent="0.3">
      <c r="A29">
        <v>2003</v>
      </c>
      <c r="B29">
        <v>4</v>
      </c>
      <c r="C29" s="3">
        <v>2003.24999999998</v>
      </c>
      <c r="D29">
        <v>28.382999999999999</v>
      </c>
      <c r="E29">
        <v>1.496</v>
      </c>
      <c r="F29">
        <v>8</v>
      </c>
    </row>
    <row r="30" spans="1:6" x14ac:dyDescent="0.3">
      <c r="A30">
        <v>2003</v>
      </c>
      <c r="B30">
        <v>5</v>
      </c>
      <c r="C30" s="3">
        <v>2003.3333333333101</v>
      </c>
      <c r="D30">
        <v>29.706</v>
      </c>
      <c r="E30">
        <v>0.46400000000000002</v>
      </c>
      <c r="F30">
        <v>7</v>
      </c>
    </row>
    <row r="31" spans="1:6" x14ac:dyDescent="0.3">
      <c r="A31">
        <v>2003</v>
      </c>
      <c r="B31">
        <v>6</v>
      </c>
      <c r="C31" s="3">
        <v>2003.4166666666499</v>
      </c>
      <c r="D31">
        <v>29.829000000000001</v>
      </c>
      <c r="E31">
        <v>0.57799999999999996</v>
      </c>
      <c r="F31">
        <v>6</v>
      </c>
    </row>
    <row r="32" spans="1:6" x14ac:dyDescent="0.3">
      <c r="A32">
        <v>2003</v>
      </c>
      <c r="B32">
        <v>7</v>
      </c>
      <c r="C32" s="3">
        <v>2003.49999999998</v>
      </c>
      <c r="D32">
        <v>29.878</v>
      </c>
      <c r="E32">
        <v>0.64300000000000002</v>
      </c>
      <c r="F32">
        <v>8</v>
      </c>
    </row>
    <row r="33" spans="1:6" x14ac:dyDescent="0.3">
      <c r="A33">
        <v>2003</v>
      </c>
      <c r="B33">
        <v>8</v>
      </c>
      <c r="C33" s="3">
        <v>2003.5833333333101</v>
      </c>
      <c r="D33">
        <v>30.227</v>
      </c>
      <c r="E33">
        <v>0.69899999999999995</v>
      </c>
      <c r="F33">
        <v>12</v>
      </c>
    </row>
    <row r="34" spans="1:6" x14ac:dyDescent="0.3">
      <c r="A34">
        <v>2003</v>
      </c>
      <c r="B34">
        <v>9</v>
      </c>
      <c r="C34" s="3">
        <v>2003.6666666666499</v>
      </c>
      <c r="D34">
        <v>30.32</v>
      </c>
      <c r="E34">
        <v>0.55300000000000005</v>
      </c>
      <c r="F34">
        <v>4</v>
      </c>
    </row>
    <row r="35" spans="1:6" x14ac:dyDescent="0.3">
      <c r="A35">
        <v>2003</v>
      </c>
      <c r="B35">
        <v>10</v>
      </c>
      <c r="C35" s="3">
        <v>2003.74999999998</v>
      </c>
      <c r="D35">
        <v>29.756</v>
      </c>
      <c r="E35">
        <v>0.35899999999999999</v>
      </c>
      <c r="F35">
        <v>8</v>
      </c>
    </row>
    <row r="36" spans="1:6" x14ac:dyDescent="0.3">
      <c r="A36">
        <v>2003</v>
      </c>
      <c r="B36">
        <v>11</v>
      </c>
      <c r="C36" s="3">
        <v>2003.8333333333101</v>
      </c>
      <c r="D36">
        <v>29.509</v>
      </c>
      <c r="E36">
        <v>0.75900000000000001</v>
      </c>
      <c r="F36">
        <v>8</v>
      </c>
    </row>
    <row r="37" spans="1:6" x14ac:dyDescent="0.3">
      <c r="A37">
        <v>2003</v>
      </c>
      <c r="B37">
        <v>12</v>
      </c>
      <c r="C37" s="3">
        <v>2003.9166666666499</v>
      </c>
      <c r="D37">
        <v>28.939</v>
      </c>
      <c r="E37">
        <v>0.70699999999999996</v>
      </c>
      <c r="F37">
        <v>10</v>
      </c>
    </row>
    <row r="38" spans="1:6" x14ac:dyDescent="0.3">
      <c r="A38">
        <v>2004</v>
      </c>
      <c r="B38">
        <v>1</v>
      </c>
      <c r="C38" s="3">
        <v>2004</v>
      </c>
      <c r="D38">
        <v>27.902999999999999</v>
      </c>
      <c r="E38">
        <v>0.38800000000000001</v>
      </c>
      <c r="F38">
        <v>19</v>
      </c>
    </row>
    <row r="39" spans="1:6" x14ac:dyDescent="0.3">
      <c r="A39">
        <v>2004</v>
      </c>
      <c r="B39">
        <v>2</v>
      </c>
      <c r="C39" s="3">
        <v>2004.0833333333101</v>
      </c>
      <c r="D39">
        <v>27.824999999999999</v>
      </c>
      <c r="E39">
        <v>0.32300000000000001</v>
      </c>
      <c r="F39">
        <v>22</v>
      </c>
    </row>
    <row r="40" spans="1:6" x14ac:dyDescent="0.3">
      <c r="A40">
        <v>2004</v>
      </c>
      <c r="B40">
        <v>3</v>
      </c>
      <c r="C40" s="3">
        <v>2004.1666666666499</v>
      </c>
      <c r="D40">
        <v>27.286000000000001</v>
      </c>
      <c r="E40">
        <v>0.44500000000000001</v>
      </c>
      <c r="F40">
        <v>18</v>
      </c>
    </row>
    <row r="41" spans="1:6" x14ac:dyDescent="0.3">
      <c r="A41">
        <v>2004</v>
      </c>
      <c r="B41">
        <v>4</v>
      </c>
      <c r="C41" s="3">
        <v>2004.24999999998</v>
      </c>
      <c r="D41">
        <v>27.940999999999999</v>
      </c>
      <c r="E41">
        <v>1.373</v>
      </c>
      <c r="F41">
        <v>8</v>
      </c>
    </row>
    <row r="42" spans="1:6" x14ac:dyDescent="0.3">
      <c r="A42">
        <v>2004</v>
      </c>
      <c r="B42">
        <v>5</v>
      </c>
      <c r="C42" s="3">
        <v>2004.3333333333101</v>
      </c>
      <c r="D42">
        <v>29.626000000000001</v>
      </c>
      <c r="E42">
        <v>0.72099999999999997</v>
      </c>
      <c r="F42">
        <v>7</v>
      </c>
    </row>
    <row r="43" spans="1:6" x14ac:dyDescent="0.3">
      <c r="A43">
        <v>2004</v>
      </c>
      <c r="B43">
        <v>6</v>
      </c>
      <c r="C43" s="3">
        <v>2004.4166666666499</v>
      </c>
      <c r="D43">
        <v>30.262</v>
      </c>
      <c r="E43">
        <v>0.747</v>
      </c>
      <c r="F43">
        <v>9</v>
      </c>
    </row>
    <row r="44" spans="1:6" x14ac:dyDescent="0.3">
      <c r="A44">
        <v>2004</v>
      </c>
      <c r="B44">
        <v>7</v>
      </c>
      <c r="C44" s="3">
        <v>2004.49999999998</v>
      </c>
      <c r="D44">
        <v>30.06</v>
      </c>
      <c r="E44">
        <v>0.59</v>
      </c>
      <c r="F44">
        <v>11</v>
      </c>
    </row>
    <row r="45" spans="1:6" x14ac:dyDescent="0.3">
      <c r="A45">
        <v>2004</v>
      </c>
      <c r="B45">
        <v>8</v>
      </c>
      <c r="C45" s="3">
        <v>2004.5833333333101</v>
      </c>
      <c r="D45">
        <v>30.055</v>
      </c>
      <c r="E45">
        <v>0.40400000000000003</v>
      </c>
      <c r="F45">
        <v>8</v>
      </c>
    </row>
    <row r="46" spans="1:6" x14ac:dyDescent="0.3">
      <c r="A46">
        <v>2004</v>
      </c>
      <c r="B46">
        <v>9</v>
      </c>
      <c r="C46" s="3">
        <v>2004.6666666666499</v>
      </c>
      <c r="D46">
        <v>30.001999999999999</v>
      </c>
      <c r="E46">
        <v>0.48199999999999998</v>
      </c>
      <c r="F46">
        <v>6</v>
      </c>
    </row>
    <row r="47" spans="1:6" x14ac:dyDescent="0.3">
      <c r="A47">
        <v>2004</v>
      </c>
      <c r="B47">
        <v>10</v>
      </c>
      <c r="C47" s="3">
        <v>2004.74999999998</v>
      </c>
      <c r="D47">
        <v>29.721</v>
      </c>
      <c r="E47">
        <v>0.40600000000000003</v>
      </c>
      <c r="F47">
        <v>7</v>
      </c>
    </row>
    <row r="48" spans="1:6" x14ac:dyDescent="0.3">
      <c r="A48">
        <v>2004</v>
      </c>
      <c r="B48">
        <v>11</v>
      </c>
      <c r="C48" s="3">
        <v>2004.8333333333101</v>
      </c>
      <c r="D48">
        <v>29.416</v>
      </c>
      <c r="E48">
        <v>0.46400000000000002</v>
      </c>
      <c r="F48">
        <v>11</v>
      </c>
    </row>
    <row r="49" spans="1:6" x14ac:dyDescent="0.3">
      <c r="A49">
        <v>2004</v>
      </c>
      <c r="B49">
        <v>12</v>
      </c>
      <c r="C49" s="3">
        <v>2004.9166666666499</v>
      </c>
      <c r="D49">
        <v>28.396000000000001</v>
      </c>
      <c r="E49">
        <v>0.53700000000000003</v>
      </c>
      <c r="F49">
        <v>17</v>
      </c>
    </row>
    <row r="50" spans="1:6" x14ac:dyDescent="0.3">
      <c r="A50">
        <v>2005</v>
      </c>
      <c r="B50">
        <v>1</v>
      </c>
      <c r="C50" s="3">
        <v>2005</v>
      </c>
      <c r="D50">
        <v>27.646999999999998</v>
      </c>
      <c r="E50">
        <v>0.63400000000000001</v>
      </c>
      <c r="F50">
        <v>21</v>
      </c>
    </row>
    <row r="51" spans="1:6" x14ac:dyDescent="0.3">
      <c r="A51">
        <v>2005</v>
      </c>
      <c r="B51">
        <v>2</v>
      </c>
      <c r="C51" s="3">
        <v>2005.0833333333201</v>
      </c>
      <c r="D51">
        <v>26.77</v>
      </c>
      <c r="E51">
        <v>0.65400000000000003</v>
      </c>
      <c r="F51">
        <v>18</v>
      </c>
    </row>
    <row r="52" spans="1:6" x14ac:dyDescent="0.3">
      <c r="A52">
        <v>2005</v>
      </c>
      <c r="B52">
        <v>3</v>
      </c>
      <c r="C52" s="3">
        <v>2005.1666666666499</v>
      </c>
      <c r="D52">
        <v>27.67</v>
      </c>
      <c r="E52">
        <v>0.52700000000000002</v>
      </c>
      <c r="F52">
        <v>13</v>
      </c>
    </row>
    <row r="53" spans="1:6" x14ac:dyDescent="0.3">
      <c r="A53">
        <v>2005</v>
      </c>
      <c r="B53">
        <v>4</v>
      </c>
      <c r="C53" s="3">
        <v>2005.24999999998</v>
      </c>
      <c r="D53">
        <v>28.855</v>
      </c>
      <c r="E53">
        <v>0.50700000000000001</v>
      </c>
      <c r="F53">
        <v>4</v>
      </c>
    </row>
    <row r="54" spans="1:6" x14ac:dyDescent="0.3">
      <c r="A54">
        <v>2005</v>
      </c>
      <c r="B54">
        <v>5</v>
      </c>
      <c r="C54" s="3">
        <v>2005.3333333333201</v>
      </c>
      <c r="D54">
        <v>30.08</v>
      </c>
      <c r="E54">
        <v>1.169</v>
      </c>
      <c r="F54">
        <v>7</v>
      </c>
    </row>
    <row r="55" spans="1:6" x14ac:dyDescent="0.3">
      <c r="A55">
        <v>2005</v>
      </c>
      <c r="B55">
        <v>6</v>
      </c>
      <c r="C55" s="3">
        <v>2005.4166666666499</v>
      </c>
      <c r="D55">
        <v>30.407</v>
      </c>
      <c r="E55">
        <v>0.83199999999999996</v>
      </c>
      <c r="F55">
        <v>7</v>
      </c>
    </row>
    <row r="56" spans="1:6" x14ac:dyDescent="0.3">
      <c r="A56">
        <v>2005</v>
      </c>
      <c r="B56">
        <v>7</v>
      </c>
      <c r="C56" s="3">
        <v>2005.49999999998</v>
      </c>
      <c r="D56">
        <v>30.468</v>
      </c>
      <c r="E56">
        <v>1.0620000000000001</v>
      </c>
      <c r="F56">
        <v>13</v>
      </c>
    </row>
    <row r="57" spans="1:6" x14ac:dyDescent="0.3">
      <c r="A57">
        <v>2005</v>
      </c>
      <c r="B57">
        <v>8</v>
      </c>
      <c r="C57" s="3">
        <v>2005.5833333333201</v>
      </c>
      <c r="D57">
        <v>30.029</v>
      </c>
      <c r="E57">
        <v>0.7</v>
      </c>
      <c r="F57">
        <v>7</v>
      </c>
    </row>
    <row r="58" spans="1:6" x14ac:dyDescent="0.3">
      <c r="A58">
        <v>2005</v>
      </c>
      <c r="B58">
        <v>9</v>
      </c>
      <c r="C58" s="3">
        <v>2005.6666666666499</v>
      </c>
      <c r="D58">
        <v>30.175000000000001</v>
      </c>
      <c r="E58">
        <v>0.66</v>
      </c>
      <c r="F58">
        <v>4</v>
      </c>
    </row>
    <row r="59" spans="1:6" x14ac:dyDescent="0.3">
      <c r="A59">
        <v>2005</v>
      </c>
      <c r="B59">
        <v>10</v>
      </c>
      <c r="C59" s="3">
        <v>2005.74999999998</v>
      </c>
      <c r="D59">
        <v>29.475999999999999</v>
      </c>
      <c r="E59">
        <v>0.499</v>
      </c>
      <c r="F59">
        <v>6</v>
      </c>
    </row>
    <row r="60" spans="1:6" x14ac:dyDescent="0.3">
      <c r="A60">
        <v>2005</v>
      </c>
      <c r="B60">
        <v>11</v>
      </c>
      <c r="C60" s="3">
        <v>2005.8333333333201</v>
      </c>
      <c r="D60">
        <v>29.001999999999999</v>
      </c>
      <c r="E60">
        <v>0.39800000000000002</v>
      </c>
      <c r="F60">
        <v>9</v>
      </c>
    </row>
    <row r="61" spans="1:6" x14ac:dyDescent="0.3">
      <c r="A61">
        <v>2005</v>
      </c>
      <c r="B61">
        <v>12</v>
      </c>
      <c r="C61" s="3">
        <v>2005.9166666666499</v>
      </c>
      <c r="D61">
        <v>29.128</v>
      </c>
      <c r="E61">
        <v>0.433</v>
      </c>
      <c r="F61">
        <v>21</v>
      </c>
    </row>
    <row r="62" spans="1:6" x14ac:dyDescent="0.3">
      <c r="A62">
        <v>2006</v>
      </c>
      <c r="B62">
        <v>1</v>
      </c>
      <c r="C62" s="3">
        <v>2006</v>
      </c>
      <c r="D62">
        <v>28.347000000000001</v>
      </c>
      <c r="E62">
        <v>0.40400000000000003</v>
      </c>
      <c r="F62">
        <v>19</v>
      </c>
    </row>
    <row r="63" spans="1:6" x14ac:dyDescent="0.3">
      <c r="A63">
        <v>2006</v>
      </c>
      <c r="B63">
        <v>2</v>
      </c>
      <c r="C63" s="3">
        <v>2006.0833333333201</v>
      </c>
      <c r="D63">
        <v>27.652000000000001</v>
      </c>
      <c r="E63">
        <v>0.53400000000000003</v>
      </c>
      <c r="F63">
        <v>19</v>
      </c>
    </row>
    <row r="64" spans="1:6" x14ac:dyDescent="0.3">
      <c r="A64">
        <v>2006</v>
      </c>
      <c r="B64">
        <v>3</v>
      </c>
      <c r="C64" s="3">
        <v>2006.1666666666499</v>
      </c>
      <c r="D64">
        <v>27.475000000000001</v>
      </c>
      <c r="E64">
        <v>0.34100000000000003</v>
      </c>
      <c r="F64">
        <v>12</v>
      </c>
    </row>
    <row r="65" spans="1:6" x14ac:dyDescent="0.3">
      <c r="A65">
        <v>2006</v>
      </c>
      <c r="B65">
        <v>4</v>
      </c>
      <c r="C65" s="3">
        <v>2006.24999999998</v>
      </c>
      <c r="D65">
        <v>27.969000000000001</v>
      </c>
      <c r="E65">
        <v>0.78300000000000003</v>
      </c>
      <c r="F65">
        <v>12</v>
      </c>
    </row>
    <row r="66" spans="1:6" x14ac:dyDescent="0.3">
      <c r="A66">
        <v>2006</v>
      </c>
      <c r="B66">
        <v>5</v>
      </c>
      <c r="C66" s="3">
        <v>2006.3333333333201</v>
      </c>
      <c r="D66">
        <v>29.614000000000001</v>
      </c>
      <c r="E66">
        <v>0.36699999999999999</v>
      </c>
      <c r="F66">
        <v>6</v>
      </c>
    </row>
    <row r="67" spans="1:6" x14ac:dyDescent="0.3">
      <c r="A67">
        <v>2006</v>
      </c>
      <c r="B67">
        <v>6</v>
      </c>
      <c r="C67" s="3">
        <v>2006.4166666666499</v>
      </c>
      <c r="D67">
        <v>30.175000000000001</v>
      </c>
      <c r="E67">
        <v>0.97199999999999998</v>
      </c>
      <c r="F67">
        <v>13</v>
      </c>
    </row>
    <row r="68" spans="1:6" x14ac:dyDescent="0.3">
      <c r="A68">
        <v>2006</v>
      </c>
      <c r="B68">
        <v>7</v>
      </c>
      <c r="C68" s="3">
        <v>2006.49999999998</v>
      </c>
      <c r="D68">
        <v>30.731000000000002</v>
      </c>
      <c r="E68">
        <v>0.71099999999999997</v>
      </c>
      <c r="F68">
        <v>9</v>
      </c>
    </row>
    <row r="69" spans="1:6" x14ac:dyDescent="0.3">
      <c r="A69">
        <v>2006</v>
      </c>
      <c r="B69">
        <v>8</v>
      </c>
      <c r="C69" s="3">
        <v>2006.5833333333201</v>
      </c>
      <c r="D69">
        <v>30.102</v>
      </c>
      <c r="E69">
        <v>0.68200000000000005</v>
      </c>
      <c r="F69">
        <v>8</v>
      </c>
    </row>
    <row r="70" spans="1:6" x14ac:dyDescent="0.3">
      <c r="A70">
        <v>2006</v>
      </c>
      <c r="B70">
        <v>9</v>
      </c>
      <c r="C70" s="3">
        <v>2006.6666666666499</v>
      </c>
      <c r="D70">
        <v>29.748999999999999</v>
      </c>
      <c r="E70">
        <v>0.52800000000000002</v>
      </c>
      <c r="F70">
        <v>11</v>
      </c>
    </row>
    <row r="71" spans="1:6" x14ac:dyDescent="0.3">
      <c r="A71">
        <v>2006</v>
      </c>
      <c r="B71">
        <v>10</v>
      </c>
      <c r="C71" s="3">
        <v>2006.74999999998</v>
      </c>
      <c r="D71">
        <v>29.824000000000002</v>
      </c>
      <c r="E71">
        <v>0.88</v>
      </c>
      <c r="F71">
        <v>10</v>
      </c>
    </row>
    <row r="72" spans="1:6" x14ac:dyDescent="0.3">
      <c r="A72">
        <v>2006</v>
      </c>
      <c r="B72">
        <v>11</v>
      </c>
      <c r="C72" s="3">
        <v>2006.8333333333201</v>
      </c>
      <c r="D72">
        <v>29.375</v>
      </c>
      <c r="E72">
        <v>0.65900000000000003</v>
      </c>
      <c r="F72">
        <v>8</v>
      </c>
    </row>
    <row r="73" spans="1:6" x14ac:dyDescent="0.3">
      <c r="A73">
        <v>2006</v>
      </c>
      <c r="B73">
        <v>12</v>
      </c>
      <c r="C73" s="3">
        <v>2006.9166666666499</v>
      </c>
      <c r="D73">
        <v>29.111999999999998</v>
      </c>
      <c r="E73">
        <v>0.44700000000000001</v>
      </c>
      <c r="F73">
        <v>21</v>
      </c>
    </row>
    <row r="74" spans="1:6" x14ac:dyDescent="0.3">
      <c r="A74">
        <v>2007</v>
      </c>
      <c r="B74">
        <v>1</v>
      </c>
      <c r="C74" s="3">
        <v>2007</v>
      </c>
      <c r="D74">
        <v>27.774999999999999</v>
      </c>
      <c r="E74">
        <v>0.40799999999999997</v>
      </c>
      <c r="F74">
        <v>23</v>
      </c>
    </row>
    <row r="75" spans="1:6" x14ac:dyDescent="0.3">
      <c r="A75">
        <v>2007</v>
      </c>
      <c r="B75">
        <v>2</v>
      </c>
      <c r="C75" s="3">
        <v>2007.0833333333201</v>
      </c>
      <c r="D75">
        <v>27.79</v>
      </c>
      <c r="E75">
        <v>0.49199999999999999</v>
      </c>
      <c r="F75">
        <v>19</v>
      </c>
    </row>
    <row r="76" spans="1:6" x14ac:dyDescent="0.3">
      <c r="A76">
        <v>2007</v>
      </c>
      <c r="B76">
        <v>3</v>
      </c>
      <c r="C76" s="3">
        <v>2007.1666666666499</v>
      </c>
      <c r="D76">
        <v>27.427</v>
      </c>
      <c r="E76">
        <v>0.49399999999999999</v>
      </c>
      <c r="F76">
        <v>13</v>
      </c>
    </row>
    <row r="77" spans="1:6" x14ac:dyDescent="0.3">
      <c r="A77">
        <v>2007</v>
      </c>
      <c r="B77">
        <v>4</v>
      </c>
      <c r="C77" s="3">
        <v>2007.24999999999</v>
      </c>
      <c r="D77">
        <v>28.24</v>
      </c>
      <c r="E77">
        <v>0.90800000000000003</v>
      </c>
      <c r="F77">
        <v>6</v>
      </c>
    </row>
    <row r="78" spans="1:6" x14ac:dyDescent="0.3">
      <c r="A78">
        <v>2007</v>
      </c>
      <c r="B78">
        <v>5</v>
      </c>
      <c r="C78" s="3">
        <v>2007.3333333333201</v>
      </c>
      <c r="D78">
        <v>29.411000000000001</v>
      </c>
      <c r="E78">
        <v>0.16200000000000001</v>
      </c>
      <c r="F78">
        <v>4</v>
      </c>
    </row>
    <row r="79" spans="1:6" x14ac:dyDescent="0.3">
      <c r="A79">
        <v>2007</v>
      </c>
      <c r="B79">
        <v>6</v>
      </c>
      <c r="C79" s="3">
        <v>2007.4166666666499</v>
      </c>
      <c r="D79">
        <v>29.782</v>
      </c>
      <c r="E79">
        <v>0.57899999999999996</v>
      </c>
      <c r="F79">
        <v>9</v>
      </c>
    </row>
    <row r="80" spans="1:6" x14ac:dyDescent="0.3">
      <c r="A80">
        <v>2007</v>
      </c>
      <c r="B80">
        <v>7</v>
      </c>
      <c r="C80" s="3">
        <v>2007.49999999999</v>
      </c>
      <c r="D80">
        <v>30.777999999999999</v>
      </c>
      <c r="E80">
        <v>1.018</v>
      </c>
      <c r="F80">
        <v>10</v>
      </c>
    </row>
    <row r="81" spans="1:6" x14ac:dyDescent="0.3">
      <c r="A81">
        <v>2007</v>
      </c>
      <c r="B81">
        <v>8</v>
      </c>
      <c r="C81" s="3">
        <v>2007.5833333333201</v>
      </c>
      <c r="D81">
        <v>29.736999999999998</v>
      </c>
      <c r="E81">
        <v>0.52100000000000002</v>
      </c>
      <c r="F81">
        <v>4</v>
      </c>
    </row>
    <row r="82" spans="1:6" x14ac:dyDescent="0.3">
      <c r="A82">
        <v>2007</v>
      </c>
      <c r="B82">
        <v>9</v>
      </c>
      <c r="C82" s="3">
        <v>2007.6666666666499</v>
      </c>
      <c r="D82">
        <v>29.84</v>
      </c>
      <c r="E82">
        <v>0.442</v>
      </c>
      <c r="F82">
        <v>5</v>
      </c>
    </row>
    <row r="83" spans="1:6" x14ac:dyDescent="0.3">
      <c r="A83">
        <v>2007</v>
      </c>
      <c r="B83">
        <v>10</v>
      </c>
      <c r="C83" s="3">
        <v>2007.74999999999</v>
      </c>
      <c r="D83">
        <v>29.228999999999999</v>
      </c>
      <c r="E83">
        <v>0.51800000000000002</v>
      </c>
      <c r="F83">
        <v>4</v>
      </c>
    </row>
    <row r="84" spans="1:6" x14ac:dyDescent="0.3">
      <c r="A84">
        <v>2007</v>
      </c>
      <c r="B84">
        <v>11</v>
      </c>
      <c r="C84" s="3">
        <v>2007.8333333333201</v>
      </c>
      <c r="D84">
        <v>29.233000000000001</v>
      </c>
      <c r="E84">
        <v>0.29899999999999999</v>
      </c>
      <c r="F84">
        <v>7</v>
      </c>
    </row>
    <row r="85" spans="1:6" x14ac:dyDescent="0.3">
      <c r="A85">
        <v>2007</v>
      </c>
      <c r="B85">
        <v>12</v>
      </c>
      <c r="C85" s="3">
        <v>2007.9166666666499</v>
      </c>
      <c r="D85">
        <v>28.585000000000001</v>
      </c>
      <c r="E85">
        <v>0.52</v>
      </c>
      <c r="F85">
        <v>21</v>
      </c>
    </row>
    <row r="86" spans="1:6" x14ac:dyDescent="0.3">
      <c r="A86">
        <v>2008</v>
      </c>
      <c r="B86">
        <v>1</v>
      </c>
      <c r="C86" s="3">
        <v>2008</v>
      </c>
      <c r="D86">
        <v>27.780999999999999</v>
      </c>
      <c r="E86">
        <v>0.495</v>
      </c>
      <c r="F86">
        <v>23</v>
      </c>
    </row>
    <row r="87" spans="1:6" x14ac:dyDescent="0.3">
      <c r="A87">
        <v>2008</v>
      </c>
      <c r="B87">
        <v>2</v>
      </c>
      <c r="C87" s="3">
        <v>2008.0833333333201</v>
      </c>
      <c r="D87">
        <v>27.577000000000002</v>
      </c>
      <c r="E87">
        <v>0.82</v>
      </c>
      <c r="F87">
        <v>14</v>
      </c>
    </row>
    <row r="88" spans="1:6" x14ac:dyDescent="0.3">
      <c r="A88">
        <v>2008</v>
      </c>
      <c r="B88">
        <v>3</v>
      </c>
      <c r="C88" s="3">
        <v>2008.1666666666499</v>
      </c>
      <c r="D88">
        <v>28.096</v>
      </c>
      <c r="E88">
        <v>0.48899999999999999</v>
      </c>
      <c r="F88">
        <v>11</v>
      </c>
    </row>
    <row r="89" spans="1:6" x14ac:dyDescent="0.3">
      <c r="A89">
        <v>2008</v>
      </c>
      <c r="B89">
        <v>4</v>
      </c>
      <c r="C89" s="3">
        <v>2008.24999999999</v>
      </c>
      <c r="D89">
        <v>27.95</v>
      </c>
      <c r="E89">
        <v>1.0369999999999999</v>
      </c>
      <c r="F89">
        <v>12</v>
      </c>
    </row>
    <row r="90" spans="1:6" x14ac:dyDescent="0.3">
      <c r="A90">
        <v>2008</v>
      </c>
      <c r="B90">
        <v>5</v>
      </c>
      <c r="C90" s="3">
        <v>2008.3333333333201</v>
      </c>
      <c r="D90">
        <v>28.681999999999999</v>
      </c>
      <c r="E90">
        <v>0.57299999999999995</v>
      </c>
      <c r="F90">
        <v>6</v>
      </c>
    </row>
    <row r="91" spans="1:6" x14ac:dyDescent="0.3">
      <c r="A91">
        <v>2008</v>
      </c>
      <c r="B91">
        <v>6</v>
      </c>
      <c r="C91" s="3">
        <v>2008.4166666666499</v>
      </c>
      <c r="D91">
        <v>29.655999999999999</v>
      </c>
      <c r="E91">
        <v>0.64700000000000002</v>
      </c>
      <c r="F91">
        <v>8</v>
      </c>
    </row>
    <row r="92" spans="1:6" x14ac:dyDescent="0.3">
      <c r="A92">
        <v>2008</v>
      </c>
      <c r="B92">
        <v>7</v>
      </c>
      <c r="C92" s="3">
        <v>2008.49999999999</v>
      </c>
      <c r="D92">
        <v>30.209</v>
      </c>
      <c r="E92">
        <v>1.0069999999999999</v>
      </c>
      <c r="F92">
        <v>8</v>
      </c>
    </row>
    <row r="93" spans="1:6" x14ac:dyDescent="0.3">
      <c r="A93">
        <v>2008</v>
      </c>
      <c r="B93">
        <v>8</v>
      </c>
      <c r="C93" s="3">
        <v>2008.5833333333201</v>
      </c>
      <c r="D93">
        <v>29.417999999999999</v>
      </c>
      <c r="E93">
        <v>0.68400000000000005</v>
      </c>
      <c r="F93">
        <v>5</v>
      </c>
    </row>
    <row r="94" spans="1:6" x14ac:dyDescent="0.3">
      <c r="A94">
        <v>2008</v>
      </c>
      <c r="B94">
        <v>9</v>
      </c>
      <c r="C94" s="3">
        <v>2008.6666666666599</v>
      </c>
      <c r="D94">
        <v>30.062999999999999</v>
      </c>
      <c r="E94">
        <v>0.53500000000000003</v>
      </c>
      <c r="F94">
        <v>7</v>
      </c>
    </row>
    <row r="95" spans="1:6" x14ac:dyDescent="0.3">
      <c r="A95">
        <v>2008</v>
      </c>
      <c r="B95">
        <v>10</v>
      </c>
      <c r="C95" s="3">
        <v>2008.74999999999</v>
      </c>
      <c r="D95">
        <v>29.706</v>
      </c>
      <c r="E95">
        <v>0.70799999999999996</v>
      </c>
      <c r="F95">
        <v>5</v>
      </c>
    </row>
    <row r="96" spans="1:6" x14ac:dyDescent="0.3">
      <c r="A96">
        <v>2008</v>
      </c>
      <c r="B96">
        <v>11</v>
      </c>
      <c r="C96" s="3">
        <v>2008.8333333333201</v>
      </c>
      <c r="D96">
        <v>29.004000000000001</v>
      </c>
      <c r="E96">
        <v>0.371</v>
      </c>
      <c r="F96">
        <v>10</v>
      </c>
    </row>
    <row r="97" spans="1:6" x14ac:dyDescent="0.3">
      <c r="A97">
        <v>2008</v>
      </c>
      <c r="B97">
        <v>12</v>
      </c>
      <c r="C97" s="3">
        <v>2008.9166666666599</v>
      </c>
      <c r="D97">
        <v>28.253</v>
      </c>
      <c r="E97">
        <v>0.59199999999999997</v>
      </c>
      <c r="F97">
        <v>12</v>
      </c>
    </row>
    <row r="98" spans="1:6" x14ac:dyDescent="0.3">
      <c r="A98">
        <v>2009</v>
      </c>
      <c r="B98">
        <v>1</v>
      </c>
      <c r="C98" s="3">
        <v>2009</v>
      </c>
      <c r="D98">
        <v>27.76</v>
      </c>
      <c r="E98">
        <v>0.53100000000000003</v>
      </c>
      <c r="F98">
        <v>19</v>
      </c>
    </row>
    <row r="99" spans="1:6" x14ac:dyDescent="0.3">
      <c r="A99">
        <v>2009</v>
      </c>
      <c r="B99">
        <v>2</v>
      </c>
      <c r="C99" s="3">
        <v>2009.0833333333201</v>
      </c>
      <c r="D99">
        <v>27.44</v>
      </c>
      <c r="E99">
        <v>0.621</v>
      </c>
      <c r="F99">
        <v>17</v>
      </c>
    </row>
    <row r="100" spans="1:6" x14ac:dyDescent="0.3">
      <c r="A100">
        <v>2009</v>
      </c>
      <c r="B100">
        <v>3</v>
      </c>
      <c r="C100" s="3">
        <v>2009.1666666666599</v>
      </c>
      <c r="D100">
        <v>27.048999999999999</v>
      </c>
      <c r="E100">
        <v>0.7</v>
      </c>
      <c r="F100">
        <v>17</v>
      </c>
    </row>
    <row r="101" spans="1:6" x14ac:dyDescent="0.3">
      <c r="A101">
        <v>2009</v>
      </c>
      <c r="B101">
        <v>4</v>
      </c>
      <c r="C101" s="3">
        <v>2009.24999999999</v>
      </c>
      <c r="D101">
        <v>27.863</v>
      </c>
      <c r="E101">
        <v>0.73199999999999998</v>
      </c>
      <c r="F101">
        <v>15</v>
      </c>
    </row>
    <row r="102" spans="1:6" x14ac:dyDescent="0.3">
      <c r="A102">
        <v>2009</v>
      </c>
      <c r="B102">
        <v>5</v>
      </c>
      <c r="C102" s="3">
        <v>2009.3333333333201</v>
      </c>
      <c r="D102">
        <v>29.645</v>
      </c>
      <c r="E102">
        <v>0.63900000000000001</v>
      </c>
      <c r="F102">
        <v>12</v>
      </c>
    </row>
    <row r="103" spans="1:6" x14ac:dyDescent="0.3">
      <c r="A103">
        <v>2009</v>
      </c>
      <c r="B103">
        <v>6</v>
      </c>
      <c r="C103" s="3">
        <v>2009.4166666666599</v>
      </c>
      <c r="D103">
        <v>29.707000000000001</v>
      </c>
      <c r="E103">
        <v>0.59199999999999997</v>
      </c>
      <c r="F103">
        <v>7</v>
      </c>
    </row>
    <row r="104" spans="1:6" x14ac:dyDescent="0.3">
      <c r="A104">
        <v>2009</v>
      </c>
      <c r="B104">
        <v>7</v>
      </c>
      <c r="C104" s="3">
        <v>2009.49999999999</v>
      </c>
      <c r="D104">
        <v>29.873999999999999</v>
      </c>
      <c r="E104">
        <v>0.57099999999999995</v>
      </c>
      <c r="F104">
        <v>12</v>
      </c>
    </row>
    <row r="105" spans="1:6" x14ac:dyDescent="0.3">
      <c r="A105">
        <v>2009</v>
      </c>
      <c r="B105">
        <v>8</v>
      </c>
      <c r="C105" s="3">
        <v>2009.5833333333201</v>
      </c>
      <c r="D105">
        <v>29.72</v>
      </c>
      <c r="E105">
        <v>0.72699999999999998</v>
      </c>
      <c r="F105">
        <v>12</v>
      </c>
    </row>
    <row r="106" spans="1:6" x14ac:dyDescent="0.3">
      <c r="A106">
        <v>2009</v>
      </c>
      <c r="B106">
        <v>9</v>
      </c>
      <c r="C106" s="3">
        <v>2009.6666666666599</v>
      </c>
      <c r="D106">
        <v>30.245999999999999</v>
      </c>
      <c r="E106">
        <v>0.54400000000000004</v>
      </c>
      <c r="F106">
        <v>6</v>
      </c>
    </row>
    <row r="107" spans="1:6" x14ac:dyDescent="0.3">
      <c r="A107">
        <v>2009</v>
      </c>
      <c r="B107">
        <v>10</v>
      </c>
      <c r="C107" s="3">
        <v>2009.74999999999</v>
      </c>
      <c r="D107">
        <v>29.625</v>
      </c>
      <c r="E107">
        <v>0.83099999999999996</v>
      </c>
      <c r="F107">
        <v>7</v>
      </c>
    </row>
    <row r="108" spans="1:6" x14ac:dyDescent="0.3">
      <c r="A108">
        <v>2009</v>
      </c>
      <c r="B108">
        <v>11</v>
      </c>
      <c r="C108" s="3">
        <v>2009.8333333333201</v>
      </c>
      <c r="D108">
        <v>29.507999999999999</v>
      </c>
      <c r="E108">
        <v>0.43099999999999999</v>
      </c>
      <c r="F108">
        <v>8</v>
      </c>
    </row>
    <row r="109" spans="1:6" x14ac:dyDescent="0.3">
      <c r="A109">
        <v>2009</v>
      </c>
      <c r="B109">
        <v>12</v>
      </c>
      <c r="C109" s="3">
        <v>2009.9166666666599</v>
      </c>
      <c r="D109">
        <v>29.210999999999999</v>
      </c>
      <c r="E109">
        <v>0.75700000000000001</v>
      </c>
      <c r="F109">
        <v>19</v>
      </c>
    </row>
    <row r="110" spans="1:6" x14ac:dyDescent="0.3">
      <c r="A110">
        <v>2010</v>
      </c>
      <c r="B110">
        <v>1</v>
      </c>
      <c r="C110" s="3">
        <v>2010</v>
      </c>
      <c r="D110">
        <v>28.152000000000001</v>
      </c>
      <c r="E110">
        <v>0.372</v>
      </c>
      <c r="F110">
        <v>23</v>
      </c>
    </row>
    <row r="111" spans="1:6" x14ac:dyDescent="0.3">
      <c r="A111">
        <v>2010</v>
      </c>
      <c r="B111">
        <v>2</v>
      </c>
      <c r="C111" s="3">
        <v>2010.0833333333201</v>
      </c>
      <c r="D111">
        <v>27.51</v>
      </c>
      <c r="E111">
        <v>0.67600000000000005</v>
      </c>
      <c r="F111">
        <v>9</v>
      </c>
    </row>
    <row r="112" spans="1:6" x14ac:dyDescent="0.3">
      <c r="A112">
        <v>2010</v>
      </c>
      <c r="B112">
        <v>3</v>
      </c>
      <c r="C112" s="3">
        <v>2010.1666666666599</v>
      </c>
      <c r="D112">
        <v>28.145</v>
      </c>
      <c r="E112">
        <v>0.94799999999999995</v>
      </c>
      <c r="F112">
        <v>9</v>
      </c>
    </row>
    <row r="113" spans="1:6" x14ac:dyDescent="0.3">
      <c r="A113">
        <v>2010</v>
      </c>
      <c r="B113">
        <v>4</v>
      </c>
      <c r="C113" s="3">
        <v>2010.24999999999</v>
      </c>
      <c r="D113">
        <v>28.919</v>
      </c>
      <c r="E113">
        <v>0.91500000000000004</v>
      </c>
      <c r="F113">
        <v>7</v>
      </c>
    </row>
    <row r="114" spans="1:6" x14ac:dyDescent="0.3">
      <c r="A114">
        <v>2010</v>
      </c>
      <c r="B114">
        <v>5</v>
      </c>
      <c r="C114" s="3">
        <v>2010.3333333333201</v>
      </c>
      <c r="D114">
        <v>29.225999999999999</v>
      </c>
      <c r="E114">
        <v>1.2609999999999999</v>
      </c>
      <c r="F114">
        <v>7</v>
      </c>
    </row>
    <row r="115" spans="1:6" x14ac:dyDescent="0.3">
      <c r="A115">
        <v>2010</v>
      </c>
      <c r="B115">
        <v>6</v>
      </c>
      <c r="C115" s="3">
        <v>2010.4166666666599</v>
      </c>
      <c r="D115">
        <v>30.478999999999999</v>
      </c>
      <c r="E115">
        <v>0.86899999999999999</v>
      </c>
      <c r="F115">
        <v>5</v>
      </c>
    </row>
    <row r="116" spans="1:6" x14ac:dyDescent="0.3">
      <c r="A116">
        <v>2010</v>
      </c>
      <c r="B116">
        <v>7</v>
      </c>
      <c r="C116" s="3">
        <v>2010.49999999999</v>
      </c>
      <c r="D116">
        <v>30.266999999999999</v>
      </c>
      <c r="E116">
        <v>0.85099999999999998</v>
      </c>
      <c r="F116">
        <v>4</v>
      </c>
    </row>
    <row r="117" spans="1:6" x14ac:dyDescent="0.3">
      <c r="A117">
        <v>2010</v>
      </c>
      <c r="B117">
        <v>8</v>
      </c>
      <c r="C117" s="3">
        <v>2010.5833333333301</v>
      </c>
      <c r="D117">
        <v>28.965</v>
      </c>
      <c r="E117">
        <v>2.0230000000000001</v>
      </c>
      <c r="F117">
        <v>3</v>
      </c>
    </row>
    <row r="118" spans="1:6" x14ac:dyDescent="0.3">
      <c r="A118">
        <v>2010</v>
      </c>
      <c r="B118">
        <v>9</v>
      </c>
      <c r="C118" s="3">
        <v>2010.6666666666599</v>
      </c>
      <c r="D118">
        <v>29.803000000000001</v>
      </c>
      <c r="E118">
        <v>0.753</v>
      </c>
      <c r="F118">
        <v>5</v>
      </c>
    </row>
    <row r="119" spans="1:6" x14ac:dyDescent="0.3">
      <c r="A119">
        <v>2010</v>
      </c>
      <c r="B119">
        <v>10</v>
      </c>
      <c r="C119" s="3">
        <v>2010.74999999999</v>
      </c>
      <c r="D119">
        <v>29.946000000000002</v>
      </c>
      <c r="E119">
        <v>0.17599999999999999</v>
      </c>
      <c r="F119">
        <v>4</v>
      </c>
    </row>
    <row r="120" spans="1:6" x14ac:dyDescent="0.3">
      <c r="A120">
        <v>2010</v>
      </c>
      <c r="B120">
        <v>11</v>
      </c>
      <c r="C120" s="3">
        <v>2010.8333333333301</v>
      </c>
      <c r="D120">
        <v>28.997</v>
      </c>
      <c r="E120">
        <v>0.39700000000000002</v>
      </c>
      <c r="F120">
        <v>3</v>
      </c>
    </row>
    <row r="121" spans="1:6" x14ac:dyDescent="0.3">
      <c r="A121">
        <v>2010</v>
      </c>
      <c r="B121">
        <v>12</v>
      </c>
      <c r="C121" s="3">
        <v>2010.9166666666599</v>
      </c>
      <c r="D121">
        <v>28.440999999999999</v>
      </c>
      <c r="E121">
        <v>0.67100000000000004</v>
      </c>
      <c r="F121">
        <v>10</v>
      </c>
    </row>
    <row r="122" spans="1:6" x14ac:dyDescent="0.3">
      <c r="A122">
        <v>2011</v>
      </c>
      <c r="B122">
        <v>1</v>
      </c>
      <c r="C122" s="3">
        <v>2011</v>
      </c>
      <c r="D122">
        <v>28.047000000000001</v>
      </c>
      <c r="E122">
        <v>0.41599999999999998</v>
      </c>
      <c r="F122">
        <v>24</v>
      </c>
    </row>
    <row r="123" spans="1:6" x14ac:dyDescent="0.3">
      <c r="A123">
        <v>2011</v>
      </c>
      <c r="B123">
        <v>2</v>
      </c>
      <c r="C123" s="3">
        <v>2011.0833333333301</v>
      </c>
      <c r="D123">
        <v>27.988</v>
      </c>
      <c r="E123">
        <v>0.495</v>
      </c>
      <c r="F123">
        <v>20</v>
      </c>
    </row>
    <row r="124" spans="1:6" x14ac:dyDescent="0.3">
      <c r="A124">
        <v>2011</v>
      </c>
      <c r="B124">
        <v>3</v>
      </c>
      <c r="C124" s="3">
        <v>2011.1666666666599</v>
      </c>
      <c r="D124">
        <v>27.498000000000001</v>
      </c>
      <c r="E124">
        <v>0.82599999999999996</v>
      </c>
      <c r="F124">
        <v>16</v>
      </c>
    </row>
    <row r="125" spans="1:6" x14ac:dyDescent="0.3">
      <c r="A125">
        <v>2011</v>
      </c>
      <c r="B125">
        <v>4</v>
      </c>
      <c r="C125" s="3">
        <v>2011.24999999999</v>
      </c>
      <c r="D125">
        <v>27.821000000000002</v>
      </c>
      <c r="E125">
        <v>0.54900000000000004</v>
      </c>
      <c r="F125">
        <v>6</v>
      </c>
    </row>
    <row r="126" spans="1:6" x14ac:dyDescent="0.3">
      <c r="A126">
        <v>2011</v>
      </c>
      <c r="B126">
        <v>5</v>
      </c>
      <c r="C126" s="3">
        <v>2011.3333333333301</v>
      </c>
      <c r="D126">
        <v>29.466000000000001</v>
      </c>
      <c r="E126">
        <v>0.8</v>
      </c>
      <c r="F126">
        <v>6</v>
      </c>
    </row>
    <row r="127" spans="1:6" x14ac:dyDescent="0.3">
      <c r="A127">
        <v>2011</v>
      </c>
      <c r="B127">
        <v>6</v>
      </c>
      <c r="C127" s="3">
        <v>2011.4166666666599</v>
      </c>
      <c r="D127">
        <v>29.873999999999999</v>
      </c>
      <c r="E127">
        <v>0.44900000000000001</v>
      </c>
      <c r="F127">
        <v>9</v>
      </c>
    </row>
    <row r="128" spans="1:6" x14ac:dyDescent="0.3">
      <c r="A128">
        <v>2011</v>
      </c>
      <c r="B128">
        <v>7</v>
      </c>
      <c r="C128" s="3">
        <v>2011.49999999999</v>
      </c>
      <c r="D128">
        <v>30.22</v>
      </c>
      <c r="E128">
        <v>0.63600000000000001</v>
      </c>
      <c r="F128">
        <v>5</v>
      </c>
    </row>
    <row r="129" spans="1:6" x14ac:dyDescent="0.3">
      <c r="A129">
        <v>2011</v>
      </c>
      <c r="B129">
        <v>8</v>
      </c>
      <c r="C129" s="3">
        <v>2011.5833333333301</v>
      </c>
      <c r="D129">
        <v>30.222000000000001</v>
      </c>
      <c r="E129">
        <v>0.372</v>
      </c>
      <c r="F129">
        <v>8</v>
      </c>
    </row>
    <row r="130" spans="1:6" x14ac:dyDescent="0.3">
      <c r="A130">
        <v>2011</v>
      </c>
      <c r="B130">
        <v>9</v>
      </c>
      <c r="C130" s="3">
        <v>2011.6666666666599</v>
      </c>
      <c r="D130">
        <v>30.047000000000001</v>
      </c>
      <c r="E130">
        <v>0.39700000000000002</v>
      </c>
      <c r="F130">
        <v>7</v>
      </c>
    </row>
    <row r="131" spans="1:6" x14ac:dyDescent="0.3">
      <c r="A131">
        <v>2011</v>
      </c>
      <c r="B131">
        <v>10</v>
      </c>
      <c r="C131" s="3">
        <v>2011.74999999999</v>
      </c>
      <c r="D131">
        <v>29.241</v>
      </c>
      <c r="E131">
        <v>0.29099999999999998</v>
      </c>
      <c r="F131">
        <v>4</v>
      </c>
    </row>
    <row r="132" spans="1:6" x14ac:dyDescent="0.3">
      <c r="A132">
        <v>2011</v>
      </c>
      <c r="B132">
        <v>11</v>
      </c>
      <c r="C132" s="3">
        <v>2011.8333333333301</v>
      </c>
      <c r="D132">
        <v>29.04</v>
      </c>
      <c r="E132">
        <v>0.82299999999999995</v>
      </c>
      <c r="F132">
        <v>8</v>
      </c>
    </row>
    <row r="133" spans="1:6" x14ac:dyDescent="0.3">
      <c r="A133">
        <v>2011</v>
      </c>
      <c r="B133">
        <v>12</v>
      </c>
      <c r="C133" s="3">
        <v>2011.9166666666599</v>
      </c>
      <c r="D133">
        <v>28.852</v>
      </c>
      <c r="E133">
        <v>0.27700000000000002</v>
      </c>
      <c r="F133">
        <v>12</v>
      </c>
    </row>
    <row r="134" spans="1:6" x14ac:dyDescent="0.3">
      <c r="A134">
        <v>2012</v>
      </c>
      <c r="B134">
        <v>1</v>
      </c>
      <c r="C134" s="3">
        <v>2012</v>
      </c>
      <c r="D134">
        <v>27.92</v>
      </c>
      <c r="E134">
        <v>0.435</v>
      </c>
      <c r="F134">
        <v>23</v>
      </c>
    </row>
    <row r="135" spans="1:6" x14ac:dyDescent="0.3">
      <c r="A135">
        <v>2012</v>
      </c>
      <c r="B135">
        <v>2</v>
      </c>
      <c r="C135" s="3">
        <v>2012.0833333333301</v>
      </c>
      <c r="D135">
        <v>27.489000000000001</v>
      </c>
      <c r="E135">
        <v>0.38200000000000001</v>
      </c>
      <c r="F135">
        <v>17</v>
      </c>
    </row>
    <row r="136" spans="1:6" x14ac:dyDescent="0.3">
      <c r="A136">
        <v>2012</v>
      </c>
      <c r="B136">
        <v>3</v>
      </c>
      <c r="C136" s="3">
        <v>2012.1666666666599</v>
      </c>
      <c r="D136">
        <v>27.463999999999999</v>
      </c>
      <c r="E136">
        <v>0.41099999999999998</v>
      </c>
      <c r="F136">
        <v>19</v>
      </c>
    </row>
    <row r="137" spans="1:6" x14ac:dyDescent="0.3">
      <c r="A137">
        <v>2012</v>
      </c>
      <c r="B137">
        <v>4</v>
      </c>
      <c r="C137" s="3">
        <v>2012.24999999999</v>
      </c>
      <c r="D137">
        <v>28.422999999999998</v>
      </c>
      <c r="E137">
        <v>0.71399999999999997</v>
      </c>
      <c r="F137">
        <v>5</v>
      </c>
    </row>
    <row r="138" spans="1:6" x14ac:dyDescent="0.3">
      <c r="A138">
        <v>2012</v>
      </c>
      <c r="B138">
        <v>5</v>
      </c>
      <c r="C138" s="3">
        <v>2012.3333333333301</v>
      </c>
      <c r="D138">
        <v>29.641999999999999</v>
      </c>
      <c r="E138">
        <v>1.034</v>
      </c>
      <c r="F138">
        <v>6</v>
      </c>
    </row>
    <row r="139" spans="1:6" x14ac:dyDescent="0.3">
      <c r="A139">
        <v>2012</v>
      </c>
      <c r="B139">
        <v>6</v>
      </c>
      <c r="C139" s="3">
        <v>2012.4166666666599</v>
      </c>
      <c r="D139">
        <v>30.111999999999998</v>
      </c>
      <c r="E139">
        <v>0.73799999999999999</v>
      </c>
      <c r="F139">
        <v>13</v>
      </c>
    </row>
    <row r="140" spans="1:6" x14ac:dyDescent="0.3">
      <c r="A140">
        <v>2012</v>
      </c>
      <c r="B140">
        <v>7</v>
      </c>
      <c r="C140" s="3">
        <v>2012.5</v>
      </c>
      <c r="D140">
        <v>29.888999999999999</v>
      </c>
      <c r="E140">
        <v>0.66</v>
      </c>
      <c r="F140">
        <v>12</v>
      </c>
    </row>
    <row r="141" spans="1:6" x14ac:dyDescent="0.3">
      <c r="A141">
        <v>2012</v>
      </c>
      <c r="B141">
        <v>8</v>
      </c>
      <c r="C141" s="3">
        <v>2012.5833333333301</v>
      </c>
      <c r="D141">
        <v>30.132999999999999</v>
      </c>
      <c r="E141">
        <v>0.81</v>
      </c>
      <c r="F141">
        <v>10</v>
      </c>
    </row>
    <row r="142" spans="1:6" x14ac:dyDescent="0.3">
      <c r="A142">
        <v>2012</v>
      </c>
      <c r="B142">
        <v>9</v>
      </c>
      <c r="C142" s="3">
        <v>2012.6666666666599</v>
      </c>
      <c r="D142">
        <v>29.981999999999999</v>
      </c>
      <c r="E142">
        <v>0.72699999999999998</v>
      </c>
      <c r="F142">
        <v>9</v>
      </c>
    </row>
    <row r="143" spans="1:6" x14ac:dyDescent="0.3">
      <c r="A143">
        <v>2012</v>
      </c>
      <c r="B143">
        <v>10</v>
      </c>
      <c r="C143" s="3">
        <v>2012.75</v>
      </c>
      <c r="D143">
        <v>29.475000000000001</v>
      </c>
      <c r="E143">
        <v>0.73299999999999998</v>
      </c>
      <c r="F143">
        <v>5</v>
      </c>
    </row>
    <row r="144" spans="1:6" x14ac:dyDescent="0.3">
      <c r="A144">
        <v>2012</v>
      </c>
      <c r="B144">
        <v>11</v>
      </c>
      <c r="C144" s="3">
        <v>2012.8333333333301</v>
      </c>
      <c r="D144">
        <v>29.536000000000001</v>
      </c>
      <c r="E144">
        <v>0.502</v>
      </c>
      <c r="F144">
        <v>9</v>
      </c>
    </row>
    <row r="145" spans="1:6" x14ac:dyDescent="0.3">
      <c r="A145">
        <v>2012</v>
      </c>
      <c r="B145">
        <v>12</v>
      </c>
      <c r="C145" s="3">
        <v>2012.9166666666599</v>
      </c>
      <c r="D145">
        <v>28.814</v>
      </c>
      <c r="E145">
        <v>0.437</v>
      </c>
      <c r="F145">
        <v>21</v>
      </c>
    </row>
    <row r="146" spans="1:6" x14ac:dyDescent="0.3">
      <c r="A146">
        <v>2013</v>
      </c>
      <c r="B146">
        <v>1</v>
      </c>
      <c r="C146" s="3">
        <v>2013</v>
      </c>
      <c r="D146">
        <v>27.728000000000002</v>
      </c>
      <c r="E146">
        <v>0.64100000000000001</v>
      </c>
      <c r="F146">
        <v>25</v>
      </c>
    </row>
    <row r="147" spans="1:6" x14ac:dyDescent="0.3">
      <c r="A147">
        <v>2013</v>
      </c>
      <c r="B147">
        <v>2</v>
      </c>
      <c r="C147" s="3">
        <v>2013.0833333333301</v>
      </c>
      <c r="D147">
        <v>27.771999999999998</v>
      </c>
      <c r="E147">
        <v>0.65900000000000003</v>
      </c>
      <c r="F147">
        <v>19</v>
      </c>
    </row>
    <row r="148" spans="1:6" x14ac:dyDescent="0.3">
      <c r="A148">
        <v>2013</v>
      </c>
      <c r="B148">
        <v>3</v>
      </c>
      <c r="C148" s="3">
        <v>2013.1666666666599</v>
      </c>
      <c r="D148">
        <v>27.405999999999999</v>
      </c>
      <c r="E148">
        <v>0.63900000000000001</v>
      </c>
      <c r="F148">
        <v>8</v>
      </c>
    </row>
    <row r="149" spans="1:6" x14ac:dyDescent="0.3">
      <c r="A149">
        <v>2013</v>
      </c>
      <c r="B149">
        <v>4</v>
      </c>
      <c r="C149" s="3">
        <v>2013.25</v>
      </c>
      <c r="D149">
        <v>28.341999999999999</v>
      </c>
      <c r="E149">
        <v>0.60199999999999998</v>
      </c>
      <c r="F149">
        <v>10</v>
      </c>
    </row>
    <row r="150" spans="1:6" x14ac:dyDescent="0.3">
      <c r="A150">
        <v>2013</v>
      </c>
      <c r="B150">
        <v>5</v>
      </c>
      <c r="C150" s="3">
        <v>2013.3333333333301</v>
      </c>
      <c r="D150">
        <v>29.681000000000001</v>
      </c>
      <c r="E150">
        <v>0.80700000000000005</v>
      </c>
      <c r="F150">
        <v>9</v>
      </c>
    </row>
    <row r="151" spans="1:6" x14ac:dyDescent="0.3">
      <c r="A151">
        <v>2013</v>
      </c>
      <c r="B151">
        <v>6</v>
      </c>
      <c r="C151" s="3">
        <v>2013.4166666666599</v>
      </c>
      <c r="D151">
        <v>30.466000000000001</v>
      </c>
      <c r="E151">
        <v>0.249</v>
      </c>
      <c r="F151">
        <v>7</v>
      </c>
    </row>
    <row r="152" spans="1:6" x14ac:dyDescent="0.3">
      <c r="A152">
        <v>2013</v>
      </c>
      <c r="B152">
        <v>7</v>
      </c>
      <c r="C152" s="3">
        <v>2013.5</v>
      </c>
      <c r="D152">
        <v>30.274000000000001</v>
      </c>
      <c r="E152">
        <v>0.60399999999999998</v>
      </c>
      <c r="F152">
        <v>9</v>
      </c>
    </row>
    <row r="153" spans="1:6" x14ac:dyDescent="0.3">
      <c r="A153">
        <v>2013</v>
      </c>
      <c r="B153">
        <v>8</v>
      </c>
      <c r="C153" s="3">
        <v>2013.5833333333301</v>
      </c>
      <c r="D153">
        <v>30.114000000000001</v>
      </c>
      <c r="E153">
        <v>0.55800000000000005</v>
      </c>
      <c r="F153">
        <v>8</v>
      </c>
    </row>
    <row r="154" spans="1:6" x14ac:dyDescent="0.3">
      <c r="A154">
        <v>2013</v>
      </c>
      <c r="B154">
        <v>9</v>
      </c>
      <c r="C154" s="3">
        <v>2013.6666666666599</v>
      </c>
      <c r="D154">
        <v>30.178999999999998</v>
      </c>
      <c r="E154">
        <v>0.31900000000000001</v>
      </c>
      <c r="F154">
        <v>6</v>
      </c>
    </row>
    <row r="155" spans="1:6" x14ac:dyDescent="0.3">
      <c r="A155">
        <v>2013</v>
      </c>
      <c r="B155">
        <v>10</v>
      </c>
      <c r="C155" s="3">
        <v>2013.75</v>
      </c>
      <c r="D155">
        <v>29.798999999999999</v>
      </c>
      <c r="E155">
        <v>0.39600000000000002</v>
      </c>
      <c r="F155">
        <v>8</v>
      </c>
    </row>
    <row r="156" spans="1:6" x14ac:dyDescent="0.3">
      <c r="A156">
        <v>2013</v>
      </c>
      <c r="B156">
        <v>11</v>
      </c>
      <c r="C156" s="3">
        <v>2013.8333333333301</v>
      </c>
      <c r="D156">
        <v>29.539000000000001</v>
      </c>
      <c r="E156">
        <v>0.495</v>
      </c>
      <c r="F156">
        <v>15</v>
      </c>
    </row>
    <row r="157" spans="1:6" x14ac:dyDescent="0.3">
      <c r="A157">
        <v>2013</v>
      </c>
      <c r="B157">
        <v>12</v>
      </c>
      <c r="C157" s="3">
        <v>2013.9166666666599</v>
      </c>
      <c r="D157">
        <v>29.164000000000001</v>
      </c>
      <c r="E157">
        <v>0.52800000000000002</v>
      </c>
      <c r="F157">
        <v>19</v>
      </c>
    </row>
    <row r="158" spans="1:6" x14ac:dyDescent="0.3">
      <c r="A158">
        <v>2014</v>
      </c>
      <c r="B158">
        <v>1</v>
      </c>
      <c r="C158" s="3">
        <v>2014</v>
      </c>
      <c r="D158">
        <v>28.337</v>
      </c>
      <c r="E158">
        <v>0.61399999999999999</v>
      </c>
      <c r="F158">
        <v>26</v>
      </c>
    </row>
    <row r="159" spans="1:6" x14ac:dyDescent="0.3">
      <c r="A159">
        <v>2014</v>
      </c>
      <c r="B159">
        <v>2</v>
      </c>
      <c r="C159" s="3">
        <v>2014.0833333333333</v>
      </c>
      <c r="D159">
        <v>27.821999999999999</v>
      </c>
      <c r="E159">
        <v>0.498</v>
      </c>
      <c r="F159">
        <v>19</v>
      </c>
    </row>
    <row r="160" spans="1:6" x14ac:dyDescent="0.3">
      <c r="A160">
        <v>2014</v>
      </c>
      <c r="B160">
        <v>3</v>
      </c>
      <c r="C160" s="3">
        <v>2014.1666666666665</v>
      </c>
      <c r="D160">
        <v>27.553000000000001</v>
      </c>
      <c r="E160">
        <v>0.433</v>
      </c>
      <c r="F160">
        <v>15</v>
      </c>
    </row>
    <row r="161" spans="1:6" x14ac:dyDescent="0.3">
      <c r="A161">
        <v>2014</v>
      </c>
      <c r="B161">
        <v>4</v>
      </c>
      <c r="C161" s="3">
        <v>2014.25</v>
      </c>
      <c r="D161">
        <v>28.158999999999999</v>
      </c>
      <c r="E161">
        <v>0.56999999999999995</v>
      </c>
      <c r="F161">
        <v>11</v>
      </c>
    </row>
    <row r="162" spans="1:6" x14ac:dyDescent="0.3">
      <c r="A162">
        <v>2014</v>
      </c>
      <c r="B162">
        <v>5</v>
      </c>
      <c r="C162" s="3">
        <v>2014.3333333333333</v>
      </c>
      <c r="D162">
        <v>29.565999999999999</v>
      </c>
      <c r="E162">
        <v>0.84699999999999998</v>
      </c>
      <c r="F162">
        <v>13</v>
      </c>
    </row>
    <row r="163" spans="1:6" x14ac:dyDescent="0.3">
      <c r="A163">
        <v>2014</v>
      </c>
      <c r="B163">
        <v>6</v>
      </c>
      <c r="C163" s="3">
        <v>2014.4166666666665</v>
      </c>
      <c r="D163">
        <v>30.419</v>
      </c>
      <c r="E163">
        <v>0.53300000000000003</v>
      </c>
      <c r="F163">
        <v>9</v>
      </c>
    </row>
    <row r="164" spans="1:6" x14ac:dyDescent="0.3">
      <c r="A164">
        <v>2014</v>
      </c>
      <c r="B164">
        <v>7</v>
      </c>
      <c r="C164" s="3">
        <v>2014.5</v>
      </c>
      <c r="D164">
        <v>30.48</v>
      </c>
      <c r="E164">
        <v>0.59</v>
      </c>
      <c r="F164">
        <v>14</v>
      </c>
    </row>
    <row r="165" spans="1:6" x14ac:dyDescent="0.3">
      <c r="A165">
        <v>2014</v>
      </c>
      <c r="B165">
        <v>8</v>
      </c>
      <c r="C165" s="3">
        <v>2014.5833333333333</v>
      </c>
      <c r="D165">
        <v>29.693000000000001</v>
      </c>
      <c r="E165">
        <v>0.89900000000000002</v>
      </c>
      <c r="F165">
        <v>9</v>
      </c>
    </row>
    <row r="166" spans="1:6" x14ac:dyDescent="0.3">
      <c r="A166">
        <v>2014</v>
      </c>
      <c r="B166">
        <v>9</v>
      </c>
      <c r="C166" s="3">
        <v>2014.6666666666665</v>
      </c>
      <c r="D166">
        <v>30.356000000000002</v>
      </c>
      <c r="E166">
        <v>0.52600000000000002</v>
      </c>
      <c r="F166">
        <v>6</v>
      </c>
    </row>
    <row r="167" spans="1:6" x14ac:dyDescent="0.3">
      <c r="A167">
        <v>2014</v>
      </c>
      <c r="B167">
        <v>10</v>
      </c>
      <c r="C167" s="3">
        <v>2014.75</v>
      </c>
      <c r="D167">
        <v>30.202000000000002</v>
      </c>
      <c r="E167">
        <v>0.61799999999999999</v>
      </c>
      <c r="F167">
        <v>3</v>
      </c>
    </row>
    <row r="168" spans="1:6" x14ac:dyDescent="0.3">
      <c r="A168">
        <v>2014</v>
      </c>
      <c r="B168">
        <v>11</v>
      </c>
      <c r="C168" s="3">
        <v>2014.8333333333333</v>
      </c>
      <c r="D168">
        <v>29.63</v>
      </c>
      <c r="E168">
        <v>0.371</v>
      </c>
      <c r="F168">
        <v>13</v>
      </c>
    </row>
    <row r="169" spans="1:6" x14ac:dyDescent="0.3">
      <c r="A169">
        <v>2014</v>
      </c>
      <c r="B169">
        <v>12</v>
      </c>
      <c r="C169" s="3">
        <v>2014.9166666666665</v>
      </c>
      <c r="D169">
        <v>29.027999999999999</v>
      </c>
      <c r="E169">
        <v>0.59099999999999997</v>
      </c>
      <c r="F169">
        <v>18</v>
      </c>
    </row>
    <row r="170" spans="1:6" x14ac:dyDescent="0.3">
      <c r="A170">
        <v>2015</v>
      </c>
      <c r="B170">
        <v>1</v>
      </c>
      <c r="C170" s="3">
        <v>2014.9999999999998</v>
      </c>
      <c r="D170">
        <v>27.879000000000001</v>
      </c>
      <c r="E170">
        <v>0.53900000000000003</v>
      </c>
      <c r="F170">
        <v>21</v>
      </c>
    </row>
    <row r="171" spans="1:6" x14ac:dyDescent="0.3">
      <c r="A171">
        <v>2015</v>
      </c>
      <c r="B171">
        <v>2</v>
      </c>
      <c r="C171" s="3">
        <v>2015.083333333333</v>
      </c>
      <c r="D171">
        <v>27.841999999999999</v>
      </c>
      <c r="E171">
        <v>0.67400000000000004</v>
      </c>
      <c r="F171">
        <v>16</v>
      </c>
    </row>
    <row r="172" spans="1:6" x14ac:dyDescent="0.3">
      <c r="A172">
        <v>2015</v>
      </c>
      <c r="B172">
        <v>3</v>
      </c>
      <c r="C172" s="3">
        <v>2015.1666666666665</v>
      </c>
      <c r="D172">
        <v>27.646000000000001</v>
      </c>
      <c r="E172">
        <v>0.42199999999999999</v>
      </c>
      <c r="F172">
        <v>20</v>
      </c>
    </row>
    <row r="173" spans="1:6" x14ac:dyDescent="0.3">
      <c r="A173">
        <v>2015</v>
      </c>
      <c r="B173">
        <v>4</v>
      </c>
      <c r="C173" s="3">
        <v>2015.2499999999998</v>
      </c>
      <c r="D173">
        <v>28.071999999999999</v>
      </c>
      <c r="E173">
        <v>0.48399999999999999</v>
      </c>
      <c r="F173">
        <v>8</v>
      </c>
    </row>
    <row r="174" spans="1:6" x14ac:dyDescent="0.3">
      <c r="A174">
        <v>2015</v>
      </c>
      <c r="B174">
        <v>5</v>
      </c>
      <c r="C174" s="3">
        <v>2015.3333333333333</v>
      </c>
      <c r="D174">
        <v>29.603000000000002</v>
      </c>
      <c r="E174">
        <v>0.84399999999999997</v>
      </c>
      <c r="F174">
        <v>8</v>
      </c>
    </row>
    <row r="175" spans="1:6" x14ac:dyDescent="0.3">
      <c r="A175">
        <v>2015</v>
      </c>
      <c r="B175">
        <v>6</v>
      </c>
      <c r="C175" s="3">
        <v>2015.4166666666665</v>
      </c>
      <c r="D175">
        <v>29.875</v>
      </c>
      <c r="E175">
        <v>0.51500000000000001</v>
      </c>
      <c r="F175">
        <v>11</v>
      </c>
    </row>
    <row r="176" spans="1:6" x14ac:dyDescent="0.3">
      <c r="A176">
        <v>2015</v>
      </c>
      <c r="B176">
        <v>7</v>
      </c>
      <c r="C176" s="3">
        <v>2015.4999999999998</v>
      </c>
      <c r="D176">
        <v>29.814</v>
      </c>
      <c r="E176">
        <v>0.65100000000000002</v>
      </c>
      <c r="F176">
        <v>14</v>
      </c>
    </row>
    <row r="177" spans="1:6" x14ac:dyDescent="0.3">
      <c r="A177">
        <v>2015</v>
      </c>
      <c r="B177">
        <v>8</v>
      </c>
      <c r="C177" s="3">
        <v>2015.5833333333333</v>
      </c>
      <c r="D177">
        <v>30.22</v>
      </c>
      <c r="E177">
        <v>0.42699999999999999</v>
      </c>
      <c r="F177">
        <v>11</v>
      </c>
    </row>
    <row r="178" spans="1:6" x14ac:dyDescent="0.3">
      <c r="A178">
        <v>2015</v>
      </c>
      <c r="B178">
        <v>9</v>
      </c>
      <c r="C178" s="3">
        <v>2015.6666666666665</v>
      </c>
      <c r="D178">
        <v>30.478999999999999</v>
      </c>
      <c r="E178">
        <v>0.503</v>
      </c>
      <c r="F178">
        <v>11</v>
      </c>
    </row>
    <row r="179" spans="1:6" x14ac:dyDescent="0.3">
      <c r="A179">
        <v>2015</v>
      </c>
      <c r="B179">
        <v>10</v>
      </c>
      <c r="C179" s="3">
        <v>2015.7499999999998</v>
      </c>
      <c r="D179">
        <v>30.152999999999999</v>
      </c>
      <c r="E179">
        <v>0.53100000000000003</v>
      </c>
      <c r="F179">
        <v>14</v>
      </c>
    </row>
    <row r="180" spans="1:6" x14ac:dyDescent="0.3">
      <c r="A180">
        <v>2015</v>
      </c>
      <c r="B180">
        <v>11</v>
      </c>
      <c r="C180" s="3">
        <v>2015.8333333333333</v>
      </c>
      <c r="D180">
        <v>29.73</v>
      </c>
      <c r="E180">
        <v>0.47</v>
      </c>
      <c r="F180">
        <v>15</v>
      </c>
    </row>
    <row r="181" spans="1:6" x14ac:dyDescent="0.3">
      <c r="A181">
        <v>2015</v>
      </c>
      <c r="B181">
        <v>12</v>
      </c>
      <c r="C181" s="3">
        <v>2015.9166666666665</v>
      </c>
      <c r="D181">
        <v>30.021000000000001</v>
      </c>
      <c r="E181">
        <v>0.39400000000000002</v>
      </c>
      <c r="F181">
        <v>22</v>
      </c>
    </row>
    <row r="182" spans="1:6" x14ac:dyDescent="0.3">
      <c r="C182" s="3"/>
    </row>
    <row r="183" spans="1:6" x14ac:dyDescent="0.3">
      <c r="C183" s="3"/>
    </row>
    <row r="184" spans="1:6" x14ac:dyDescent="0.3">
      <c r="C184" s="3"/>
    </row>
    <row r="185" spans="1:6" x14ac:dyDescent="0.3">
      <c r="C185" s="3"/>
    </row>
    <row r="186" spans="1:6" x14ac:dyDescent="0.3">
      <c r="C186" s="3"/>
    </row>
    <row r="187" spans="1:6" x14ac:dyDescent="0.3">
      <c r="C187" s="3"/>
    </row>
    <row r="188" spans="1:6" x14ac:dyDescent="0.3">
      <c r="C188" s="3"/>
    </row>
    <row r="189" spans="1:6" x14ac:dyDescent="0.3">
      <c r="C189" s="3"/>
    </row>
    <row r="190" spans="1:6" x14ac:dyDescent="0.3">
      <c r="C190" s="3"/>
    </row>
    <row r="191" spans="1:6" x14ac:dyDescent="0.3">
      <c r="C191" s="3"/>
    </row>
    <row r="192" spans="1:6" x14ac:dyDescent="0.3">
      <c r="C192" s="3"/>
    </row>
    <row r="193" spans="3:3" x14ac:dyDescent="0.3">
      <c r="C193" s="3"/>
    </row>
    <row r="194" spans="3:3" x14ac:dyDescent="0.3">
      <c r="C194" s="3"/>
    </row>
    <row r="195" spans="3:3" x14ac:dyDescent="0.3">
      <c r="C195" s="3"/>
    </row>
    <row r="196" spans="3:3" x14ac:dyDescent="0.3">
      <c r="C196" s="3"/>
    </row>
    <row r="197" spans="3:3" x14ac:dyDescent="0.3">
      <c r="C197" s="3"/>
    </row>
    <row r="198" spans="3:3" x14ac:dyDescent="0.3">
      <c r="C198" s="3"/>
    </row>
    <row r="199" spans="3:3" x14ac:dyDescent="0.3">
      <c r="C199" s="3"/>
    </row>
    <row r="200" spans="3:3" x14ac:dyDescent="0.3">
      <c r="C200" s="3"/>
    </row>
    <row r="201" spans="3:3" x14ac:dyDescent="0.3">
      <c r="C201" s="3"/>
    </row>
    <row r="202" spans="3:3" x14ac:dyDescent="0.3">
      <c r="C202" s="3"/>
    </row>
    <row r="203" spans="3:3" x14ac:dyDescent="0.3">
      <c r="C203" s="3"/>
    </row>
    <row r="204" spans="3:3" x14ac:dyDescent="0.3">
      <c r="C204" s="3"/>
    </row>
    <row r="205" spans="3:3" x14ac:dyDescent="0.3">
      <c r="C205" s="3"/>
    </row>
  </sheetData>
  <autoFilter ref="A1:F1" xr:uid="{D54895C1-31D0-49FB-9C61-C64CCA1FEBF1}"/>
  <mergeCells count="1">
    <mergeCell ref="H1:I1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54AE-4F8A-4D60-81E9-16B1E528D79F}">
  <dimension ref="A1:P409"/>
  <sheetViews>
    <sheetView tabSelected="1" workbookViewId="0">
      <selection activeCell="O17" sqref="O17"/>
    </sheetView>
  </sheetViews>
  <sheetFormatPr baseColWidth="10" defaultRowHeight="14.4" x14ac:dyDescent="0.3"/>
  <cols>
    <col min="1" max="1" width="7.77734375" customWidth="1"/>
    <col min="2" max="2" width="6.6640625" customWidth="1"/>
    <col min="3" max="3" width="7.88671875" customWidth="1"/>
    <col min="4" max="4" width="8.21875" customWidth="1"/>
    <col min="5" max="5" width="8.5546875" customWidth="1"/>
    <col min="6" max="6" width="7.88671875" customWidth="1"/>
    <col min="7" max="7" width="10.77734375" customWidth="1"/>
    <col min="8" max="8" width="10.109375" customWidth="1"/>
    <col min="9" max="9" width="9.21875" customWidth="1"/>
    <col min="10" max="10" width="8.6640625" customWidth="1"/>
    <col min="11" max="11" width="7.44140625" customWidth="1"/>
    <col min="12" max="12" width="9.109375" customWidth="1"/>
    <col min="13" max="13" width="9.88671875" customWidth="1"/>
    <col min="14" max="14" width="8.5546875" customWidth="1"/>
    <col min="15" max="15" width="10.33203125" customWidth="1"/>
  </cols>
  <sheetData>
    <row r="1" spans="1:16" x14ac:dyDescent="0.3">
      <c r="A1" s="4" t="s">
        <v>34</v>
      </c>
      <c r="B1" s="4" t="s">
        <v>31</v>
      </c>
      <c r="C1" s="4" t="s">
        <v>33</v>
      </c>
      <c r="D1" s="25" t="s">
        <v>30</v>
      </c>
      <c r="E1" s="25" t="s">
        <v>142</v>
      </c>
      <c r="F1" s="25" t="s">
        <v>143</v>
      </c>
      <c r="G1" s="28" t="s">
        <v>29</v>
      </c>
      <c r="H1" s="28" t="s">
        <v>145</v>
      </c>
      <c r="I1" s="28" t="s">
        <v>144</v>
      </c>
      <c r="K1" s="4" t="s">
        <v>13</v>
      </c>
      <c r="L1" s="4" t="s">
        <v>141</v>
      </c>
      <c r="M1" s="4" t="s">
        <v>147</v>
      </c>
      <c r="N1" s="4"/>
      <c r="O1" s="4"/>
      <c r="P1" s="4"/>
    </row>
    <row r="2" spans="1:16" x14ac:dyDescent="0.3">
      <c r="A2" s="3">
        <v>1982</v>
      </c>
      <c r="B2">
        <v>1982</v>
      </c>
      <c r="C2">
        <v>1</v>
      </c>
      <c r="D2" s="3">
        <v>29.516666412353501</v>
      </c>
      <c r="E2" s="3">
        <v>0.52091799311960096</v>
      </c>
      <c r="F2" s="19">
        <v>3</v>
      </c>
      <c r="G2" s="3">
        <v>26.753334045410099</v>
      </c>
      <c r="H2" s="3">
        <v>0.68473027942078601</v>
      </c>
      <c r="I2" s="19">
        <v>6</v>
      </c>
      <c r="K2">
        <v>2015</v>
      </c>
      <c r="L2" s="2">
        <f>AVERAGEIF(B$2:B$409,K2,D$2:D$409)</f>
        <v>29.06364007429638</v>
      </c>
      <c r="M2" s="2">
        <f>AVERAGEIF(B$2:B$409,K2,G$2:G$409)</f>
        <v>28.651999950408907</v>
      </c>
    </row>
    <row r="3" spans="1:16" x14ac:dyDescent="0.3">
      <c r="A3" s="3">
        <v>1982.0833333333335</v>
      </c>
      <c r="B3">
        <v>1982</v>
      </c>
      <c r="C3">
        <v>2</v>
      </c>
      <c r="D3" s="3">
        <v>29.9799995422363</v>
      </c>
      <c r="E3" s="3">
        <v>0.963569751842977</v>
      </c>
      <c r="F3" s="19">
        <v>3</v>
      </c>
      <c r="G3" s="3">
        <v>27.645000457763601</v>
      </c>
      <c r="H3" s="3">
        <v>0.34047760572458702</v>
      </c>
      <c r="I3" s="19">
        <v>4</v>
      </c>
      <c r="K3">
        <v>2014</v>
      </c>
      <c r="L3" s="2">
        <f t="shared" ref="L3:M35" si="0">AVERAGEIF(B$2:B$409,K3,D$2:D$409)</f>
        <v>29.1170125007629</v>
      </c>
      <c r="M3" s="2">
        <f t="shared" ref="M3:M35" si="1">AVERAGEIF(B$2:B$409,K3,G$2:G$409)</f>
        <v>28.408053311434614</v>
      </c>
    </row>
    <row r="4" spans="1:16" x14ac:dyDescent="0.3">
      <c r="A4" s="3">
        <v>1982.1666666666667</v>
      </c>
      <c r="B4">
        <v>1982</v>
      </c>
      <c r="C4">
        <v>3</v>
      </c>
      <c r="D4" s="3">
        <v>26.832307815551701</v>
      </c>
      <c r="E4" s="3">
        <v>1.0549309408396601</v>
      </c>
      <c r="F4" s="19">
        <v>13</v>
      </c>
      <c r="G4" s="3"/>
      <c r="H4" s="3"/>
      <c r="I4" s="19"/>
      <c r="K4">
        <v>2013</v>
      </c>
      <c r="L4" s="2">
        <f t="shared" si="0"/>
        <v>28.935736569491244</v>
      </c>
      <c r="M4" s="2">
        <f t="shared" si="1"/>
        <v>28.599781036376886</v>
      </c>
    </row>
    <row r="5" spans="1:16" x14ac:dyDescent="0.3">
      <c r="A5" s="3">
        <v>1982.25</v>
      </c>
      <c r="B5">
        <v>1982</v>
      </c>
      <c r="C5">
        <v>4</v>
      </c>
      <c r="D5" s="3">
        <v>27.957500457763601</v>
      </c>
      <c r="E5" s="3">
        <v>1.47297954839842</v>
      </c>
      <c r="F5" s="19">
        <v>4</v>
      </c>
      <c r="G5" s="3">
        <v>27.2399997711181</v>
      </c>
      <c r="H5" s="3">
        <v>0.64999999999992297</v>
      </c>
      <c r="I5" s="19">
        <v>2</v>
      </c>
      <c r="K5">
        <v>2012</v>
      </c>
      <c r="L5" s="2">
        <f t="shared" si="0"/>
        <v>28.728213840060732</v>
      </c>
      <c r="M5" s="2">
        <f t="shared" si="1"/>
        <v>28.523083114623979</v>
      </c>
    </row>
    <row r="6" spans="1:16" x14ac:dyDescent="0.3">
      <c r="A6" s="3">
        <v>1982.3333333333335</v>
      </c>
      <c r="B6">
        <v>1982</v>
      </c>
      <c r="C6">
        <v>5</v>
      </c>
      <c r="D6" s="3">
        <v>29.7600002288818</v>
      </c>
      <c r="E6" s="3">
        <v>0</v>
      </c>
      <c r="F6" s="19">
        <v>1</v>
      </c>
      <c r="G6" s="3"/>
      <c r="H6" s="3"/>
      <c r="I6" s="19"/>
      <c r="K6">
        <v>2011</v>
      </c>
      <c r="L6" s="2">
        <f t="shared" si="0"/>
        <v>29.226914319125036</v>
      </c>
      <c r="M6" s="2">
        <f t="shared" si="1"/>
        <v>28.381619071960408</v>
      </c>
    </row>
    <row r="7" spans="1:16" x14ac:dyDescent="0.3">
      <c r="A7" s="3">
        <v>1982.4166666666667</v>
      </c>
      <c r="B7">
        <v>1982</v>
      </c>
      <c r="C7">
        <v>6</v>
      </c>
      <c r="D7" s="3">
        <v>30.530000686645501</v>
      </c>
      <c r="E7" s="3">
        <v>0.68999999999998096</v>
      </c>
      <c r="F7" s="19">
        <v>2</v>
      </c>
      <c r="G7" s="3">
        <v>28.953332901000898</v>
      </c>
      <c r="H7" s="3">
        <v>0.314783876475552</v>
      </c>
      <c r="I7" s="19">
        <v>3</v>
      </c>
      <c r="K7">
        <v>2010</v>
      </c>
      <c r="L7" s="2">
        <f t="shared" si="0"/>
        <v>29.142249822616524</v>
      </c>
      <c r="M7" s="2">
        <f t="shared" si="1"/>
        <v>27.377205530802367</v>
      </c>
    </row>
    <row r="8" spans="1:16" x14ac:dyDescent="0.3">
      <c r="A8" s="3">
        <v>1982.5</v>
      </c>
      <c r="B8">
        <v>1982</v>
      </c>
      <c r="C8">
        <v>7</v>
      </c>
      <c r="D8" s="3">
        <v>28.756666183471602</v>
      </c>
      <c r="E8" s="3">
        <v>0.90047518319799502</v>
      </c>
      <c r="F8" s="19">
        <v>6</v>
      </c>
      <c r="G8" s="3">
        <v>28.120000839233398</v>
      </c>
      <c r="H8" s="3">
        <v>3.0000000001918999E-2</v>
      </c>
      <c r="I8" s="19">
        <v>2</v>
      </c>
      <c r="K8">
        <v>2009</v>
      </c>
      <c r="L8" s="2">
        <f t="shared" si="0"/>
        <v>28.817932128906211</v>
      </c>
      <c r="M8" s="2">
        <f t="shared" si="1"/>
        <v>28.009991073608358</v>
      </c>
    </row>
    <row r="9" spans="1:16" x14ac:dyDescent="0.3">
      <c r="A9" s="3">
        <v>1982.5833333333335</v>
      </c>
      <c r="B9">
        <v>1982</v>
      </c>
      <c r="C9">
        <v>8</v>
      </c>
      <c r="D9" s="3">
        <v>28.7924995422363</v>
      </c>
      <c r="E9" s="3">
        <v>0.21475276482531899</v>
      </c>
      <c r="F9" s="19">
        <v>4</v>
      </c>
      <c r="G9" s="3">
        <v>29.079999923706001</v>
      </c>
      <c r="H9" s="3">
        <v>0.33787571679551498</v>
      </c>
      <c r="I9" s="19">
        <v>5</v>
      </c>
      <c r="K9">
        <v>2008</v>
      </c>
      <c r="L9" s="2">
        <f t="shared" si="0"/>
        <v>29.213550567626928</v>
      </c>
      <c r="M9" s="2">
        <f t="shared" si="1"/>
        <v>27.480464696884098</v>
      </c>
    </row>
    <row r="10" spans="1:16" x14ac:dyDescent="0.3">
      <c r="A10" s="3">
        <v>1982.6666666666667</v>
      </c>
      <c r="B10">
        <v>1982</v>
      </c>
      <c r="C10">
        <v>9</v>
      </c>
      <c r="D10" s="3">
        <v>28.9925003051757</v>
      </c>
      <c r="E10" s="3">
        <v>0.55382194792185602</v>
      </c>
      <c r="F10" s="19">
        <v>4</v>
      </c>
      <c r="G10" s="3">
        <v>27.020000457763601</v>
      </c>
      <c r="H10" s="3">
        <v>0</v>
      </c>
      <c r="I10" s="19">
        <v>1</v>
      </c>
      <c r="K10">
        <v>2007</v>
      </c>
      <c r="L10" s="2">
        <f t="shared" si="0"/>
        <v>28.908529472351027</v>
      </c>
      <c r="M10" s="2">
        <f t="shared" si="1"/>
        <v>28.100092649459796</v>
      </c>
    </row>
    <row r="11" spans="1:16" x14ac:dyDescent="0.3">
      <c r="A11" s="3">
        <v>1982.75</v>
      </c>
      <c r="B11">
        <v>1982</v>
      </c>
      <c r="C11">
        <v>10</v>
      </c>
      <c r="D11" s="3">
        <v>29.639999389648398</v>
      </c>
      <c r="E11" s="3">
        <v>0.68456451224758896</v>
      </c>
      <c r="F11" s="19">
        <v>7</v>
      </c>
      <c r="G11" s="3">
        <v>29.370000839233398</v>
      </c>
      <c r="H11" s="3">
        <v>0.31000000000014799</v>
      </c>
      <c r="I11" s="19">
        <v>2</v>
      </c>
      <c r="K11">
        <v>2006</v>
      </c>
      <c r="L11" s="2">
        <f t="shared" si="0"/>
        <v>29.326892159201847</v>
      </c>
      <c r="M11" s="2">
        <f t="shared" si="1"/>
        <v>28.330993461608841</v>
      </c>
    </row>
    <row r="12" spans="1:16" x14ac:dyDescent="0.3">
      <c r="A12" s="3">
        <v>1982.8333333333335</v>
      </c>
      <c r="B12">
        <v>1982</v>
      </c>
      <c r="C12">
        <v>11</v>
      </c>
      <c r="D12" s="3">
        <v>27.978570938110298</v>
      </c>
      <c r="E12" s="3">
        <v>0.51545897914731598</v>
      </c>
      <c r="F12" s="19">
        <v>7</v>
      </c>
      <c r="G12" s="3">
        <v>27.809999465942301</v>
      </c>
      <c r="H12" s="3">
        <v>3.9999999997821702E-2</v>
      </c>
      <c r="I12" s="19">
        <v>2</v>
      </c>
      <c r="K12">
        <v>2005</v>
      </c>
      <c r="L12" s="2">
        <f t="shared" si="0"/>
        <v>29.13868350982661</v>
      </c>
      <c r="M12" s="2">
        <f t="shared" si="1"/>
        <v>28.374841054280544</v>
      </c>
    </row>
    <row r="13" spans="1:16" x14ac:dyDescent="0.3">
      <c r="A13" s="3">
        <v>1982.9166666666667</v>
      </c>
      <c r="B13">
        <v>1982</v>
      </c>
      <c r="C13">
        <v>12</v>
      </c>
      <c r="D13" s="3">
        <v>27.176000595092699</v>
      </c>
      <c r="E13" s="3">
        <v>0.75969994076611802</v>
      </c>
      <c r="F13" s="19">
        <v>10</v>
      </c>
      <c r="G13" s="3">
        <v>28.0100002288818</v>
      </c>
      <c r="H13" s="3">
        <v>0</v>
      </c>
      <c r="I13" s="19">
        <v>2</v>
      </c>
      <c r="K13">
        <v>2004</v>
      </c>
      <c r="L13" s="2">
        <f t="shared" si="0"/>
        <v>28.643902460733987</v>
      </c>
      <c r="M13" s="2">
        <f t="shared" si="1"/>
        <v>28.278225812044958</v>
      </c>
    </row>
    <row r="14" spans="1:16" x14ac:dyDescent="0.3">
      <c r="A14" s="3">
        <v>1983</v>
      </c>
      <c r="B14">
        <v>1983</v>
      </c>
      <c r="C14">
        <v>1</v>
      </c>
      <c r="D14" s="3">
        <v>27.115715026855401</v>
      </c>
      <c r="E14" s="3">
        <v>0.48583331874772701</v>
      </c>
      <c r="F14" s="19">
        <v>21</v>
      </c>
      <c r="G14" s="3">
        <v>26.139999389648398</v>
      </c>
      <c r="H14" s="3">
        <v>0</v>
      </c>
      <c r="I14" s="19">
        <v>1</v>
      </c>
      <c r="K14">
        <v>2003</v>
      </c>
      <c r="L14" s="2">
        <f t="shared" si="0"/>
        <v>29.056025418368201</v>
      </c>
      <c r="M14" s="2">
        <f t="shared" si="1"/>
        <v>28.570756218650079</v>
      </c>
    </row>
    <row r="15" spans="1:16" x14ac:dyDescent="0.3">
      <c r="A15" s="3">
        <v>1983.0833333333401</v>
      </c>
      <c r="B15">
        <v>1983</v>
      </c>
      <c r="C15">
        <v>2</v>
      </c>
      <c r="D15" s="3">
        <v>26.865999221801701</v>
      </c>
      <c r="E15" s="3">
        <v>0.477434812304186</v>
      </c>
      <c r="F15" s="19">
        <v>10</v>
      </c>
      <c r="G15" s="3">
        <v>26.329999923706001</v>
      </c>
      <c r="H15" s="3">
        <v>0</v>
      </c>
      <c r="I15" s="19">
        <v>1</v>
      </c>
      <c r="K15">
        <v>2002</v>
      </c>
      <c r="L15" s="2">
        <f t="shared" si="0"/>
        <v>29.056127721613038</v>
      </c>
      <c r="M15" s="2">
        <f t="shared" si="1"/>
        <v>28.177821592851082</v>
      </c>
    </row>
    <row r="16" spans="1:16" x14ac:dyDescent="0.3">
      <c r="A16" s="3">
        <v>1983.1666666666699</v>
      </c>
      <c r="B16">
        <v>1983</v>
      </c>
      <c r="C16">
        <v>3</v>
      </c>
      <c r="D16" s="3">
        <v>27.425714492797798</v>
      </c>
      <c r="E16" s="3">
        <v>0.54134375513579303</v>
      </c>
      <c r="F16" s="19">
        <v>7</v>
      </c>
      <c r="G16" s="3">
        <v>26.922500610351499</v>
      </c>
      <c r="H16" s="3">
        <v>0.60379528815649797</v>
      </c>
      <c r="I16" s="19">
        <v>4</v>
      </c>
      <c r="K16">
        <v>2001</v>
      </c>
      <c r="L16" s="2">
        <f t="shared" si="0"/>
        <v>28.424877166748015</v>
      </c>
      <c r="M16" s="2">
        <f t="shared" si="1"/>
        <v>27.314232720269057</v>
      </c>
    </row>
    <row r="17" spans="1:13" x14ac:dyDescent="0.3">
      <c r="A17" s="3">
        <v>1983.25</v>
      </c>
      <c r="B17">
        <v>1983</v>
      </c>
      <c r="C17">
        <v>4</v>
      </c>
      <c r="D17" s="3">
        <v>27.389999389648398</v>
      </c>
      <c r="E17" s="3">
        <v>0.51983971888764002</v>
      </c>
      <c r="F17" s="19">
        <v>6</v>
      </c>
      <c r="G17" s="3">
        <v>25.6574993133544</v>
      </c>
      <c r="H17" s="3">
        <v>0.40769933774806599</v>
      </c>
      <c r="I17" s="19">
        <v>4</v>
      </c>
      <c r="K17">
        <v>2000</v>
      </c>
      <c r="L17" s="2">
        <f t="shared" si="0"/>
        <v>28.526633522727227</v>
      </c>
      <c r="M17" s="2">
        <f t="shared" si="1"/>
        <v>27.588041623433394</v>
      </c>
    </row>
    <row r="18" spans="1:13" x14ac:dyDescent="0.3">
      <c r="A18" s="3">
        <v>1983.3333333333401</v>
      </c>
      <c r="B18">
        <v>1983</v>
      </c>
      <c r="C18">
        <v>5</v>
      </c>
      <c r="D18" s="3">
        <v>29.273332595825099</v>
      </c>
      <c r="E18" s="3">
        <v>0.39516522564038298</v>
      </c>
      <c r="F18" s="19">
        <v>3</v>
      </c>
      <c r="G18" s="3">
        <v>27.754999160766602</v>
      </c>
      <c r="H18" s="3">
        <v>9.4999999999146004E-2</v>
      </c>
      <c r="I18" s="19">
        <v>2</v>
      </c>
      <c r="K18">
        <v>1999</v>
      </c>
      <c r="L18" s="2">
        <f t="shared" si="0"/>
        <v>28.612716674804638</v>
      </c>
      <c r="M18" s="2">
        <f t="shared" si="1"/>
        <v>27.879144880506679</v>
      </c>
    </row>
    <row r="19" spans="1:13" x14ac:dyDescent="0.3">
      <c r="A19" s="3">
        <v>1983.4166666666699</v>
      </c>
      <c r="B19">
        <v>1983</v>
      </c>
      <c r="C19">
        <v>6</v>
      </c>
      <c r="D19" s="3"/>
      <c r="E19" s="3"/>
      <c r="F19" s="19"/>
      <c r="G19" s="3">
        <v>30.016666412353501</v>
      </c>
      <c r="H19" s="3">
        <v>0.80458408855485897</v>
      </c>
      <c r="I19" s="19">
        <v>3</v>
      </c>
      <c r="K19">
        <v>1998</v>
      </c>
      <c r="L19" s="2">
        <f t="shared" si="0"/>
        <v>29.122372150421111</v>
      </c>
      <c r="M19" s="2">
        <f t="shared" si="1"/>
        <v>28.265454292297317</v>
      </c>
    </row>
    <row r="20" spans="1:13" x14ac:dyDescent="0.3">
      <c r="A20" s="3">
        <v>1983.5</v>
      </c>
      <c r="B20">
        <v>1983</v>
      </c>
      <c r="C20">
        <v>7</v>
      </c>
      <c r="D20" s="3">
        <v>30.181999206542901</v>
      </c>
      <c r="E20" s="3">
        <v>0.947658166218176</v>
      </c>
      <c r="F20" s="19">
        <v>5</v>
      </c>
      <c r="G20" s="3">
        <v>29.889999389648398</v>
      </c>
      <c r="H20" s="3">
        <v>0</v>
      </c>
      <c r="I20" s="19">
        <v>1</v>
      </c>
      <c r="K20">
        <v>1997</v>
      </c>
      <c r="L20" s="2">
        <f t="shared" si="0"/>
        <v>28.994994163513137</v>
      </c>
      <c r="M20" s="2">
        <f t="shared" si="1"/>
        <v>28.005161921183241</v>
      </c>
    </row>
    <row r="21" spans="1:13" x14ac:dyDescent="0.3">
      <c r="A21" s="3">
        <v>1983.5833333333401</v>
      </c>
      <c r="B21">
        <v>1983</v>
      </c>
      <c r="C21">
        <v>8</v>
      </c>
      <c r="D21" s="3">
        <v>29.420000076293899</v>
      </c>
      <c r="E21" s="3">
        <v>0.16083117442380401</v>
      </c>
      <c r="F21" s="19">
        <v>3</v>
      </c>
      <c r="G21" s="3">
        <v>29.840000152587798</v>
      </c>
      <c r="H21" s="3">
        <v>0</v>
      </c>
      <c r="I21" s="19">
        <v>1</v>
      </c>
      <c r="K21">
        <v>1996</v>
      </c>
      <c r="L21" s="2">
        <f t="shared" si="0"/>
        <v>28.90657580982548</v>
      </c>
      <c r="M21" s="2">
        <f t="shared" si="1"/>
        <v>27.859380722045866</v>
      </c>
    </row>
    <row r="22" spans="1:13" x14ac:dyDescent="0.3">
      <c r="A22" s="3">
        <v>1983.6666666666699</v>
      </c>
      <c r="B22">
        <v>1983</v>
      </c>
      <c r="C22">
        <v>9</v>
      </c>
      <c r="D22" s="3">
        <v>29.706666946411101</v>
      </c>
      <c r="E22" s="3">
        <v>0.80371360294286298</v>
      </c>
      <c r="F22" s="19">
        <v>3</v>
      </c>
      <c r="G22" s="3"/>
      <c r="H22" s="3"/>
      <c r="I22" s="19"/>
      <c r="K22">
        <v>1995</v>
      </c>
      <c r="L22" s="2">
        <f t="shared" si="0"/>
        <v>28.994747956593773</v>
      </c>
      <c r="M22" s="2">
        <f t="shared" si="1"/>
        <v>27.901346842447875</v>
      </c>
    </row>
    <row r="23" spans="1:13" x14ac:dyDescent="0.3">
      <c r="A23" s="3">
        <v>1983.75</v>
      </c>
      <c r="B23">
        <v>1983</v>
      </c>
      <c r="C23">
        <v>10</v>
      </c>
      <c r="D23" s="3">
        <v>29.370000839233398</v>
      </c>
      <c r="E23" s="3">
        <v>0</v>
      </c>
      <c r="F23" s="19">
        <v>1</v>
      </c>
      <c r="G23" s="3">
        <v>28.350000381469702</v>
      </c>
      <c r="H23" s="3">
        <v>0</v>
      </c>
      <c r="I23" s="19">
        <v>1</v>
      </c>
      <c r="K23">
        <v>1994</v>
      </c>
      <c r="L23" s="2">
        <f t="shared" si="0"/>
        <v>28.169099013010598</v>
      </c>
      <c r="M23" s="2">
        <f t="shared" si="1"/>
        <v>27.805416679382279</v>
      </c>
    </row>
    <row r="24" spans="1:13" x14ac:dyDescent="0.3">
      <c r="A24" s="3">
        <v>1983.8333333333401</v>
      </c>
      <c r="B24">
        <v>1983</v>
      </c>
      <c r="C24">
        <v>11</v>
      </c>
      <c r="D24" s="3">
        <v>28.4300003051757</v>
      </c>
      <c r="E24" s="3">
        <v>0</v>
      </c>
      <c r="F24" s="19">
        <v>1</v>
      </c>
      <c r="G24" s="3">
        <v>28.5459995269775</v>
      </c>
      <c r="H24" s="3">
        <v>0.79103982200629996</v>
      </c>
      <c r="I24" s="19">
        <v>5</v>
      </c>
      <c r="K24">
        <v>1993</v>
      </c>
      <c r="L24" s="2">
        <f t="shared" si="0"/>
        <v>28.606674887917208</v>
      </c>
      <c r="M24" s="2">
        <f t="shared" si="1"/>
        <v>27.526874780654865</v>
      </c>
    </row>
    <row r="25" spans="1:13" x14ac:dyDescent="0.3">
      <c r="A25" s="3">
        <v>1983.9166666666699</v>
      </c>
      <c r="B25">
        <v>1983</v>
      </c>
      <c r="C25">
        <v>12</v>
      </c>
      <c r="D25" s="3">
        <v>28.829999923706001</v>
      </c>
      <c r="E25" s="3">
        <v>0.50652410275021698</v>
      </c>
      <c r="F25" s="19">
        <v>6</v>
      </c>
      <c r="G25" s="3">
        <v>29.040000915527301</v>
      </c>
      <c r="H25" s="3">
        <v>0.30011109054306301</v>
      </c>
      <c r="I25" s="19">
        <v>3</v>
      </c>
      <c r="K25">
        <v>1992</v>
      </c>
      <c r="L25" s="2">
        <f t="shared" si="0"/>
        <v>28.384878158569308</v>
      </c>
      <c r="M25" s="2">
        <f t="shared" si="1"/>
        <v>27.321030356667226</v>
      </c>
    </row>
    <row r="26" spans="1:13" x14ac:dyDescent="0.3">
      <c r="A26" s="3">
        <v>1984</v>
      </c>
      <c r="B26">
        <v>1984</v>
      </c>
      <c r="C26">
        <v>1</v>
      </c>
      <c r="D26" s="3">
        <v>27.967500686645501</v>
      </c>
      <c r="E26" s="3">
        <v>0.422652832318343</v>
      </c>
      <c r="F26" s="19">
        <v>12</v>
      </c>
      <c r="G26" s="3">
        <v>27.467777252197202</v>
      </c>
      <c r="H26" s="3">
        <v>0.67476379040350398</v>
      </c>
      <c r="I26" s="19">
        <v>9</v>
      </c>
      <c r="K26">
        <v>1991</v>
      </c>
      <c r="L26" s="2">
        <f t="shared" si="0"/>
        <v>28.212684457952289</v>
      </c>
      <c r="M26" s="2">
        <f t="shared" si="1"/>
        <v>27.411514975807833</v>
      </c>
    </row>
    <row r="27" spans="1:13" x14ac:dyDescent="0.3">
      <c r="A27" s="3">
        <v>1984.0833333333401</v>
      </c>
      <c r="B27">
        <v>1984</v>
      </c>
      <c r="C27">
        <v>2</v>
      </c>
      <c r="D27" s="3">
        <v>26.885999679565401</v>
      </c>
      <c r="E27" s="3">
        <v>0.30190064590837601</v>
      </c>
      <c r="F27" s="19">
        <v>5</v>
      </c>
      <c r="G27" s="3">
        <v>26.924999237060501</v>
      </c>
      <c r="H27" s="3">
        <v>0.39499999999999902</v>
      </c>
      <c r="I27" s="19">
        <v>2</v>
      </c>
      <c r="K27">
        <v>1990</v>
      </c>
      <c r="L27" s="2">
        <f t="shared" si="0"/>
        <v>28.650403022766074</v>
      </c>
      <c r="M27" s="2">
        <f t="shared" si="1"/>
        <v>27.426329294840468</v>
      </c>
    </row>
    <row r="28" spans="1:13" x14ac:dyDescent="0.3">
      <c r="A28" s="3">
        <v>1984.1666666666699</v>
      </c>
      <c r="B28">
        <v>1984</v>
      </c>
      <c r="C28">
        <v>3</v>
      </c>
      <c r="D28" s="3">
        <v>27.0949993133544</v>
      </c>
      <c r="E28" s="3">
        <v>0.19276496915514699</v>
      </c>
      <c r="F28" s="19">
        <v>6</v>
      </c>
      <c r="G28" s="3">
        <v>26.389999389648398</v>
      </c>
      <c r="H28" s="3">
        <v>0</v>
      </c>
      <c r="I28" s="19">
        <v>1</v>
      </c>
      <c r="K28">
        <v>1989</v>
      </c>
      <c r="L28" s="2">
        <f t="shared" si="0"/>
        <v>28.468821207682257</v>
      </c>
      <c r="M28" s="2">
        <f t="shared" si="1"/>
        <v>27.349907133314314</v>
      </c>
    </row>
    <row r="29" spans="1:13" x14ac:dyDescent="0.3">
      <c r="A29" s="3">
        <v>1984.25</v>
      </c>
      <c r="B29">
        <v>1984</v>
      </c>
      <c r="C29">
        <v>4</v>
      </c>
      <c r="D29" s="3">
        <v>26.527500152587798</v>
      </c>
      <c r="E29" s="3">
        <v>0.35343846706306897</v>
      </c>
      <c r="F29" s="19">
        <v>4</v>
      </c>
      <c r="G29" s="3">
        <v>27.280000686645501</v>
      </c>
      <c r="H29" s="3">
        <v>3.9999999997821702E-2</v>
      </c>
      <c r="I29" s="19">
        <v>2</v>
      </c>
      <c r="K29">
        <v>1988</v>
      </c>
      <c r="L29" s="2">
        <f t="shared" si="0"/>
        <v>28.236415045601934</v>
      </c>
      <c r="M29" s="2">
        <f t="shared" si="1"/>
        <v>27.836635589599563</v>
      </c>
    </row>
    <row r="30" spans="1:13" x14ac:dyDescent="0.3">
      <c r="A30" s="3">
        <v>1984.3333333333401</v>
      </c>
      <c r="B30">
        <v>1984</v>
      </c>
      <c r="C30">
        <v>5</v>
      </c>
      <c r="D30" s="3">
        <v>27.704999923706001</v>
      </c>
      <c r="E30" s="3">
        <v>0.49771980069105698</v>
      </c>
      <c r="F30" s="19">
        <v>4</v>
      </c>
      <c r="G30" s="3">
        <v>27.683332443237301</v>
      </c>
      <c r="H30" s="3">
        <v>0.38317387987981399</v>
      </c>
      <c r="I30" s="19">
        <v>3</v>
      </c>
      <c r="K30">
        <v>1987</v>
      </c>
      <c r="L30" s="2">
        <f t="shared" si="0"/>
        <v>28.744200966574873</v>
      </c>
      <c r="M30" s="2">
        <f t="shared" si="1"/>
        <v>28.097161398993542</v>
      </c>
    </row>
    <row r="31" spans="1:13" x14ac:dyDescent="0.3">
      <c r="A31" s="3">
        <v>1984.4166666666699</v>
      </c>
      <c r="B31">
        <v>1984</v>
      </c>
      <c r="C31">
        <v>6</v>
      </c>
      <c r="D31" s="3">
        <v>30.020000457763601</v>
      </c>
      <c r="E31" s="3">
        <v>0.25</v>
      </c>
      <c r="F31" s="19">
        <v>2</v>
      </c>
      <c r="G31" s="3"/>
      <c r="H31" s="3"/>
      <c r="I31" s="19"/>
      <c r="K31">
        <v>1986</v>
      </c>
      <c r="L31" s="2">
        <f t="shared" si="0"/>
        <v>28.165576299031539</v>
      </c>
      <c r="M31" s="2">
        <f t="shared" si="1"/>
        <v>27.729535362937181</v>
      </c>
    </row>
    <row r="32" spans="1:13" x14ac:dyDescent="0.3">
      <c r="A32" s="3">
        <v>1984.5</v>
      </c>
      <c r="B32">
        <v>1984</v>
      </c>
      <c r="C32">
        <v>7</v>
      </c>
      <c r="D32" s="3">
        <v>28.5</v>
      </c>
      <c r="E32" s="3">
        <v>0</v>
      </c>
      <c r="F32" s="19">
        <v>1</v>
      </c>
      <c r="G32" s="3">
        <v>29.0100002288818</v>
      </c>
      <c r="H32" s="3">
        <v>0</v>
      </c>
      <c r="I32" s="19">
        <v>1</v>
      </c>
      <c r="K32">
        <v>1985</v>
      </c>
      <c r="L32" s="2">
        <f t="shared" si="0"/>
        <v>28.152151425679474</v>
      </c>
      <c r="M32" s="2">
        <f t="shared" si="1"/>
        <v>27.323694610595673</v>
      </c>
    </row>
    <row r="33" spans="1:13" x14ac:dyDescent="0.3">
      <c r="A33" s="3">
        <v>1984.5833333333401</v>
      </c>
      <c r="B33">
        <v>1984</v>
      </c>
      <c r="C33">
        <v>8</v>
      </c>
      <c r="D33" s="3">
        <v>29.379999160766602</v>
      </c>
      <c r="E33" s="3">
        <v>7.0000000000146806E-2</v>
      </c>
      <c r="F33" s="19">
        <v>2</v>
      </c>
      <c r="G33" s="3">
        <v>27.340000152587798</v>
      </c>
      <c r="H33" s="3">
        <v>0</v>
      </c>
      <c r="I33" s="19">
        <v>1</v>
      </c>
      <c r="K33">
        <v>1984</v>
      </c>
      <c r="L33" s="2">
        <f t="shared" si="0"/>
        <v>28.353416601816775</v>
      </c>
      <c r="M33" s="2">
        <f t="shared" si="1"/>
        <v>27.602901034884944</v>
      </c>
    </row>
    <row r="34" spans="1:13" x14ac:dyDescent="0.3">
      <c r="A34" s="3">
        <v>1984.6666666666699</v>
      </c>
      <c r="B34">
        <v>1984</v>
      </c>
      <c r="C34">
        <v>9</v>
      </c>
      <c r="D34" s="3">
        <v>29.834999084472599</v>
      </c>
      <c r="E34" s="3">
        <v>0.21499999999985001</v>
      </c>
      <c r="F34" s="19">
        <v>2</v>
      </c>
      <c r="G34" s="3"/>
      <c r="H34" s="3"/>
      <c r="I34" s="19"/>
      <c r="K34">
        <v>1983</v>
      </c>
      <c r="L34" s="2">
        <f t="shared" si="0"/>
        <v>28.546311638571947</v>
      </c>
      <c r="M34" s="2">
        <f t="shared" si="1"/>
        <v>28.044333197853735</v>
      </c>
    </row>
    <row r="35" spans="1:13" x14ac:dyDescent="0.3">
      <c r="A35" s="3">
        <v>1984.75000000001</v>
      </c>
      <c r="B35">
        <v>1984</v>
      </c>
      <c r="C35">
        <v>10</v>
      </c>
      <c r="D35" s="3">
        <v>30.0100002288818</v>
      </c>
      <c r="E35" s="3">
        <v>0</v>
      </c>
      <c r="F35" s="19">
        <v>1</v>
      </c>
      <c r="G35" s="3"/>
      <c r="H35" s="3"/>
      <c r="I35" s="19"/>
      <c r="K35">
        <v>1982</v>
      </c>
      <c r="L35" s="2">
        <f t="shared" si="0"/>
        <v>28.826059341430618</v>
      </c>
      <c r="M35" s="2">
        <f t="shared" si="1"/>
        <v>28.000166893005321</v>
      </c>
    </row>
    <row r="36" spans="1:13" x14ac:dyDescent="0.3">
      <c r="A36" s="3">
        <v>1984.8333333333401</v>
      </c>
      <c r="B36">
        <v>1984</v>
      </c>
      <c r="C36">
        <v>11</v>
      </c>
      <c r="D36" s="3">
        <v>29.190000534057599</v>
      </c>
      <c r="E36" s="3">
        <v>9.4162979279091799E-2</v>
      </c>
      <c r="F36" s="19">
        <v>3</v>
      </c>
      <c r="G36" s="3">
        <v>28.565000534057599</v>
      </c>
      <c r="H36" s="3">
        <v>1.50000000075912E-2</v>
      </c>
      <c r="I36" s="19">
        <v>2</v>
      </c>
      <c r="L36" s="2"/>
    </row>
    <row r="37" spans="1:13" x14ac:dyDescent="0.3">
      <c r="A37" s="3">
        <v>1984.9166666666699</v>
      </c>
      <c r="B37">
        <v>1984</v>
      </c>
      <c r="C37">
        <v>12</v>
      </c>
      <c r="D37" s="3">
        <v>27.125</v>
      </c>
      <c r="E37" s="3">
        <v>1.3297086146972401</v>
      </c>
      <c r="F37" s="19">
        <v>8</v>
      </c>
      <c r="G37" s="3">
        <v>27.764999389648398</v>
      </c>
      <c r="H37" s="3">
        <v>0.78582758923315998</v>
      </c>
      <c r="I37" s="19">
        <v>4</v>
      </c>
    </row>
    <row r="38" spans="1:13" x14ac:dyDescent="0.3">
      <c r="A38" s="3">
        <v>1985.00000000001</v>
      </c>
      <c r="B38">
        <v>1985</v>
      </c>
      <c r="C38">
        <v>1</v>
      </c>
      <c r="D38" s="3">
        <v>27.1049995422363</v>
      </c>
      <c r="E38" s="3">
        <v>0.84762314739528399</v>
      </c>
      <c r="F38" s="19">
        <v>10</v>
      </c>
      <c r="G38" s="3">
        <v>26.6683330535888</v>
      </c>
      <c r="H38" s="3">
        <v>0.43410508200468401</v>
      </c>
      <c r="I38" s="19">
        <v>6</v>
      </c>
    </row>
    <row r="39" spans="1:13" x14ac:dyDescent="0.3">
      <c r="A39" s="3">
        <v>1985.0833333333401</v>
      </c>
      <c r="B39">
        <v>1985</v>
      </c>
      <c r="C39">
        <v>2</v>
      </c>
      <c r="D39" s="3">
        <v>26.672857284545898</v>
      </c>
      <c r="E39" s="3">
        <v>0.28100403076497199</v>
      </c>
      <c r="F39" s="19">
        <v>7</v>
      </c>
      <c r="G39" s="3">
        <v>26.534444808959901</v>
      </c>
      <c r="H39" s="3">
        <v>0.37437684849789898</v>
      </c>
      <c r="I39" s="19">
        <v>9</v>
      </c>
    </row>
    <row r="40" spans="1:13" x14ac:dyDescent="0.3">
      <c r="A40" s="3">
        <v>1985.1666666666699</v>
      </c>
      <c r="B40">
        <v>1985</v>
      </c>
      <c r="C40">
        <v>3</v>
      </c>
      <c r="D40" s="3">
        <v>26.4255561828613</v>
      </c>
      <c r="E40" s="3">
        <v>0.67762839883936199</v>
      </c>
      <c r="F40" s="19">
        <v>9</v>
      </c>
      <c r="G40" s="3">
        <v>25.857500076293899</v>
      </c>
      <c r="H40" s="3">
        <v>0.39206982796413298</v>
      </c>
      <c r="I40" s="19">
        <v>8</v>
      </c>
    </row>
    <row r="41" spans="1:13" x14ac:dyDescent="0.3">
      <c r="A41" s="3">
        <v>1985.25000000001</v>
      </c>
      <c r="B41">
        <v>1985</v>
      </c>
      <c r="C41">
        <v>4</v>
      </c>
      <c r="D41" s="3">
        <v>26.488571166992099</v>
      </c>
      <c r="E41" s="3">
        <v>0.30582107614134002</v>
      </c>
      <c r="F41" s="19">
        <v>7</v>
      </c>
      <c r="G41" s="3">
        <v>26.101667404174801</v>
      </c>
      <c r="H41" s="3">
        <v>0.33662128406990599</v>
      </c>
      <c r="I41" s="19">
        <v>6</v>
      </c>
    </row>
    <row r="42" spans="1:13" x14ac:dyDescent="0.3">
      <c r="A42" s="3">
        <v>1985.3333333333401</v>
      </c>
      <c r="B42">
        <v>1985</v>
      </c>
      <c r="C42">
        <v>5</v>
      </c>
      <c r="D42" s="3">
        <v>29.280000686645501</v>
      </c>
      <c r="E42" s="3">
        <v>0</v>
      </c>
      <c r="F42" s="19">
        <v>1</v>
      </c>
      <c r="G42" s="3">
        <v>27.726667404174801</v>
      </c>
      <c r="H42" s="3">
        <v>0.656065714865672</v>
      </c>
      <c r="I42" s="19">
        <v>3</v>
      </c>
    </row>
    <row r="43" spans="1:13" x14ac:dyDescent="0.3">
      <c r="A43" s="3">
        <v>1985.4166666666699</v>
      </c>
      <c r="B43">
        <v>1985</v>
      </c>
      <c r="C43">
        <v>6</v>
      </c>
      <c r="D43" s="3">
        <v>28.827499389648398</v>
      </c>
      <c r="E43" s="3">
        <v>1.53353146364853</v>
      </c>
      <c r="F43" s="19">
        <v>4</v>
      </c>
      <c r="G43" s="3"/>
      <c r="H43" s="3"/>
      <c r="I43" s="19"/>
    </row>
    <row r="44" spans="1:13" x14ac:dyDescent="0.3">
      <c r="A44" s="3">
        <v>1985.50000000001</v>
      </c>
      <c r="B44">
        <v>1985</v>
      </c>
      <c r="C44">
        <v>7</v>
      </c>
      <c r="D44" s="3">
        <v>28.2399997711181</v>
      </c>
      <c r="E44" s="3">
        <v>2.1799999999999602</v>
      </c>
      <c r="F44" s="19">
        <v>2</v>
      </c>
      <c r="G44" s="3">
        <v>26.963333129882798</v>
      </c>
      <c r="H44" s="3">
        <v>0.208859335970733</v>
      </c>
      <c r="I44" s="19">
        <v>3</v>
      </c>
    </row>
    <row r="45" spans="1:13" x14ac:dyDescent="0.3">
      <c r="A45" s="3">
        <v>1985.5833333333401</v>
      </c>
      <c r="B45">
        <v>1985</v>
      </c>
      <c r="C45">
        <v>8</v>
      </c>
      <c r="D45" s="3">
        <v>30.475000381469702</v>
      </c>
      <c r="E45" s="3">
        <v>0.16499999999978801</v>
      </c>
      <c r="F45" s="19">
        <v>2</v>
      </c>
      <c r="G45" s="3">
        <v>29.092500686645501</v>
      </c>
      <c r="H45" s="3">
        <v>0.56636450277180705</v>
      </c>
      <c r="I45" s="19">
        <v>4</v>
      </c>
    </row>
    <row r="46" spans="1:13" x14ac:dyDescent="0.3">
      <c r="A46" s="3">
        <v>1985.6666666666699</v>
      </c>
      <c r="B46">
        <v>1985</v>
      </c>
      <c r="C46">
        <v>9</v>
      </c>
      <c r="D46" s="3">
        <v>28.549999237060501</v>
      </c>
      <c r="E46" s="3">
        <v>0</v>
      </c>
      <c r="F46" s="19">
        <v>1</v>
      </c>
      <c r="G46" s="3">
        <v>29.360000610351499</v>
      </c>
      <c r="H46" s="3">
        <v>0</v>
      </c>
      <c r="I46" s="19">
        <v>1</v>
      </c>
    </row>
    <row r="47" spans="1:13" x14ac:dyDescent="0.3">
      <c r="A47" s="3">
        <v>1985.75000000001</v>
      </c>
      <c r="B47">
        <v>1985</v>
      </c>
      <c r="C47">
        <v>10</v>
      </c>
      <c r="D47" s="3">
        <v>28.934999465942301</v>
      </c>
      <c r="E47" s="3">
        <v>0.16499999999944401</v>
      </c>
      <c r="F47" s="19">
        <v>2</v>
      </c>
      <c r="G47" s="3"/>
      <c r="H47" s="3"/>
      <c r="I47" s="19"/>
    </row>
    <row r="48" spans="1:13" x14ac:dyDescent="0.3">
      <c r="A48" s="3">
        <v>1985.8333333333401</v>
      </c>
      <c r="B48">
        <v>1985</v>
      </c>
      <c r="C48">
        <v>11</v>
      </c>
      <c r="D48" s="3">
        <v>28.893333435058501</v>
      </c>
      <c r="E48" s="3">
        <v>0.813647480314587</v>
      </c>
      <c r="F48" s="19">
        <v>3</v>
      </c>
      <c r="G48" s="3">
        <v>27.472499847412099</v>
      </c>
      <c r="H48" s="3">
        <v>0.65043735286359206</v>
      </c>
      <c r="I48" s="19">
        <v>4</v>
      </c>
    </row>
    <row r="49" spans="1:9" x14ac:dyDescent="0.3">
      <c r="A49" s="3">
        <v>1985.9166666666699</v>
      </c>
      <c r="B49">
        <v>1985</v>
      </c>
      <c r="C49">
        <v>12</v>
      </c>
      <c r="D49" s="3">
        <v>27.933000564575099</v>
      </c>
      <c r="E49" s="3">
        <v>0.64589550238422</v>
      </c>
      <c r="F49" s="19">
        <v>10</v>
      </c>
      <c r="G49" s="3">
        <v>27.459999084472599</v>
      </c>
      <c r="H49" s="3">
        <v>0.58615852649441003</v>
      </c>
      <c r="I49" s="19">
        <v>11</v>
      </c>
    </row>
    <row r="50" spans="1:9" x14ac:dyDescent="0.3">
      <c r="A50" s="3">
        <v>1986.00000000001</v>
      </c>
      <c r="B50">
        <v>1986</v>
      </c>
      <c r="C50">
        <v>1</v>
      </c>
      <c r="D50" s="3">
        <v>27.254999160766602</v>
      </c>
      <c r="E50" s="3">
        <v>0.67780897013828201</v>
      </c>
      <c r="F50" s="19">
        <v>10</v>
      </c>
      <c r="G50" s="3">
        <v>27.2255554199218</v>
      </c>
      <c r="H50" s="3">
        <v>0.26566943165083301</v>
      </c>
      <c r="I50" s="19">
        <v>9</v>
      </c>
    </row>
    <row r="51" spans="1:9" x14ac:dyDescent="0.3">
      <c r="A51" s="3">
        <v>1986.0833333333401</v>
      </c>
      <c r="B51">
        <v>1986</v>
      </c>
      <c r="C51">
        <v>2</v>
      </c>
      <c r="D51" s="3">
        <v>26.621250152587798</v>
      </c>
      <c r="E51" s="3">
        <v>0.27039034283836</v>
      </c>
      <c r="F51" s="19">
        <v>8</v>
      </c>
      <c r="G51" s="3">
        <v>26.225999832153299</v>
      </c>
      <c r="H51" s="3">
        <v>0.64605262943519404</v>
      </c>
      <c r="I51" s="19">
        <v>5</v>
      </c>
    </row>
    <row r="52" spans="1:9" x14ac:dyDescent="0.3">
      <c r="A52" s="3">
        <v>1986.1666666666699</v>
      </c>
      <c r="B52">
        <v>1986</v>
      </c>
      <c r="C52">
        <v>3</v>
      </c>
      <c r="D52" s="3">
        <v>26.319999694824201</v>
      </c>
      <c r="E52" s="3">
        <v>0</v>
      </c>
      <c r="F52" s="19">
        <v>1</v>
      </c>
      <c r="G52" s="3">
        <v>26.139999389648398</v>
      </c>
      <c r="H52" s="3">
        <v>0.82044703261894103</v>
      </c>
      <c r="I52" s="19">
        <v>6</v>
      </c>
    </row>
    <row r="53" spans="1:9" x14ac:dyDescent="0.3">
      <c r="A53" s="3">
        <v>1986.25000000001</v>
      </c>
      <c r="B53">
        <v>1986</v>
      </c>
      <c r="C53">
        <v>4</v>
      </c>
      <c r="D53" s="3">
        <v>26.75</v>
      </c>
      <c r="E53" s="3">
        <v>0.479999999999914</v>
      </c>
      <c r="F53" s="19">
        <v>2</v>
      </c>
      <c r="G53" s="3"/>
      <c r="H53" s="3"/>
      <c r="I53" s="19"/>
    </row>
    <row r="54" spans="1:9" x14ac:dyDescent="0.3">
      <c r="A54" s="3">
        <v>1986.3333333333401</v>
      </c>
      <c r="B54">
        <v>1986</v>
      </c>
      <c r="C54">
        <v>5</v>
      </c>
      <c r="D54" s="3">
        <v>27.323999404907202</v>
      </c>
      <c r="E54" s="3">
        <v>0.93756279789667596</v>
      </c>
      <c r="F54" s="19">
        <v>5</v>
      </c>
      <c r="G54" s="3">
        <v>27.409999847412099</v>
      </c>
      <c r="H54" s="3">
        <v>0.60415229867967302</v>
      </c>
      <c r="I54" s="19">
        <v>3</v>
      </c>
    </row>
    <row r="55" spans="1:9" x14ac:dyDescent="0.3">
      <c r="A55" s="3">
        <v>1986.4166666666699</v>
      </c>
      <c r="B55">
        <v>1986</v>
      </c>
      <c r="C55">
        <v>6</v>
      </c>
      <c r="D55" s="3">
        <v>28.420000076293899</v>
      </c>
      <c r="E55" s="3">
        <v>0</v>
      </c>
      <c r="F55" s="19">
        <v>1</v>
      </c>
      <c r="G55" s="3">
        <v>28.860000610351499</v>
      </c>
      <c r="H55" s="3">
        <v>0</v>
      </c>
      <c r="I55" s="19">
        <v>1</v>
      </c>
    </row>
    <row r="56" spans="1:9" x14ac:dyDescent="0.3">
      <c r="A56" s="3">
        <v>1986.50000000001</v>
      </c>
      <c r="B56">
        <v>1986</v>
      </c>
      <c r="C56">
        <v>7</v>
      </c>
      <c r="D56" s="3">
        <v>29.690000534057599</v>
      </c>
      <c r="E56" s="3">
        <v>0.28000000000018099</v>
      </c>
      <c r="F56" s="19">
        <v>2</v>
      </c>
      <c r="G56" s="3">
        <v>28.846666336059499</v>
      </c>
      <c r="H56" s="3">
        <v>0.33068951533952601</v>
      </c>
      <c r="I56" s="19">
        <v>3</v>
      </c>
    </row>
    <row r="57" spans="1:9" x14ac:dyDescent="0.3">
      <c r="A57" s="3">
        <v>1986.5833333333401</v>
      </c>
      <c r="B57">
        <v>1986</v>
      </c>
      <c r="C57">
        <v>8</v>
      </c>
      <c r="D57" s="3">
        <v>29.405000686645501</v>
      </c>
      <c r="E57" s="3">
        <v>0.34499999999994901</v>
      </c>
      <c r="F57" s="19">
        <v>2</v>
      </c>
      <c r="G57" s="3">
        <v>27.5949993133544</v>
      </c>
      <c r="H57" s="3">
        <v>3.4999999999667297E-2</v>
      </c>
      <c r="I57" s="19">
        <v>2</v>
      </c>
    </row>
    <row r="58" spans="1:9" x14ac:dyDescent="0.3">
      <c r="A58" s="3">
        <v>1986.6666666666799</v>
      </c>
      <c r="B58">
        <v>1986</v>
      </c>
      <c r="C58">
        <v>9</v>
      </c>
      <c r="D58" s="3">
        <v>29.6033325195312</v>
      </c>
      <c r="E58" s="3">
        <v>0.301698893306243</v>
      </c>
      <c r="F58" s="19">
        <v>3</v>
      </c>
      <c r="G58" s="3">
        <v>29.440000534057599</v>
      </c>
      <c r="H58" s="3">
        <v>0</v>
      </c>
      <c r="I58" s="19">
        <v>1</v>
      </c>
    </row>
    <row r="59" spans="1:9" x14ac:dyDescent="0.3">
      <c r="A59" s="3">
        <v>1986.75000000001</v>
      </c>
      <c r="B59">
        <v>1986</v>
      </c>
      <c r="C59">
        <v>10</v>
      </c>
      <c r="D59" s="3">
        <v>29.129999160766602</v>
      </c>
      <c r="E59" s="3">
        <v>0</v>
      </c>
      <c r="F59" s="19">
        <v>1</v>
      </c>
      <c r="G59" s="3">
        <v>27.7600002288818</v>
      </c>
      <c r="H59" s="3">
        <v>0.47000000000015102</v>
      </c>
      <c r="I59" s="19">
        <v>2</v>
      </c>
    </row>
    <row r="60" spans="1:9" x14ac:dyDescent="0.3">
      <c r="A60" s="3">
        <v>1986.8333333333401</v>
      </c>
      <c r="B60">
        <v>1986</v>
      </c>
      <c r="C60">
        <v>11</v>
      </c>
      <c r="D60" s="3">
        <v>29.393333435058501</v>
      </c>
      <c r="E60" s="3">
        <v>0.68151791368015102</v>
      </c>
      <c r="F60" s="19">
        <v>9</v>
      </c>
      <c r="G60" s="3">
        <v>27.786666870117099</v>
      </c>
      <c r="H60" s="3">
        <v>0.63378930954139601</v>
      </c>
      <c r="I60" s="19">
        <v>6</v>
      </c>
    </row>
    <row r="61" spans="1:9" x14ac:dyDescent="0.3">
      <c r="A61" s="3">
        <v>1986.9166666666799</v>
      </c>
      <c r="B61">
        <v>1986</v>
      </c>
      <c r="C61">
        <v>12</v>
      </c>
      <c r="D61" s="3">
        <v>28.0750007629394</v>
      </c>
      <c r="E61" s="3">
        <v>0.28387497247903598</v>
      </c>
      <c r="F61" s="19">
        <v>10</v>
      </c>
      <c r="G61" s="3">
        <v>27.735000610351499</v>
      </c>
      <c r="H61" s="3">
        <v>0.37449966622122599</v>
      </c>
      <c r="I61" s="19">
        <v>8</v>
      </c>
    </row>
    <row r="62" spans="1:9" x14ac:dyDescent="0.3">
      <c r="A62" s="3">
        <v>1987.00000000001</v>
      </c>
      <c r="B62">
        <v>1987</v>
      </c>
      <c r="C62">
        <v>1</v>
      </c>
      <c r="D62" s="3">
        <v>27.354545593261701</v>
      </c>
      <c r="E62" s="3">
        <v>0.76192774217595904</v>
      </c>
      <c r="F62" s="19">
        <v>11</v>
      </c>
      <c r="G62" s="3">
        <v>27.115453720092699</v>
      </c>
      <c r="H62" s="3">
        <v>0.29818736136782897</v>
      </c>
      <c r="I62" s="19">
        <v>11</v>
      </c>
    </row>
    <row r="63" spans="1:9" x14ac:dyDescent="0.3">
      <c r="A63" s="3">
        <v>1987.0833333333401</v>
      </c>
      <c r="B63">
        <v>1987</v>
      </c>
      <c r="C63">
        <v>2</v>
      </c>
      <c r="D63" s="3">
        <v>27.770000457763601</v>
      </c>
      <c r="E63" s="3">
        <v>0.47759815745030498</v>
      </c>
      <c r="F63" s="19">
        <v>8</v>
      </c>
      <c r="G63" s="3">
        <v>26.936000823974599</v>
      </c>
      <c r="H63" s="3">
        <v>0.44039073559739</v>
      </c>
      <c r="I63" s="19">
        <v>10</v>
      </c>
    </row>
    <row r="64" spans="1:9" x14ac:dyDescent="0.3">
      <c r="A64" s="3">
        <v>1987.1666666666799</v>
      </c>
      <c r="B64">
        <v>1987</v>
      </c>
      <c r="C64">
        <v>3</v>
      </c>
      <c r="D64" s="3">
        <v>27.196666717529201</v>
      </c>
      <c r="E64" s="3">
        <v>0.67455335016742202</v>
      </c>
      <c r="F64" s="19">
        <v>3</v>
      </c>
      <c r="G64" s="3">
        <v>25.4799995422363</v>
      </c>
      <c r="H64" s="3">
        <v>0</v>
      </c>
      <c r="I64" s="19">
        <v>1</v>
      </c>
    </row>
    <row r="65" spans="1:9" x14ac:dyDescent="0.3">
      <c r="A65" s="3">
        <v>1987.25000000001</v>
      </c>
      <c r="B65">
        <v>1987</v>
      </c>
      <c r="C65">
        <v>4</v>
      </c>
      <c r="D65" s="3">
        <v>27.3666667938232</v>
      </c>
      <c r="E65" s="3">
        <v>0.67033988062447503</v>
      </c>
      <c r="F65" s="19">
        <v>3</v>
      </c>
      <c r="G65" s="3"/>
      <c r="H65" s="3"/>
      <c r="I65" s="19"/>
    </row>
    <row r="66" spans="1:9" x14ac:dyDescent="0.3">
      <c r="A66" s="3">
        <v>1987.3333333333401</v>
      </c>
      <c r="B66">
        <v>1987</v>
      </c>
      <c r="C66">
        <v>5</v>
      </c>
      <c r="D66" s="3">
        <v>29.139999389648398</v>
      </c>
      <c r="E66" s="3">
        <v>0.24999999999977199</v>
      </c>
      <c r="F66" s="19">
        <v>2</v>
      </c>
      <c r="G66" s="3">
        <v>28.399999618530199</v>
      </c>
      <c r="H66" s="3">
        <v>0.538578375602346</v>
      </c>
      <c r="I66" s="19">
        <v>3</v>
      </c>
    </row>
    <row r="67" spans="1:9" x14ac:dyDescent="0.3">
      <c r="A67" s="3">
        <v>1987.4166666666799</v>
      </c>
      <c r="B67">
        <v>1987</v>
      </c>
      <c r="C67">
        <v>6</v>
      </c>
      <c r="D67" s="3">
        <v>30.1800003051757</v>
      </c>
      <c r="E67" s="3">
        <v>0</v>
      </c>
      <c r="F67" s="19">
        <v>1</v>
      </c>
      <c r="G67" s="3">
        <v>29.587999343871999</v>
      </c>
      <c r="H67" s="3">
        <v>0.45216811033089099</v>
      </c>
      <c r="I67" s="19">
        <v>5</v>
      </c>
    </row>
    <row r="68" spans="1:9" x14ac:dyDescent="0.3">
      <c r="A68" s="3">
        <v>1987.50000000001</v>
      </c>
      <c r="B68">
        <v>1987</v>
      </c>
      <c r="C68">
        <v>7</v>
      </c>
      <c r="D68" s="3">
        <v>29.840000152587798</v>
      </c>
      <c r="E68" s="3">
        <v>0.37416573867742597</v>
      </c>
      <c r="F68" s="19">
        <v>3</v>
      </c>
      <c r="G68" s="3"/>
      <c r="H68" s="3"/>
      <c r="I68" s="19"/>
    </row>
    <row r="69" spans="1:9" x14ac:dyDescent="0.3">
      <c r="A69" s="3">
        <v>1987.5833333333401</v>
      </c>
      <c r="B69">
        <v>1987</v>
      </c>
      <c r="C69">
        <v>8</v>
      </c>
      <c r="D69" s="3"/>
      <c r="E69" s="3"/>
      <c r="F69" s="19"/>
      <c r="G69" s="3"/>
      <c r="H69" s="3"/>
      <c r="I69" s="19"/>
    </row>
    <row r="70" spans="1:9" x14ac:dyDescent="0.3">
      <c r="A70" s="3">
        <v>1987.6666666666799</v>
      </c>
      <c r="B70">
        <v>1987</v>
      </c>
      <c r="C70">
        <v>9</v>
      </c>
      <c r="D70" s="3">
        <v>31.299999237060501</v>
      </c>
      <c r="E70" s="3">
        <v>0</v>
      </c>
      <c r="F70" s="19">
        <v>1</v>
      </c>
      <c r="G70" s="3">
        <v>30.190000534057599</v>
      </c>
      <c r="H70" s="3">
        <v>0</v>
      </c>
      <c r="I70" s="19">
        <v>1</v>
      </c>
    </row>
    <row r="71" spans="1:9" x14ac:dyDescent="0.3">
      <c r="A71" s="3">
        <v>1987.75000000001</v>
      </c>
      <c r="B71">
        <v>1987</v>
      </c>
      <c r="C71">
        <v>10</v>
      </c>
      <c r="D71" s="3">
        <v>27.909999847412099</v>
      </c>
      <c r="E71" s="3">
        <v>1.47999999999998</v>
      </c>
      <c r="F71" s="19">
        <v>2</v>
      </c>
      <c r="G71" s="3">
        <v>28.684999465942301</v>
      </c>
      <c r="H71" s="3">
        <v>3.4999999999667297E-2</v>
      </c>
      <c r="I71" s="19">
        <v>2</v>
      </c>
    </row>
    <row r="72" spans="1:9" x14ac:dyDescent="0.3">
      <c r="A72" s="3">
        <v>1987.8333333333401</v>
      </c>
      <c r="B72">
        <v>1987</v>
      </c>
      <c r="C72">
        <v>11</v>
      </c>
      <c r="D72" s="3">
        <v>29.399999618530199</v>
      </c>
      <c r="E72" s="3">
        <v>0.661563803927255</v>
      </c>
      <c r="F72" s="19">
        <v>6</v>
      </c>
      <c r="G72" s="3">
        <v>28.126667022705</v>
      </c>
      <c r="H72" s="3">
        <v>0.63780003832625098</v>
      </c>
      <c r="I72" s="19">
        <v>6</v>
      </c>
    </row>
    <row r="73" spans="1:9" x14ac:dyDescent="0.3">
      <c r="A73" s="3">
        <v>1987.9166666666799</v>
      </c>
      <c r="B73">
        <v>1987</v>
      </c>
      <c r="C73">
        <v>12</v>
      </c>
      <c r="D73" s="3">
        <v>28.7283325195312</v>
      </c>
      <c r="E73" s="3">
        <v>0.67560877897061899</v>
      </c>
      <c r="F73" s="19">
        <v>6</v>
      </c>
      <c r="G73" s="3">
        <v>28.3533325195312</v>
      </c>
      <c r="H73" s="3">
        <v>0.41723960608820698</v>
      </c>
      <c r="I73" s="19">
        <v>6</v>
      </c>
    </row>
    <row r="74" spans="1:9" x14ac:dyDescent="0.3">
      <c r="A74" s="3">
        <v>1988.00000000001</v>
      </c>
      <c r="B74">
        <v>1988</v>
      </c>
      <c r="C74">
        <v>1</v>
      </c>
      <c r="D74" s="3">
        <v>28.065000534057599</v>
      </c>
      <c r="E74" s="3">
        <v>0.92137126067623898</v>
      </c>
      <c r="F74" s="19">
        <v>8</v>
      </c>
      <c r="G74" s="3">
        <v>27.2672729492187</v>
      </c>
      <c r="H74" s="3">
        <v>0.555928231291557</v>
      </c>
      <c r="I74" s="19">
        <v>11</v>
      </c>
    </row>
    <row r="75" spans="1:9" x14ac:dyDescent="0.3">
      <c r="A75" s="3">
        <v>1988.0833333333401</v>
      </c>
      <c r="B75">
        <v>1988</v>
      </c>
      <c r="C75">
        <v>2</v>
      </c>
      <c r="D75" s="3">
        <v>27.709999084472599</v>
      </c>
      <c r="E75" s="3">
        <v>0.402181551043783</v>
      </c>
      <c r="F75" s="19">
        <v>4</v>
      </c>
      <c r="G75" s="3">
        <v>27.120000839233398</v>
      </c>
      <c r="H75" s="3">
        <v>0.178437664185084</v>
      </c>
      <c r="I75" s="19">
        <v>5</v>
      </c>
    </row>
    <row r="76" spans="1:9" x14ac:dyDescent="0.3">
      <c r="A76" s="3">
        <v>1988.1666666666799</v>
      </c>
      <c r="B76">
        <v>1988</v>
      </c>
      <c r="C76">
        <v>3</v>
      </c>
      <c r="D76" s="3">
        <v>26.8233337402343</v>
      </c>
      <c r="E76" s="3">
        <v>0.62805696839979996</v>
      </c>
      <c r="F76" s="19">
        <v>6</v>
      </c>
      <c r="G76" s="3">
        <v>26.7512493133544</v>
      </c>
      <c r="H76" s="3">
        <v>0.54471179306129502</v>
      </c>
      <c r="I76" s="19">
        <v>8</v>
      </c>
    </row>
    <row r="77" spans="1:9" x14ac:dyDescent="0.3">
      <c r="A77" s="3">
        <v>1988.25000000001</v>
      </c>
      <c r="B77">
        <v>1988</v>
      </c>
      <c r="C77">
        <v>4</v>
      </c>
      <c r="D77" s="3">
        <v>27.218000411987301</v>
      </c>
      <c r="E77" s="3">
        <v>0.28017137612522902</v>
      </c>
      <c r="F77" s="19">
        <v>5</v>
      </c>
      <c r="G77" s="3">
        <v>26.996665954589801</v>
      </c>
      <c r="H77" s="3">
        <v>0.523216547478626</v>
      </c>
      <c r="I77" s="19">
        <v>3</v>
      </c>
    </row>
    <row r="78" spans="1:9" x14ac:dyDescent="0.3">
      <c r="A78" s="3">
        <v>1988.3333333333401</v>
      </c>
      <c r="B78">
        <v>1988</v>
      </c>
      <c r="C78">
        <v>5</v>
      </c>
      <c r="D78" s="3"/>
      <c r="E78" s="3"/>
      <c r="F78" s="19"/>
      <c r="G78" s="3">
        <v>27.496665954589801</v>
      </c>
      <c r="H78" s="3">
        <v>3.7712361663908497E-2</v>
      </c>
      <c r="I78" s="19">
        <v>3</v>
      </c>
    </row>
    <row r="79" spans="1:9" x14ac:dyDescent="0.3">
      <c r="A79" s="3">
        <v>1988.4166666666799</v>
      </c>
      <c r="B79">
        <v>1988</v>
      </c>
      <c r="C79">
        <v>6</v>
      </c>
      <c r="D79" s="3"/>
      <c r="E79" s="3"/>
      <c r="F79" s="19"/>
      <c r="G79" s="3">
        <v>29.2399997711181</v>
      </c>
      <c r="H79" s="3">
        <v>0</v>
      </c>
      <c r="I79" s="19">
        <v>1</v>
      </c>
    </row>
    <row r="80" spans="1:9" x14ac:dyDescent="0.3">
      <c r="A80" s="3">
        <v>1988.50000000001</v>
      </c>
      <c r="B80">
        <v>1988</v>
      </c>
      <c r="C80">
        <v>7</v>
      </c>
      <c r="D80" s="3">
        <v>29.5100002288818</v>
      </c>
      <c r="E80" s="3">
        <v>0</v>
      </c>
      <c r="F80" s="19">
        <v>1</v>
      </c>
      <c r="G80" s="3">
        <v>28.422500610351499</v>
      </c>
      <c r="H80" s="3">
        <v>0.61332597368766295</v>
      </c>
      <c r="I80" s="19">
        <v>4</v>
      </c>
    </row>
    <row r="81" spans="1:9" x14ac:dyDescent="0.3">
      <c r="A81" s="3">
        <v>1988.5833333333501</v>
      </c>
      <c r="B81">
        <v>1988</v>
      </c>
      <c r="C81">
        <v>8</v>
      </c>
      <c r="D81" s="3"/>
      <c r="E81" s="3"/>
      <c r="F81" s="19"/>
      <c r="G81" s="3">
        <v>28.370000839233398</v>
      </c>
      <c r="H81" s="3">
        <v>0.400000000000102</v>
      </c>
      <c r="I81" s="19">
        <v>2</v>
      </c>
    </row>
    <row r="82" spans="1:9" x14ac:dyDescent="0.3">
      <c r="A82" s="3">
        <v>1988.6666666666799</v>
      </c>
      <c r="B82">
        <v>1988</v>
      </c>
      <c r="C82">
        <v>9</v>
      </c>
      <c r="D82" s="3">
        <v>30.059999465942301</v>
      </c>
      <c r="E82" s="3">
        <v>0</v>
      </c>
      <c r="F82" s="19">
        <v>1</v>
      </c>
      <c r="G82" s="3">
        <v>30.020000457763601</v>
      </c>
      <c r="H82" s="3">
        <v>0</v>
      </c>
      <c r="I82" s="19">
        <v>1</v>
      </c>
    </row>
    <row r="83" spans="1:9" x14ac:dyDescent="0.3">
      <c r="A83" s="3">
        <v>1988.75000000001</v>
      </c>
      <c r="B83">
        <v>1988</v>
      </c>
      <c r="C83">
        <v>10</v>
      </c>
      <c r="D83" s="3"/>
      <c r="E83" s="3"/>
      <c r="F83" s="19"/>
      <c r="G83" s="3"/>
      <c r="H83" s="3"/>
      <c r="I83" s="19"/>
    </row>
    <row r="84" spans="1:9" x14ac:dyDescent="0.3">
      <c r="A84" s="3">
        <v>1988.8333333333501</v>
      </c>
      <c r="B84">
        <v>1988</v>
      </c>
      <c r="C84">
        <v>11</v>
      </c>
      <c r="D84" s="3"/>
      <c r="E84" s="3"/>
      <c r="F84" s="19"/>
      <c r="G84" s="3"/>
      <c r="H84" s="3"/>
      <c r="I84" s="19"/>
    </row>
    <row r="85" spans="1:9" x14ac:dyDescent="0.3">
      <c r="A85" s="3">
        <v>1988.9166666666799</v>
      </c>
      <c r="B85">
        <v>1988</v>
      </c>
      <c r="C85">
        <v>12</v>
      </c>
      <c r="D85" s="3">
        <v>28.268571853637599</v>
      </c>
      <c r="E85" s="3">
        <v>0.48010202997210299</v>
      </c>
      <c r="F85" s="19">
        <v>7</v>
      </c>
      <c r="G85" s="3">
        <v>26.681999206542901</v>
      </c>
      <c r="H85" s="3">
        <v>0.70714637805738401</v>
      </c>
      <c r="I85" s="19">
        <v>5</v>
      </c>
    </row>
    <row r="86" spans="1:9" x14ac:dyDescent="0.3">
      <c r="A86" s="3">
        <v>1989.00000000001</v>
      </c>
      <c r="B86">
        <v>1989</v>
      </c>
      <c r="C86">
        <v>1</v>
      </c>
      <c r="D86" s="3">
        <v>27.757646560668899</v>
      </c>
      <c r="E86" s="3">
        <v>0.3767903054167</v>
      </c>
      <c r="F86" s="19">
        <v>17</v>
      </c>
      <c r="G86" s="3">
        <v>26.940000534057599</v>
      </c>
      <c r="H86" s="3">
        <v>0.13000000000029899</v>
      </c>
      <c r="I86" s="19">
        <v>2</v>
      </c>
    </row>
    <row r="87" spans="1:9" x14ac:dyDescent="0.3">
      <c r="A87" s="3">
        <v>1989.0833333333501</v>
      </c>
      <c r="B87">
        <v>1989</v>
      </c>
      <c r="C87">
        <v>2</v>
      </c>
      <c r="D87" s="3">
        <v>26.920768737792901</v>
      </c>
      <c r="E87" s="3">
        <v>0.70241847639161004</v>
      </c>
      <c r="F87" s="19">
        <v>13</v>
      </c>
      <c r="G87" s="3">
        <v>26.295000076293899</v>
      </c>
      <c r="H87" s="3">
        <v>0.30995967479664399</v>
      </c>
      <c r="I87" s="19">
        <v>4</v>
      </c>
    </row>
    <row r="88" spans="1:9" x14ac:dyDescent="0.3">
      <c r="A88" s="3">
        <v>1989.1666666666799</v>
      </c>
      <c r="B88">
        <v>1989</v>
      </c>
      <c r="C88">
        <v>3</v>
      </c>
      <c r="D88" s="3">
        <v>26.8736362457275</v>
      </c>
      <c r="E88" s="3">
        <v>0.51492758056203503</v>
      </c>
      <c r="F88" s="19">
        <v>11</v>
      </c>
      <c r="G88" s="3">
        <v>26.7924995422363</v>
      </c>
      <c r="H88" s="3">
        <v>0.45466333698675998</v>
      </c>
      <c r="I88" s="19">
        <v>4</v>
      </c>
    </row>
    <row r="89" spans="1:9" x14ac:dyDescent="0.3">
      <c r="A89" s="3">
        <v>1989.25000000001</v>
      </c>
      <c r="B89">
        <v>1989</v>
      </c>
      <c r="C89">
        <v>4</v>
      </c>
      <c r="D89" s="3">
        <v>26.862857818603501</v>
      </c>
      <c r="E89" s="3">
        <v>0.46222178615002302</v>
      </c>
      <c r="F89" s="19">
        <v>7</v>
      </c>
      <c r="G89" s="3">
        <v>25.889999389648398</v>
      </c>
      <c r="H89" s="3">
        <v>0.81697613184231399</v>
      </c>
      <c r="I89" s="19">
        <v>4</v>
      </c>
    </row>
    <row r="90" spans="1:9" x14ac:dyDescent="0.3">
      <c r="A90" s="3">
        <v>1989.3333333333501</v>
      </c>
      <c r="B90">
        <v>1989</v>
      </c>
      <c r="C90">
        <v>5</v>
      </c>
      <c r="D90" s="3">
        <v>28.735000610351499</v>
      </c>
      <c r="E90" s="3">
        <v>2.0615528129636799E-2</v>
      </c>
      <c r="F90" s="19">
        <v>4</v>
      </c>
      <c r="G90" s="3">
        <v>28</v>
      </c>
      <c r="H90" s="3">
        <v>0.96757428655372302</v>
      </c>
      <c r="I90" s="19">
        <v>3</v>
      </c>
    </row>
    <row r="91" spans="1:9" x14ac:dyDescent="0.3">
      <c r="A91" s="3">
        <v>1989.4166666666799</v>
      </c>
      <c r="B91">
        <v>1989</v>
      </c>
      <c r="C91">
        <v>6</v>
      </c>
      <c r="D91" s="3">
        <v>29.610000610351499</v>
      </c>
      <c r="E91" s="3">
        <v>0</v>
      </c>
      <c r="F91" s="19">
        <v>1</v>
      </c>
      <c r="G91" s="3">
        <v>28.829999923706001</v>
      </c>
      <c r="H91" s="3">
        <v>0.56000000000015904</v>
      </c>
      <c r="I91" s="19">
        <v>2</v>
      </c>
    </row>
    <row r="92" spans="1:9" x14ac:dyDescent="0.3">
      <c r="A92" s="3">
        <v>1989.50000000001</v>
      </c>
      <c r="B92">
        <v>1989</v>
      </c>
      <c r="C92">
        <v>7</v>
      </c>
      <c r="D92" s="3">
        <v>29.375</v>
      </c>
      <c r="E92" s="3">
        <v>0.324999999999874</v>
      </c>
      <c r="F92" s="19">
        <v>2</v>
      </c>
      <c r="G92" s="3"/>
      <c r="H92" s="3"/>
      <c r="I92" s="19"/>
    </row>
    <row r="93" spans="1:9" x14ac:dyDescent="0.3">
      <c r="A93" s="3">
        <v>1989.5833333333501</v>
      </c>
      <c r="B93">
        <v>1989</v>
      </c>
      <c r="C93">
        <v>8</v>
      </c>
      <c r="D93" s="3">
        <v>30.1975002288818</v>
      </c>
      <c r="E93" s="3">
        <v>0.42210040274803601</v>
      </c>
      <c r="F93" s="19">
        <v>4</v>
      </c>
      <c r="G93" s="3"/>
      <c r="H93" s="3"/>
      <c r="I93" s="19"/>
    </row>
    <row r="94" spans="1:9" x14ac:dyDescent="0.3">
      <c r="A94" s="3">
        <v>1989.6666666666799</v>
      </c>
      <c r="B94">
        <v>1989</v>
      </c>
      <c r="C94">
        <v>9</v>
      </c>
      <c r="D94" s="3">
        <v>29.093999862670898</v>
      </c>
      <c r="E94" s="3">
        <v>0.80340774205878296</v>
      </c>
      <c r="F94" s="19">
        <v>5</v>
      </c>
      <c r="G94" s="3"/>
      <c r="H94" s="3"/>
      <c r="I94" s="19"/>
    </row>
    <row r="95" spans="1:9" x14ac:dyDescent="0.3">
      <c r="A95" s="3">
        <v>1989.75000000001</v>
      </c>
      <c r="B95">
        <v>1989</v>
      </c>
      <c r="C95">
        <v>10</v>
      </c>
      <c r="D95" s="3">
        <v>28.463333129882798</v>
      </c>
      <c r="E95" s="3">
        <v>0.408357142162938</v>
      </c>
      <c r="F95" s="19">
        <v>3</v>
      </c>
      <c r="G95" s="3">
        <v>28.7199993133544</v>
      </c>
      <c r="H95" s="3">
        <v>0</v>
      </c>
      <c r="I95" s="19">
        <v>1</v>
      </c>
    </row>
    <row r="96" spans="1:9" x14ac:dyDescent="0.3">
      <c r="A96" s="3">
        <v>1989.8333333333501</v>
      </c>
      <c r="B96">
        <v>1989</v>
      </c>
      <c r="C96">
        <v>11</v>
      </c>
      <c r="D96" s="3">
        <v>29.254999160766602</v>
      </c>
      <c r="E96" s="3">
        <v>4.9999999936881003E-3</v>
      </c>
      <c r="F96" s="19">
        <v>2</v>
      </c>
      <c r="G96" s="3">
        <v>28.6049995422363</v>
      </c>
      <c r="H96" s="3">
        <v>0.28500000000003001</v>
      </c>
      <c r="I96" s="19">
        <v>2</v>
      </c>
    </row>
    <row r="97" spans="1:9" x14ac:dyDescent="0.3">
      <c r="A97" s="3">
        <v>1989.9166666666799</v>
      </c>
      <c r="B97">
        <v>1989</v>
      </c>
      <c r="C97">
        <v>12</v>
      </c>
      <c r="D97" s="3">
        <v>28.481111526489201</v>
      </c>
      <c r="E97" s="3">
        <v>0.90073358306102103</v>
      </c>
      <c r="F97" s="19">
        <v>9</v>
      </c>
      <c r="G97" s="3">
        <v>26.076665878295898</v>
      </c>
      <c r="H97" s="3">
        <v>1.2044454694542099</v>
      </c>
      <c r="I97" s="19">
        <v>3</v>
      </c>
    </row>
    <row r="98" spans="1:9" x14ac:dyDescent="0.3">
      <c r="A98" s="3">
        <v>1990.00000000001</v>
      </c>
      <c r="B98">
        <v>1990</v>
      </c>
      <c r="C98">
        <v>1</v>
      </c>
      <c r="D98" s="3">
        <v>27.806499481201101</v>
      </c>
      <c r="E98" s="3">
        <v>0.40718883825629498</v>
      </c>
      <c r="F98" s="19">
        <v>20</v>
      </c>
      <c r="G98" s="3">
        <v>27.255714416503899</v>
      </c>
      <c r="H98" s="3">
        <v>0.37047680254566201</v>
      </c>
      <c r="I98" s="19">
        <v>7</v>
      </c>
    </row>
    <row r="99" spans="1:9" x14ac:dyDescent="0.3">
      <c r="A99" s="3">
        <v>1990.0833333333501</v>
      </c>
      <c r="B99">
        <v>1990</v>
      </c>
      <c r="C99">
        <v>2</v>
      </c>
      <c r="D99" s="3">
        <v>27.092222213745099</v>
      </c>
      <c r="E99" s="3">
        <v>0.32920030301664099</v>
      </c>
      <c r="F99" s="19">
        <v>9</v>
      </c>
      <c r="G99" s="3">
        <v>26.6975002288818</v>
      </c>
      <c r="H99" s="3">
        <v>0.63923293876338405</v>
      </c>
      <c r="I99" s="19">
        <v>4</v>
      </c>
    </row>
    <row r="100" spans="1:9" x14ac:dyDescent="0.3">
      <c r="A100" s="3">
        <v>1990.1666666666799</v>
      </c>
      <c r="B100">
        <v>1990</v>
      </c>
      <c r="C100">
        <v>3</v>
      </c>
      <c r="D100" s="3">
        <v>27.1377773284912</v>
      </c>
      <c r="E100" s="3">
        <v>0.36392239031527701</v>
      </c>
      <c r="F100" s="19">
        <v>9</v>
      </c>
      <c r="G100" s="3">
        <v>26.40625</v>
      </c>
      <c r="H100" s="3">
        <v>0.39051048321375897</v>
      </c>
      <c r="I100" s="19">
        <v>8</v>
      </c>
    </row>
    <row r="101" spans="1:9" x14ac:dyDescent="0.3">
      <c r="A101" s="3">
        <v>1990.25000000002</v>
      </c>
      <c r="B101">
        <v>1990</v>
      </c>
      <c r="C101">
        <v>4</v>
      </c>
      <c r="D101" s="3">
        <v>26.579999923706001</v>
      </c>
      <c r="E101" s="3">
        <v>0.51230571230162303</v>
      </c>
      <c r="F101" s="19">
        <v>7</v>
      </c>
      <c r="G101" s="3">
        <v>25.75</v>
      </c>
      <c r="H101" s="3">
        <v>0.51999999999999502</v>
      </c>
      <c r="I101" s="19">
        <v>2</v>
      </c>
    </row>
    <row r="102" spans="1:9" x14ac:dyDescent="0.3">
      <c r="A102" s="3">
        <v>1990.3333333333501</v>
      </c>
      <c r="B102">
        <v>1990</v>
      </c>
      <c r="C102">
        <v>5</v>
      </c>
      <c r="D102" s="3">
        <v>28</v>
      </c>
      <c r="E102" s="3">
        <v>0.71683331395802696</v>
      </c>
      <c r="F102" s="19">
        <v>4</v>
      </c>
      <c r="G102" s="3">
        <v>27.084999084472599</v>
      </c>
      <c r="H102" s="3">
        <v>1.2249999999999099</v>
      </c>
      <c r="I102" s="19">
        <v>2</v>
      </c>
    </row>
    <row r="103" spans="1:9" x14ac:dyDescent="0.3">
      <c r="A103" s="3">
        <v>1990.4166666666799</v>
      </c>
      <c r="B103">
        <v>1990</v>
      </c>
      <c r="C103">
        <v>6</v>
      </c>
      <c r="D103" s="3">
        <v>30.645000457763601</v>
      </c>
      <c r="E103" s="3">
        <v>0.40500000000018699</v>
      </c>
      <c r="F103" s="19">
        <v>2</v>
      </c>
      <c r="G103" s="3">
        <v>29.057500839233398</v>
      </c>
      <c r="H103" s="3">
        <v>1.1039786003360099</v>
      </c>
      <c r="I103" s="19">
        <v>4</v>
      </c>
    </row>
    <row r="104" spans="1:9" x14ac:dyDescent="0.3">
      <c r="A104" s="3">
        <v>1990.50000000002</v>
      </c>
      <c r="B104">
        <v>1990</v>
      </c>
      <c r="C104">
        <v>7</v>
      </c>
      <c r="D104" s="3">
        <v>28.415000915527301</v>
      </c>
      <c r="E104" s="3">
        <v>0.39500000000014301</v>
      </c>
      <c r="F104" s="19">
        <v>2</v>
      </c>
      <c r="G104" s="3"/>
      <c r="H104" s="3"/>
      <c r="I104" s="19"/>
    </row>
    <row r="105" spans="1:9" x14ac:dyDescent="0.3">
      <c r="A105" s="3">
        <v>1990.5833333333501</v>
      </c>
      <c r="B105">
        <v>1990</v>
      </c>
      <c r="C105">
        <v>8</v>
      </c>
      <c r="D105" s="3">
        <v>29.9500007629394</v>
      </c>
      <c r="E105" s="3">
        <v>0.203100960115596</v>
      </c>
      <c r="F105" s="19">
        <v>4</v>
      </c>
      <c r="G105" s="3"/>
      <c r="H105" s="3"/>
      <c r="I105" s="19"/>
    </row>
    <row r="106" spans="1:9" x14ac:dyDescent="0.3">
      <c r="A106" s="3">
        <v>1990.6666666666799</v>
      </c>
      <c r="B106">
        <v>1990</v>
      </c>
      <c r="C106">
        <v>9</v>
      </c>
      <c r="D106" s="3">
        <v>30.056667327880799</v>
      </c>
      <c r="E106" s="3">
        <v>0.70542343469884305</v>
      </c>
      <c r="F106" s="19">
        <v>3</v>
      </c>
      <c r="G106" s="3">
        <v>28.309999465942301</v>
      </c>
      <c r="H106" s="3">
        <v>0</v>
      </c>
      <c r="I106" s="19">
        <v>1</v>
      </c>
    </row>
    <row r="107" spans="1:9" x14ac:dyDescent="0.3">
      <c r="A107" s="3">
        <v>1990.75000000002</v>
      </c>
      <c r="B107">
        <v>1990</v>
      </c>
      <c r="C107">
        <v>10</v>
      </c>
      <c r="D107" s="3">
        <v>29.780000686645501</v>
      </c>
      <c r="E107" s="3">
        <v>4.9999999998271899E-2</v>
      </c>
      <c r="F107" s="19">
        <v>2</v>
      </c>
      <c r="G107" s="3"/>
      <c r="H107" s="3"/>
      <c r="I107" s="19"/>
    </row>
    <row r="108" spans="1:9" x14ac:dyDescent="0.3">
      <c r="A108" s="3">
        <v>1990.8333333333501</v>
      </c>
      <c r="B108">
        <v>1990</v>
      </c>
      <c r="C108">
        <v>11</v>
      </c>
      <c r="D108" s="3">
        <v>29.8250007629394</v>
      </c>
      <c r="E108" s="3">
        <v>0.45653586934632601</v>
      </c>
      <c r="F108" s="19">
        <v>6</v>
      </c>
      <c r="G108" s="3">
        <v>28.764999389648398</v>
      </c>
      <c r="H108" s="3">
        <v>0.66500000000000503</v>
      </c>
      <c r="I108" s="19">
        <v>2</v>
      </c>
    </row>
    <row r="109" spans="1:9" x14ac:dyDescent="0.3">
      <c r="A109" s="3">
        <v>1990.9166666666799</v>
      </c>
      <c r="B109">
        <v>1990</v>
      </c>
      <c r="C109">
        <v>12</v>
      </c>
      <c r="D109" s="3">
        <v>28.516666412353501</v>
      </c>
      <c r="E109" s="3">
        <v>0.28584183660784301</v>
      </c>
      <c r="F109" s="19">
        <v>12</v>
      </c>
      <c r="G109" s="3">
        <v>27.5100002288818</v>
      </c>
      <c r="H109" s="3">
        <v>0.98000000000002496</v>
      </c>
      <c r="I109" s="19">
        <v>2</v>
      </c>
    </row>
    <row r="110" spans="1:9" x14ac:dyDescent="0.3">
      <c r="A110" s="3">
        <v>1991.00000000002</v>
      </c>
      <c r="B110">
        <v>1991</v>
      </c>
      <c r="C110">
        <v>1</v>
      </c>
      <c r="D110" s="3">
        <v>28.131818771362301</v>
      </c>
      <c r="E110" s="3">
        <v>0.47184007656324101</v>
      </c>
      <c r="F110" s="19">
        <v>11</v>
      </c>
      <c r="G110" s="3">
        <v>26.3050003051757</v>
      </c>
      <c r="H110" s="3">
        <v>0.15499999999979899</v>
      </c>
      <c r="I110" s="19">
        <v>2</v>
      </c>
    </row>
    <row r="111" spans="1:9" x14ac:dyDescent="0.3">
      <c r="A111" s="3">
        <v>1991.0833333333501</v>
      </c>
      <c r="B111">
        <v>1991</v>
      </c>
      <c r="C111">
        <v>2</v>
      </c>
      <c r="D111" s="3">
        <v>26.9615383148193</v>
      </c>
      <c r="E111" s="3">
        <v>0.73895816633794897</v>
      </c>
      <c r="F111" s="19">
        <v>13</v>
      </c>
      <c r="G111" s="3">
        <v>26.629999160766602</v>
      </c>
      <c r="H111" s="3">
        <v>0.63160113996089895</v>
      </c>
      <c r="I111" s="19">
        <v>5</v>
      </c>
    </row>
    <row r="112" spans="1:9" x14ac:dyDescent="0.3">
      <c r="A112" s="3">
        <v>1991.1666666666799</v>
      </c>
      <c r="B112">
        <v>1991</v>
      </c>
      <c r="C112">
        <v>3</v>
      </c>
      <c r="D112" s="3">
        <v>27.275384902954102</v>
      </c>
      <c r="E112" s="3">
        <v>0.490989822620578</v>
      </c>
      <c r="F112" s="19">
        <v>13</v>
      </c>
      <c r="G112" s="3">
        <v>26.758333206176701</v>
      </c>
      <c r="H112" s="3">
        <v>0.37702416662843402</v>
      </c>
      <c r="I112" s="19">
        <v>6</v>
      </c>
    </row>
    <row r="113" spans="1:9" x14ac:dyDescent="0.3">
      <c r="A113" s="3">
        <v>1991.25000000002</v>
      </c>
      <c r="B113">
        <v>1991</v>
      </c>
      <c r="C113">
        <v>4</v>
      </c>
      <c r="D113" s="3">
        <v>27.624000549316399</v>
      </c>
      <c r="E113" s="3">
        <v>0.55043982414059001</v>
      </c>
      <c r="F113" s="19">
        <v>5</v>
      </c>
      <c r="G113" s="3">
        <v>27.273332595825099</v>
      </c>
      <c r="H113" s="3">
        <v>0.22895899681460799</v>
      </c>
      <c r="I113" s="19">
        <v>3</v>
      </c>
    </row>
    <row r="114" spans="1:9" x14ac:dyDescent="0.3">
      <c r="A114" s="3">
        <v>1991.3333333333501</v>
      </c>
      <c r="B114">
        <v>1991</v>
      </c>
      <c r="C114">
        <v>5</v>
      </c>
      <c r="D114" s="3">
        <v>29.077499389648398</v>
      </c>
      <c r="E114" s="3">
        <v>0.45548737633437802</v>
      </c>
      <c r="F114" s="19">
        <v>4</v>
      </c>
      <c r="G114" s="3"/>
      <c r="H114" s="3"/>
      <c r="I114" s="19"/>
    </row>
    <row r="115" spans="1:9" x14ac:dyDescent="0.3">
      <c r="A115" s="3">
        <v>1991.4166666666799</v>
      </c>
      <c r="B115">
        <v>1991</v>
      </c>
      <c r="C115">
        <v>6</v>
      </c>
      <c r="D115" s="3">
        <v>29.020000457763601</v>
      </c>
      <c r="E115" s="3">
        <v>0.75</v>
      </c>
      <c r="F115" s="19">
        <v>2</v>
      </c>
      <c r="G115" s="3">
        <v>26.659999847412099</v>
      </c>
      <c r="H115" s="3">
        <v>0</v>
      </c>
      <c r="I115" s="19">
        <v>1</v>
      </c>
    </row>
    <row r="116" spans="1:9" x14ac:dyDescent="0.3">
      <c r="A116" s="3">
        <v>1991.50000000002</v>
      </c>
      <c r="B116">
        <v>1991</v>
      </c>
      <c r="C116">
        <v>7</v>
      </c>
      <c r="D116" s="3">
        <v>28.6242866516113</v>
      </c>
      <c r="E116" s="3">
        <v>0.94935853746271204</v>
      </c>
      <c r="F116" s="19">
        <v>7</v>
      </c>
      <c r="G116" s="3">
        <v>27.893333435058501</v>
      </c>
      <c r="H116" s="3">
        <v>0.78969755110542805</v>
      </c>
      <c r="I116" s="19">
        <v>3</v>
      </c>
    </row>
    <row r="117" spans="1:9" x14ac:dyDescent="0.3">
      <c r="A117" s="3">
        <v>1991.5833333333501</v>
      </c>
      <c r="B117">
        <v>1991</v>
      </c>
      <c r="C117">
        <v>8</v>
      </c>
      <c r="D117" s="3">
        <v>28.965000152587798</v>
      </c>
      <c r="E117" s="3">
        <v>0.39777506206385299</v>
      </c>
      <c r="F117" s="19">
        <v>4</v>
      </c>
      <c r="G117" s="3">
        <v>27.639999389648398</v>
      </c>
      <c r="H117" s="3">
        <v>0.33674916480947598</v>
      </c>
      <c r="I117" s="19">
        <v>3</v>
      </c>
    </row>
    <row r="118" spans="1:9" x14ac:dyDescent="0.3">
      <c r="A118" s="3">
        <v>1991.6666666666799</v>
      </c>
      <c r="B118">
        <v>1991</v>
      </c>
      <c r="C118">
        <v>9</v>
      </c>
      <c r="D118" s="3"/>
      <c r="E118" s="3"/>
      <c r="F118" s="19"/>
      <c r="G118" s="3">
        <v>28.040000915527301</v>
      </c>
      <c r="H118" s="3">
        <v>0.56999999999996198</v>
      </c>
      <c r="I118" s="19">
        <v>2</v>
      </c>
    </row>
    <row r="119" spans="1:9" x14ac:dyDescent="0.3">
      <c r="A119" s="3">
        <v>1991.75000000002</v>
      </c>
      <c r="B119">
        <v>1991</v>
      </c>
      <c r="C119">
        <v>10</v>
      </c>
      <c r="D119" s="3">
        <v>29.776666641235298</v>
      </c>
      <c r="E119" s="3">
        <v>0.77772460135682597</v>
      </c>
      <c r="F119" s="19">
        <v>6</v>
      </c>
      <c r="G119" s="3">
        <v>28.9899997711181</v>
      </c>
      <c r="H119" s="3">
        <v>1.9999999994647601E-2</v>
      </c>
      <c r="I119" s="19">
        <v>2</v>
      </c>
    </row>
    <row r="120" spans="1:9" x14ac:dyDescent="0.3">
      <c r="A120" s="3">
        <v>1991.8333333333501</v>
      </c>
      <c r="B120">
        <v>1991</v>
      </c>
      <c r="C120">
        <v>11</v>
      </c>
      <c r="D120" s="3">
        <v>28.651666641235298</v>
      </c>
      <c r="E120" s="3">
        <v>0.73605744039134402</v>
      </c>
      <c r="F120" s="19">
        <v>6</v>
      </c>
      <c r="G120" s="3">
        <v>28.209999084472599</v>
      </c>
      <c r="H120" s="3">
        <v>0.21999999999977499</v>
      </c>
      <c r="I120" s="19">
        <v>2</v>
      </c>
    </row>
    <row r="121" spans="1:9" x14ac:dyDescent="0.3">
      <c r="A121" s="3">
        <v>1991.9166666666799</v>
      </c>
      <c r="B121">
        <v>1991</v>
      </c>
      <c r="C121">
        <v>12</v>
      </c>
      <c r="D121" s="3">
        <v>26.231666564941399</v>
      </c>
      <c r="E121" s="3">
        <v>0.69962886987014505</v>
      </c>
      <c r="F121" s="19">
        <v>6</v>
      </c>
      <c r="G121" s="3">
        <v>27.126667022705</v>
      </c>
      <c r="H121" s="3">
        <v>1.5633368869895801</v>
      </c>
      <c r="I121" s="19">
        <v>3</v>
      </c>
    </row>
    <row r="122" spans="1:9" x14ac:dyDescent="0.3">
      <c r="A122" s="3">
        <v>1992.00000000002</v>
      </c>
      <c r="B122">
        <v>1992</v>
      </c>
      <c r="C122">
        <v>1</v>
      </c>
      <c r="D122" s="3">
        <v>26.331111907958899</v>
      </c>
      <c r="E122" s="3">
        <v>0.42102901574436302</v>
      </c>
      <c r="F122" s="19">
        <v>18</v>
      </c>
      <c r="G122" s="3">
        <v>25.690000534057599</v>
      </c>
      <c r="H122" s="3">
        <v>0</v>
      </c>
      <c r="I122" s="19">
        <v>1</v>
      </c>
    </row>
    <row r="123" spans="1:9" x14ac:dyDescent="0.3">
      <c r="A123" s="3">
        <v>1992.0833333333501</v>
      </c>
      <c r="B123">
        <v>1992</v>
      </c>
      <c r="C123">
        <v>2</v>
      </c>
      <c r="D123" s="3">
        <v>26.689090728759702</v>
      </c>
      <c r="E123" s="3">
        <v>0.87177410069611305</v>
      </c>
      <c r="F123" s="19">
        <v>11</v>
      </c>
      <c r="G123" s="3">
        <v>25.799999237060501</v>
      </c>
      <c r="H123" s="3">
        <v>0.34817893593430999</v>
      </c>
      <c r="I123" s="19">
        <v>7</v>
      </c>
    </row>
    <row r="124" spans="1:9" x14ac:dyDescent="0.3">
      <c r="A124" s="3">
        <v>1992.1666666666899</v>
      </c>
      <c r="B124">
        <v>1992</v>
      </c>
      <c r="C124">
        <v>3</v>
      </c>
      <c r="D124" s="3">
        <v>26.120000839233398</v>
      </c>
      <c r="E124" s="3">
        <v>0.40558599581357402</v>
      </c>
      <c r="F124" s="19">
        <v>16</v>
      </c>
      <c r="G124" s="3">
        <v>25.881999969482401</v>
      </c>
      <c r="H124" s="3">
        <v>0.56619431293512101</v>
      </c>
      <c r="I124" s="19">
        <v>5</v>
      </c>
    </row>
    <row r="125" spans="1:9" x14ac:dyDescent="0.3">
      <c r="A125" s="3">
        <v>1992.25000000002</v>
      </c>
      <c r="B125">
        <v>1992</v>
      </c>
      <c r="C125">
        <v>4</v>
      </c>
      <c r="D125" s="3">
        <v>27.057500839233398</v>
      </c>
      <c r="E125" s="3">
        <v>0.99855833580229703</v>
      </c>
      <c r="F125" s="19">
        <v>4</v>
      </c>
      <c r="G125" s="3">
        <v>26.0559997558593</v>
      </c>
      <c r="H125" s="3">
        <v>0.97968566387384903</v>
      </c>
      <c r="I125" s="19">
        <v>5</v>
      </c>
    </row>
    <row r="126" spans="1:9" x14ac:dyDescent="0.3">
      <c r="A126" s="3">
        <v>1992.3333333333501</v>
      </c>
      <c r="B126">
        <v>1992</v>
      </c>
      <c r="C126">
        <v>5</v>
      </c>
      <c r="D126" s="3">
        <v>27.899999618530199</v>
      </c>
      <c r="E126" s="3">
        <v>0.76249590162828995</v>
      </c>
      <c r="F126" s="19">
        <v>5</v>
      </c>
      <c r="G126" s="3">
        <v>27.766666412353501</v>
      </c>
      <c r="H126" s="3">
        <v>1.2053860607935201</v>
      </c>
      <c r="I126" s="19">
        <v>6</v>
      </c>
    </row>
    <row r="127" spans="1:9" x14ac:dyDescent="0.3">
      <c r="A127" s="3">
        <v>1992.4166666666899</v>
      </c>
      <c r="B127">
        <v>1992</v>
      </c>
      <c r="C127">
        <v>6</v>
      </c>
      <c r="D127" s="3">
        <v>30.21555519104</v>
      </c>
      <c r="E127" s="3">
        <v>0.84750760220919397</v>
      </c>
      <c r="F127" s="19">
        <v>9</v>
      </c>
      <c r="G127" s="3">
        <v>28.717500686645501</v>
      </c>
      <c r="H127" s="3">
        <v>0.85957474951283397</v>
      </c>
      <c r="I127" s="19">
        <v>4</v>
      </c>
    </row>
    <row r="128" spans="1:9" x14ac:dyDescent="0.3">
      <c r="A128" s="3">
        <v>1992.50000000002</v>
      </c>
      <c r="B128">
        <v>1992</v>
      </c>
      <c r="C128">
        <v>7</v>
      </c>
      <c r="D128" s="3">
        <v>29.862499237060501</v>
      </c>
      <c r="E128" s="3">
        <v>0.33131367312572102</v>
      </c>
      <c r="F128" s="19">
        <v>4</v>
      </c>
      <c r="G128" s="3">
        <v>28.076665878295898</v>
      </c>
      <c r="H128" s="3">
        <v>0.83687248464478503</v>
      </c>
      <c r="I128" s="19">
        <v>3</v>
      </c>
    </row>
    <row r="129" spans="1:9" x14ac:dyDescent="0.3">
      <c r="A129" s="3">
        <v>1992.5833333333501</v>
      </c>
      <c r="B129">
        <v>1992</v>
      </c>
      <c r="C129">
        <v>8</v>
      </c>
      <c r="D129" s="3">
        <v>29.620000839233398</v>
      </c>
      <c r="E129" s="3">
        <v>0.37000000000011102</v>
      </c>
      <c r="F129" s="19">
        <v>2</v>
      </c>
      <c r="G129" s="3">
        <v>28.040000915527301</v>
      </c>
      <c r="H129" s="3">
        <v>0.60000000000001097</v>
      </c>
      <c r="I129" s="19">
        <v>2</v>
      </c>
    </row>
    <row r="130" spans="1:9" x14ac:dyDescent="0.3">
      <c r="A130" s="3">
        <v>1992.6666666666899</v>
      </c>
      <c r="B130">
        <v>1992</v>
      </c>
      <c r="C130">
        <v>9</v>
      </c>
      <c r="D130" s="3">
        <v>30.25</v>
      </c>
      <c r="E130" s="3">
        <v>0</v>
      </c>
      <c r="F130" s="19">
        <v>1</v>
      </c>
      <c r="G130" s="3"/>
      <c r="H130" s="3"/>
      <c r="I130" s="19"/>
    </row>
    <row r="131" spans="1:9" x14ac:dyDescent="0.3">
      <c r="A131" s="3">
        <v>1992.75000000002</v>
      </c>
      <c r="B131">
        <v>1992</v>
      </c>
      <c r="C131">
        <v>10</v>
      </c>
      <c r="D131" s="3">
        <v>29.625</v>
      </c>
      <c r="E131" s="3">
        <v>0.48396797414708898</v>
      </c>
      <c r="F131" s="19">
        <v>4</v>
      </c>
      <c r="G131" s="3">
        <v>27.7600002288818</v>
      </c>
      <c r="H131" s="3">
        <v>0</v>
      </c>
      <c r="I131" s="19">
        <v>1</v>
      </c>
    </row>
    <row r="132" spans="1:9" x14ac:dyDescent="0.3">
      <c r="A132" s="3">
        <v>1992.8333333333501</v>
      </c>
      <c r="B132">
        <v>1992</v>
      </c>
      <c r="C132">
        <v>11</v>
      </c>
      <c r="D132" s="3">
        <v>29.546667098998999</v>
      </c>
      <c r="E132" s="3">
        <v>0.80570190241521999</v>
      </c>
      <c r="F132" s="19">
        <v>3</v>
      </c>
      <c r="G132" s="3">
        <v>29.139999389648398</v>
      </c>
      <c r="H132" s="3">
        <v>0</v>
      </c>
      <c r="I132" s="19">
        <v>1</v>
      </c>
    </row>
    <row r="133" spans="1:9" x14ac:dyDescent="0.3">
      <c r="A133" s="3">
        <v>1992.9166666666899</v>
      </c>
      <c r="B133">
        <v>1992</v>
      </c>
      <c r="C133">
        <v>12</v>
      </c>
      <c r="D133" s="3">
        <v>27.4011116027832</v>
      </c>
      <c r="E133" s="3">
        <v>0.86687746724085601</v>
      </c>
      <c r="F133" s="19">
        <v>9</v>
      </c>
      <c r="G133" s="3">
        <v>27.602500915527301</v>
      </c>
      <c r="H133" s="3">
        <v>1.1760394338626601</v>
      </c>
      <c r="I133" s="19">
        <v>4</v>
      </c>
    </row>
    <row r="134" spans="1:9" x14ac:dyDescent="0.3">
      <c r="A134" s="3">
        <v>1993.00000000002</v>
      </c>
      <c r="B134">
        <v>1993</v>
      </c>
      <c r="C134">
        <v>1</v>
      </c>
      <c r="D134" s="3">
        <v>27.6375007629394</v>
      </c>
      <c r="E134" s="3">
        <v>0.64592472471631401</v>
      </c>
      <c r="F134" s="19">
        <v>8</v>
      </c>
      <c r="G134" s="3">
        <v>26.9799995422363</v>
      </c>
      <c r="H134" s="3">
        <v>0</v>
      </c>
      <c r="I134" s="19">
        <v>1</v>
      </c>
    </row>
    <row r="135" spans="1:9" x14ac:dyDescent="0.3">
      <c r="A135" s="3">
        <v>1993.0833333333501</v>
      </c>
      <c r="B135">
        <v>1993</v>
      </c>
      <c r="C135">
        <v>2</v>
      </c>
      <c r="D135" s="3">
        <v>27.174999237060501</v>
      </c>
      <c r="E135" s="3">
        <v>0.48855654739238602</v>
      </c>
      <c r="F135" s="19">
        <v>16</v>
      </c>
      <c r="G135" s="3">
        <v>26.569999694824201</v>
      </c>
      <c r="H135" s="3">
        <v>0</v>
      </c>
      <c r="I135" s="19">
        <v>1</v>
      </c>
    </row>
    <row r="136" spans="1:9" x14ac:dyDescent="0.3">
      <c r="A136" s="3">
        <v>1993.1666666666899</v>
      </c>
      <c r="B136">
        <v>1993</v>
      </c>
      <c r="C136">
        <v>3</v>
      </c>
      <c r="D136" s="3">
        <v>27.196922302246001</v>
      </c>
      <c r="E136" s="3">
        <v>0.41484723073947499</v>
      </c>
      <c r="F136" s="19">
        <v>13</v>
      </c>
      <c r="G136" s="3">
        <v>27.170000076293899</v>
      </c>
      <c r="H136" s="3">
        <v>0.39868533958499602</v>
      </c>
      <c r="I136" s="19">
        <v>4</v>
      </c>
    </row>
    <row r="137" spans="1:9" x14ac:dyDescent="0.3">
      <c r="A137" s="3">
        <v>1993.25000000002</v>
      </c>
      <c r="B137">
        <v>1993</v>
      </c>
      <c r="C137">
        <v>4</v>
      </c>
      <c r="D137" s="3">
        <v>27.409999847412099</v>
      </c>
      <c r="E137" s="3">
        <v>0.49295030175486299</v>
      </c>
      <c r="F137" s="19">
        <v>5</v>
      </c>
      <c r="G137" s="3">
        <v>26.530000686645501</v>
      </c>
      <c r="H137" s="3">
        <v>0.54313902456024499</v>
      </c>
      <c r="I137" s="19">
        <v>5</v>
      </c>
    </row>
    <row r="138" spans="1:9" x14ac:dyDescent="0.3">
      <c r="A138" s="3">
        <v>1993.3333333333501</v>
      </c>
      <c r="B138">
        <v>1993</v>
      </c>
      <c r="C138">
        <v>5</v>
      </c>
      <c r="D138" s="3"/>
      <c r="E138" s="3"/>
      <c r="F138" s="19"/>
      <c r="G138" s="3"/>
      <c r="H138" s="3"/>
      <c r="I138" s="19"/>
    </row>
    <row r="139" spans="1:9" x14ac:dyDescent="0.3">
      <c r="A139" s="3">
        <v>1993.4166666666899</v>
      </c>
      <c r="B139">
        <v>1993</v>
      </c>
      <c r="C139">
        <v>6</v>
      </c>
      <c r="D139" s="3">
        <v>29.8050003051757</v>
      </c>
      <c r="E139" s="3">
        <v>0.27499999999989999</v>
      </c>
      <c r="F139" s="19">
        <v>2</v>
      </c>
      <c r="G139" s="3">
        <v>29.559999465942301</v>
      </c>
      <c r="H139" s="3">
        <v>0</v>
      </c>
      <c r="I139" s="19">
        <v>1</v>
      </c>
    </row>
    <row r="140" spans="1:9" x14ac:dyDescent="0.3">
      <c r="A140" s="3">
        <v>1993.50000000002</v>
      </c>
      <c r="B140">
        <v>1993</v>
      </c>
      <c r="C140">
        <v>7</v>
      </c>
      <c r="D140" s="3">
        <v>29.464000701904201</v>
      </c>
      <c r="E140" s="3">
        <v>0.163780340700965</v>
      </c>
      <c r="F140" s="19">
        <v>5</v>
      </c>
      <c r="G140" s="3"/>
      <c r="H140" s="3"/>
      <c r="I140" s="19"/>
    </row>
    <row r="141" spans="1:9" x14ac:dyDescent="0.3">
      <c r="A141" s="3">
        <v>1993.5833333333501</v>
      </c>
      <c r="B141">
        <v>1993</v>
      </c>
      <c r="C141">
        <v>8</v>
      </c>
      <c r="D141" s="3">
        <v>30.020000457763601</v>
      </c>
      <c r="E141" s="3">
        <v>0.14764823060176799</v>
      </c>
      <c r="F141" s="19">
        <v>3</v>
      </c>
      <c r="G141" s="3">
        <v>28.059999465942301</v>
      </c>
      <c r="H141" s="3">
        <v>0</v>
      </c>
      <c r="I141" s="19">
        <v>1</v>
      </c>
    </row>
    <row r="142" spans="1:9" x14ac:dyDescent="0.3">
      <c r="A142" s="3">
        <v>1993.6666666666899</v>
      </c>
      <c r="B142">
        <v>1993</v>
      </c>
      <c r="C142">
        <v>9</v>
      </c>
      <c r="D142" s="3">
        <v>29.155000686645501</v>
      </c>
      <c r="E142" s="3">
        <v>0.23499999999989399</v>
      </c>
      <c r="F142" s="19">
        <v>2</v>
      </c>
      <c r="G142" s="3"/>
      <c r="H142" s="3"/>
      <c r="I142" s="19"/>
    </row>
    <row r="143" spans="1:9" x14ac:dyDescent="0.3">
      <c r="A143" s="3">
        <v>1993.75000000002</v>
      </c>
      <c r="B143">
        <v>1993</v>
      </c>
      <c r="C143">
        <v>10</v>
      </c>
      <c r="D143" s="3">
        <v>28.7600002288818</v>
      </c>
      <c r="E143" s="3">
        <v>0</v>
      </c>
      <c r="F143" s="19">
        <v>1</v>
      </c>
      <c r="G143" s="3"/>
      <c r="H143" s="3"/>
      <c r="I143" s="19"/>
    </row>
    <row r="144" spans="1:9" x14ac:dyDescent="0.3">
      <c r="A144" s="3">
        <v>1993.8333333333501</v>
      </c>
      <c r="B144">
        <v>1993</v>
      </c>
      <c r="C144">
        <v>11</v>
      </c>
      <c r="D144" s="3">
        <v>29.420000076293899</v>
      </c>
      <c r="E144" s="3">
        <v>0.89561896659970897</v>
      </c>
      <c r="F144" s="19">
        <v>6</v>
      </c>
      <c r="G144" s="3">
        <v>27.4799995422363</v>
      </c>
      <c r="H144" s="3">
        <v>0</v>
      </c>
      <c r="I144" s="19">
        <v>1</v>
      </c>
    </row>
    <row r="145" spans="1:9" x14ac:dyDescent="0.3">
      <c r="A145" s="3">
        <v>1993.9166666666899</v>
      </c>
      <c r="B145">
        <v>1993</v>
      </c>
      <c r="C145">
        <v>12</v>
      </c>
      <c r="D145" s="3">
        <v>28.629999160766602</v>
      </c>
      <c r="E145" s="3">
        <v>0.28037920750311801</v>
      </c>
      <c r="F145" s="19">
        <v>16</v>
      </c>
      <c r="G145" s="3">
        <v>27.8649997711181</v>
      </c>
      <c r="H145" s="3">
        <v>0.64716690273854105</v>
      </c>
      <c r="I145" s="19">
        <v>4</v>
      </c>
    </row>
    <row r="146" spans="1:9" x14ac:dyDescent="0.3">
      <c r="A146" s="3">
        <v>1994.00000000002</v>
      </c>
      <c r="B146">
        <v>1994</v>
      </c>
      <c r="C146">
        <v>1</v>
      </c>
      <c r="D146" s="3">
        <v>28.1381816864013</v>
      </c>
      <c r="E146" s="3">
        <v>0.71590779220669898</v>
      </c>
      <c r="F146" s="19">
        <v>11</v>
      </c>
      <c r="G146" s="3">
        <v>26.879999160766602</v>
      </c>
      <c r="H146" s="3">
        <v>5.9999999999101099E-2</v>
      </c>
      <c r="I146" s="19">
        <v>2</v>
      </c>
    </row>
    <row r="147" spans="1:9" x14ac:dyDescent="0.3">
      <c r="A147" s="3">
        <v>1994.0833333333601</v>
      </c>
      <c r="B147">
        <v>1994</v>
      </c>
      <c r="C147">
        <v>2</v>
      </c>
      <c r="D147" s="3">
        <v>26.976922988891602</v>
      </c>
      <c r="E147" s="3">
        <v>0.74517302704569999</v>
      </c>
      <c r="F147" s="19">
        <v>13</v>
      </c>
      <c r="G147" s="3"/>
      <c r="H147" s="3"/>
      <c r="I147" s="19"/>
    </row>
    <row r="148" spans="1:9" x14ac:dyDescent="0.3">
      <c r="A148" s="3">
        <v>1994.1666666666899</v>
      </c>
      <c r="B148">
        <v>1994</v>
      </c>
      <c r="C148">
        <v>3</v>
      </c>
      <c r="D148" s="3">
        <v>26.584999084472599</v>
      </c>
      <c r="E148" s="3">
        <v>0.54782361603526797</v>
      </c>
      <c r="F148" s="19">
        <v>14</v>
      </c>
      <c r="G148" s="3">
        <v>25.0750007629394</v>
      </c>
      <c r="H148" s="3">
        <v>0.51524266127711504</v>
      </c>
      <c r="I148" s="19">
        <v>4</v>
      </c>
    </row>
    <row r="149" spans="1:9" x14ac:dyDescent="0.3">
      <c r="A149" s="3">
        <v>1994.25000000002</v>
      </c>
      <c r="B149">
        <v>1994</v>
      </c>
      <c r="C149">
        <v>4</v>
      </c>
      <c r="D149" s="3">
        <v>27.521999359130799</v>
      </c>
      <c r="E149" s="3">
        <v>0.77931765025556099</v>
      </c>
      <c r="F149" s="19">
        <v>5</v>
      </c>
      <c r="G149" s="3">
        <v>26.2600002288818</v>
      </c>
      <c r="H149" s="3">
        <v>1.188472408879</v>
      </c>
      <c r="I149" s="19">
        <v>3</v>
      </c>
    </row>
    <row r="150" spans="1:9" x14ac:dyDescent="0.3">
      <c r="A150" s="3">
        <v>1994.3333333333601</v>
      </c>
      <c r="B150">
        <v>1994</v>
      </c>
      <c r="C150">
        <v>5</v>
      </c>
      <c r="D150" s="3">
        <v>28.1800003051757</v>
      </c>
      <c r="E150" s="3">
        <v>0.81798532994184603</v>
      </c>
      <c r="F150" s="19">
        <v>8</v>
      </c>
      <c r="G150" s="3">
        <v>28.002500534057599</v>
      </c>
      <c r="H150" s="3">
        <v>0.39663427738934998</v>
      </c>
      <c r="I150" s="19">
        <v>4</v>
      </c>
    </row>
    <row r="151" spans="1:9" x14ac:dyDescent="0.3">
      <c r="A151" s="3">
        <v>1994.4166666666899</v>
      </c>
      <c r="B151">
        <v>1994</v>
      </c>
      <c r="C151">
        <v>6</v>
      </c>
      <c r="D151" s="3">
        <v>28.5133342742919</v>
      </c>
      <c r="E151" s="3">
        <v>0.22171052197763499</v>
      </c>
      <c r="F151" s="19">
        <v>3</v>
      </c>
      <c r="G151" s="3"/>
      <c r="H151" s="3"/>
      <c r="I151" s="19"/>
    </row>
    <row r="152" spans="1:9" x14ac:dyDescent="0.3">
      <c r="A152" s="3">
        <v>1994.50000000002</v>
      </c>
      <c r="B152">
        <v>1994</v>
      </c>
      <c r="C152">
        <v>7</v>
      </c>
      <c r="D152" s="3">
        <v>28.5637493133544</v>
      </c>
      <c r="E152" s="3">
        <v>1.0282137119781201</v>
      </c>
      <c r="F152" s="19">
        <v>8</v>
      </c>
      <c r="G152" s="3">
        <v>28.6166667938232</v>
      </c>
      <c r="H152" s="3">
        <v>0.34883934538539602</v>
      </c>
      <c r="I152" s="19">
        <v>3</v>
      </c>
    </row>
    <row r="153" spans="1:9" x14ac:dyDescent="0.3">
      <c r="A153" s="3">
        <v>1994.5833333333601</v>
      </c>
      <c r="B153">
        <v>1994</v>
      </c>
      <c r="C153">
        <v>8</v>
      </c>
      <c r="D153" s="3">
        <v>29.7299995422363</v>
      </c>
      <c r="E153" s="3">
        <v>9.99999999999545E-2</v>
      </c>
      <c r="F153" s="19">
        <v>2</v>
      </c>
      <c r="G153" s="3">
        <v>27.9699993133544</v>
      </c>
      <c r="H153" s="3">
        <v>0</v>
      </c>
      <c r="I153" s="19">
        <v>1</v>
      </c>
    </row>
    <row r="154" spans="1:9" x14ac:dyDescent="0.3">
      <c r="A154" s="3">
        <v>1994.6666666666899</v>
      </c>
      <c r="B154">
        <v>1994</v>
      </c>
      <c r="C154">
        <v>9</v>
      </c>
      <c r="D154" s="3">
        <v>28.940000534057599</v>
      </c>
      <c r="E154" s="3">
        <v>0</v>
      </c>
      <c r="F154" s="19">
        <v>1</v>
      </c>
      <c r="G154" s="3">
        <v>29.7000007629394</v>
      </c>
      <c r="H154" s="3">
        <v>7.8740078740823394E-2</v>
      </c>
      <c r="I154" s="19">
        <v>3</v>
      </c>
    </row>
    <row r="155" spans="1:9" x14ac:dyDescent="0.3">
      <c r="A155" s="3">
        <v>1994.75000000002</v>
      </c>
      <c r="B155">
        <v>1994</v>
      </c>
      <c r="C155">
        <v>10</v>
      </c>
      <c r="D155" s="3">
        <v>28.346666336059499</v>
      </c>
      <c r="E155" s="3">
        <v>0.73965457403381496</v>
      </c>
      <c r="F155" s="19">
        <v>3</v>
      </c>
      <c r="G155" s="3">
        <v>28.809999465942301</v>
      </c>
      <c r="H155" s="3">
        <v>0</v>
      </c>
      <c r="I155" s="19">
        <v>1</v>
      </c>
    </row>
    <row r="156" spans="1:9" x14ac:dyDescent="0.3">
      <c r="A156" s="3">
        <v>1994.8333333333601</v>
      </c>
      <c r="B156">
        <v>1994</v>
      </c>
      <c r="C156">
        <v>11</v>
      </c>
      <c r="D156" s="3">
        <v>28.520000457763601</v>
      </c>
      <c r="E156" s="3">
        <v>0.38218669085478602</v>
      </c>
      <c r="F156" s="19">
        <v>3</v>
      </c>
      <c r="G156" s="3">
        <v>28.829999923706001</v>
      </c>
      <c r="H156" s="3">
        <v>6.5192024053435493E-2</v>
      </c>
      <c r="I156" s="19">
        <v>4</v>
      </c>
    </row>
    <row r="157" spans="1:9" x14ac:dyDescent="0.3">
      <c r="A157" s="3">
        <v>1994.9166666666899</v>
      </c>
      <c r="B157">
        <v>1994</v>
      </c>
      <c r="C157">
        <v>12</v>
      </c>
      <c r="D157" s="3">
        <v>28.0133342742919</v>
      </c>
      <c r="E157" s="3">
        <v>0.249109525220263</v>
      </c>
      <c r="F157" s="19">
        <v>6</v>
      </c>
      <c r="G157" s="3">
        <v>27.909999847412099</v>
      </c>
      <c r="H157" s="3">
        <v>0.46178398028133699</v>
      </c>
      <c r="I157" s="19">
        <v>9</v>
      </c>
    </row>
    <row r="158" spans="1:9" x14ac:dyDescent="0.3">
      <c r="A158" s="3">
        <v>1995.00000000002</v>
      </c>
      <c r="B158">
        <v>1995</v>
      </c>
      <c r="C158">
        <v>1</v>
      </c>
      <c r="D158" s="3">
        <v>27.389286041259702</v>
      </c>
      <c r="E158" s="3">
        <v>0.60283217619248297</v>
      </c>
      <c r="F158" s="19">
        <v>14</v>
      </c>
      <c r="G158" s="3">
        <v>27.514286041259702</v>
      </c>
      <c r="H158" s="3">
        <v>0.60208820290870602</v>
      </c>
      <c r="I158" s="19">
        <v>7</v>
      </c>
    </row>
    <row r="159" spans="1:9" x14ac:dyDescent="0.3">
      <c r="A159" s="3">
        <v>1995.0833333333601</v>
      </c>
      <c r="B159">
        <v>1995</v>
      </c>
      <c r="C159">
        <v>2</v>
      </c>
      <c r="D159" s="3">
        <v>26.947273254394499</v>
      </c>
      <c r="E159" s="3">
        <v>0.536183328707039</v>
      </c>
      <c r="F159" s="19">
        <v>11</v>
      </c>
      <c r="G159" s="3">
        <v>26.902000427246001</v>
      </c>
      <c r="H159" s="3">
        <v>0.46279152974112803</v>
      </c>
      <c r="I159" s="19">
        <v>5</v>
      </c>
    </row>
    <row r="160" spans="1:9" x14ac:dyDescent="0.3">
      <c r="A160" s="3">
        <v>1995.1666666666899</v>
      </c>
      <c r="B160">
        <v>1995</v>
      </c>
      <c r="C160">
        <v>3</v>
      </c>
      <c r="D160" s="3">
        <v>27.332500457763601</v>
      </c>
      <c r="E160" s="3">
        <v>0.93891226959712104</v>
      </c>
      <c r="F160" s="19">
        <v>16</v>
      </c>
      <c r="G160" s="3">
        <v>26.879999160766602</v>
      </c>
      <c r="H160" s="3">
        <v>0.52322716545205405</v>
      </c>
      <c r="I160" s="19">
        <v>6</v>
      </c>
    </row>
    <row r="161" spans="1:9" x14ac:dyDescent="0.3">
      <c r="A161" s="3">
        <v>1995.25000000002</v>
      </c>
      <c r="B161">
        <v>1995</v>
      </c>
      <c r="C161">
        <v>4</v>
      </c>
      <c r="D161" s="3">
        <v>28.204999923706001</v>
      </c>
      <c r="E161" s="3">
        <v>1.47211582424759</v>
      </c>
      <c r="F161" s="19">
        <v>4</v>
      </c>
      <c r="G161" s="3">
        <v>27.120000839233398</v>
      </c>
      <c r="H161" s="3">
        <v>0</v>
      </c>
      <c r="I161" s="19">
        <v>1</v>
      </c>
    </row>
    <row r="162" spans="1:9" x14ac:dyDescent="0.3">
      <c r="A162" s="3">
        <v>1995.3333333333601</v>
      </c>
      <c r="B162">
        <v>1995</v>
      </c>
      <c r="C162">
        <v>5</v>
      </c>
      <c r="D162" s="3">
        <v>29.059999465942301</v>
      </c>
      <c r="E162" s="3">
        <v>0</v>
      </c>
      <c r="F162" s="19">
        <v>1</v>
      </c>
      <c r="G162" s="3">
        <v>28.875</v>
      </c>
      <c r="H162" s="3">
        <v>0.22499999999992901</v>
      </c>
      <c r="I162" s="19">
        <v>2</v>
      </c>
    </row>
    <row r="163" spans="1:9" x14ac:dyDescent="0.3">
      <c r="A163" s="3">
        <v>1995.4166666666899</v>
      </c>
      <c r="B163">
        <v>1995</v>
      </c>
      <c r="C163">
        <v>6</v>
      </c>
      <c r="D163" s="3">
        <v>29.196666717529201</v>
      </c>
      <c r="E163" s="3">
        <v>0.65576079649682695</v>
      </c>
      <c r="F163" s="19">
        <v>3</v>
      </c>
      <c r="G163" s="3">
        <v>29.2000007629394</v>
      </c>
      <c r="H163" s="3">
        <v>0.17907168024789</v>
      </c>
      <c r="I163" s="19">
        <v>3</v>
      </c>
    </row>
    <row r="164" spans="1:9" x14ac:dyDescent="0.3">
      <c r="A164" s="3">
        <v>1995.50000000002</v>
      </c>
      <c r="B164">
        <v>1995</v>
      </c>
      <c r="C164">
        <v>7</v>
      </c>
      <c r="D164" s="3">
        <v>30.524999618530199</v>
      </c>
      <c r="E164" s="3">
        <v>0.82321017972334098</v>
      </c>
      <c r="F164" s="19">
        <v>4</v>
      </c>
      <c r="G164" s="3">
        <v>27.7000007629394</v>
      </c>
      <c r="H164" s="3">
        <v>0</v>
      </c>
      <c r="I164" s="19">
        <v>1</v>
      </c>
    </row>
    <row r="165" spans="1:9" x14ac:dyDescent="0.3">
      <c r="A165" s="3">
        <v>1995.5833333333601</v>
      </c>
      <c r="B165">
        <v>1995</v>
      </c>
      <c r="C165">
        <v>8</v>
      </c>
      <c r="D165" s="3">
        <v>30.483333587646399</v>
      </c>
      <c r="E165" s="3">
        <v>0.31689465477123602</v>
      </c>
      <c r="F165" s="19">
        <v>3</v>
      </c>
      <c r="G165" s="3"/>
      <c r="H165" s="3"/>
      <c r="I165" s="19"/>
    </row>
    <row r="166" spans="1:9" x14ac:dyDescent="0.3">
      <c r="A166" s="3">
        <v>1995.6666666666899</v>
      </c>
      <c r="B166">
        <v>1995</v>
      </c>
      <c r="C166">
        <v>9</v>
      </c>
      <c r="D166" s="3">
        <v>30.254999160766602</v>
      </c>
      <c r="E166" s="3">
        <v>0.26500000000009499</v>
      </c>
      <c r="F166" s="19">
        <v>2</v>
      </c>
      <c r="G166" s="3"/>
      <c r="H166" s="3"/>
      <c r="I166" s="19"/>
    </row>
    <row r="167" spans="1:9" x14ac:dyDescent="0.3">
      <c r="A167" s="3">
        <v>1995.75000000003</v>
      </c>
      <c r="B167">
        <v>1995</v>
      </c>
      <c r="C167">
        <v>10</v>
      </c>
      <c r="D167" s="3">
        <v>29.226667404174801</v>
      </c>
      <c r="E167" s="3">
        <v>0.49466037731857898</v>
      </c>
      <c r="F167" s="19">
        <v>3</v>
      </c>
      <c r="G167" s="3"/>
      <c r="H167" s="3"/>
      <c r="I167" s="19"/>
    </row>
    <row r="168" spans="1:9" x14ac:dyDescent="0.3">
      <c r="A168" s="3">
        <v>1995.8333333333601</v>
      </c>
      <c r="B168">
        <v>1995</v>
      </c>
      <c r="C168">
        <v>11</v>
      </c>
      <c r="D168" s="3">
        <v>29.6350002288818</v>
      </c>
      <c r="E168" s="3">
        <v>0.105000000000626</v>
      </c>
      <c r="F168" s="19">
        <v>2</v>
      </c>
      <c r="G168" s="3">
        <v>28.497499465942301</v>
      </c>
      <c r="H168" s="3">
        <v>0.65815556671660003</v>
      </c>
      <c r="I168" s="19">
        <v>4</v>
      </c>
    </row>
    <row r="169" spans="1:9" x14ac:dyDescent="0.3">
      <c r="A169" s="3">
        <v>1995.9166666666899</v>
      </c>
      <c r="B169">
        <v>1995</v>
      </c>
      <c r="C169">
        <v>12</v>
      </c>
      <c r="D169" s="3">
        <v>29.681249618530199</v>
      </c>
      <c r="E169" s="3">
        <v>0.62188096730806897</v>
      </c>
      <c r="F169" s="19">
        <v>8</v>
      </c>
      <c r="G169" s="3">
        <v>28.423334121704102</v>
      </c>
      <c r="H169" s="3">
        <v>0.33068951533975499</v>
      </c>
      <c r="I169" s="19">
        <v>3</v>
      </c>
    </row>
    <row r="170" spans="1:9" x14ac:dyDescent="0.3">
      <c r="A170" s="3">
        <v>1996.00000000003</v>
      </c>
      <c r="B170">
        <v>1996</v>
      </c>
      <c r="C170">
        <v>1</v>
      </c>
      <c r="D170" s="3">
        <v>28.770000457763601</v>
      </c>
      <c r="E170" s="3">
        <v>0.454257636149277</v>
      </c>
      <c r="F170" s="19">
        <v>4</v>
      </c>
      <c r="G170" s="3">
        <v>27.4872722625732</v>
      </c>
      <c r="H170" s="3">
        <v>0.52994152180145804</v>
      </c>
      <c r="I170" s="19">
        <v>11</v>
      </c>
    </row>
    <row r="171" spans="1:9" x14ac:dyDescent="0.3">
      <c r="A171" s="3">
        <v>1996.0833333333601</v>
      </c>
      <c r="B171">
        <v>1996</v>
      </c>
      <c r="C171">
        <v>2</v>
      </c>
      <c r="D171" s="3">
        <v>27.8050003051757</v>
      </c>
      <c r="E171" s="3">
        <v>0.625</v>
      </c>
      <c r="F171" s="19">
        <v>2</v>
      </c>
      <c r="G171" s="3">
        <v>27.0757141113281</v>
      </c>
      <c r="H171" s="3">
        <v>0.333546190540917</v>
      </c>
      <c r="I171" s="19">
        <v>7</v>
      </c>
    </row>
    <row r="172" spans="1:9" x14ac:dyDescent="0.3">
      <c r="A172" s="3">
        <v>1996.1666666666899</v>
      </c>
      <c r="B172">
        <v>1996</v>
      </c>
      <c r="C172">
        <v>3</v>
      </c>
      <c r="D172" s="3">
        <v>26.672500610351499</v>
      </c>
      <c r="E172" s="3">
        <v>0.54581933824298301</v>
      </c>
      <c r="F172" s="19">
        <v>4</v>
      </c>
      <c r="G172" s="3">
        <v>26.673334121704102</v>
      </c>
      <c r="H172" s="3">
        <v>0.74727653664627902</v>
      </c>
      <c r="I172" s="19">
        <v>3</v>
      </c>
    </row>
    <row r="173" spans="1:9" x14ac:dyDescent="0.3">
      <c r="A173" s="3">
        <v>1996.25000000003</v>
      </c>
      <c r="B173">
        <v>1996</v>
      </c>
      <c r="C173">
        <v>4</v>
      </c>
      <c r="D173" s="3">
        <v>27.372499465942301</v>
      </c>
      <c r="E173" s="3">
        <v>0.49241115949992098</v>
      </c>
      <c r="F173" s="19">
        <v>4</v>
      </c>
      <c r="G173" s="3">
        <v>26.610000610351499</v>
      </c>
      <c r="H173" s="3">
        <v>0.230000000000048</v>
      </c>
      <c r="I173" s="19">
        <v>2</v>
      </c>
    </row>
    <row r="174" spans="1:9" x14ac:dyDescent="0.3">
      <c r="A174" s="3">
        <v>1996.3333333333601</v>
      </c>
      <c r="B174">
        <v>1996</v>
      </c>
      <c r="C174">
        <v>5</v>
      </c>
      <c r="D174" s="3"/>
      <c r="E174" s="3"/>
      <c r="F174" s="19"/>
      <c r="G174" s="3">
        <v>28.459999084472599</v>
      </c>
      <c r="H174" s="3">
        <v>0</v>
      </c>
      <c r="I174" s="19">
        <v>1</v>
      </c>
    </row>
    <row r="175" spans="1:9" x14ac:dyDescent="0.3">
      <c r="A175" s="3">
        <v>1996.4166666666899</v>
      </c>
      <c r="B175">
        <v>1996</v>
      </c>
      <c r="C175">
        <v>6</v>
      </c>
      <c r="D175" s="3">
        <v>29.446666717529201</v>
      </c>
      <c r="E175" s="3">
        <v>0.80309124983123603</v>
      </c>
      <c r="F175" s="19">
        <v>3</v>
      </c>
      <c r="G175" s="3">
        <v>27.159999847412099</v>
      </c>
      <c r="H175" s="3">
        <v>0</v>
      </c>
      <c r="I175" s="19">
        <v>1</v>
      </c>
    </row>
    <row r="176" spans="1:9" x14ac:dyDescent="0.3">
      <c r="A176" s="3">
        <v>1996.50000000003</v>
      </c>
      <c r="B176">
        <v>1996</v>
      </c>
      <c r="C176">
        <v>7</v>
      </c>
      <c r="D176" s="3">
        <v>30.559999465942301</v>
      </c>
      <c r="E176" s="3">
        <v>0.489999999999983</v>
      </c>
      <c r="F176" s="19">
        <v>2</v>
      </c>
      <c r="G176" s="3">
        <v>28.959999084472599</v>
      </c>
      <c r="H176" s="3">
        <v>0</v>
      </c>
      <c r="I176" s="19">
        <v>1</v>
      </c>
    </row>
    <row r="177" spans="1:9" x14ac:dyDescent="0.3">
      <c r="A177" s="3">
        <v>1996.5833333333601</v>
      </c>
      <c r="B177">
        <v>1996</v>
      </c>
      <c r="C177">
        <v>8</v>
      </c>
      <c r="D177" s="3">
        <v>29.8966674804687</v>
      </c>
      <c r="E177" s="3">
        <v>1.38085319840876</v>
      </c>
      <c r="F177" s="19">
        <v>3</v>
      </c>
      <c r="G177" s="3">
        <v>28.815000534057599</v>
      </c>
      <c r="H177" s="3">
        <v>1.0950000000000499</v>
      </c>
      <c r="I177" s="19">
        <v>2</v>
      </c>
    </row>
    <row r="178" spans="1:9" x14ac:dyDescent="0.3">
      <c r="A178" s="3">
        <v>1996.6666666666899</v>
      </c>
      <c r="B178">
        <v>1996</v>
      </c>
      <c r="C178">
        <v>9</v>
      </c>
      <c r="D178" s="3">
        <v>29.799999237060501</v>
      </c>
      <c r="E178" s="3">
        <v>0.190000000000386</v>
      </c>
      <c r="F178" s="19">
        <v>2</v>
      </c>
      <c r="G178" s="3">
        <v>28.299999237060501</v>
      </c>
      <c r="H178" s="3">
        <v>0.74000000000006905</v>
      </c>
      <c r="I178" s="19">
        <v>2</v>
      </c>
    </row>
    <row r="179" spans="1:9" x14ac:dyDescent="0.3">
      <c r="A179" s="3">
        <v>1996.75000000003</v>
      </c>
      <c r="B179">
        <v>1996</v>
      </c>
      <c r="C179">
        <v>10</v>
      </c>
      <c r="D179" s="3">
        <v>30.0949993133544</v>
      </c>
      <c r="E179" s="3">
        <v>0.56508848864594796</v>
      </c>
      <c r="F179" s="19">
        <v>4</v>
      </c>
      <c r="G179" s="3">
        <v>28.4799995422363</v>
      </c>
      <c r="H179" s="3">
        <v>0</v>
      </c>
      <c r="I179" s="19">
        <v>1</v>
      </c>
    </row>
    <row r="180" spans="1:9" x14ac:dyDescent="0.3">
      <c r="A180" s="3">
        <v>1996.8333333333601</v>
      </c>
      <c r="B180">
        <v>1996</v>
      </c>
      <c r="C180">
        <v>11</v>
      </c>
      <c r="D180" s="3">
        <v>29.790000915527301</v>
      </c>
      <c r="E180" s="3">
        <v>0</v>
      </c>
      <c r="F180" s="19">
        <v>1</v>
      </c>
      <c r="G180" s="3">
        <v>28.870000839233398</v>
      </c>
      <c r="H180" s="3">
        <v>0</v>
      </c>
      <c r="I180" s="19">
        <v>1</v>
      </c>
    </row>
    <row r="181" spans="1:9" x14ac:dyDescent="0.3">
      <c r="A181" s="3">
        <v>1996.9166666666899</v>
      </c>
      <c r="B181">
        <v>1996</v>
      </c>
      <c r="C181">
        <v>12</v>
      </c>
      <c r="D181" s="3">
        <v>27.763999938964801</v>
      </c>
      <c r="E181" s="3">
        <v>0.34748237365357398</v>
      </c>
      <c r="F181" s="19">
        <v>10</v>
      </c>
      <c r="G181" s="3">
        <v>27.421249389648398</v>
      </c>
      <c r="H181" s="3">
        <v>0.48742787928079201</v>
      </c>
      <c r="I181" s="19">
        <v>8</v>
      </c>
    </row>
    <row r="182" spans="1:9" x14ac:dyDescent="0.3">
      <c r="A182" s="3">
        <v>1997.00000000003</v>
      </c>
      <c r="B182">
        <v>1997</v>
      </c>
      <c r="C182">
        <v>1</v>
      </c>
      <c r="D182" s="3">
        <v>27.670000076293899</v>
      </c>
      <c r="E182" s="3">
        <v>0.89608550416195798</v>
      </c>
      <c r="F182" s="19">
        <v>13</v>
      </c>
      <c r="G182" s="3">
        <v>26.784999847412099</v>
      </c>
      <c r="H182" s="3">
        <v>0.60741254514551601</v>
      </c>
      <c r="I182" s="19">
        <v>8</v>
      </c>
    </row>
    <row r="183" spans="1:9" x14ac:dyDescent="0.3">
      <c r="A183" s="3">
        <v>1997.0833333333601</v>
      </c>
      <c r="B183">
        <v>1997</v>
      </c>
      <c r="C183">
        <v>2</v>
      </c>
      <c r="D183" s="3">
        <v>27.870000839233398</v>
      </c>
      <c r="E183" s="3">
        <v>0</v>
      </c>
      <c r="F183" s="19">
        <v>1</v>
      </c>
      <c r="G183" s="3">
        <v>26.9644451141357</v>
      </c>
      <c r="H183" s="3">
        <v>0.41955296609364701</v>
      </c>
      <c r="I183" s="19">
        <v>9</v>
      </c>
    </row>
    <row r="184" spans="1:9" x14ac:dyDescent="0.3">
      <c r="A184" s="3">
        <v>1997.1666666666899</v>
      </c>
      <c r="B184">
        <v>1997</v>
      </c>
      <c r="C184">
        <v>3</v>
      </c>
      <c r="D184" s="3">
        <v>26.961111068725501</v>
      </c>
      <c r="E184" s="3">
        <v>0.52301358479159599</v>
      </c>
      <c r="F184" s="19">
        <v>9</v>
      </c>
      <c r="G184" s="3">
        <v>26.472499847412099</v>
      </c>
      <c r="H184" s="3">
        <v>0.71635797615431096</v>
      </c>
      <c r="I184" s="19">
        <v>12</v>
      </c>
    </row>
    <row r="185" spans="1:9" x14ac:dyDescent="0.3">
      <c r="A185" s="3">
        <v>1997.25000000003</v>
      </c>
      <c r="B185">
        <v>1997</v>
      </c>
      <c r="C185">
        <v>4</v>
      </c>
      <c r="D185" s="3">
        <v>28.225000381469702</v>
      </c>
      <c r="E185" s="3">
        <v>1.125</v>
      </c>
      <c r="F185" s="19">
        <v>2</v>
      </c>
      <c r="G185" s="3">
        <v>26.942499160766602</v>
      </c>
      <c r="H185" s="3">
        <v>0.56157702054131498</v>
      </c>
      <c r="I185" s="19">
        <v>4</v>
      </c>
    </row>
    <row r="186" spans="1:9" x14ac:dyDescent="0.3">
      <c r="A186" s="3">
        <v>1997.3333333333601</v>
      </c>
      <c r="B186">
        <v>1997</v>
      </c>
      <c r="C186">
        <v>5</v>
      </c>
      <c r="D186" s="3">
        <v>28.040000915527301</v>
      </c>
      <c r="E186" s="3">
        <v>0.49000000000009902</v>
      </c>
      <c r="F186" s="19">
        <v>2</v>
      </c>
      <c r="G186" s="3">
        <v>27.549999237060501</v>
      </c>
      <c r="H186" s="3">
        <v>0.73397547642963001</v>
      </c>
      <c r="I186" s="19">
        <v>5</v>
      </c>
    </row>
    <row r="187" spans="1:9" x14ac:dyDescent="0.3">
      <c r="A187" s="3">
        <v>1997.4166666666899</v>
      </c>
      <c r="B187">
        <v>1997</v>
      </c>
      <c r="C187">
        <v>6</v>
      </c>
      <c r="D187" s="3">
        <v>29.2000007629394</v>
      </c>
      <c r="E187" s="3">
        <v>9.9999999999386094E-2</v>
      </c>
      <c r="F187" s="19">
        <v>2</v>
      </c>
      <c r="G187" s="3">
        <v>28.683332443237301</v>
      </c>
      <c r="H187" s="3">
        <v>0.64546279693126696</v>
      </c>
      <c r="I187" s="19">
        <v>3</v>
      </c>
    </row>
    <row r="188" spans="1:9" x14ac:dyDescent="0.3">
      <c r="A188" s="3">
        <v>1997.50000000003</v>
      </c>
      <c r="B188">
        <v>1997</v>
      </c>
      <c r="C188">
        <v>7</v>
      </c>
      <c r="D188" s="3">
        <v>30.7199993133544</v>
      </c>
      <c r="E188" s="3">
        <v>0</v>
      </c>
      <c r="F188" s="19">
        <v>1</v>
      </c>
      <c r="G188" s="3">
        <v>28.696666717529201</v>
      </c>
      <c r="H188" s="3">
        <v>0.71135238962298197</v>
      </c>
      <c r="I188" s="19">
        <v>3</v>
      </c>
    </row>
    <row r="189" spans="1:9" x14ac:dyDescent="0.3">
      <c r="A189" s="3">
        <v>1997.5833333333601</v>
      </c>
      <c r="B189">
        <v>1997</v>
      </c>
      <c r="C189">
        <v>8</v>
      </c>
      <c r="D189" s="3">
        <v>30.6774997711181</v>
      </c>
      <c r="E189" s="3">
        <v>0.43802825251336502</v>
      </c>
      <c r="F189" s="19">
        <v>4</v>
      </c>
      <c r="G189" s="3">
        <v>28.915000915527301</v>
      </c>
      <c r="H189" s="3">
        <v>0.70446788429287699</v>
      </c>
      <c r="I189" s="19">
        <v>4</v>
      </c>
    </row>
    <row r="190" spans="1:9" x14ac:dyDescent="0.3">
      <c r="A190" s="3">
        <v>1997.6666666666999</v>
      </c>
      <c r="B190">
        <v>1997</v>
      </c>
      <c r="C190">
        <v>9</v>
      </c>
      <c r="D190" s="3">
        <v>30.753334045410099</v>
      </c>
      <c r="E190" s="3">
        <v>0.42460439103818098</v>
      </c>
      <c r="F190" s="19">
        <v>3</v>
      </c>
      <c r="G190" s="3">
        <v>28.377500534057599</v>
      </c>
      <c r="H190" s="3">
        <v>0.44823961226102499</v>
      </c>
      <c r="I190" s="19">
        <v>4</v>
      </c>
    </row>
    <row r="191" spans="1:9" x14ac:dyDescent="0.3">
      <c r="A191" s="3">
        <v>1997.75000000003</v>
      </c>
      <c r="B191">
        <v>1997</v>
      </c>
      <c r="C191">
        <v>10</v>
      </c>
      <c r="D191" s="3">
        <v>29.631999969482401</v>
      </c>
      <c r="E191" s="3">
        <v>0.99756503547392406</v>
      </c>
      <c r="F191" s="19">
        <v>5</v>
      </c>
      <c r="G191" s="3">
        <v>29.315000534057599</v>
      </c>
      <c r="H191" s="3">
        <v>5.0000000050567902E-3</v>
      </c>
      <c r="I191" s="19">
        <v>2</v>
      </c>
    </row>
    <row r="192" spans="1:9" x14ac:dyDescent="0.3">
      <c r="A192" s="3">
        <v>1997.8333333333601</v>
      </c>
      <c r="B192">
        <v>1997</v>
      </c>
      <c r="C192">
        <v>11</v>
      </c>
      <c r="D192" s="3">
        <v>29.602857589721602</v>
      </c>
      <c r="E192" s="3">
        <v>0.91535651580158495</v>
      </c>
      <c r="F192" s="19">
        <v>7</v>
      </c>
      <c r="G192" s="3">
        <v>28.9799995422363</v>
      </c>
      <c r="H192" s="3">
        <v>0.869735592004794</v>
      </c>
      <c r="I192" s="19">
        <v>5</v>
      </c>
    </row>
    <row r="193" spans="1:9" x14ac:dyDescent="0.3">
      <c r="A193" s="3">
        <v>1997.9166666666999</v>
      </c>
      <c r="B193">
        <v>1997</v>
      </c>
      <c r="C193">
        <v>12</v>
      </c>
      <c r="D193" s="3">
        <v>28.5881252288818</v>
      </c>
      <c r="E193" s="3">
        <v>0.67003935285556004</v>
      </c>
      <c r="F193" s="19">
        <v>16</v>
      </c>
      <c r="G193" s="3">
        <v>28.379999160766602</v>
      </c>
      <c r="H193" s="3">
        <v>0.53834623307548302</v>
      </c>
      <c r="I193" s="19">
        <v>12</v>
      </c>
    </row>
    <row r="194" spans="1:9" x14ac:dyDescent="0.3">
      <c r="A194" s="3">
        <v>1998.00000000003</v>
      </c>
      <c r="B194">
        <v>1998</v>
      </c>
      <c r="C194">
        <v>1</v>
      </c>
      <c r="D194" s="3">
        <v>28.0590000152587</v>
      </c>
      <c r="E194" s="3">
        <v>0.53096986731874996</v>
      </c>
      <c r="F194" s="19">
        <v>10</v>
      </c>
      <c r="G194" s="3">
        <v>27.412500381469702</v>
      </c>
      <c r="H194" s="3">
        <v>0.38130532385468402</v>
      </c>
      <c r="I194" s="19">
        <v>8</v>
      </c>
    </row>
    <row r="195" spans="1:9" x14ac:dyDescent="0.3">
      <c r="A195" s="3">
        <v>1998.0833333333601</v>
      </c>
      <c r="B195">
        <v>1998</v>
      </c>
      <c r="C195">
        <v>2</v>
      </c>
      <c r="D195" s="3">
        <v>28.088750839233398</v>
      </c>
      <c r="E195" s="3">
        <v>0.90719950259027504</v>
      </c>
      <c r="F195" s="19">
        <v>8</v>
      </c>
      <c r="G195" s="3">
        <v>27.6542854309082</v>
      </c>
      <c r="H195" s="3">
        <v>0.47457822305280301</v>
      </c>
      <c r="I195" s="19">
        <v>7</v>
      </c>
    </row>
    <row r="196" spans="1:9" x14ac:dyDescent="0.3">
      <c r="A196" s="3">
        <v>1998.1666666666999</v>
      </c>
      <c r="B196">
        <v>1998</v>
      </c>
      <c r="C196">
        <v>3</v>
      </c>
      <c r="D196" s="3">
        <v>27.786666870117099</v>
      </c>
      <c r="E196" s="3">
        <v>0.81299173154194704</v>
      </c>
      <c r="F196" s="19">
        <v>3</v>
      </c>
      <c r="G196" s="3">
        <v>26.878334045410099</v>
      </c>
      <c r="H196" s="3">
        <v>0.33642317927830701</v>
      </c>
      <c r="I196" s="19">
        <v>6</v>
      </c>
    </row>
    <row r="197" spans="1:9" x14ac:dyDescent="0.3">
      <c r="A197" s="3">
        <v>1998.25000000003</v>
      </c>
      <c r="B197">
        <v>1998</v>
      </c>
      <c r="C197">
        <v>4</v>
      </c>
      <c r="D197" s="3">
        <v>26.9500007629394</v>
      </c>
      <c r="E197" s="3">
        <v>0</v>
      </c>
      <c r="F197" s="19">
        <v>1</v>
      </c>
      <c r="G197" s="3">
        <v>27.409999847412099</v>
      </c>
      <c r="H197" s="3">
        <v>0.97000000000002795</v>
      </c>
      <c r="I197" s="19">
        <v>2</v>
      </c>
    </row>
    <row r="198" spans="1:9" x14ac:dyDescent="0.3">
      <c r="A198" s="3">
        <v>1998.3333333333601</v>
      </c>
      <c r="B198">
        <v>1998</v>
      </c>
      <c r="C198">
        <v>5</v>
      </c>
      <c r="D198" s="3">
        <v>29.3850002288818</v>
      </c>
      <c r="E198" s="3">
        <v>0.49771980069128502</v>
      </c>
      <c r="F198" s="19">
        <v>4</v>
      </c>
      <c r="G198" s="3">
        <v>27.309999465942301</v>
      </c>
      <c r="H198" s="3">
        <v>0</v>
      </c>
      <c r="I198" s="19">
        <v>1</v>
      </c>
    </row>
    <row r="199" spans="1:9" x14ac:dyDescent="0.3">
      <c r="A199" s="3">
        <v>1998.4166666666999</v>
      </c>
      <c r="B199">
        <v>1998</v>
      </c>
      <c r="C199">
        <v>6</v>
      </c>
      <c r="D199" s="3">
        <v>30.684999465942301</v>
      </c>
      <c r="E199" s="3">
        <v>0.36499999999974098</v>
      </c>
      <c r="F199" s="19">
        <v>2</v>
      </c>
      <c r="G199" s="3">
        <v>29.473333358764599</v>
      </c>
      <c r="H199" s="3">
        <v>0.12657891697313101</v>
      </c>
      <c r="I199" s="19">
        <v>3</v>
      </c>
    </row>
    <row r="200" spans="1:9" x14ac:dyDescent="0.3">
      <c r="A200" s="3">
        <v>1998.50000000003</v>
      </c>
      <c r="B200">
        <v>1998</v>
      </c>
      <c r="C200">
        <v>7</v>
      </c>
      <c r="D200" s="3">
        <v>29.326665878295898</v>
      </c>
      <c r="E200" s="3">
        <v>1.3767191273297901</v>
      </c>
      <c r="F200" s="19">
        <v>3</v>
      </c>
      <c r="G200" s="3">
        <v>30.340000152587798</v>
      </c>
      <c r="H200" s="3">
        <v>0.69000000000006301</v>
      </c>
      <c r="I200" s="19">
        <v>2</v>
      </c>
    </row>
    <row r="201" spans="1:9" x14ac:dyDescent="0.3">
      <c r="A201" s="3">
        <v>1998.5833333333601</v>
      </c>
      <c r="B201">
        <v>1998</v>
      </c>
      <c r="C201">
        <v>8</v>
      </c>
      <c r="D201" s="3">
        <v>29.370000839233398</v>
      </c>
      <c r="E201" s="3">
        <v>0</v>
      </c>
      <c r="F201" s="19">
        <v>1</v>
      </c>
      <c r="G201" s="3">
        <v>28.815000534057599</v>
      </c>
      <c r="H201" s="3">
        <v>0.86500000000002697</v>
      </c>
      <c r="I201" s="19">
        <v>2</v>
      </c>
    </row>
    <row r="202" spans="1:9" x14ac:dyDescent="0.3">
      <c r="A202" s="3">
        <v>1998.6666666666999</v>
      </c>
      <c r="B202">
        <v>1998</v>
      </c>
      <c r="C202">
        <v>9</v>
      </c>
      <c r="D202" s="3">
        <v>31.3850002288818</v>
      </c>
      <c r="E202" s="3">
        <v>0.70500000000000496</v>
      </c>
      <c r="F202" s="19">
        <v>2</v>
      </c>
      <c r="G202" s="3">
        <v>28.389999389648398</v>
      </c>
      <c r="H202" s="3">
        <v>0</v>
      </c>
      <c r="I202" s="19">
        <v>1</v>
      </c>
    </row>
    <row r="203" spans="1:9" x14ac:dyDescent="0.3">
      <c r="A203" s="3">
        <v>1998.75000000003</v>
      </c>
      <c r="B203">
        <v>1998</v>
      </c>
      <c r="C203">
        <v>10</v>
      </c>
      <c r="D203" s="3">
        <v>29.629999160766602</v>
      </c>
      <c r="E203" s="3">
        <v>0</v>
      </c>
      <c r="F203" s="19">
        <v>1</v>
      </c>
      <c r="G203" s="3">
        <v>28.274999618530199</v>
      </c>
      <c r="H203" s="3">
        <v>0.705000000000086</v>
      </c>
      <c r="I203" s="19">
        <v>2</v>
      </c>
    </row>
    <row r="204" spans="1:9" x14ac:dyDescent="0.3">
      <c r="A204" s="3">
        <v>1998.8333333333601</v>
      </c>
      <c r="B204">
        <v>1998</v>
      </c>
      <c r="C204">
        <v>11</v>
      </c>
      <c r="D204" s="3">
        <v>29.546667098998999</v>
      </c>
      <c r="E204" s="3">
        <v>0.46792686987986298</v>
      </c>
      <c r="F204" s="19">
        <v>6</v>
      </c>
      <c r="G204" s="3">
        <v>28.892000198364201</v>
      </c>
      <c r="H204" s="3">
        <v>0.63549665616736695</v>
      </c>
      <c r="I204" s="19">
        <v>5</v>
      </c>
    </row>
    <row r="205" spans="1:9" x14ac:dyDescent="0.3">
      <c r="A205" s="3">
        <v>1998.9166666666999</v>
      </c>
      <c r="B205">
        <v>1998</v>
      </c>
      <c r="C205">
        <v>12</v>
      </c>
      <c r="D205" s="3">
        <v>29.255714416503899</v>
      </c>
      <c r="E205" s="3">
        <v>0.54068361868110104</v>
      </c>
      <c r="F205" s="19">
        <v>7</v>
      </c>
      <c r="G205" s="3">
        <v>28.334999084472599</v>
      </c>
      <c r="H205" s="3">
        <v>0.125</v>
      </c>
      <c r="I205" s="19">
        <v>2</v>
      </c>
    </row>
    <row r="206" spans="1:9" x14ac:dyDescent="0.3">
      <c r="A206" s="3">
        <v>1999.00000000003</v>
      </c>
      <c r="B206">
        <v>1999</v>
      </c>
      <c r="C206">
        <v>1</v>
      </c>
      <c r="D206" s="3">
        <v>28.1574993133544</v>
      </c>
      <c r="E206" s="3">
        <v>0.30593095626314398</v>
      </c>
      <c r="F206" s="19">
        <v>8</v>
      </c>
      <c r="G206" s="3">
        <v>27.245555877685501</v>
      </c>
      <c r="H206" s="3">
        <v>0.12374805148764199</v>
      </c>
      <c r="I206" s="19">
        <v>9</v>
      </c>
    </row>
    <row r="207" spans="1:9" x14ac:dyDescent="0.3">
      <c r="A207" s="3">
        <v>1999.0833333333601</v>
      </c>
      <c r="B207">
        <v>1999</v>
      </c>
      <c r="C207">
        <v>2</v>
      </c>
      <c r="D207" s="3">
        <v>26.889999389648398</v>
      </c>
      <c r="E207" s="3">
        <v>0.37850583438915197</v>
      </c>
      <c r="F207" s="19">
        <v>3</v>
      </c>
      <c r="G207" s="3">
        <v>26.677999496459901</v>
      </c>
      <c r="H207" s="3">
        <v>0.233015020975188</v>
      </c>
      <c r="I207" s="19">
        <v>5</v>
      </c>
    </row>
    <row r="208" spans="1:9" x14ac:dyDescent="0.3">
      <c r="A208" s="3">
        <v>1999.1666666666999</v>
      </c>
      <c r="B208">
        <v>1999</v>
      </c>
      <c r="C208">
        <v>3</v>
      </c>
      <c r="D208" s="3">
        <v>27.2000007629394</v>
      </c>
      <c r="E208" s="3">
        <v>0.52616537324302104</v>
      </c>
      <c r="F208" s="19">
        <v>4</v>
      </c>
      <c r="G208" s="3">
        <v>26.4899997711181</v>
      </c>
      <c r="H208" s="3">
        <v>0.399999999999818</v>
      </c>
      <c r="I208" s="19">
        <v>2</v>
      </c>
    </row>
    <row r="209" spans="1:9" x14ac:dyDescent="0.3">
      <c r="A209" s="3">
        <v>1999.25000000003</v>
      </c>
      <c r="B209">
        <v>1999</v>
      </c>
      <c r="C209">
        <v>4</v>
      </c>
      <c r="D209" s="3">
        <v>27.879999160766602</v>
      </c>
      <c r="E209" s="3">
        <v>0</v>
      </c>
      <c r="F209" s="19">
        <v>1</v>
      </c>
      <c r="G209" s="3"/>
      <c r="H209" s="3"/>
      <c r="I209" s="19"/>
    </row>
    <row r="210" spans="1:9" x14ac:dyDescent="0.3">
      <c r="A210" s="3">
        <v>1999.3333333333601</v>
      </c>
      <c r="B210">
        <v>1999</v>
      </c>
      <c r="C210">
        <v>5</v>
      </c>
      <c r="D210" s="3">
        <v>28.850000381469702</v>
      </c>
      <c r="E210" s="3">
        <v>0</v>
      </c>
      <c r="F210" s="19">
        <v>1</v>
      </c>
      <c r="G210" s="3">
        <v>28.1566658020019</v>
      </c>
      <c r="H210" s="3">
        <v>0.65839873092895596</v>
      </c>
      <c r="I210" s="19">
        <v>3</v>
      </c>
    </row>
    <row r="211" spans="1:9" x14ac:dyDescent="0.3">
      <c r="A211" s="3">
        <v>1999.4166666666999</v>
      </c>
      <c r="B211">
        <v>1999</v>
      </c>
      <c r="C211">
        <v>6</v>
      </c>
      <c r="D211" s="3"/>
      <c r="E211" s="3"/>
      <c r="F211" s="19"/>
      <c r="G211" s="3">
        <v>28.0633335113525</v>
      </c>
      <c r="H211" s="3">
        <v>1.20394721183652</v>
      </c>
      <c r="I211" s="19">
        <v>3</v>
      </c>
    </row>
    <row r="212" spans="1:9" x14ac:dyDescent="0.3">
      <c r="A212" s="3">
        <v>1999.50000000003</v>
      </c>
      <c r="B212">
        <v>1999</v>
      </c>
      <c r="C212">
        <v>7</v>
      </c>
      <c r="D212" s="3">
        <v>29.340000152587798</v>
      </c>
      <c r="E212" s="3">
        <v>0.98022956494897096</v>
      </c>
      <c r="F212" s="19">
        <v>4</v>
      </c>
      <c r="G212" s="3">
        <v>28.959999084472599</v>
      </c>
      <c r="H212" s="3">
        <v>1.0159724405711501</v>
      </c>
      <c r="I212" s="19">
        <v>3</v>
      </c>
    </row>
    <row r="213" spans="1:9" x14ac:dyDescent="0.3">
      <c r="A213" s="3">
        <v>1999.5833333333701</v>
      </c>
      <c r="B213">
        <v>1999</v>
      </c>
      <c r="C213">
        <v>8</v>
      </c>
      <c r="D213" s="3"/>
      <c r="E213" s="3"/>
      <c r="F213" s="19"/>
      <c r="G213" s="3">
        <v>28.8850002288818</v>
      </c>
      <c r="H213" s="3">
        <v>0.45500000000017299</v>
      </c>
      <c r="I213" s="19">
        <v>2</v>
      </c>
    </row>
    <row r="214" spans="1:9" x14ac:dyDescent="0.3">
      <c r="A214" s="3">
        <v>1999.6666666666999</v>
      </c>
      <c r="B214">
        <v>1999</v>
      </c>
      <c r="C214">
        <v>9</v>
      </c>
      <c r="D214" s="3">
        <v>31.2000007629394</v>
      </c>
      <c r="E214" s="3">
        <v>0</v>
      </c>
      <c r="F214" s="19">
        <v>1</v>
      </c>
      <c r="G214" s="3"/>
      <c r="H214" s="3"/>
      <c r="I214" s="19"/>
    </row>
    <row r="215" spans="1:9" x14ac:dyDescent="0.3">
      <c r="A215" s="3">
        <v>1999.75000000003</v>
      </c>
      <c r="B215">
        <v>1999</v>
      </c>
      <c r="C215">
        <v>10</v>
      </c>
      <c r="D215" s="3">
        <v>29.795000076293899</v>
      </c>
      <c r="E215" s="3">
        <v>0.76499999999994905</v>
      </c>
      <c r="F215" s="19">
        <v>2</v>
      </c>
      <c r="G215" s="3">
        <v>29.0100002288818</v>
      </c>
      <c r="H215" s="3">
        <v>0</v>
      </c>
      <c r="I215" s="19">
        <v>1</v>
      </c>
    </row>
    <row r="216" spans="1:9" x14ac:dyDescent="0.3">
      <c r="A216" s="3">
        <v>1999.8333333333701</v>
      </c>
      <c r="B216">
        <v>1999</v>
      </c>
      <c r="C216">
        <v>11</v>
      </c>
      <c r="D216" s="3">
        <v>28.947999954223601</v>
      </c>
      <c r="E216" s="3">
        <v>0.482758738916087</v>
      </c>
      <c r="F216" s="19">
        <v>5</v>
      </c>
      <c r="G216" s="3"/>
      <c r="H216" s="3"/>
      <c r="I216" s="19"/>
    </row>
    <row r="217" spans="1:9" x14ac:dyDescent="0.3">
      <c r="A217" s="3">
        <v>1999.9166666666999</v>
      </c>
      <c r="B217">
        <v>1999</v>
      </c>
      <c r="C217">
        <v>12</v>
      </c>
      <c r="D217" s="3">
        <v>27.8666667938232</v>
      </c>
      <c r="E217" s="3">
        <v>1.2128158237019999</v>
      </c>
      <c r="F217" s="19">
        <v>6</v>
      </c>
      <c r="G217" s="3">
        <v>27.423749923706001</v>
      </c>
      <c r="H217" s="3">
        <v>0.96943201798775103</v>
      </c>
      <c r="I217" s="19">
        <v>8</v>
      </c>
    </row>
    <row r="218" spans="1:9" x14ac:dyDescent="0.3">
      <c r="A218" s="3">
        <v>2000.00000000003</v>
      </c>
      <c r="B218">
        <v>2000</v>
      </c>
      <c r="C218">
        <v>1</v>
      </c>
      <c r="D218" s="3">
        <v>27.379999160766602</v>
      </c>
      <c r="E218" s="3">
        <v>0.38433616238179502</v>
      </c>
      <c r="F218" s="19">
        <v>14</v>
      </c>
      <c r="G218" s="3">
        <v>26.659999847412099</v>
      </c>
      <c r="H218" s="3">
        <v>0.60794736614292599</v>
      </c>
      <c r="I218" s="19">
        <v>7</v>
      </c>
    </row>
    <row r="219" spans="1:9" x14ac:dyDescent="0.3">
      <c r="A219" s="3">
        <v>2000.0833333333701</v>
      </c>
      <c r="B219">
        <v>2000</v>
      </c>
      <c r="C219">
        <v>2</v>
      </c>
      <c r="D219" s="3">
        <v>26.551111221313398</v>
      </c>
      <c r="E219" s="3">
        <v>0.655514122984449</v>
      </c>
      <c r="F219" s="19">
        <v>9</v>
      </c>
      <c r="G219" s="3">
        <v>25.520000457763601</v>
      </c>
      <c r="H219" s="3">
        <v>0</v>
      </c>
      <c r="I219" s="19">
        <v>1</v>
      </c>
    </row>
    <row r="220" spans="1:9" x14ac:dyDescent="0.3">
      <c r="A220" s="3">
        <v>2000.1666666666999</v>
      </c>
      <c r="B220">
        <v>2000</v>
      </c>
      <c r="C220">
        <v>3</v>
      </c>
      <c r="D220" s="3">
        <v>27.149999618530199</v>
      </c>
      <c r="E220" s="3">
        <v>0</v>
      </c>
      <c r="F220" s="19">
        <v>1</v>
      </c>
      <c r="G220" s="3">
        <v>25.972499847412099</v>
      </c>
      <c r="H220" s="3">
        <v>0.92237126473016695</v>
      </c>
      <c r="I220" s="19">
        <v>4</v>
      </c>
    </row>
    <row r="221" spans="1:9" x14ac:dyDescent="0.3">
      <c r="A221" s="3">
        <v>2000.25000000003</v>
      </c>
      <c r="B221">
        <v>2000</v>
      </c>
      <c r="C221">
        <v>4</v>
      </c>
      <c r="D221" s="3">
        <v>26.7399997711181</v>
      </c>
      <c r="E221" s="3">
        <v>0.28331372481169798</v>
      </c>
      <c r="F221" s="19">
        <v>3</v>
      </c>
      <c r="G221" s="3">
        <v>26.4839992523193</v>
      </c>
      <c r="H221" s="3">
        <v>0.30650285479926798</v>
      </c>
      <c r="I221" s="19">
        <v>5</v>
      </c>
    </row>
    <row r="222" spans="1:9" x14ac:dyDescent="0.3">
      <c r="A222" s="3">
        <v>2000.3333333333701</v>
      </c>
      <c r="B222">
        <v>2000</v>
      </c>
      <c r="C222">
        <v>5</v>
      </c>
      <c r="D222" s="3">
        <v>29.125</v>
      </c>
      <c r="E222" s="3">
        <v>9.4999999999744303E-2</v>
      </c>
      <c r="F222" s="19">
        <v>2</v>
      </c>
      <c r="G222" s="3">
        <v>26.610000610351499</v>
      </c>
      <c r="H222" s="3">
        <v>0</v>
      </c>
      <c r="I222" s="19">
        <v>1</v>
      </c>
    </row>
    <row r="223" spans="1:9" x14ac:dyDescent="0.3">
      <c r="A223" s="3">
        <v>2000.4166666666999</v>
      </c>
      <c r="B223">
        <v>2000</v>
      </c>
      <c r="C223">
        <v>6</v>
      </c>
      <c r="D223" s="3">
        <v>29.6280002593994</v>
      </c>
      <c r="E223" s="3">
        <v>0.34125650176972</v>
      </c>
      <c r="F223" s="19">
        <v>5</v>
      </c>
      <c r="G223" s="3">
        <v>28.610000610351499</v>
      </c>
      <c r="H223" s="3">
        <v>0.39255572852777298</v>
      </c>
      <c r="I223" s="19">
        <v>4</v>
      </c>
    </row>
    <row r="224" spans="1:9" x14ac:dyDescent="0.3">
      <c r="A224" s="3">
        <v>2000.50000000003</v>
      </c>
      <c r="B224">
        <v>2000</v>
      </c>
      <c r="C224">
        <v>7</v>
      </c>
      <c r="D224" s="3">
        <v>29.360000610351499</v>
      </c>
      <c r="E224" s="3">
        <v>0.41587257663858301</v>
      </c>
      <c r="F224" s="19">
        <v>4</v>
      </c>
      <c r="G224" s="3">
        <v>29.496665954589801</v>
      </c>
      <c r="H224" s="3">
        <v>0.21296843793268599</v>
      </c>
      <c r="I224" s="19">
        <v>3</v>
      </c>
    </row>
    <row r="225" spans="1:9" x14ac:dyDescent="0.3">
      <c r="A225" s="3">
        <v>2000.5833333333701</v>
      </c>
      <c r="B225">
        <v>2000</v>
      </c>
      <c r="C225">
        <v>8</v>
      </c>
      <c r="D225" s="3">
        <v>29.7560005187988</v>
      </c>
      <c r="E225" s="3">
        <v>0.485246329197629</v>
      </c>
      <c r="F225" s="19">
        <v>5</v>
      </c>
      <c r="G225" s="3">
        <v>29.420000076293899</v>
      </c>
      <c r="H225" s="3">
        <v>0</v>
      </c>
      <c r="I225" s="19">
        <v>1</v>
      </c>
    </row>
    <row r="226" spans="1:9" x14ac:dyDescent="0.3">
      <c r="A226" s="3">
        <v>2000.6666666666999</v>
      </c>
      <c r="B226">
        <v>2000</v>
      </c>
      <c r="C226">
        <v>9</v>
      </c>
      <c r="D226" s="3">
        <v>29.704999923706001</v>
      </c>
      <c r="E226" s="3">
        <v>0.18500000000028599</v>
      </c>
      <c r="F226" s="19">
        <v>2</v>
      </c>
      <c r="G226" s="3">
        <v>28.090000152587798</v>
      </c>
      <c r="H226" s="3">
        <v>0</v>
      </c>
      <c r="I226" s="19">
        <v>1</v>
      </c>
    </row>
    <row r="227" spans="1:9" x14ac:dyDescent="0.3">
      <c r="A227" s="3">
        <v>2000.75000000003</v>
      </c>
      <c r="B227">
        <v>2000</v>
      </c>
      <c r="C227">
        <v>10</v>
      </c>
      <c r="D227" s="3"/>
      <c r="E227" s="3"/>
      <c r="F227" s="19"/>
      <c r="G227" s="3">
        <v>27.379999160766602</v>
      </c>
      <c r="H227" s="3">
        <v>0</v>
      </c>
      <c r="I227" s="19">
        <v>1</v>
      </c>
    </row>
    <row r="228" spans="1:9" x14ac:dyDescent="0.3">
      <c r="A228" s="3">
        <v>2000.8333333333701</v>
      </c>
      <c r="B228">
        <v>2000</v>
      </c>
      <c r="C228">
        <v>11</v>
      </c>
      <c r="D228" s="3">
        <v>29.412857055663999</v>
      </c>
      <c r="E228" s="3">
        <v>0.86080882705448702</v>
      </c>
      <c r="F228" s="19">
        <v>7</v>
      </c>
      <c r="G228" s="3">
        <v>28.796667098998999</v>
      </c>
      <c r="H228" s="3">
        <v>0.21452790546252801</v>
      </c>
      <c r="I228" s="19">
        <v>3</v>
      </c>
    </row>
    <row r="229" spans="1:9" x14ac:dyDescent="0.3">
      <c r="A229" s="3">
        <v>2000.9166666666999</v>
      </c>
      <c r="B229">
        <v>2000</v>
      </c>
      <c r="C229">
        <v>12</v>
      </c>
      <c r="D229" s="3">
        <v>28.985000610351499</v>
      </c>
      <c r="E229" s="3">
        <v>0.48500000000001398</v>
      </c>
      <c r="F229" s="19">
        <v>2</v>
      </c>
      <c r="G229" s="3">
        <v>28.016666412353501</v>
      </c>
      <c r="H229" s="3">
        <v>0.50022217286148696</v>
      </c>
      <c r="I229" s="19">
        <v>6</v>
      </c>
    </row>
    <row r="230" spans="1:9" x14ac:dyDescent="0.3">
      <c r="A230" s="3">
        <v>2001.00000000003</v>
      </c>
      <c r="B230">
        <v>2001</v>
      </c>
      <c r="C230">
        <v>1</v>
      </c>
      <c r="D230" s="3">
        <v>27.5584621429443</v>
      </c>
      <c r="E230" s="3">
        <v>0.26772104178198403</v>
      </c>
      <c r="F230" s="19">
        <v>13</v>
      </c>
      <c r="G230" s="3">
        <v>26.9300003051757</v>
      </c>
      <c r="H230" s="3">
        <v>0.20825808164771201</v>
      </c>
      <c r="I230" s="19">
        <v>7</v>
      </c>
    </row>
    <row r="231" spans="1:9" x14ac:dyDescent="0.3">
      <c r="A231" s="3">
        <v>2001.0833333333701</v>
      </c>
      <c r="B231">
        <v>2001</v>
      </c>
      <c r="C231">
        <v>2</v>
      </c>
      <c r="D231" s="3">
        <v>27.21555519104</v>
      </c>
      <c r="E231" s="3">
        <v>0.71282086125966904</v>
      </c>
      <c r="F231" s="19">
        <v>9</v>
      </c>
      <c r="G231" s="3">
        <v>25.8966674804687</v>
      </c>
      <c r="H231" s="3">
        <v>0.51376605138475995</v>
      </c>
      <c r="I231" s="19">
        <v>6</v>
      </c>
    </row>
    <row r="232" spans="1:9" x14ac:dyDescent="0.3">
      <c r="A232" s="3">
        <v>2001.1666666666999</v>
      </c>
      <c r="B232">
        <v>2001</v>
      </c>
      <c r="C232">
        <v>3</v>
      </c>
      <c r="D232" s="3">
        <v>27.920000076293899</v>
      </c>
      <c r="E232" s="3">
        <v>0</v>
      </c>
      <c r="F232" s="19">
        <v>1</v>
      </c>
      <c r="G232" s="3">
        <v>26.389999389648398</v>
      </c>
      <c r="H232" s="3">
        <v>0.36551333764992</v>
      </c>
      <c r="I232" s="19">
        <v>7</v>
      </c>
    </row>
    <row r="233" spans="1:9" x14ac:dyDescent="0.3">
      <c r="A233" s="3">
        <v>2001.25000000004</v>
      </c>
      <c r="B233">
        <v>2001</v>
      </c>
      <c r="C233">
        <v>4</v>
      </c>
      <c r="D233" s="3">
        <v>26.965000152587798</v>
      </c>
      <c r="E233" s="3">
        <v>0.745</v>
      </c>
      <c r="F233" s="19">
        <v>2</v>
      </c>
      <c r="G233" s="3">
        <v>26.1414279937744</v>
      </c>
      <c r="H233" s="3">
        <v>0.342821426711239</v>
      </c>
      <c r="I233" s="19">
        <v>7</v>
      </c>
    </row>
    <row r="234" spans="1:9" x14ac:dyDescent="0.3">
      <c r="A234" s="3">
        <v>2001.3333333333701</v>
      </c>
      <c r="B234">
        <v>2001</v>
      </c>
      <c r="C234">
        <v>5</v>
      </c>
      <c r="D234" s="3"/>
      <c r="E234" s="3"/>
      <c r="F234" s="19"/>
      <c r="G234" s="3"/>
      <c r="H234" s="3"/>
      <c r="I234" s="19"/>
    </row>
    <row r="235" spans="1:9" x14ac:dyDescent="0.3">
      <c r="A235" s="3">
        <v>2001.4166666666999</v>
      </c>
      <c r="B235">
        <v>2001</v>
      </c>
      <c r="C235">
        <v>6</v>
      </c>
      <c r="D235" s="3">
        <v>29.780000686645501</v>
      </c>
      <c r="E235" s="3">
        <v>0</v>
      </c>
      <c r="F235" s="19">
        <v>1</v>
      </c>
      <c r="G235" s="3">
        <v>28.004999160766602</v>
      </c>
      <c r="H235" s="3">
        <v>0.22499999999992901</v>
      </c>
      <c r="I235" s="19">
        <v>2</v>
      </c>
    </row>
    <row r="236" spans="1:9" x14ac:dyDescent="0.3">
      <c r="A236" s="3">
        <v>2001.50000000004</v>
      </c>
      <c r="B236">
        <v>2001</v>
      </c>
      <c r="C236">
        <v>7</v>
      </c>
      <c r="D236" s="3"/>
      <c r="E236" s="3"/>
      <c r="F236" s="19"/>
      <c r="G236" s="3">
        <v>28.245000839233398</v>
      </c>
      <c r="H236" s="3">
        <v>0.52500000000009905</v>
      </c>
      <c r="I236" s="19">
        <v>2</v>
      </c>
    </row>
    <row r="237" spans="1:9" x14ac:dyDescent="0.3">
      <c r="A237" s="3">
        <v>2001.5833333333701</v>
      </c>
      <c r="B237">
        <v>2001</v>
      </c>
      <c r="C237">
        <v>8</v>
      </c>
      <c r="D237" s="3">
        <v>30.569999694824201</v>
      </c>
      <c r="E237" s="3">
        <v>0</v>
      </c>
      <c r="F237" s="19">
        <v>1</v>
      </c>
      <c r="G237" s="3"/>
      <c r="H237" s="3"/>
      <c r="I237" s="19"/>
    </row>
    <row r="238" spans="1:9" x14ac:dyDescent="0.3">
      <c r="A238" s="3">
        <v>2001.6666666666999</v>
      </c>
      <c r="B238">
        <v>2001</v>
      </c>
      <c r="C238">
        <v>9</v>
      </c>
      <c r="D238" s="3"/>
      <c r="E238" s="3"/>
      <c r="F238" s="19"/>
      <c r="G238" s="3">
        <v>28.5550003051757</v>
      </c>
      <c r="H238" s="3">
        <v>0.71499999999997699</v>
      </c>
      <c r="I238" s="19">
        <v>2</v>
      </c>
    </row>
    <row r="239" spans="1:9" x14ac:dyDescent="0.3">
      <c r="A239" s="3">
        <v>2001.75000000004</v>
      </c>
      <c r="B239">
        <v>2001</v>
      </c>
      <c r="C239">
        <v>10</v>
      </c>
      <c r="D239" s="3"/>
      <c r="E239" s="3"/>
      <c r="F239" s="19"/>
      <c r="G239" s="3"/>
      <c r="H239" s="3"/>
      <c r="I239" s="19"/>
    </row>
    <row r="240" spans="1:9" x14ac:dyDescent="0.3">
      <c r="A240" s="3">
        <v>2001.8333333333701</v>
      </c>
      <c r="B240">
        <v>2001</v>
      </c>
      <c r="C240">
        <v>11</v>
      </c>
      <c r="D240" s="3">
        <v>28.6049995422363</v>
      </c>
      <c r="E240" s="3">
        <v>0.49500000000005501</v>
      </c>
      <c r="F240" s="19">
        <v>2</v>
      </c>
      <c r="G240" s="3">
        <v>28.014999389648398</v>
      </c>
      <c r="H240" s="3">
        <v>4.4999999998773098E-2</v>
      </c>
      <c r="I240" s="19">
        <v>2</v>
      </c>
    </row>
    <row r="241" spans="1:9" x14ac:dyDescent="0.3">
      <c r="A241" s="3">
        <v>2001.9166666666999</v>
      </c>
      <c r="B241">
        <v>2001</v>
      </c>
      <c r="C241">
        <v>12</v>
      </c>
      <c r="D241" s="3">
        <v>28.784999847412099</v>
      </c>
      <c r="E241" s="3">
        <v>0.54481648286404905</v>
      </c>
      <c r="F241" s="19">
        <v>4</v>
      </c>
      <c r="G241" s="3">
        <v>27.649999618530199</v>
      </c>
      <c r="H241" s="3">
        <v>0</v>
      </c>
      <c r="I241" s="19">
        <v>1</v>
      </c>
    </row>
    <row r="242" spans="1:9" x14ac:dyDescent="0.3">
      <c r="A242" s="3">
        <v>2002.00000000004</v>
      </c>
      <c r="B242">
        <v>2002</v>
      </c>
      <c r="C242">
        <v>1</v>
      </c>
      <c r="D242" s="3">
        <v>28.573572158813398</v>
      </c>
      <c r="E242" s="3">
        <v>0.46063011412731403</v>
      </c>
      <c r="F242" s="19">
        <v>14</v>
      </c>
      <c r="G242" s="3">
        <v>27.567499160766602</v>
      </c>
      <c r="H242" s="3">
        <v>0.55764572086588104</v>
      </c>
      <c r="I242" s="19">
        <v>8</v>
      </c>
    </row>
    <row r="243" spans="1:9" x14ac:dyDescent="0.3">
      <c r="A243" s="3">
        <v>2002.0833333333701</v>
      </c>
      <c r="B243">
        <v>2002</v>
      </c>
      <c r="C243">
        <v>2</v>
      </c>
      <c r="D243" s="3">
        <v>27.2824993133544</v>
      </c>
      <c r="E243" s="3">
        <v>0.47536170438955599</v>
      </c>
      <c r="F243" s="19">
        <v>12</v>
      </c>
      <c r="G243" s="3">
        <v>26.974285125732401</v>
      </c>
      <c r="H243" s="3">
        <v>0.67709161952031605</v>
      </c>
      <c r="I243" s="19">
        <v>7</v>
      </c>
    </row>
    <row r="244" spans="1:9" x14ac:dyDescent="0.3">
      <c r="A244" s="3">
        <v>2002.1666666666999</v>
      </c>
      <c r="B244">
        <v>2002</v>
      </c>
      <c r="C244">
        <v>3</v>
      </c>
      <c r="D244" s="3">
        <v>26.996999740600501</v>
      </c>
      <c r="E244" s="3">
        <v>0.56169475696336202</v>
      </c>
      <c r="F244" s="19">
        <v>10</v>
      </c>
      <c r="G244" s="3">
        <v>26.851667404174801</v>
      </c>
      <c r="H244" s="3">
        <v>0.41232740496923198</v>
      </c>
      <c r="I244" s="19">
        <v>6</v>
      </c>
    </row>
    <row r="245" spans="1:9" x14ac:dyDescent="0.3">
      <c r="A245" s="3">
        <v>2002.25000000004</v>
      </c>
      <c r="B245">
        <v>2002</v>
      </c>
      <c r="C245">
        <v>4</v>
      </c>
      <c r="D245" s="3">
        <v>27.059999465942301</v>
      </c>
      <c r="E245" s="3">
        <v>0.57233440108617795</v>
      </c>
      <c r="F245" s="19">
        <v>6</v>
      </c>
      <c r="G245" s="3">
        <v>26.937999725341701</v>
      </c>
      <c r="H245" s="3">
        <v>0.44557378737998998</v>
      </c>
      <c r="I245" s="19">
        <v>5</v>
      </c>
    </row>
    <row r="246" spans="1:9" x14ac:dyDescent="0.3">
      <c r="A246" s="3">
        <v>2002.3333333333701</v>
      </c>
      <c r="B246">
        <v>2002</v>
      </c>
      <c r="C246">
        <v>5</v>
      </c>
      <c r="D246" s="3">
        <v>28.0100002288818</v>
      </c>
      <c r="E246" s="3">
        <v>0.54000000000001502</v>
      </c>
      <c r="F246" s="19">
        <v>2</v>
      </c>
      <c r="G246" s="3">
        <v>27.4300003051757</v>
      </c>
      <c r="H246" s="3">
        <v>0</v>
      </c>
      <c r="I246" s="19">
        <v>1</v>
      </c>
    </row>
    <row r="247" spans="1:9" x14ac:dyDescent="0.3">
      <c r="A247" s="3">
        <v>2002.4166666666999</v>
      </c>
      <c r="B247">
        <v>2002</v>
      </c>
      <c r="C247">
        <v>6</v>
      </c>
      <c r="D247" s="3"/>
      <c r="E247" s="3"/>
      <c r="F247" s="19"/>
      <c r="G247" s="3">
        <v>29.290000915527301</v>
      </c>
      <c r="H247" s="3">
        <v>0</v>
      </c>
      <c r="I247" s="19">
        <v>1</v>
      </c>
    </row>
    <row r="248" spans="1:9" x14ac:dyDescent="0.3">
      <c r="A248" s="3">
        <v>2002.50000000004</v>
      </c>
      <c r="B248">
        <v>2002</v>
      </c>
      <c r="C248">
        <v>7</v>
      </c>
      <c r="D248" s="3">
        <v>30.235000610351499</v>
      </c>
      <c r="E248" s="3">
        <v>0.44499999999990503</v>
      </c>
      <c r="F248" s="19">
        <v>2</v>
      </c>
      <c r="G248" s="3"/>
      <c r="H248" s="3"/>
      <c r="I248" s="19"/>
    </row>
    <row r="249" spans="1:9" x14ac:dyDescent="0.3">
      <c r="A249" s="3">
        <v>2002.5833333333701</v>
      </c>
      <c r="B249">
        <v>2002</v>
      </c>
      <c r="C249">
        <v>8</v>
      </c>
      <c r="D249" s="3">
        <v>31.0550003051757</v>
      </c>
      <c r="E249" s="3">
        <v>8.4999999999697096E-2</v>
      </c>
      <c r="F249" s="19">
        <v>2</v>
      </c>
      <c r="G249" s="3">
        <v>29.413333892822202</v>
      </c>
      <c r="H249" s="3">
        <v>0.42240054713754899</v>
      </c>
      <c r="I249" s="19">
        <v>3</v>
      </c>
    </row>
    <row r="250" spans="1:9" x14ac:dyDescent="0.3">
      <c r="A250" s="3">
        <v>2002.6666666666999</v>
      </c>
      <c r="B250">
        <v>2002</v>
      </c>
      <c r="C250">
        <v>9</v>
      </c>
      <c r="D250" s="3">
        <v>30.2000007629394</v>
      </c>
      <c r="E250" s="3">
        <v>0.41999999999979798</v>
      </c>
      <c r="F250" s="19">
        <v>2</v>
      </c>
      <c r="G250" s="3">
        <v>28.245000839233398</v>
      </c>
      <c r="H250" s="3">
        <v>0.32500000000004797</v>
      </c>
      <c r="I250" s="19">
        <v>2</v>
      </c>
    </row>
    <row r="251" spans="1:9" x14ac:dyDescent="0.3">
      <c r="A251" s="3">
        <v>2002.75000000004</v>
      </c>
      <c r="B251">
        <v>2002</v>
      </c>
      <c r="C251">
        <v>10</v>
      </c>
      <c r="D251" s="3">
        <v>30.863332748413001</v>
      </c>
      <c r="E251" s="3">
        <v>0.40581878824017997</v>
      </c>
      <c r="F251" s="19">
        <v>3</v>
      </c>
      <c r="G251" s="3">
        <v>29.924999237060501</v>
      </c>
      <c r="H251" s="3">
        <v>0.40500000000018699</v>
      </c>
      <c r="I251" s="19">
        <v>2</v>
      </c>
    </row>
    <row r="252" spans="1:9" x14ac:dyDescent="0.3">
      <c r="A252" s="3">
        <v>2002.8333333333701</v>
      </c>
      <c r="B252">
        <v>2002</v>
      </c>
      <c r="C252">
        <v>11</v>
      </c>
      <c r="D252" s="3">
        <v>30.0550003051757</v>
      </c>
      <c r="E252" s="3">
        <v>0.36211186116983701</v>
      </c>
      <c r="F252" s="19">
        <v>4</v>
      </c>
      <c r="G252" s="3">
        <v>28.870000839233398</v>
      </c>
      <c r="H252" s="3">
        <v>0.55664171600748302</v>
      </c>
      <c r="I252" s="19">
        <v>4</v>
      </c>
    </row>
    <row r="253" spans="1:9" x14ac:dyDescent="0.3">
      <c r="A253" s="3">
        <v>2002.9166666666999</v>
      </c>
      <c r="B253">
        <v>2002</v>
      </c>
      <c r="C253">
        <v>12</v>
      </c>
      <c r="D253" s="3">
        <v>29.2859992980957</v>
      </c>
      <c r="E253" s="3">
        <v>0.37987366320924498</v>
      </c>
      <c r="F253" s="19">
        <v>5</v>
      </c>
      <c r="G253" s="3">
        <v>28.451250076293899</v>
      </c>
      <c r="H253" s="3">
        <v>0.32413104988562302</v>
      </c>
      <c r="I253" s="19">
        <v>8</v>
      </c>
    </row>
    <row r="254" spans="1:9" x14ac:dyDescent="0.3">
      <c r="A254" s="3">
        <v>2003.00000000004</v>
      </c>
      <c r="B254">
        <v>2003</v>
      </c>
      <c r="C254">
        <v>1</v>
      </c>
      <c r="D254" s="3">
        <v>28.840000152587798</v>
      </c>
      <c r="E254" s="3">
        <v>0</v>
      </c>
      <c r="F254" s="19">
        <v>1</v>
      </c>
      <c r="G254" s="3">
        <v>27.5090007781982</v>
      </c>
      <c r="H254" s="3">
        <v>0.540674578651411</v>
      </c>
      <c r="I254" s="19">
        <v>10</v>
      </c>
    </row>
    <row r="255" spans="1:9" x14ac:dyDescent="0.3">
      <c r="A255" s="3">
        <v>2003.0833333333701</v>
      </c>
      <c r="B255">
        <v>2003</v>
      </c>
      <c r="C255">
        <v>2</v>
      </c>
      <c r="D255" s="3">
        <v>28.037500381469702</v>
      </c>
      <c r="E255" s="3">
        <v>5.6291651244855898E-2</v>
      </c>
      <c r="F255" s="19">
        <v>4</v>
      </c>
      <c r="G255" s="3">
        <v>27.731817245483398</v>
      </c>
      <c r="H255" s="3">
        <v>0.28815457284434698</v>
      </c>
      <c r="I255" s="19">
        <v>11</v>
      </c>
    </row>
    <row r="256" spans="1:9" x14ac:dyDescent="0.3">
      <c r="A256" s="3">
        <v>2003.1666666667099</v>
      </c>
      <c r="B256">
        <v>2003</v>
      </c>
      <c r="C256">
        <v>3</v>
      </c>
      <c r="D256" s="3">
        <v>27.625999450683501</v>
      </c>
      <c r="E256" s="3">
        <v>0.71798607228816202</v>
      </c>
      <c r="F256" s="19">
        <v>5</v>
      </c>
      <c r="G256" s="3">
        <v>27.421667098998999</v>
      </c>
      <c r="H256" s="3">
        <v>0.67375605542519301</v>
      </c>
      <c r="I256" s="19">
        <v>12</v>
      </c>
    </row>
    <row r="257" spans="1:9" x14ac:dyDescent="0.3">
      <c r="A257" s="3">
        <v>2003.25000000004</v>
      </c>
      <c r="B257">
        <v>2003</v>
      </c>
      <c r="C257">
        <v>4</v>
      </c>
      <c r="D257" s="3">
        <v>27.7199993133544</v>
      </c>
      <c r="E257" s="3">
        <v>0.209920619918154</v>
      </c>
      <c r="F257" s="19">
        <v>3</v>
      </c>
      <c r="G257" s="3">
        <v>27.7199993133544</v>
      </c>
      <c r="H257" s="3">
        <v>0.776479233463513</v>
      </c>
      <c r="I257" s="19">
        <v>5</v>
      </c>
    </row>
    <row r="258" spans="1:9" x14ac:dyDescent="0.3">
      <c r="A258" s="3">
        <v>2003.3333333333701</v>
      </c>
      <c r="B258">
        <v>2003</v>
      </c>
      <c r="C258">
        <v>5</v>
      </c>
      <c r="D258" s="3">
        <v>29.530000686645501</v>
      </c>
      <c r="E258" s="3">
        <v>0.11999999999962301</v>
      </c>
      <c r="F258" s="19">
        <v>2</v>
      </c>
      <c r="G258" s="3">
        <v>29.446666717529201</v>
      </c>
      <c r="H258" s="3">
        <v>0.55403569880961301</v>
      </c>
      <c r="I258" s="19">
        <v>3</v>
      </c>
    </row>
    <row r="259" spans="1:9" x14ac:dyDescent="0.3">
      <c r="A259" s="3">
        <v>2003.4166666667099</v>
      </c>
      <c r="B259">
        <v>2003</v>
      </c>
      <c r="C259">
        <v>6</v>
      </c>
      <c r="D259" s="3">
        <v>29.120000839233398</v>
      </c>
      <c r="E259" s="3">
        <v>0</v>
      </c>
      <c r="F259" s="19">
        <v>1</v>
      </c>
      <c r="G259" s="3">
        <v>28.850000381469702</v>
      </c>
      <c r="H259" s="3">
        <v>0</v>
      </c>
      <c r="I259" s="19">
        <v>1</v>
      </c>
    </row>
    <row r="260" spans="1:9" x14ac:dyDescent="0.3">
      <c r="A260" s="3">
        <v>2003.50000000004</v>
      </c>
      <c r="B260">
        <v>2003</v>
      </c>
      <c r="C260">
        <v>7</v>
      </c>
      <c r="D260" s="3">
        <v>30.540000915527301</v>
      </c>
      <c r="E260" s="3">
        <v>0.17682382946466399</v>
      </c>
      <c r="F260" s="19">
        <v>3</v>
      </c>
      <c r="G260" s="3">
        <v>29.3250007629394</v>
      </c>
      <c r="H260" s="3">
        <v>0.625</v>
      </c>
      <c r="I260" s="19">
        <v>2</v>
      </c>
    </row>
    <row r="261" spans="1:9" x14ac:dyDescent="0.3">
      <c r="A261" s="3">
        <v>2003.5833333333701</v>
      </c>
      <c r="B261">
        <v>2003</v>
      </c>
      <c r="C261">
        <v>8</v>
      </c>
      <c r="D261" s="3">
        <v>29.2000007629394</v>
      </c>
      <c r="E261" s="3">
        <v>1.6200000000000101</v>
      </c>
      <c r="F261" s="19">
        <v>2</v>
      </c>
      <c r="G261" s="3">
        <v>29.4300003051757</v>
      </c>
      <c r="H261" s="3">
        <v>0.99441775259021803</v>
      </c>
      <c r="I261" s="19">
        <v>3</v>
      </c>
    </row>
    <row r="262" spans="1:9" x14ac:dyDescent="0.3">
      <c r="A262" s="3">
        <v>2003.6666666667099</v>
      </c>
      <c r="B262">
        <v>2003</v>
      </c>
      <c r="C262">
        <v>9</v>
      </c>
      <c r="D262" s="3">
        <v>30.295000076293899</v>
      </c>
      <c r="E262" s="3">
        <v>0.88499999999994405</v>
      </c>
      <c r="F262" s="19">
        <v>2</v>
      </c>
      <c r="G262" s="3"/>
      <c r="H262" s="3"/>
      <c r="I262" s="19"/>
    </row>
    <row r="263" spans="1:9" x14ac:dyDescent="0.3">
      <c r="A263" s="3">
        <v>2003.75000000004</v>
      </c>
      <c r="B263">
        <v>2003</v>
      </c>
      <c r="C263">
        <v>10</v>
      </c>
      <c r="D263" s="3"/>
      <c r="E263" s="3"/>
      <c r="F263" s="19"/>
      <c r="G263" s="3">
        <v>28.736665725708001</v>
      </c>
      <c r="H263" s="3">
        <v>0.274023518860396</v>
      </c>
      <c r="I263" s="19">
        <v>3</v>
      </c>
    </row>
    <row r="264" spans="1:9" x14ac:dyDescent="0.3">
      <c r="A264" s="3">
        <v>2003.8333333333701</v>
      </c>
      <c r="B264">
        <v>2003</v>
      </c>
      <c r="C264">
        <v>11</v>
      </c>
      <c r="D264" s="3">
        <v>29.7933330535888</v>
      </c>
      <c r="E264" s="3">
        <v>0.41346772008905402</v>
      </c>
      <c r="F264" s="19">
        <v>3</v>
      </c>
      <c r="G264" s="3">
        <v>29.482500076293899</v>
      </c>
      <c r="H264" s="3">
        <v>0.24963723680556399</v>
      </c>
      <c r="I264" s="19">
        <v>4</v>
      </c>
    </row>
    <row r="265" spans="1:9" x14ac:dyDescent="0.3">
      <c r="A265" s="3">
        <v>2003.9166666667099</v>
      </c>
      <c r="B265">
        <v>2003</v>
      </c>
      <c r="C265">
        <v>12</v>
      </c>
      <c r="D265" s="3">
        <v>28.914443969726499</v>
      </c>
      <c r="E265" s="3">
        <v>0.82645307873949403</v>
      </c>
      <c r="F265" s="19">
        <v>9</v>
      </c>
      <c r="G265" s="3">
        <v>28.625</v>
      </c>
      <c r="H265" s="3">
        <v>0.50405852834759501</v>
      </c>
      <c r="I265" s="19">
        <v>8</v>
      </c>
    </row>
    <row r="266" spans="1:9" x14ac:dyDescent="0.3">
      <c r="A266" s="3">
        <v>2004.00000000004</v>
      </c>
      <c r="B266">
        <v>2004</v>
      </c>
      <c r="C266">
        <v>1</v>
      </c>
      <c r="D266" s="3">
        <v>28.066667556762599</v>
      </c>
      <c r="E266" s="3">
        <v>0.35447927380231398</v>
      </c>
      <c r="F266" s="19">
        <v>6</v>
      </c>
      <c r="G266" s="3">
        <v>27.358333587646399</v>
      </c>
      <c r="H266" s="3">
        <v>0.52186897035801105</v>
      </c>
      <c r="I266" s="19">
        <v>12</v>
      </c>
    </row>
    <row r="267" spans="1:9" x14ac:dyDescent="0.3">
      <c r="A267" s="3">
        <v>2004.0833333333701</v>
      </c>
      <c r="B267">
        <v>2004</v>
      </c>
      <c r="C267">
        <v>2</v>
      </c>
      <c r="D267" s="3">
        <v>28.090000152587798</v>
      </c>
      <c r="E267" s="3">
        <v>0.31164884084459199</v>
      </c>
      <c r="F267" s="19">
        <v>8</v>
      </c>
      <c r="G267" s="3">
        <v>27.400526046752901</v>
      </c>
      <c r="H267" s="3">
        <v>0.425607598915694</v>
      </c>
      <c r="I267" s="19">
        <v>19</v>
      </c>
    </row>
    <row r="268" spans="1:9" x14ac:dyDescent="0.3">
      <c r="A268" s="3">
        <v>2004.1666666667099</v>
      </c>
      <c r="B268">
        <v>2004</v>
      </c>
      <c r="C268">
        <v>3</v>
      </c>
      <c r="D268" s="3">
        <v>27.078750610351499</v>
      </c>
      <c r="E268" s="3">
        <v>0.30076724805087601</v>
      </c>
      <c r="F268" s="19">
        <v>8</v>
      </c>
      <c r="G268" s="3">
        <v>26.873846054077099</v>
      </c>
      <c r="H268" s="3">
        <v>0.32054133206495999</v>
      </c>
      <c r="I268" s="19">
        <v>13</v>
      </c>
    </row>
    <row r="269" spans="1:9" x14ac:dyDescent="0.3">
      <c r="A269" s="3">
        <v>2004.25000000004</v>
      </c>
      <c r="B269">
        <v>2004</v>
      </c>
      <c r="C269">
        <v>4</v>
      </c>
      <c r="D269" s="3">
        <v>28.420000076293899</v>
      </c>
      <c r="E269" s="3">
        <v>1.25517595048137</v>
      </c>
      <c r="F269" s="19">
        <v>3</v>
      </c>
      <c r="G269" s="3">
        <v>27.786666870117099</v>
      </c>
      <c r="H269" s="3">
        <v>0.80673553425035605</v>
      </c>
      <c r="I269" s="19">
        <v>3</v>
      </c>
    </row>
    <row r="270" spans="1:9" x14ac:dyDescent="0.3">
      <c r="A270" s="3">
        <v>2004.3333333333701</v>
      </c>
      <c r="B270">
        <v>2004</v>
      </c>
      <c r="C270">
        <v>5</v>
      </c>
      <c r="D270" s="3">
        <v>29.534999847412099</v>
      </c>
      <c r="E270" s="3">
        <v>0.22499999999992901</v>
      </c>
      <c r="F270" s="19">
        <v>2</v>
      </c>
      <c r="G270" s="3">
        <v>28.860000610351499</v>
      </c>
      <c r="H270" s="3">
        <v>0</v>
      </c>
      <c r="I270" s="19">
        <v>1</v>
      </c>
    </row>
    <row r="271" spans="1:9" x14ac:dyDescent="0.3">
      <c r="A271" s="3">
        <v>2004.4166666667099</v>
      </c>
      <c r="B271">
        <v>2004</v>
      </c>
      <c r="C271">
        <v>6</v>
      </c>
      <c r="D271" s="3"/>
      <c r="E271" s="3"/>
      <c r="F271" s="19"/>
      <c r="G271" s="3">
        <v>29.9699993133544</v>
      </c>
      <c r="H271" s="3">
        <v>0</v>
      </c>
      <c r="I271" s="19">
        <v>1</v>
      </c>
    </row>
    <row r="272" spans="1:9" x14ac:dyDescent="0.3">
      <c r="A272" s="3">
        <v>2004.50000000004</v>
      </c>
      <c r="B272">
        <v>2004</v>
      </c>
      <c r="C272">
        <v>7</v>
      </c>
      <c r="D272" s="3">
        <v>29.402500152587798</v>
      </c>
      <c r="E272" s="3">
        <v>0.65845937611979</v>
      </c>
      <c r="F272" s="19">
        <v>4</v>
      </c>
      <c r="G272" s="3">
        <v>27.280000686645501</v>
      </c>
      <c r="H272" s="3">
        <v>0</v>
      </c>
      <c r="I272" s="19">
        <v>1</v>
      </c>
    </row>
    <row r="273" spans="1:9" x14ac:dyDescent="0.3">
      <c r="A273" s="3">
        <v>2004.5833333333701</v>
      </c>
      <c r="B273">
        <v>2004</v>
      </c>
      <c r="C273">
        <v>8</v>
      </c>
      <c r="D273" s="3"/>
      <c r="E273" s="3"/>
      <c r="F273" s="19"/>
      <c r="G273" s="3">
        <v>29.996665954589801</v>
      </c>
      <c r="H273" s="3">
        <v>0.60450163128175405</v>
      </c>
      <c r="I273" s="19">
        <v>3</v>
      </c>
    </row>
    <row r="274" spans="1:9" x14ac:dyDescent="0.3">
      <c r="A274" s="3">
        <v>2004.6666666667099</v>
      </c>
      <c r="B274">
        <v>2004</v>
      </c>
      <c r="C274">
        <v>9</v>
      </c>
      <c r="D274" s="3">
        <v>30.026666641235298</v>
      </c>
      <c r="E274" s="3">
        <v>0.44514666746549297</v>
      </c>
      <c r="F274" s="19">
        <v>3</v>
      </c>
      <c r="G274" s="3"/>
      <c r="H274" s="3"/>
      <c r="I274" s="19"/>
    </row>
    <row r="275" spans="1:9" x14ac:dyDescent="0.3">
      <c r="A275" s="3">
        <v>2004.75000000004</v>
      </c>
      <c r="B275">
        <v>2004</v>
      </c>
      <c r="C275">
        <v>10</v>
      </c>
      <c r="D275" s="3"/>
      <c r="E275" s="3"/>
      <c r="F275" s="19"/>
      <c r="G275" s="3">
        <v>29.143333435058501</v>
      </c>
      <c r="H275" s="3">
        <v>0.41411216945253898</v>
      </c>
      <c r="I275" s="19">
        <v>3</v>
      </c>
    </row>
    <row r="276" spans="1:9" x14ac:dyDescent="0.3">
      <c r="A276" s="3">
        <v>2004.8333333333701</v>
      </c>
      <c r="B276">
        <v>2004</v>
      </c>
      <c r="C276">
        <v>11</v>
      </c>
      <c r="D276" s="3">
        <v>29.1242866516113</v>
      </c>
      <c r="E276" s="3">
        <v>0.45289094060438301</v>
      </c>
      <c r="F276" s="19">
        <v>7</v>
      </c>
      <c r="G276" s="3">
        <v>28.7000007629394</v>
      </c>
      <c r="H276" s="3">
        <v>0.43711173247403601</v>
      </c>
      <c r="I276" s="19">
        <v>6</v>
      </c>
    </row>
    <row r="277" spans="1:9" x14ac:dyDescent="0.3">
      <c r="A277" s="3">
        <v>2004.9166666667099</v>
      </c>
      <c r="B277">
        <v>2004</v>
      </c>
      <c r="C277">
        <v>12</v>
      </c>
      <c r="D277" s="3">
        <v>28.051250457763601</v>
      </c>
      <c r="E277" s="3">
        <v>0.25847811802937698</v>
      </c>
      <c r="F277" s="19">
        <v>8</v>
      </c>
      <c r="G277" s="3">
        <v>27.6911106109619</v>
      </c>
      <c r="H277" s="3">
        <v>0.23086525384294801</v>
      </c>
      <c r="I277" s="19">
        <v>9</v>
      </c>
    </row>
    <row r="278" spans="1:9" x14ac:dyDescent="0.3">
      <c r="A278" s="3">
        <v>2005.00000000004</v>
      </c>
      <c r="B278">
        <v>2005</v>
      </c>
      <c r="C278">
        <v>1</v>
      </c>
      <c r="D278" s="3">
        <v>27.508333206176701</v>
      </c>
      <c r="E278" s="3">
        <v>0.70831764688520604</v>
      </c>
      <c r="F278" s="19">
        <v>6</v>
      </c>
      <c r="G278" s="3">
        <v>27.411428451538001</v>
      </c>
      <c r="H278" s="3">
        <v>0.54149076159991205</v>
      </c>
      <c r="I278" s="19">
        <v>7</v>
      </c>
    </row>
    <row r="279" spans="1:9" x14ac:dyDescent="0.3">
      <c r="A279" s="3">
        <v>2005.0833333333801</v>
      </c>
      <c r="B279">
        <v>2005</v>
      </c>
      <c r="C279">
        <v>2</v>
      </c>
      <c r="D279" s="3">
        <v>27.030000686645501</v>
      </c>
      <c r="E279" s="3">
        <v>0.32765835866031401</v>
      </c>
      <c r="F279" s="19">
        <v>5</v>
      </c>
      <c r="G279" s="3">
        <v>26.3563632965087</v>
      </c>
      <c r="H279" s="3">
        <v>0.42589526512931603</v>
      </c>
      <c r="I279" s="19">
        <v>11</v>
      </c>
    </row>
    <row r="280" spans="1:9" x14ac:dyDescent="0.3">
      <c r="A280" s="3">
        <v>2005.1666666667099</v>
      </c>
      <c r="B280">
        <v>2005</v>
      </c>
      <c r="C280">
        <v>3</v>
      </c>
      <c r="D280" s="3">
        <v>27.9066658020019</v>
      </c>
      <c r="E280" s="3">
        <v>0.58499762582600501</v>
      </c>
      <c r="F280" s="19">
        <v>6</v>
      </c>
      <c r="G280" s="3">
        <v>27.251111984252901</v>
      </c>
      <c r="H280" s="3">
        <v>0.42254373723521899</v>
      </c>
      <c r="I280" s="19">
        <v>9</v>
      </c>
    </row>
    <row r="281" spans="1:9" x14ac:dyDescent="0.3">
      <c r="A281" s="3">
        <v>2005.25000000004</v>
      </c>
      <c r="B281">
        <v>2005</v>
      </c>
      <c r="C281">
        <v>4</v>
      </c>
      <c r="D281" s="3">
        <v>28.856000900268501</v>
      </c>
      <c r="E281" s="3">
        <v>0.40628069114835302</v>
      </c>
      <c r="F281" s="19">
        <v>5</v>
      </c>
      <c r="G281" s="3">
        <v>27.530000686645501</v>
      </c>
      <c r="H281" s="3">
        <v>0</v>
      </c>
      <c r="I281" s="19">
        <v>1</v>
      </c>
    </row>
    <row r="282" spans="1:9" x14ac:dyDescent="0.3">
      <c r="A282" s="3">
        <v>2005.3333333333801</v>
      </c>
      <c r="B282">
        <v>2005</v>
      </c>
      <c r="C282">
        <v>5</v>
      </c>
      <c r="D282" s="3">
        <v>30.0750007629394</v>
      </c>
      <c r="E282" s="3">
        <v>1.60499999999998</v>
      </c>
      <c r="F282" s="19">
        <v>2</v>
      </c>
      <c r="G282" s="3">
        <v>29.1666660308837</v>
      </c>
      <c r="H282" s="3">
        <v>0.41603952803657201</v>
      </c>
      <c r="I282" s="19">
        <v>3</v>
      </c>
    </row>
    <row r="283" spans="1:9" x14ac:dyDescent="0.3">
      <c r="A283" s="3">
        <v>2005.4166666667099</v>
      </c>
      <c r="B283">
        <v>2005</v>
      </c>
      <c r="C283">
        <v>6</v>
      </c>
      <c r="D283" s="3"/>
      <c r="E283" s="3"/>
      <c r="F283" s="19"/>
      <c r="G283" s="3">
        <v>30.149999618530199</v>
      </c>
      <c r="H283" s="3">
        <v>0.78000000000004699</v>
      </c>
      <c r="I283" s="19">
        <v>2</v>
      </c>
    </row>
    <row r="284" spans="1:9" x14ac:dyDescent="0.3">
      <c r="A284" s="3">
        <v>2005.50000000004</v>
      </c>
      <c r="B284">
        <v>2005</v>
      </c>
      <c r="C284">
        <v>7</v>
      </c>
      <c r="D284" s="3">
        <v>30.6800003051757</v>
      </c>
      <c r="E284" s="3">
        <v>0</v>
      </c>
      <c r="F284" s="19">
        <v>1</v>
      </c>
      <c r="G284" s="3">
        <v>30.2000007629394</v>
      </c>
      <c r="H284" s="3">
        <v>0.230000000000048</v>
      </c>
      <c r="I284" s="19">
        <v>2</v>
      </c>
    </row>
    <row r="285" spans="1:9" x14ac:dyDescent="0.3">
      <c r="A285" s="3">
        <v>2005.5833333333801</v>
      </c>
      <c r="B285">
        <v>2005</v>
      </c>
      <c r="C285">
        <v>8</v>
      </c>
      <c r="D285" s="3"/>
      <c r="E285" s="3"/>
      <c r="F285" s="19"/>
      <c r="G285" s="3"/>
      <c r="H285" s="3"/>
      <c r="I285" s="19"/>
    </row>
    <row r="286" spans="1:9" x14ac:dyDescent="0.3">
      <c r="A286" s="3">
        <v>2005.6666666667099</v>
      </c>
      <c r="B286">
        <v>2005</v>
      </c>
      <c r="C286">
        <v>9</v>
      </c>
      <c r="D286" s="3">
        <v>31.405000686645501</v>
      </c>
      <c r="E286" s="3">
        <v>0.23499999999989399</v>
      </c>
      <c r="F286" s="19">
        <v>2</v>
      </c>
      <c r="G286" s="3"/>
      <c r="H286" s="3"/>
      <c r="I286" s="19"/>
    </row>
    <row r="287" spans="1:9" x14ac:dyDescent="0.3">
      <c r="A287" s="3">
        <v>2005.75000000004</v>
      </c>
      <c r="B287">
        <v>2005</v>
      </c>
      <c r="C287">
        <v>10</v>
      </c>
      <c r="D287" s="3">
        <v>29.170000076293899</v>
      </c>
      <c r="E287" s="3">
        <v>0</v>
      </c>
      <c r="F287" s="19">
        <v>1</v>
      </c>
      <c r="G287" s="3"/>
      <c r="H287" s="3"/>
      <c r="I287" s="19"/>
    </row>
    <row r="288" spans="1:9" x14ac:dyDescent="0.3">
      <c r="A288" s="3">
        <v>2005.8333333333801</v>
      </c>
      <c r="B288">
        <v>2005</v>
      </c>
      <c r="C288">
        <v>11</v>
      </c>
      <c r="D288" s="3">
        <v>29.612499237060501</v>
      </c>
      <c r="E288" s="3">
        <v>0.65864918583415799</v>
      </c>
      <c r="F288" s="19">
        <v>4</v>
      </c>
      <c r="G288" s="3">
        <v>28.629999160766602</v>
      </c>
      <c r="H288" s="3">
        <v>0.95000000000001605</v>
      </c>
      <c r="I288" s="19">
        <v>2</v>
      </c>
    </row>
    <row r="289" spans="1:9" x14ac:dyDescent="0.3">
      <c r="A289" s="3">
        <v>2005.9166666667099</v>
      </c>
      <c r="B289">
        <v>2005</v>
      </c>
      <c r="C289">
        <v>12</v>
      </c>
      <c r="D289" s="3">
        <v>29.143333435058501</v>
      </c>
      <c r="E289" s="3">
        <v>0.75068857280046497</v>
      </c>
      <c r="F289" s="19">
        <v>9</v>
      </c>
      <c r="G289" s="3">
        <v>28.677999496459901</v>
      </c>
      <c r="H289" s="3">
        <v>0.38850482622461602</v>
      </c>
      <c r="I289" s="19">
        <v>10</v>
      </c>
    </row>
    <row r="290" spans="1:9" x14ac:dyDescent="0.3">
      <c r="A290" s="3">
        <v>2006.00000000004</v>
      </c>
      <c r="B290">
        <v>2006</v>
      </c>
      <c r="C290">
        <v>1</v>
      </c>
      <c r="D290" s="3">
        <v>28.4645462036132</v>
      </c>
      <c r="E290" s="3">
        <v>0.76300081778072304</v>
      </c>
      <c r="F290" s="19">
        <v>11</v>
      </c>
      <c r="G290" s="3">
        <v>27.686666488647401</v>
      </c>
      <c r="H290" s="3">
        <v>0.35480824241943199</v>
      </c>
      <c r="I290" s="19">
        <v>9</v>
      </c>
    </row>
    <row r="291" spans="1:9" x14ac:dyDescent="0.3">
      <c r="A291" s="3">
        <v>2006.0833333333801</v>
      </c>
      <c r="B291">
        <v>2006</v>
      </c>
      <c r="C291">
        <v>2</v>
      </c>
      <c r="D291" s="3">
        <v>27.4009094238281</v>
      </c>
      <c r="E291" s="3">
        <v>0.72067461508393504</v>
      </c>
      <c r="F291" s="19">
        <v>11</v>
      </c>
      <c r="G291" s="3">
        <v>27.054546356201101</v>
      </c>
      <c r="H291" s="3">
        <v>0.32656236036437902</v>
      </c>
      <c r="I291" s="19">
        <v>11</v>
      </c>
    </row>
    <row r="292" spans="1:9" x14ac:dyDescent="0.3">
      <c r="A292" s="3">
        <v>2006.1666666667099</v>
      </c>
      <c r="B292">
        <v>2006</v>
      </c>
      <c r="C292">
        <v>3</v>
      </c>
      <c r="D292" s="3">
        <v>27.132856369018501</v>
      </c>
      <c r="E292" s="3">
        <v>0.58467852670673104</v>
      </c>
      <c r="F292" s="19">
        <v>7</v>
      </c>
      <c r="G292" s="3">
        <v>26.913999557495099</v>
      </c>
      <c r="H292" s="3">
        <v>0.49106415059549602</v>
      </c>
      <c r="I292" s="19">
        <v>5</v>
      </c>
    </row>
    <row r="293" spans="1:9" x14ac:dyDescent="0.3">
      <c r="A293" s="3">
        <v>2006.25000000004</v>
      </c>
      <c r="B293">
        <v>2006</v>
      </c>
      <c r="C293">
        <v>4</v>
      </c>
      <c r="D293" s="3">
        <v>27.8449993133544</v>
      </c>
      <c r="E293" s="3">
        <v>0.775000000000023</v>
      </c>
      <c r="F293" s="19">
        <v>2</v>
      </c>
      <c r="G293" s="3">
        <v>28.559999465942301</v>
      </c>
      <c r="H293" s="3">
        <v>0</v>
      </c>
      <c r="I293" s="19">
        <v>1</v>
      </c>
    </row>
    <row r="294" spans="1:9" x14ac:dyDescent="0.3">
      <c r="A294" s="3">
        <v>2006.3333333333801</v>
      </c>
      <c r="B294">
        <v>2006</v>
      </c>
      <c r="C294">
        <v>5</v>
      </c>
      <c r="D294" s="3"/>
      <c r="E294" s="3"/>
      <c r="F294" s="19"/>
      <c r="G294" s="3">
        <v>28.753334045410099</v>
      </c>
      <c r="H294" s="3">
        <v>0.19067132861451799</v>
      </c>
      <c r="I294" s="19">
        <v>3</v>
      </c>
    </row>
    <row r="295" spans="1:9" x14ac:dyDescent="0.3">
      <c r="A295" s="3">
        <v>2006.4166666667099</v>
      </c>
      <c r="B295">
        <v>2006</v>
      </c>
      <c r="C295">
        <v>6</v>
      </c>
      <c r="D295" s="3">
        <v>31.120000839233398</v>
      </c>
      <c r="E295" s="3">
        <v>0</v>
      </c>
      <c r="F295" s="19">
        <v>1</v>
      </c>
      <c r="G295" s="3">
        <v>29.232500076293899</v>
      </c>
      <c r="H295" s="3">
        <v>0.37432439140395601</v>
      </c>
      <c r="I295" s="19">
        <v>4</v>
      </c>
    </row>
    <row r="296" spans="1:9" x14ac:dyDescent="0.3">
      <c r="A296" s="3">
        <v>2006.50000000004</v>
      </c>
      <c r="B296">
        <v>2006</v>
      </c>
      <c r="C296">
        <v>7</v>
      </c>
      <c r="D296" s="3">
        <v>31.100000381469702</v>
      </c>
      <c r="E296" s="3">
        <v>0</v>
      </c>
      <c r="F296" s="19">
        <v>1</v>
      </c>
      <c r="G296" s="3">
        <v>30</v>
      </c>
      <c r="H296" s="3">
        <v>0</v>
      </c>
      <c r="I296" s="19">
        <v>1</v>
      </c>
    </row>
    <row r="297" spans="1:9" x14ac:dyDescent="0.3">
      <c r="A297" s="3">
        <v>2006.5833333333801</v>
      </c>
      <c r="B297">
        <v>2006</v>
      </c>
      <c r="C297">
        <v>8</v>
      </c>
      <c r="D297" s="3">
        <v>29.0100002288818</v>
      </c>
      <c r="E297" s="3">
        <v>0</v>
      </c>
      <c r="F297" s="19">
        <v>1</v>
      </c>
      <c r="G297" s="3">
        <v>28.280000686645501</v>
      </c>
      <c r="H297" s="3">
        <v>0</v>
      </c>
      <c r="I297" s="19">
        <v>1</v>
      </c>
    </row>
    <row r="298" spans="1:9" x14ac:dyDescent="0.3">
      <c r="A298" s="3">
        <v>2006.6666666667099</v>
      </c>
      <c r="B298">
        <v>2006</v>
      </c>
      <c r="C298">
        <v>9</v>
      </c>
      <c r="D298" s="3">
        <v>30.225000381469702</v>
      </c>
      <c r="E298" s="3">
        <v>0.37712729946243001</v>
      </c>
      <c r="F298" s="19">
        <v>4</v>
      </c>
      <c r="G298" s="3">
        <v>28.4699993133544</v>
      </c>
      <c r="H298" s="3">
        <v>0</v>
      </c>
      <c r="I298" s="19">
        <v>1</v>
      </c>
    </row>
    <row r="299" spans="1:9" x14ac:dyDescent="0.3">
      <c r="A299" s="3">
        <v>2006.75000000005</v>
      </c>
      <c r="B299">
        <v>2006</v>
      </c>
      <c r="C299">
        <v>10</v>
      </c>
      <c r="D299" s="3">
        <v>30.129999160766602</v>
      </c>
      <c r="E299" s="3">
        <v>0.98451341619441701</v>
      </c>
      <c r="F299" s="19">
        <v>3</v>
      </c>
      <c r="G299" s="3"/>
      <c r="H299" s="3"/>
      <c r="I299" s="19"/>
    </row>
    <row r="300" spans="1:9" x14ac:dyDescent="0.3">
      <c r="A300" s="3">
        <v>2006.8333333333801</v>
      </c>
      <c r="B300">
        <v>2006</v>
      </c>
      <c r="C300">
        <v>11</v>
      </c>
      <c r="D300" s="3">
        <v>30.940000534057599</v>
      </c>
      <c r="E300" s="3">
        <v>0.94000000000006101</v>
      </c>
      <c r="F300" s="19">
        <v>2</v>
      </c>
      <c r="G300" s="3"/>
      <c r="H300" s="3"/>
      <c r="I300" s="19"/>
    </row>
    <row r="301" spans="1:9" x14ac:dyDescent="0.3">
      <c r="A301" s="3">
        <v>2006.9166666667099</v>
      </c>
      <c r="B301">
        <v>2006</v>
      </c>
      <c r="C301">
        <v>12</v>
      </c>
      <c r="D301" s="3">
        <v>29.227500915527301</v>
      </c>
      <c r="E301" s="3">
        <v>0.55303141863721805</v>
      </c>
      <c r="F301" s="19">
        <v>8</v>
      </c>
      <c r="G301" s="3">
        <v>28.358888626098601</v>
      </c>
      <c r="H301" s="3">
        <v>0.62138634331168596</v>
      </c>
      <c r="I301" s="19">
        <v>9</v>
      </c>
    </row>
    <row r="302" spans="1:9" x14ac:dyDescent="0.3">
      <c r="A302" s="3">
        <v>2007.00000000005</v>
      </c>
      <c r="B302">
        <v>2007</v>
      </c>
      <c r="C302">
        <v>1</v>
      </c>
      <c r="D302" s="3">
        <v>27.454545974731399</v>
      </c>
      <c r="E302" s="3">
        <v>0.311575574849623</v>
      </c>
      <c r="F302" s="19">
        <v>11</v>
      </c>
      <c r="G302" s="3">
        <v>27.073076248168899</v>
      </c>
      <c r="H302" s="3">
        <v>0.69406699538495797</v>
      </c>
      <c r="I302" s="19">
        <v>13</v>
      </c>
    </row>
    <row r="303" spans="1:9" x14ac:dyDescent="0.3">
      <c r="A303" s="3">
        <v>2007.0833333333801</v>
      </c>
      <c r="B303">
        <v>2007</v>
      </c>
      <c r="C303">
        <v>2</v>
      </c>
      <c r="D303" s="3">
        <v>27.902500152587798</v>
      </c>
      <c r="E303" s="3">
        <v>0.56825940379371198</v>
      </c>
      <c r="F303" s="19">
        <v>8</v>
      </c>
      <c r="G303" s="3">
        <v>27.225999832153299</v>
      </c>
      <c r="H303" s="3">
        <v>0.65411314006061205</v>
      </c>
      <c r="I303" s="19">
        <v>10</v>
      </c>
    </row>
    <row r="304" spans="1:9" x14ac:dyDescent="0.3">
      <c r="A304" s="3">
        <v>2007.1666666667099</v>
      </c>
      <c r="B304">
        <v>2007</v>
      </c>
      <c r="C304">
        <v>3</v>
      </c>
      <c r="D304" s="3">
        <v>27.4799995422363</v>
      </c>
      <c r="E304" s="3">
        <v>0.58000000000002205</v>
      </c>
      <c r="F304" s="19">
        <v>2</v>
      </c>
      <c r="G304" s="3">
        <v>27.264999389648398</v>
      </c>
      <c r="H304" s="3">
        <v>0.72499999999991505</v>
      </c>
      <c r="I304" s="19">
        <v>2</v>
      </c>
    </row>
    <row r="305" spans="1:9" x14ac:dyDescent="0.3">
      <c r="A305" s="3">
        <v>2007.25000000005</v>
      </c>
      <c r="B305">
        <v>2007</v>
      </c>
      <c r="C305">
        <v>4</v>
      </c>
      <c r="D305" s="3">
        <v>26.9799995422363</v>
      </c>
      <c r="E305" s="3">
        <v>0.460000000000097</v>
      </c>
      <c r="F305" s="19">
        <v>2</v>
      </c>
      <c r="G305" s="3">
        <v>27.256666183471602</v>
      </c>
      <c r="H305" s="3">
        <v>4.4969125211309198E-2</v>
      </c>
      <c r="I305" s="19">
        <v>3</v>
      </c>
    </row>
    <row r="306" spans="1:9" x14ac:dyDescent="0.3">
      <c r="A306" s="3">
        <v>2007.3333333333801</v>
      </c>
      <c r="B306">
        <v>2007</v>
      </c>
      <c r="C306">
        <v>5</v>
      </c>
      <c r="D306" s="3"/>
      <c r="E306" s="3"/>
      <c r="F306" s="19"/>
      <c r="G306" s="3"/>
      <c r="H306" s="3"/>
      <c r="I306" s="19"/>
    </row>
    <row r="307" spans="1:9" x14ac:dyDescent="0.3">
      <c r="A307" s="3">
        <v>2007.4166666667099</v>
      </c>
      <c r="B307">
        <v>2007</v>
      </c>
      <c r="C307">
        <v>6</v>
      </c>
      <c r="D307" s="3">
        <v>30.047500610351499</v>
      </c>
      <c r="E307" s="3">
        <v>0.403012096592681</v>
      </c>
      <c r="F307" s="19">
        <v>4</v>
      </c>
      <c r="G307" s="3">
        <v>29.627500534057599</v>
      </c>
      <c r="H307" s="3">
        <v>0.22431841208393899</v>
      </c>
      <c r="I307" s="19">
        <v>4</v>
      </c>
    </row>
    <row r="308" spans="1:9" x14ac:dyDescent="0.3">
      <c r="A308" s="3">
        <v>2007.50000000005</v>
      </c>
      <c r="B308">
        <v>2007</v>
      </c>
      <c r="C308">
        <v>7</v>
      </c>
      <c r="D308" s="3">
        <v>30.631999969482401</v>
      </c>
      <c r="E308" s="3">
        <v>1.2548689174571299</v>
      </c>
      <c r="F308" s="19">
        <v>5</v>
      </c>
      <c r="G308" s="3">
        <v>28.850000381469702</v>
      </c>
      <c r="H308" s="3">
        <v>1.0499999999999201</v>
      </c>
      <c r="I308" s="19">
        <v>2</v>
      </c>
    </row>
    <row r="309" spans="1:9" x14ac:dyDescent="0.3">
      <c r="A309" s="3">
        <v>2007.5833333333801</v>
      </c>
      <c r="B309">
        <v>2007</v>
      </c>
      <c r="C309">
        <v>8</v>
      </c>
      <c r="D309" s="3">
        <v>29.549999237060501</v>
      </c>
      <c r="E309" s="3">
        <v>0</v>
      </c>
      <c r="F309" s="19">
        <v>1</v>
      </c>
      <c r="G309" s="3"/>
      <c r="H309" s="3"/>
      <c r="I309" s="19"/>
    </row>
    <row r="310" spans="1:9" x14ac:dyDescent="0.3">
      <c r="A310" s="3">
        <v>2007.6666666667099</v>
      </c>
      <c r="B310">
        <v>2007</v>
      </c>
      <c r="C310">
        <v>9</v>
      </c>
      <c r="D310" s="3">
        <v>30.909999847412099</v>
      </c>
      <c r="E310" s="3">
        <v>0</v>
      </c>
      <c r="F310" s="19">
        <v>1</v>
      </c>
      <c r="G310" s="3"/>
      <c r="H310" s="3"/>
      <c r="I310" s="19"/>
    </row>
    <row r="311" spans="1:9" x14ac:dyDescent="0.3">
      <c r="A311" s="3">
        <v>2007.75000000005</v>
      </c>
      <c r="B311">
        <v>2007</v>
      </c>
      <c r="C311">
        <v>10</v>
      </c>
      <c r="D311" s="3"/>
      <c r="E311" s="3"/>
      <c r="F311" s="19"/>
      <c r="G311" s="3"/>
      <c r="H311" s="3"/>
      <c r="I311" s="19"/>
    </row>
    <row r="312" spans="1:9" x14ac:dyDescent="0.3">
      <c r="A312" s="3">
        <v>2007.8333333333801</v>
      </c>
      <c r="B312">
        <v>2007</v>
      </c>
      <c r="C312">
        <v>11</v>
      </c>
      <c r="D312" s="3">
        <v>29.7199993133544</v>
      </c>
      <c r="E312" s="3">
        <v>0.54447222151368702</v>
      </c>
      <c r="F312" s="19">
        <v>4</v>
      </c>
      <c r="G312" s="3">
        <v>29.209999084472599</v>
      </c>
      <c r="H312" s="3">
        <v>0.39000000000002299</v>
      </c>
      <c r="I312" s="19">
        <v>2</v>
      </c>
    </row>
    <row r="313" spans="1:9" x14ac:dyDescent="0.3">
      <c r="A313" s="3">
        <v>2007.9166666667099</v>
      </c>
      <c r="B313">
        <v>2007</v>
      </c>
      <c r="C313">
        <v>12</v>
      </c>
      <c r="D313" s="3">
        <v>28.408750534057599</v>
      </c>
      <c r="E313" s="3">
        <v>0.60624742267461196</v>
      </c>
      <c r="F313" s="19">
        <v>8</v>
      </c>
      <c r="G313" s="3">
        <v>28.2924995422363</v>
      </c>
      <c r="H313" s="3">
        <v>0.67154206867478905</v>
      </c>
      <c r="I313" s="19">
        <v>8</v>
      </c>
    </row>
    <row r="314" spans="1:9" x14ac:dyDescent="0.3">
      <c r="A314" s="3">
        <v>2008.00000000005</v>
      </c>
      <c r="B314">
        <v>2008</v>
      </c>
      <c r="C314">
        <v>1</v>
      </c>
      <c r="D314" s="3">
        <v>27.827142715454102</v>
      </c>
      <c r="E314" s="3">
        <v>0.68600737783853405</v>
      </c>
      <c r="F314" s="19">
        <v>14</v>
      </c>
      <c r="G314" s="3">
        <v>26.895000457763601</v>
      </c>
      <c r="H314" s="3">
        <v>0.88528244080645302</v>
      </c>
      <c r="I314" s="19">
        <v>10</v>
      </c>
    </row>
    <row r="315" spans="1:9" x14ac:dyDescent="0.3">
      <c r="A315" s="3">
        <v>2008.0833333333801</v>
      </c>
      <c r="B315">
        <v>2008</v>
      </c>
      <c r="C315">
        <v>2</v>
      </c>
      <c r="D315" s="3">
        <v>27.737499237060501</v>
      </c>
      <c r="E315" s="3">
        <v>0.67702935682269305</v>
      </c>
      <c r="F315" s="19">
        <v>8</v>
      </c>
      <c r="G315" s="3">
        <v>26.6800003051757</v>
      </c>
      <c r="H315" s="3">
        <v>0.58883359279199798</v>
      </c>
      <c r="I315" s="19">
        <v>8</v>
      </c>
    </row>
    <row r="316" spans="1:9" x14ac:dyDescent="0.3">
      <c r="A316" s="3">
        <v>2008.1666666667099</v>
      </c>
      <c r="B316">
        <v>2008</v>
      </c>
      <c r="C316">
        <v>3</v>
      </c>
      <c r="D316" s="3">
        <v>27.96875</v>
      </c>
      <c r="E316" s="3">
        <v>0.48263437248095697</v>
      </c>
      <c r="F316" s="19">
        <v>8</v>
      </c>
      <c r="G316" s="3">
        <v>26.375</v>
      </c>
      <c r="H316" s="3">
        <v>0.22852789764032599</v>
      </c>
      <c r="I316" s="19">
        <v>4</v>
      </c>
    </row>
    <row r="317" spans="1:9" x14ac:dyDescent="0.3">
      <c r="A317" s="3">
        <v>2008.25000000005</v>
      </c>
      <c r="B317">
        <v>2008</v>
      </c>
      <c r="C317">
        <v>4</v>
      </c>
      <c r="D317" s="3">
        <v>28.413999557495099</v>
      </c>
      <c r="E317" s="3">
        <v>0.85345415811283998</v>
      </c>
      <c r="F317" s="19">
        <v>5</v>
      </c>
      <c r="G317" s="3">
        <v>27.298000335693299</v>
      </c>
      <c r="H317" s="3">
        <v>0.30089200720519998</v>
      </c>
      <c r="I317" s="19">
        <v>5</v>
      </c>
    </row>
    <row r="318" spans="1:9" x14ac:dyDescent="0.3">
      <c r="A318" s="3">
        <v>2008.3333333333801</v>
      </c>
      <c r="B318">
        <v>2008</v>
      </c>
      <c r="C318">
        <v>5</v>
      </c>
      <c r="D318" s="3"/>
      <c r="E318" s="3"/>
      <c r="F318" s="19"/>
      <c r="G318" s="3">
        <v>27.370000839233398</v>
      </c>
      <c r="H318" s="3">
        <v>0</v>
      </c>
      <c r="I318" s="19">
        <v>1</v>
      </c>
    </row>
    <row r="319" spans="1:9" x14ac:dyDescent="0.3">
      <c r="A319" s="3">
        <v>2008.4166666667099</v>
      </c>
      <c r="B319">
        <v>2008</v>
      </c>
      <c r="C319">
        <v>6</v>
      </c>
      <c r="D319" s="3">
        <v>30.356666564941399</v>
      </c>
      <c r="E319" s="3">
        <v>0.13021349989842099</v>
      </c>
      <c r="F319" s="19">
        <v>3</v>
      </c>
      <c r="G319" s="3"/>
      <c r="H319" s="3"/>
      <c r="I319" s="19"/>
    </row>
    <row r="320" spans="1:9" x14ac:dyDescent="0.3">
      <c r="A320" s="3">
        <v>2008.50000000005</v>
      </c>
      <c r="B320">
        <v>2008</v>
      </c>
      <c r="C320">
        <v>7</v>
      </c>
      <c r="D320" s="3">
        <v>30.7199993133544</v>
      </c>
      <c r="E320" s="3">
        <v>0</v>
      </c>
      <c r="F320" s="19">
        <v>1</v>
      </c>
      <c r="G320" s="3"/>
      <c r="H320" s="3"/>
      <c r="I320" s="19"/>
    </row>
    <row r="321" spans="1:9" x14ac:dyDescent="0.3">
      <c r="A321" s="3">
        <v>2008.5833333333801</v>
      </c>
      <c r="B321">
        <v>2008</v>
      </c>
      <c r="C321">
        <v>8</v>
      </c>
      <c r="D321" s="3">
        <v>30.030000686645501</v>
      </c>
      <c r="E321" s="3">
        <v>0</v>
      </c>
      <c r="F321" s="19">
        <v>1</v>
      </c>
      <c r="G321" s="3">
        <v>28.6800003051757</v>
      </c>
      <c r="H321" s="3">
        <v>0</v>
      </c>
      <c r="I321" s="19">
        <v>1</v>
      </c>
    </row>
    <row r="322" spans="1:9" x14ac:dyDescent="0.3">
      <c r="A322" s="3">
        <v>2008.6666666667199</v>
      </c>
      <c r="B322">
        <v>2008</v>
      </c>
      <c r="C322">
        <v>9</v>
      </c>
      <c r="D322" s="3">
        <v>31.084999084472599</v>
      </c>
      <c r="E322" s="3">
        <v>0.51499999999998702</v>
      </c>
      <c r="F322" s="19">
        <v>2</v>
      </c>
      <c r="G322" s="3"/>
      <c r="H322" s="3"/>
      <c r="I322" s="19"/>
    </row>
    <row r="323" spans="1:9" x14ac:dyDescent="0.3">
      <c r="A323" s="3">
        <v>2008.75000000005</v>
      </c>
      <c r="B323">
        <v>2008</v>
      </c>
      <c r="C323">
        <v>10</v>
      </c>
      <c r="D323" s="3">
        <v>29.959999084472599</v>
      </c>
      <c r="E323" s="3">
        <v>0</v>
      </c>
      <c r="F323" s="19">
        <v>1</v>
      </c>
      <c r="G323" s="3"/>
      <c r="H323" s="3"/>
      <c r="I323" s="19"/>
    </row>
    <row r="324" spans="1:9" x14ac:dyDescent="0.3">
      <c r="A324" s="3">
        <v>2008.8333333333801</v>
      </c>
      <c r="B324">
        <v>2008</v>
      </c>
      <c r="C324">
        <v>11</v>
      </c>
      <c r="D324" s="3">
        <v>28.7299995422363</v>
      </c>
      <c r="E324" s="3">
        <v>2.0000000000331902E-2</v>
      </c>
      <c r="F324" s="19">
        <v>2</v>
      </c>
      <c r="G324" s="3">
        <v>28.9300003051757</v>
      </c>
      <c r="H324" s="3">
        <v>0</v>
      </c>
      <c r="I324" s="19">
        <v>1</v>
      </c>
    </row>
    <row r="325" spans="1:9" x14ac:dyDescent="0.3">
      <c r="A325" s="3">
        <v>2008.9166666667199</v>
      </c>
      <c r="B325">
        <v>2008</v>
      </c>
      <c r="C325">
        <v>12</v>
      </c>
      <c r="D325" s="3">
        <v>28.520000457763601</v>
      </c>
      <c r="E325" s="3">
        <v>0.86794009009843298</v>
      </c>
      <c r="F325" s="19">
        <v>5</v>
      </c>
      <c r="G325" s="3">
        <v>27.615715026855401</v>
      </c>
      <c r="H325" s="3">
        <v>0.21104211785862401</v>
      </c>
      <c r="I325" s="19">
        <v>7</v>
      </c>
    </row>
    <row r="326" spans="1:9" x14ac:dyDescent="0.3">
      <c r="A326" s="3">
        <v>2009.00000000005</v>
      </c>
      <c r="B326">
        <v>2009</v>
      </c>
      <c r="C326">
        <v>1</v>
      </c>
      <c r="D326" s="3">
        <v>28.2625007629394</v>
      </c>
      <c r="E326" s="3">
        <v>0.383169348983178</v>
      </c>
      <c r="F326" s="19">
        <v>4</v>
      </c>
      <c r="G326" s="3">
        <v>27.1539993286132</v>
      </c>
      <c r="H326" s="3">
        <v>0.43135136489861298</v>
      </c>
      <c r="I326" s="19">
        <v>10</v>
      </c>
    </row>
    <row r="327" spans="1:9" x14ac:dyDescent="0.3">
      <c r="A327" s="3">
        <v>2009.0833333333801</v>
      </c>
      <c r="B327">
        <v>2009</v>
      </c>
      <c r="C327">
        <v>2</v>
      </c>
      <c r="D327" s="3">
        <v>27.084999084472599</v>
      </c>
      <c r="E327" s="3">
        <v>0.74714456432465504</v>
      </c>
      <c r="F327" s="19">
        <v>4</v>
      </c>
      <c r="G327" s="3">
        <v>26.718000411987301</v>
      </c>
      <c r="H327" s="3">
        <v>0.32461669704420199</v>
      </c>
      <c r="I327" s="19">
        <v>5</v>
      </c>
    </row>
    <row r="328" spans="1:9" x14ac:dyDescent="0.3">
      <c r="A328" s="3">
        <v>2009.1666666667199</v>
      </c>
      <c r="B328">
        <v>2009</v>
      </c>
      <c r="C328">
        <v>3</v>
      </c>
      <c r="D328" s="3">
        <v>26.5516662597656</v>
      </c>
      <c r="E328" s="3">
        <v>0.69333533653561996</v>
      </c>
      <c r="F328" s="19">
        <v>6</v>
      </c>
      <c r="G328" s="3">
        <v>26.147142410278299</v>
      </c>
      <c r="H328" s="3">
        <v>0.38710331901420902</v>
      </c>
      <c r="I328" s="19">
        <v>7</v>
      </c>
    </row>
    <row r="329" spans="1:9" x14ac:dyDescent="0.3">
      <c r="A329" s="3">
        <v>2009.25000000005</v>
      </c>
      <c r="B329">
        <v>2009</v>
      </c>
      <c r="C329">
        <v>4</v>
      </c>
      <c r="D329" s="3">
        <v>27.093334197998001</v>
      </c>
      <c r="E329" s="3">
        <v>0.657436097443856</v>
      </c>
      <c r="F329" s="19">
        <v>6</v>
      </c>
      <c r="G329" s="3">
        <v>27.2600002288818</v>
      </c>
      <c r="H329" s="3">
        <v>0.45313721247926603</v>
      </c>
      <c r="I329" s="19">
        <v>6</v>
      </c>
    </row>
    <row r="330" spans="1:9" x14ac:dyDescent="0.3">
      <c r="A330" s="3">
        <v>2009.3333333333801</v>
      </c>
      <c r="B330">
        <v>2009</v>
      </c>
      <c r="C330">
        <v>5</v>
      </c>
      <c r="D330" s="3">
        <v>28.905000686645501</v>
      </c>
      <c r="E330" s="3">
        <v>0.89499999999998903</v>
      </c>
      <c r="F330" s="19">
        <v>2</v>
      </c>
      <c r="G330" s="3">
        <v>26.524999618530199</v>
      </c>
      <c r="H330" s="3">
        <v>0.34500000000011399</v>
      </c>
      <c r="I330" s="19">
        <v>2</v>
      </c>
    </row>
    <row r="331" spans="1:9" x14ac:dyDescent="0.3">
      <c r="A331" s="3">
        <v>2009.4166666667199</v>
      </c>
      <c r="B331">
        <v>2009</v>
      </c>
      <c r="C331">
        <v>6</v>
      </c>
      <c r="D331" s="3"/>
      <c r="E331" s="3"/>
      <c r="F331" s="19"/>
      <c r="G331" s="3">
        <v>29.879999160766602</v>
      </c>
      <c r="H331" s="3">
        <v>0</v>
      </c>
      <c r="I331" s="19">
        <v>1</v>
      </c>
    </row>
    <row r="332" spans="1:9" x14ac:dyDescent="0.3">
      <c r="A332" s="3">
        <v>2009.50000000005</v>
      </c>
      <c r="B332">
        <v>2009</v>
      </c>
      <c r="C332">
        <v>7</v>
      </c>
      <c r="D332" s="3">
        <v>30.409999847412099</v>
      </c>
      <c r="E332" s="3">
        <v>0.45000000000011098</v>
      </c>
      <c r="F332" s="19">
        <v>2</v>
      </c>
      <c r="G332" s="3">
        <v>29.4799995422363</v>
      </c>
      <c r="H332" s="3">
        <v>0.75</v>
      </c>
      <c r="I332" s="19">
        <v>2</v>
      </c>
    </row>
    <row r="333" spans="1:9" x14ac:dyDescent="0.3">
      <c r="A333" s="3">
        <v>2009.5833333333801</v>
      </c>
      <c r="B333">
        <v>2009</v>
      </c>
      <c r="C333">
        <v>8</v>
      </c>
      <c r="D333" s="3">
        <v>30.600000381469702</v>
      </c>
      <c r="E333" s="3">
        <v>0.169999999999394</v>
      </c>
      <c r="F333" s="19">
        <v>2</v>
      </c>
      <c r="G333" s="3"/>
      <c r="H333" s="3"/>
      <c r="I333" s="19"/>
    </row>
    <row r="334" spans="1:9" x14ac:dyDescent="0.3">
      <c r="A334" s="3">
        <v>2009.6666666667199</v>
      </c>
      <c r="B334">
        <v>2009</v>
      </c>
      <c r="C334">
        <v>9</v>
      </c>
      <c r="D334" s="3"/>
      <c r="E334" s="3"/>
      <c r="F334" s="19"/>
      <c r="G334" s="3">
        <v>30.0100002288818</v>
      </c>
      <c r="H334" s="3">
        <v>0</v>
      </c>
      <c r="I334" s="19">
        <v>1</v>
      </c>
    </row>
    <row r="335" spans="1:9" x14ac:dyDescent="0.3">
      <c r="A335" s="3">
        <v>2009.75000000005</v>
      </c>
      <c r="B335">
        <v>2009</v>
      </c>
      <c r="C335">
        <v>10</v>
      </c>
      <c r="D335" s="3"/>
      <c r="E335" s="3"/>
      <c r="F335" s="19"/>
      <c r="G335" s="3"/>
      <c r="H335" s="3"/>
      <c r="I335" s="19"/>
    </row>
    <row r="336" spans="1:9" x14ac:dyDescent="0.3">
      <c r="A336" s="3">
        <v>2009.8333333333801</v>
      </c>
      <c r="B336">
        <v>2009</v>
      </c>
      <c r="C336">
        <v>11</v>
      </c>
      <c r="D336" s="3">
        <v>30.674999237060501</v>
      </c>
      <c r="E336" s="3">
        <v>0.13500000000053</v>
      </c>
      <c r="F336" s="19">
        <v>2</v>
      </c>
      <c r="G336" s="3">
        <v>27.944999694824201</v>
      </c>
      <c r="H336" s="3">
        <v>0.48499999999989701</v>
      </c>
      <c r="I336" s="19">
        <v>2</v>
      </c>
    </row>
    <row r="337" spans="1:9" x14ac:dyDescent="0.3">
      <c r="A337" s="3">
        <v>2009.9166666667199</v>
      </c>
      <c r="B337">
        <v>2009</v>
      </c>
      <c r="C337">
        <v>12</v>
      </c>
      <c r="D337" s="3">
        <v>29.7788887023925</v>
      </c>
      <c r="E337" s="3">
        <v>0.85163169457816701</v>
      </c>
      <c r="F337" s="19">
        <v>9</v>
      </c>
      <c r="G337" s="3">
        <v>28.980770111083899</v>
      </c>
      <c r="H337" s="3">
        <v>0.70038957882758102</v>
      </c>
      <c r="I337" s="19">
        <v>13</v>
      </c>
    </row>
    <row r="338" spans="1:9" x14ac:dyDescent="0.3">
      <c r="A338" s="3">
        <v>2010.00000000005</v>
      </c>
      <c r="B338">
        <v>2010</v>
      </c>
      <c r="C338">
        <v>1</v>
      </c>
      <c r="D338" s="3">
        <v>28.288000106811499</v>
      </c>
      <c r="E338" s="3">
        <v>0.69034484136554697</v>
      </c>
      <c r="F338" s="19">
        <v>10</v>
      </c>
      <c r="G338" s="3">
        <v>27.515455245971602</v>
      </c>
      <c r="H338" s="3">
        <v>0.61800799695255504</v>
      </c>
      <c r="I338" s="19">
        <v>11</v>
      </c>
    </row>
    <row r="339" spans="1:9" x14ac:dyDescent="0.3">
      <c r="A339" s="3">
        <v>2010.0833333333801</v>
      </c>
      <c r="B339">
        <v>2010</v>
      </c>
      <c r="C339">
        <v>2</v>
      </c>
      <c r="D339" s="3">
        <v>27.3449993133544</v>
      </c>
      <c r="E339" s="3">
        <v>0.104999999999543</v>
      </c>
      <c r="F339" s="19">
        <v>2</v>
      </c>
      <c r="G339" s="3">
        <v>26.8777770996093</v>
      </c>
      <c r="H339" s="3">
        <v>0.64843020317911704</v>
      </c>
      <c r="I339" s="19">
        <v>9</v>
      </c>
    </row>
    <row r="340" spans="1:9" x14ac:dyDescent="0.3">
      <c r="A340" s="3">
        <v>2010.1666666667199</v>
      </c>
      <c r="B340">
        <v>2010</v>
      </c>
      <c r="C340">
        <v>3</v>
      </c>
      <c r="D340" s="3">
        <v>28.819999694824201</v>
      </c>
      <c r="E340" s="3">
        <v>0.45107279530750199</v>
      </c>
      <c r="F340" s="19">
        <v>3</v>
      </c>
      <c r="G340" s="3">
        <v>26.870000839233398</v>
      </c>
      <c r="H340" s="3">
        <v>0.60171975758381901</v>
      </c>
      <c r="I340" s="19">
        <v>3</v>
      </c>
    </row>
    <row r="341" spans="1:9" x14ac:dyDescent="0.3">
      <c r="A341" s="3">
        <v>2010.25000000005</v>
      </c>
      <c r="B341">
        <v>2010</v>
      </c>
      <c r="C341">
        <v>4</v>
      </c>
      <c r="D341" s="3"/>
      <c r="E341" s="3"/>
      <c r="F341" s="19"/>
      <c r="G341" s="3">
        <v>27.569999694824201</v>
      </c>
      <c r="H341" s="3">
        <v>0</v>
      </c>
      <c r="I341" s="19">
        <v>1</v>
      </c>
    </row>
    <row r="342" spans="1:9" x14ac:dyDescent="0.3">
      <c r="A342" s="3">
        <v>2010.3333333333801</v>
      </c>
      <c r="B342">
        <v>2010</v>
      </c>
      <c r="C342">
        <v>5</v>
      </c>
      <c r="D342" s="3">
        <v>29.5100002288818</v>
      </c>
      <c r="E342" s="3">
        <v>0</v>
      </c>
      <c r="F342" s="19">
        <v>1</v>
      </c>
      <c r="G342" s="3">
        <v>27.319999694824201</v>
      </c>
      <c r="H342" s="3">
        <v>0.48000000000003201</v>
      </c>
      <c r="I342" s="19">
        <v>2</v>
      </c>
    </row>
    <row r="343" spans="1:9" x14ac:dyDescent="0.3">
      <c r="A343" s="3">
        <v>2010.4166666667199</v>
      </c>
      <c r="B343">
        <v>2010</v>
      </c>
      <c r="C343">
        <v>6</v>
      </c>
      <c r="D343" s="3">
        <v>30.6800003051757</v>
      </c>
      <c r="E343" s="3">
        <v>0</v>
      </c>
      <c r="F343" s="19">
        <v>1</v>
      </c>
      <c r="G343" s="3"/>
      <c r="H343" s="3"/>
      <c r="I343" s="19"/>
    </row>
    <row r="344" spans="1:9" x14ac:dyDescent="0.3">
      <c r="A344" s="3">
        <v>2010.50000000005</v>
      </c>
      <c r="B344">
        <v>2010</v>
      </c>
      <c r="C344">
        <v>7</v>
      </c>
      <c r="D344" s="3"/>
      <c r="E344" s="3"/>
      <c r="F344" s="19"/>
      <c r="G344" s="3"/>
      <c r="H344" s="3"/>
      <c r="I344" s="19"/>
    </row>
    <row r="345" spans="1:9" x14ac:dyDescent="0.3">
      <c r="A345" s="3">
        <v>2010.5833333333901</v>
      </c>
      <c r="B345">
        <v>2010</v>
      </c>
      <c r="C345">
        <v>8</v>
      </c>
      <c r="D345" s="3"/>
      <c r="E345" s="3"/>
      <c r="F345" s="19"/>
      <c r="G345" s="3"/>
      <c r="H345" s="3"/>
      <c r="I345" s="19"/>
    </row>
    <row r="346" spans="1:9" x14ac:dyDescent="0.3">
      <c r="A346" s="3">
        <v>2010.6666666667199</v>
      </c>
      <c r="B346">
        <v>2010</v>
      </c>
      <c r="C346">
        <v>9</v>
      </c>
      <c r="D346" s="3"/>
      <c r="E346" s="3"/>
      <c r="F346" s="19"/>
      <c r="G346" s="3"/>
      <c r="H346" s="3"/>
      <c r="I346" s="19"/>
    </row>
    <row r="347" spans="1:9" x14ac:dyDescent="0.3">
      <c r="A347" s="3">
        <v>2010.75000000005</v>
      </c>
      <c r="B347">
        <v>2010</v>
      </c>
      <c r="C347">
        <v>10</v>
      </c>
      <c r="D347" s="3">
        <v>31.1033325195312</v>
      </c>
      <c r="E347" s="3">
        <v>1.1244356609230099</v>
      </c>
      <c r="F347" s="19">
        <v>3</v>
      </c>
      <c r="G347" s="3"/>
      <c r="H347" s="3"/>
      <c r="I347" s="19"/>
    </row>
    <row r="348" spans="1:9" x14ac:dyDescent="0.3">
      <c r="A348" s="3">
        <v>2010.8333333333901</v>
      </c>
      <c r="B348">
        <v>2010</v>
      </c>
      <c r="C348">
        <v>11</v>
      </c>
      <c r="D348" s="3">
        <v>28.9699993133544</v>
      </c>
      <c r="E348" s="3">
        <v>0</v>
      </c>
      <c r="F348" s="19">
        <v>1</v>
      </c>
      <c r="G348" s="3"/>
      <c r="H348" s="3"/>
      <c r="I348" s="19"/>
    </row>
    <row r="349" spans="1:9" x14ac:dyDescent="0.3">
      <c r="A349" s="3">
        <v>2010.9166666667199</v>
      </c>
      <c r="B349">
        <v>2010</v>
      </c>
      <c r="C349">
        <v>12</v>
      </c>
      <c r="D349" s="3">
        <v>28.421667098998999</v>
      </c>
      <c r="E349" s="3">
        <v>0.56152817283596002</v>
      </c>
      <c r="F349" s="19">
        <v>6</v>
      </c>
      <c r="G349" s="3">
        <v>28.110000610351499</v>
      </c>
      <c r="H349" s="3">
        <v>0.38262252939429098</v>
      </c>
      <c r="I349" s="19">
        <v>3</v>
      </c>
    </row>
    <row r="350" spans="1:9" x14ac:dyDescent="0.3">
      <c r="A350" s="3">
        <v>2011.00000000005</v>
      </c>
      <c r="B350">
        <v>2011</v>
      </c>
      <c r="C350">
        <v>1</v>
      </c>
      <c r="D350" s="3">
        <v>28.017499923706001</v>
      </c>
      <c r="E350" s="3">
        <v>0.33244360423985098</v>
      </c>
      <c r="F350" s="19">
        <v>8</v>
      </c>
      <c r="G350" s="3">
        <v>28.0424995422363</v>
      </c>
      <c r="H350" s="3">
        <v>0.32178214680134898</v>
      </c>
      <c r="I350" s="19">
        <v>8</v>
      </c>
    </row>
    <row r="351" spans="1:9" x14ac:dyDescent="0.3">
      <c r="A351" s="3">
        <v>2011.0833333333901</v>
      </c>
      <c r="B351">
        <v>2011</v>
      </c>
      <c r="C351">
        <v>2</v>
      </c>
      <c r="D351" s="3">
        <v>27.542726516723601</v>
      </c>
      <c r="E351" s="3">
        <v>0.87683408723037004</v>
      </c>
      <c r="F351" s="19">
        <v>11</v>
      </c>
      <c r="G351" s="3">
        <v>26.962856292724599</v>
      </c>
      <c r="H351" s="3">
        <v>0.56807228628843098</v>
      </c>
      <c r="I351" s="19">
        <v>7</v>
      </c>
    </row>
    <row r="352" spans="1:9" x14ac:dyDescent="0.3">
      <c r="A352" s="3">
        <v>2011.1666666667199</v>
      </c>
      <c r="B352">
        <v>2011</v>
      </c>
      <c r="C352">
        <v>3</v>
      </c>
      <c r="D352" s="3">
        <v>26.709999084472599</v>
      </c>
      <c r="E352" s="3">
        <v>5.9999999999101099E-2</v>
      </c>
      <c r="F352" s="19">
        <v>2</v>
      </c>
      <c r="G352" s="3">
        <v>26.633333206176701</v>
      </c>
      <c r="H352" s="3">
        <v>0.68631058728695804</v>
      </c>
      <c r="I352" s="19">
        <v>6</v>
      </c>
    </row>
    <row r="353" spans="1:9" x14ac:dyDescent="0.3">
      <c r="A353" s="3">
        <v>2011.25000000005</v>
      </c>
      <c r="B353">
        <v>2011</v>
      </c>
      <c r="C353">
        <v>4</v>
      </c>
      <c r="D353" s="3"/>
      <c r="E353" s="3"/>
      <c r="F353" s="19"/>
      <c r="G353" s="3">
        <v>27.606666564941399</v>
      </c>
      <c r="H353" s="3">
        <v>0.26537185650023398</v>
      </c>
      <c r="I353" s="19">
        <v>3</v>
      </c>
    </row>
    <row r="354" spans="1:9" x14ac:dyDescent="0.3">
      <c r="A354" s="3">
        <v>2011.3333333333901</v>
      </c>
      <c r="B354">
        <v>2011</v>
      </c>
      <c r="C354">
        <v>5</v>
      </c>
      <c r="D354" s="3">
        <v>28.466667175292901</v>
      </c>
      <c r="E354" s="3">
        <v>0.26599916457637102</v>
      </c>
      <c r="F354" s="19">
        <v>3</v>
      </c>
      <c r="G354" s="3">
        <v>28.9699993133544</v>
      </c>
      <c r="H354" s="3">
        <v>0</v>
      </c>
      <c r="I354" s="19">
        <v>1</v>
      </c>
    </row>
    <row r="355" spans="1:9" x14ac:dyDescent="0.3">
      <c r="A355" s="3">
        <v>2011.4166666667199</v>
      </c>
      <c r="B355">
        <v>2011</v>
      </c>
      <c r="C355">
        <v>6</v>
      </c>
      <c r="D355" s="3">
        <v>30.3225002288818</v>
      </c>
      <c r="E355" s="3">
        <v>0.99855833580206999</v>
      </c>
      <c r="F355" s="19">
        <v>4</v>
      </c>
      <c r="G355" s="3">
        <v>29.0533332824707</v>
      </c>
      <c r="H355" s="3">
        <v>0.37967822633869602</v>
      </c>
      <c r="I355" s="19">
        <v>3</v>
      </c>
    </row>
    <row r="356" spans="1:9" x14ac:dyDescent="0.3">
      <c r="A356" s="3">
        <v>2011.50000000005</v>
      </c>
      <c r="B356">
        <v>2011</v>
      </c>
      <c r="C356">
        <v>7</v>
      </c>
      <c r="D356" s="3">
        <v>30.272499084472599</v>
      </c>
      <c r="E356" s="3">
        <v>0.53490069171753696</v>
      </c>
      <c r="F356" s="19">
        <v>4</v>
      </c>
      <c r="G356" s="3">
        <v>29.350000381469702</v>
      </c>
      <c r="H356" s="3">
        <v>0</v>
      </c>
      <c r="I356" s="19">
        <v>1</v>
      </c>
    </row>
    <row r="357" spans="1:9" x14ac:dyDescent="0.3">
      <c r="A357" s="3">
        <v>2011.5833333333901</v>
      </c>
      <c r="B357">
        <v>2011</v>
      </c>
      <c r="C357">
        <v>8</v>
      </c>
      <c r="D357" s="3">
        <v>30.7399997711181</v>
      </c>
      <c r="E357" s="3">
        <v>0.439999999999939</v>
      </c>
      <c r="F357" s="19">
        <v>2</v>
      </c>
      <c r="G357" s="3">
        <v>30.040000915527301</v>
      </c>
      <c r="H357" s="3">
        <v>0</v>
      </c>
      <c r="I357" s="19">
        <v>1</v>
      </c>
    </row>
    <row r="358" spans="1:9" x14ac:dyDescent="0.3">
      <c r="A358" s="3">
        <v>2011.6666666667199</v>
      </c>
      <c r="B358">
        <v>2011</v>
      </c>
      <c r="C358">
        <v>9</v>
      </c>
      <c r="D358" s="3">
        <v>30.8850002288818</v>
      </c>
      <c r="E358" s="3">
        <v>0.53434539391671199</v>
      </c>
      <c r="F358" s="19">
        <v>4</v>
      </c>
      <c r="G358" s="3"/>
      <c r="H358" s="3"/>
      <c r="I358" s="19"/>
    </row>
    <row r="359" spans="1:9" x14ac:dyDescent="0.3">
      <c r="A359" s="3">
        <v>2011.75000000005</v>
      </c>
      <c r="B359">
        <v>2011</v>
      </c>
      <c r="C359">
        <v>10</v>
      </c>
      <c r="D359" s="3">
        <v>29.143333435058501</v>
      </c>
      <c r="E359" s="3">
        <v>0.97208824473675004</v>
      </c>
      <c r="F359" s="19">
        <v>3</v>
      </c>
      <c r="G359" s="3"/>
      <c r="H359" s="3"/>
      <c r="I359" s="19"/>
    </row>
    <row r="360" spans="1:9" x14ac:dyDescent="0.3">
      <c r="A360" s="3">
        <v>2011.8333333333901</v>
      </c>
      <c r="B360">
        <v>2011</v>
      </c>
      <c r="C360">
        <v>11</v>
      </c>
      <c r="D360" s="3">
        <v>30.1033325195312</v>
      </c>
      <c r="E360" s="3">
        <v>1.1418503501869901</v>
      </c>
      <c r="F360" s="19">
        <v>3</v>
      </c>
      <c r="G360" s="3">
        <v>28.9300003051757</v>
      </c>
      <c r="H360" s="3">
        <v>0.190262975904823</v>
      </c>
      <c r="I360" s="19">
        <v>3</v>
      </c>
    </row>
    <row r="361" spans="1:9" x14ac:dyDescent="0.3">
      <c r="A361" s="3">
        <v>2011.9166666667199</v>
      </c>
      <c r="B361">
        <v>2011</v>
      </c>
      <c r="C361">
        <v>12</v>
      </c>
      <c r="D361" s="3">
        <v>29.2924995422363</v>
      </c>
      <c r="E361" s="3">
        <v>0.76142547238720903</v>
      </c>
      <c r="F361" s="19">
        <v>4</v>
      </c>
      <c r="G361" s="3">
        <v>28.227500915527301</v>
      </c>
      <c r="H361" s="3">
        <v>0.326218868246615</v>
      </c>
      <c r="I361" s="19">
        <v>4</v>
      </c>
    </row>
    <row r="362" spans="1:9" x14ac:dyDescent="0.3">
      <c r="A362" s="3">
        <v>2012.00000000005</v>
      </c>
      <c r="B362">
        <v>2012</v>
      </c>
      <c r="C362">
        <v>1</v>
      </c>
      <c r="D362" s="3">
        <v>27.680908203125</v>
      </c>
      <c r="E362" s="3">
        <v>0.89683741858371802</v>
      </c>
      <c r="F362" s="19">
        <v>11</v>
      </c>
      <c r="G362" s="3">
        <v>27.357500076293899</v>
      </c>
      <c r="H362" s="3">
        <v>8.1662414854017901E-2</v>
      </c>
      <c r="I362" s="19">
        <v>4</v>
      </c>
    </row>
    <row r="363" spans="1:9" x14ac:dyDescent="0.3">
      <c r="A363" s="3">
        <v>2012.0833333333901</v>
      </c>
      <c r="B363">
        <v>2012</v>
      </c>
      <c r="C363">
        <v>2</v>
      </c>
      <c r="D363" s="3">
        <v>27.1511116027832</v>
      </c>
      <c r="E363" s="3">
        <v>0.28175814863279203</v>
      </c>
      <c r="F363" s="19">
        <v>9</v>
      </c>
      <c r="G363" s="3">
        <v>26.659999847412099</v>
      </c>
      <c r="H363" s="3">
        <v>0.45153072985097398</v>
      </c>
      <c r="I363" s="19">
        <v>5</v>
      </c>
    </row>
    <row r="364" spans="1:9" x14ac:dyDescent="0.3">
      <c r="A364" s="3">
        <v>2012.1666666667199</v>
      </c>
      <c r="B364">
        <v>2012</v>
      </c>
      <c r="C364">
        <v>3</v>
      </c>
      <c r="D364" s="3">
        <v>26.782222747802699</v>
      </c>
      <c r="E364" s="3">
        <v>0.43741101387784598</v>
      </c>
      <c r="F364" s="19">
        <v>9</v>
      </c>
      <c r="G364" s="3">
        <v>26.7933330535888</v>
      </c>
      <c r="H364" s="3">
        <v>0.31446603773519699</v>
      </c>
      <c r="I364" s="19">
        <v>6</v>
      </c>
    </row>
    <row r="365" spans="1:9" x14ac:dyDescent="0.3">
      <c r="A365" s="3">
        <v>2012.25000000006</v>
      </c>
      <c r="B365">
        <v>2012</v>
      </c>
      <c r="C365">
        <v>4</v>
      </c>
      <c r="D365" s="3"/>
      <c r="E365" s="3"/>
      <c r="F365" s="19"/>
      <c r="G365" s="3"/>
      <c r="H365" s="3"/>
      <c r="I365" s="19"/>
    </row>
    <row r="366" spans="1:9" x14ac:dyDescent="0.3">
      <c r="A366" s="3">
        <v>2012.3333333333901</v>
      </c>
      <c r="B366">
        <v>2012</v>
      </c>
      <c r="C366">
        <v>5</v>
      </c>
      <c r="D366" s="3">
        <v>28.870000839233398</v>
      </c>
      <c r="E366" s="3">
        <v>0.73027392121034895</v>
      </c>
      <c r="F366" s="19">
        <v>4</v>
      </c>
      <c r="G366" s="3">
        <v>29.459999084472599</v>
      </c>
      <c r="H366" s="3">
        <v>0.22226110770899399</v>
      </c>
      <c r="I366" s="19">
        <v>3</v>
      </c>
    </row>
    <row r="367" spans="1:9" x14ac:dyDescent="0.3">
      <c r="A367" s="3">
        <v>2012.4166666667199</v>
      </c>
      <c r="B367">
        <v>2012</v>
      </c>
      <c r="C367">
        <v>6</v>
      </c>
      <c r="D367" s="3">
        <v>29.778572082519499</v>
      </c>
      <c r="E367" s="3">
        <v>1.19869486849453</v>
      </c>
      <c r="F367" s="19">
        <v>7</v>
      </c>
      <c r="G367" s="3">
        <v>29.3050003051757</v>
      </c>
      <c r="H367" s="3">
        <v>2.5000000002546499E-2</v>
      </c>
      <c r="I367" s="19">
        <v>2</v>
      </c>
    </row>
    <row r="368" spans="1:9" x14ac:dyDescent="0.3">
      <c r="A368" s="3">
        <v>2012.50000000006</v>
      </c>
      <c r="B368">
        <v>2012</v>
      </c>
      <c r="C368">
        <v>7</v>
      </c>
      <c r="D368" s="3">
        <v>30.4799995422363</v>
      </c>
      <c r="E368" s="3">
        <v>0.404227658628044</v>
      </c>
      <c r="F368" s="19">
        <v>3</v>
      </c>
      <c r="G368" s="3">
        <v>29.433332443237301</v>
      </c>
      <c r="H368" s="3">
        <v>0.25952948879707499</v>
      </c>
      <c r="I368" s="19">
        <v>3</v>
      </c>
    </row>
    <row r="369" spans="1:9" x14ac:dyDescent="0.3">
      <c r="A369" s="3">
        <v>2012.5833333333901</v>
      </c>
      <c r="B369">
        <v>2012</v>
      </c>
      <c r="C369">
        <v>8</v>
      </c>
      <c r="D369" s="3">
        <v>29.399999618530199</v>
      </c>
      <c r="E369" s="3">
        <v>0.55000000000011096</v>
      </c>
      <c r="F369" s="19">
        <v>2</v>
      </c>
      <c r="G369" s="3">
        <v>29.625</v>
      </c>
      <c r="H369" s="3">
        <v>0.21500000000011499</v>
      </c>
      <c r="I369" s="19">
        <v>2</v>
      </c>
    </row>
    <row r="370" spans="1:9" x14ac:dyDescent="0.3">
      <c r="A370" s="3">
        <v>2012.6666666667199</v>
      </c>
      <c r="B370">
        <v>2012</v>
      </c>
      <c r="C370">
        <v>9</v>
      </c>
      <c r="D370" s="3"/>
      <c r="E370" s="3"/>
      <c r="F370" s="19"/>
      <c r="G370" s="3"/>
      <c r="H370" s="3"/>
      <c r="I370" s="19"/>
    </row>
    <row r="371" spans="1:9" x14ac:dyDescent="0.3">
      <c r="A371" s="3">
        <v>2012.75000000006</v>
      </c>
      <c r="B371">
        <v>2012</v>
      </c>
      <c r="C371">
        <v>10</v>
      </c>
      <c r="D371" s="3"/>
      <c r="E371" s="3"/>
      <c r="F371" s="19"/>
      <c r="G371" s="3">
        <v>28.520000457763601</v>
      </c>
      <c r="H371" s="3">
        <v>0</v>
      </c>
      <c r="I371" s="19">
        <v>1</v>
      </c>
    </row>
    <row r="372" spans="1:9" x14ac:dyDescent="0.3">
      <c r="A372" s="3">
        <v>2012.8333333333901</v>
      </c>
      <c r="B372">
        <v>2012</v>
      </c>
      <c r="C372">
        <v>11</v>
      </c>
      <c r="D372" s="3">
        <v>29.346666336059499</v>
      </c>
      <c r="E372" s="3">
        <v>0.75207860109314395</v>
      </c>
      <c r="F372" s="19">
        <v>6</v>
      </c>
      <c r="G372" s="3">
        <v>29.363332748413001</v>
      </c>
      <c r="H372" s="3">
        <v>0.267374061735769</v>
      </c>
      <c r="I372" s="19">
        <v>3</v>
      </c>
    </row>
    <row r="373" spans="1:9" x14ac:dyDescent="0.3">
      <c r="A373" s="3">
        <v>2012.9166666667199</v>
      </c>
      <c r="B373">
        <v>2012</v>
      </c>
      <c r="C373">
        <v>12</v>
      </c>
      <c r="D373" s="3">
        <v>29.0644435882568</v>
      </c>
      <c r="E373" s="3">
        <v>0.58484776957752405</v>
      </c>
      <c r="F373" s="19">
        <v>9</v>
      </c>
      <c r="G373" s="3">
        <v>28.713333129882798</v>
      </c>
      <c r="H373" s="3">
        <v>0.28294090470537098</v>
      </c>
      <c r="I373" s="19">
        <v>6</v>
      </c>
    </row>
    <row r="374" spans="1:9" x14ac:dyDescent="0.3">
      <c r="A374" s="3">
        <v>2013.00000000006</v>
      </c>
      <c r="B374">
        <v>2013</v>
      </c>
      <c r="C374">
        <v>1</v>
      </c>
      <c r="D374" s="3">
        <v>27.6394729614257</v>
      </c>
      <c r="E374" s="3">
        <v>0.79233481548768803</v>
      </c>
      <c r="F374" s="19">
        <v>19</v>
      </c>
      <c r="G374" s="3">
        <v>27.3714294433593</v>
      </c>
      <c r="H374" s="3">
        <v>0.92380314185311596</v>
      </c>
      <c r="I374" s="19">
        <v>7</v>
      </c>
    </row>
    <row r="375" spans="1:9" x14ac:dyDescent="0.3">
      <c r="A375" s="3">
        <v>2013.0833333333901</v>
      </c>
      <c r="B375">
        <v>2013</v>
      </c>
      <c r="C375">
        <v>2</v>
      </c>
      <c r="D375" s="3">
        <v>27.5557136535644</v>
      </c>
      <c r="E375" s="3">
        <v>0.51388873567458104</v>
      </c>
      <c r="F375" s="19">
        <v>7</v>
      </c>
      <c r="G375" s="3">
        <v>27.044445037841701</v>
      </c>
      <c r="H375" s="3">
        <v>0.40213627074279401</v>
      </c>
      <c r="I375" s="19">
        <v>9</v>
      </c>
    </row>
    <row r="376" spans="1:9" x14ac:dyDescent="0.3">
      <c r="A376" s="3">
        <v>2013.1666666667199</v>
      </c>
      <c r="B376">
        <v>2013</v>
      </c>
      <c r="C376">
        <v>3</v>
      </c>
      <c r="D376" s="3">
        <v>27.413333892822202</v>
      </c>
      <c r="E376" s="3">
        <v>0.34922135609883698</v>
      </c>
      <c r="F376" s="19">
        <v>3</v>
      </c>
      <c r="G376" s="3">
        <v>26.459999084472599</v>
      </c>
      <c r="H376" s="3">
        <v>2.0000000000331902E-2</v>
      </c>
      <c r="I376" s="19">
        <v>2</v>
      </c>
    </row>
    <row r="377" spans="1:9" x14ac:dyDescent="0.3">
      <c r="A377" s="3">
        <v>2013.25000000006</v>
      </c>
      <c r="B377">
        <v>2013</v>
      </c>
      <c r="C377">
        <v>4</v>
      </c>
      <c r="D377" s="3">
        <v>27.799999237060501</v>
      </c>
      <c r="E377" s="3">
        <v>0</v>
      </c>
      <c r="F377" s="19">
        <v>1</v>
      </c>
      <c r="G377" s="3">
        <v>27.5524997711181</v>
      </c>
      <c r="H377" s="3">
        <v>0.31948200262273002</v>
      </c>
      <c r="I377" s="19">
        <v>4</v>
      </c>
    </row>
    <row r="378" spans="1:9" x14ac:dyDescent="0.3">
      <c r="A378" s="3">
        <v>2013.3333333333901</v>
      </c>
      <c r="B378">
        <v>2013</v>
      </c>
      <c r="C378">
        <v>5</v>
      </c>
      <c r="D378" s="3">
        <v>29.041999816894499</v>
      </c>
      <c r="E378" s="3">
        <v>0.70055406643625195</v>
      </c>
      <c r="F378" s="19">
        <v>5</v>
      </c>
      <c r="G378" s="3">
        <v>29.149999618530199</v>
      </c>
      <c r="H378" s="3">
        <v>0</v>
      </c>
      <c r="I378" s="19">
        <v>1</v>
      </c>
    </row>
    <row r="379" spans="1:9" x14ac:dyDescent="0.3">
      <c r="A379" s="3">
        <v>2013.4166666667199</v>
      </c>
      <c r="B379">
        <v>2013</v>
      </c>
      <c r="C379">
        <v>6</v>
      </c>
      <c r="D379" s="3">
        <v>29.725000381469702</v>
      </c>
      <c r="E379" s="3">
        <v>0.89499999999992597</v>
      </c>
      <c r="F379" s="19">
        <v>2</v>
      </c>
      <c r="G379" s="3">
        <v>29.295000076293899</v>
      </c>
      <c r="H379" s="3">
        <v>0.31499999999989298</v>
      </c>
      <c r="I379" s="19">
        <v>2</v>
      </c>
    </row>
    <row r="380" spans="1:9" x14ac:dyDescent="0.3">
      <c r="A380" s="3">
        <v>2013.50000000006</v>
      </c>
      <c r="B380">
        <v>2013</v>
      </c>
      <c r="C380">
        <v>7</v>
      </c>
      <c r="D380" s="3"/>
      <c r="E380" s="3"/>
      <c r="F380" s="19"/>
      <c r="G380" s="3">
        <v>29.5949993133544</v>
      </c>
      <c r="H380" s="3">
        <v>0.34500000000011399</v>
      </c>
      <c r="I380" s="19">
        <v>2</v>
      </c>
    </row>
    <row r="381" spans="1:9" x14ac:dyDescent="0.3">
      <c r="A381" s="3">
        <v>2013.5833333333901</v>
      </c>
      <c r="B381">
        <v>2013</v>
      </c>
      <c r="C381">
        <v>8</v>
      </c>
      <c r="D381" s="3">
        <v>30.270000457763601</v>
      </c>
      <c r="E381" s="3">
        <v>0.55000000000000804</v>
      </c>
      <c r="F381" s="19">
        <v>2</v>
      </c>
      <c r="G381" s="3">
        <v>30.129999160766602</v>
      </c>
      <c r="H381" s="3">
        <v>0</v>
      </c>
      <c r="I381" s="19">
        <v>1</v>
      </c>
    </row>
    <row r="382" spans="1:9" x14ac:dyDescent="0.3">
      <c r="A382" s="3">
        <v>2013.6666666667199</v>
      </c>
      <c r="B382">
        <v>2013</v>
      </c>
      <c r="C382">
        <v>9</v>
      </c>
      <c r="D382" s="3">
        <v>29.559999465942301</v>
      </c>
      <c r="E382" s="3">
        <v>0</v>
      </c>
      <c r="F382" s="19">
        <v>1</v>
      </c>
      <c r="G382" s="3">
        <v>29.309999465942301</v>
      </c>
      <c r="H382" s="3">
        <v>0.13999999999988699</v>
      </c>
      <c r="I382" s="19">
        <v>2</v>
      </c>
    </row>
    <row r="383" spans="1:9" x14ac:dyDescent="0.3">
      <c r="A383" s="3">
        <v>2013.75000000006</v>
      </c>
      <c r="B383">
        <v>2013</v>
      </c>
      <c r="C383">
        <v>10</v>
      </c>
      <c r="D383" s="3">
        <v>30.350000381469702</v>
      </c>
      <c r="E383" s="3">
        <v>0.23469128658709701</v>
      </c>
      <c r="F383" s="19">
        <v>5</v>
      </c>
      <c r="G383" s="3">
        <v>29.735000610351499</v>
      </c>
      <c r="H383" s="3">
        <v>0.105000000000084</v>
      </c>
      <c r="I383" s="19">
        <v>2</v>
      </c>
    </row>
    <row r="384" spans="1:9" x14ac:dyDescent="0.3">
      <c r="A384" s="3">
        <v>2013.8333333333901</v>
      </c>
      <c r="B384">
        <v>2013</v>
      </c>
      <c r="C384">
        <v>11</v>
      </c>
      <c r="D384" s="3">
        <v>29.5914287567138</v>
      </c>
      <c r="E384" s="3">
        <v>0.59128017461916305</v>
      </c>
      <c r="F384" s="19">
        <v>7</v>
      </c>
      <c r="G384" s="3">
        <v>29.120000839233398</v>
      </c>
      <c r="H384" s="3">
        <v>0.43324358044845601</v>
      </c>
      <c r="I384" s="19">
        <v>6</v>
      </c>
    </row>
    <row r="385" spans="1:9" x14ac:dyDescent="0.3">
      <c r="A385" s="3">
        <v>2013.9166666667199</v>
      </c>
      <c r="B385">
        <v>2013</v>
      </c>
      <c r="C385">
        <v>12</v>
      </c>
      <c r="D385" s="3">
        <v>29.346153259277301</v>
      </c>
      <c r="E385" s="3">
        <v>0.71179662676231803</v>
      </c>
      <c r="F385" s="19">
        <v>13</v>
      </c>
      <c r="G385" s="3">
        <v>28.4340000152587</v>
      </c>
      <c r="H385" s="3">
        <v>0.58506751747140195</v>
      </c>
      <c r="I385" s="19">
        <v>5</v>
      </c>
    </row>
    <row r="386" spans="1:9" x14ac:dyDescent="0.3">
      <c r="A386" s="3">
        <v>2014.00000000006</v>
      </c>
      <c r="B386">
        <v>2014</v>
      </c>
      <c r="C386">
        <v>1</v>
      </c>
      <c r="D386" s="3">
        <v>28.5318183898925</v>
      </c>
      <c r="E386" s="3">
        <v>0.879574465107549</v>
      </c>
      <c r="F386" s="19">
        <v>11</v>
      </c>
      <c r="G386" s="3">
        <v>27.9960002899169</v>
      </c>
      <c r="H386" s="3">
        <v>0.42177086986524598</v>
      </c>
      <c r="I386" s="19">
        <v>15</v>
      </c>
    </row>
    <row r="387" spans="1:9" x14ac:dyDescent="0.3">
      <c r="A387" s="3">
        <v>2014.0833333333901</v>
      </c>
      <c r="B387">
        <v>2014</v>
      </c>
      <c r="C387">
        <v>2</v>
      </c>
      <c r="D387" s="3">
        <v>27.682500839233398</v>
      </c>
      <c r="E387" s="3">
        <v>0.54460421408584003</v>
      </c>
      <c r="F387" s="19">
        <v>8</v>
      </c>
      <c r="G387" s="3">
        <v>27.399999618530199</v>
      </c>
      <c r="H387" s="3">
        <v>9.2736184954759507E-2</v>
      </c>
      <c r="I387" s="19">
        <v>3</v>
      </c>
    </row>
    <row r="388" spans="1:9" x14ac:dyDescent="0.3">
      <c r="A388" s="3">
        <v>2014.16666666673</v>
      </c>
      <c r="B388">
        <v>2014</v>
      </c>
      <c r="C388">
        <v>3</v>
      </c>
      <c r="D388" s="3">
        <v>27.284000396728501</v>
      </c>
      <c r="E388" s="3">
        <v>0.513092584237687</v>
      </c>
      <c r="F388" s="19">
        <v>5</v>
      </c>
      <c r="G388" s="3">
        <v>27.0133342742919</v>
      </c>
      <c r="H388" s="3">
        <v>0.196015872373204</v>
      </c>
      <c r="I388" s="19">
        <v>3</v>
      </c>
    </row>
    <row r="389" spans="1:9" x14ac:dyDescent="0.3">
      <c r="A389" s="3">
        <v>2014.25000000006</v>
      </c>
      <c r="B389">
        <v>2014</v>
      </c>
      <c r="C389">
        <v>4</v>
      </c>
      <c r="D389" s="3">
        <v>27.8533325195312</v>
      </c>
      <c r="E389" s="3">
        <v>0.81497784564301401</v>
      </c>
      <c r="F389" s="19">
        <v>6</v>
      </c>
      <c r="G389" s="3">
        <v>27.110000610351499</v>
      </c>
      <c r="H389" s="3">
        <v>0.19462785001111699</v>
      </c>
      <c r="I389" s="19">
        <v>5</v>
      </c>
    </row>
    <row r="390" spans="1:9" x14ac:dyDescent="0.3">
      <c r="A390" s="3">
        <v>2014.3333333333901</v>
      </c>
      <c r="B390">
        <v>2014</v>
      </c>
      <c r="C390">
        <v>5</v>
      </c>
      <c r="D390" s="3">
        <v>28.8666667938232</v>
      </c>
      <c r="E390" s="3">
        <v>1.05936563827399</v>
      </c>
      <c r="F390" s="19">
        <v>6</v>
      </c>
      <c r="G390" s="3">
        <v>28.288000106811499</v>
      </c>
      <c r="H390" s="3">
        <v>0.51421396324874602</v>
      </c>
      <c r="I390" s="19">
        <v>5</v>
      </c>
    </row>
    <row r="391" spans="1:9" x14ac:dyDescent="0.3">
      <c r="A391" s="3">
        <v>2014.41666666673</v>
      </c>
      <c r="B391">
        <v>2014</v>
      </c>
      <c r="C391">
        <v>6</v>
      </c>
      <c r="D391" s="3">
        <v>30.486665725708001</v>
      </c>
      <c r="E391" s="3">
        <v>0.31255221785946802</v>
      </c>
      <c r="F391" s="19">
        <v>3</v>
      </c>
      <c r="G391" s="3"/>
      <c r="H391" s="3"/>
      <c r="I391" s="19"/>
    </row>
    <row r="392" spans="1:9" x14ac:dyDescent="0.3">
      <c r="A392" s="3">
        <v>2014.50000000006</v>
      </c>
      <c r="B392">
        <v>2014</v>
      </c>
      <c r="C392">
        <v>7</v>
      </c>
      <c r="D392" s="3">
        <v>30.308332443237301</v>
      </c>
      <c r="E392" s="3">
        <v>0.67804662245477498</v>
      </c>
      <c r="F392" s="19">
        <v>6</v>
      </c>
      <c r="G392" s="3">
        <v>29.6049995422363</v>
      </c>
      <c r="H392" s="3">
        <v>0.171537167983597</v>
      </c>
      <c r="I392" s="19">
        <v>4</v>
      </c>
    </row>
    <row r="393" spans="1:9" x14ac:dyDescent="0.3">
      <c r="A393" s="3">
        <v>2014.5833333333901</v>
      </c>
      <c r="B393">
        <v>2014</v>
      </c>
      <c r="C393">
        <v>8</v>
      </c>
      <c r="D393" s="3">
        <v>29.704999923706001</v>
      </c>
      <c r="E393" s="3">
        <v>0.615000000000127</v>
      </c>
      <c r="F393" s="19">
        <v>2</v>
      </c>
      <c r="G393" s="3">
        <v>29.170000076293899</v>
      </c>
      <c r="H393" s="3">
        <v>0.10999999999962901</v>
      </c>
      <c r="I393" s="19">
        <v>2</v>
      </c>
    </row>
    <row r="394" spans="1:9" x14ac:dyDescent="0.3">
      <c r="A394" s="3">
        <v>2014.66666666673</v>
      </c>
      <c r="B394">
        <v>2014</v>
      </c>
      <c r="C394">
        <v>9</v>
      </c>
      <c r="D394" s="3">
        <v>30.9925003051757</v>
      </c>
      <c r="E394" s="3">
        <v>0.584738189277894</v>
      </c>
      <c r="F394" s="19">
        <v>4</v>
      </c>
      <c r="G394" s="3">
        <v>29.4475002288818</v>
      </c>
      <c r="H394" s="3">
        <v>0.71099841771989303</v>
      </c>
      <c r="I394" s="19">
        <v>4</v>
      </c>
    </row>
    <row r="395" spans="1:9" x14ac:dyDescent="0.3">
      <c r="A395" s="3">
        <v>2014.75000000006</v>
      </c>
      <c r="B395">
        <v>2014</v>
      </c>
      <c r="C395">
        <v>10</v>
      </c>
      <c r="D395" s="3">
        <v>29.356666564941399</v>
      </c>
      <c r="E395" s="3">
        <v>0.64504952436935803</v>
      </c>
      <c r="F395" s="19">
        <v>3</v>
      </c>
      <c r="G395" s="3">
        <v>28.870000839233398</v>
      </c>
      <c r="H395" s="3">
        <v>0.39000000000002299</v>
      </c>
      <c r="I395" s="19">
        <v>2</v>
      </c>
    </row>
    <row r="396" spans="1:9" x14ac:dyDescent="0.3">
      <c r="A396" s="3">
        <v>2014.8333333333901</v>
      </c>
      <c r="B396">
        <v>2014</v>
      </c>
      <c r="C396">
        <v>11</v>
      </c>
      <c r="D396" s="3">
        <v>29.670000076293899</v>
      </c>
      <c r="E396" s="3">
        <v>0.62225396744425798</v>
      </c>
      <c r="F396" s="19">
        <v>5</v>
      </c>
      <c r="G396" s="3">
        <v>29.270000457763601</v>
      </c>
      <c r="H396" s="3">
        <v>0.64999999999992297</v>
      </c>
      <c r="I396" s="19">
        <v>2</v>
      </c>
    </row>
    <row r="397" spans="1:9" x14ac:dyDescent="0.3">
      <c r="A397" s="3">
        <v>2014.91666666673</v>
      </c>
      <c r="B397">
        <v>2014</v>
      </c>
      <c r="C397">
        <v>12</v>
      </c>
      <c r="D397" s="3">
        <v>28.6666660308837</v>
      </c>
      <c r="E397" s="3">
        <v>0.65596409115808596</v>
      </c>
      <c r="F397" s="19">
        <v>9</v>
      </c>
      <c r="G397" s="3">
        <v>28.318750381469702</v>
      </c>
      <c r="H397" s="3">
        <v>0.45859670463275798</v>
      </c>
      <c r="I397" s="19">
        <v>8</v>
      </c>
    </row>
    <row r="398" spans="1:9" x14ac:dyDescent="0.3">
      <c r="A398" s="3">
        <v>2015.00000000006</v>
      </c>
      <c r="B398">
        <v>2015</v>
      </c>
      <c r="C398">
        <v>1</v>
      </c>
      <c r="D398" s="3">
        <v>27.324285507202099</v>
      </c>
      <c r="E398" s="3">
        <v>0.56114314809408605</v>
      </c>
      <c r="F398" s="19">
        <v>7</v>
      </c>
      <c r="G398" s="3">
        <v>27.718000411987301</v>
      </c>
      <c r="H398" s="3">
        <v>0.43551808228816702</v>
      </c>
      <c r="I398" s="19">
        <v>10</v>
      </c>
    </row>
    <row r="399" spans="1:9" x14ac:dyDescent="0.3">
      <c r="A399" s="3">
        <v>2015.0833333333901</v>
      </c>
      <c r="B399">
        <v>2015</v>
      </c>
      <c r="C399">
        <v>2</v>
      </c>
      <c r="D399" s="3">
        <v>27.6781826019287</v>
      </c>
      <c r="E399" s="3">
        <v>0.44834682560838601</v>
      </c>
      <c r="F399" s="19">
        <v>11</v>
      </c>
      <c r="G399" s="3">
        <v>27.100000381469702</v>
      </c>
      <c r="H399" s="3">
        <v>0.33677885919404399</v>
      </c>
      <c r="I399" s="19">
        <v>10</v>
      </c>
    </row>
    <row r="400" spans="1:9" x14ac:dyDescent="0.3">
      <c r="A400" s="3">
        <v>2015.16666666673</v>
      </c>
      <c r="B400">
        <v>2015</v>
      </c>
      <c r="C400">
        <v>3</v>
      </c>
      <c r="D400" s="3">
        <v>27.438571929931602</v>
      </c>
      <c r="E400" s="3">
        <v>0.513042147292187</v>
      </c>
      <c r="F400" s="19">
        <v>14</v>
      </c>
      <c r="G400" s="3">
        <v>26.683332443237301</v>
      </c>
      <c r="H400" s="3">
        <v>0.56408234229465304</v>
      </c>
      <c r="I400" s="19">
        <v>6</v>
      </c>
    </row>
    <row r="401" spans="1:9" x14ac:dyDescent="0.3">
      <c r="A401" s="3">
        <v>2015.25000000006</v>
      </c>
      <c r="B401">
        <v>2015</v>
      </c>
      <c r="C401">
        <v>4</v>
      </c>
      <c r="D401" s="3">
        <v>27.420000076293899</v>
      </c>
      <c r="E401" s="3">
        <v>0.60811183182050699</v>
      </c>
      <c r="F401" s="19">
        <v>3</v>
      </c>
      <c r="G401" s="3">
        <v>27.2199993133544</v>
      </c>
      <c r="H401" s="3">
        <v>0.30763614872129702</v>
      </c>
      <c r="I401" s="19">
        <v>5</v>
      </c>
    </row>
    <row r="402" spans="1:9" x14ac:dyDescent="0.3">
      <c r="A402" s="3">
        <v>2015.3333333333901</v>
      </c>
      <c r="B402">
        <v>2015</v>
      </c>
      <c r="C402">
        <v>5</v>
      </c>
      <c r="D402" s="3"/>
      <c r="E402" s="3"/>
      <c r="F402" s="19"/>
      <c r="G402" s="3">
        <v>28.600000381469702</v>
      </c>
      <c r="H402" s="3">
        <v>0</v>
      </c>
      <c r="I402" s="19">
        <v>1</v>
      </c>
    </row>
    <row r="403" spans="1:9" x14ac:dyDescent="0.3">
      <c r="A403" s="3">
        <v>2015.41666666673</v>
      </c>
      <c r="B403">
        <v>2015</v>
      </c>
      <c r="C403">
        <v>6</v>
      </c>
      <c r="D403" s="3">
        <v>29.7000007629394</v>
      </c>
      <c r="E403" s="3">
        <v>0.29000000000005999</v>
      </c>
      <c r="F403" s="19">
        <v>2</v>
      </c>
      <c r="G403" s="3">
        <v>29.454999923706001</v>
      </c>
      <c r="H403" s="3">
        <v>0.56500000000006501</v>
      </c>
      <c r="I403" s="19">
        <v>2</v>
      </c>
    </row>
    <row r="404" spans="1:9" x14ac:dyDescent="0.3">
      <c r="A404" s="3">
        <v>2015.50000000006</v>
      </c>
      <c r="B404">
        <v>2015</v>
      </c>
      <c r="C404">
        <v>7</v>
      </c>
      <c r="D404" s="3">
        <v>29.600000381469702</v>
      </c>
      <c r="E404" s="3">
        <v>0.46411205543494</v>
      </c>
      <c r="F404" s="19">
        <v>4</v>
      </c>
      <c r="G404" s="3">
        <v>29.549999237060501</v>
      </c>
      <c r="H404" s="3">
        <v>0</v>
      </c>
      <c r="I404" s="19">
        <v>1</v>
      </c>
    </row>
    <row r="405" spans="1:9" x14ac:dyDescent="0.3">
      <c r="A405" s="3">
        <v>2015.5833333333901</v>
      </c>
      <c r="B405">
        <v>2015</v>
      </c>
      <c r="C405">
        <v>8</v>
      </c>
      <c r="D405" s="3">
        <v>29.813999176025298</v>
      </c>
      <c r="E405" s="3">
        <v>0.637451174600982</v>
      </c>
      <c r="F405" s="19">
        <v>5</v>
      </c>
      <c r="G405" s="3">
        <v>29.315000534057599</v>
      </c>
      <c r="H405" s="3">
        <v>0.27500000000010699</v>
      </c>
      <c r="I405" s="19">
        <v>2</v>
      </c>
    </row>
    <row r="406" spans="1:9" x14ac:dyDescent="0.3">
      <c r="A406" s="3">
        <v>2015.66666666673</v>
      </c>
      <c r="B406">
        <v>2015</v>
      </c>
      <c r="C406">
        <v>9</v>
      </c>
      <c r="D406" s="3">
        <v>30.686666488647401</v>
      </c>
      <c r="E406" s="3">
        <v>1.20676795155029</v>
      </c>
      <c r="F406" s="19">
        <v>3</v>
      </c>
      <c r="G406" s="3">
        <v>30.173334121704102</v>
      </c>
      <c r="H406" s="3">
        <v>0.42851163604056203</v>
      </c>
      <c r="I406" s="19">
        <v>3</v>
      </c>
    </row>
    <row r="407" spans="1:9" x14ac:dyDescent="0.3">
      <c r="A407" s="3">
        <v>2015.75000000006</v>
      </c>
      <c r="B407">
        <v>2015</v>
      </c>
      <c r="C407">
        <v>10</v>
      </c>
      <c r="D407" s="3">
        <v>30.521429061889599</v>
      </c>
      <c r="E407" s="3">
        <v>0.40364158682198698</v>
      </c>
      <c r="F407" s="19">
        <v>7</v>
      </c>
      <c r="G407" s="3">
        <v>29.5533332824707</v>
      </c>
      <c r="H407" s="3">
        <v>0.124988888394894</v>
      </c>
      <c r="I407" s="19">
        <v>3</v>
      </c>
    </row>
    <row r="408" spans="1:9" x14ac:dyDescent="0.3">
      <c r="A408" s="3">
        <v>2015.8333333333901</v>
      </c>
      <c r="B408">
        <v>2015</v>
      </c>
      <c r="C408">
        <v>11</v>
      </c>
      <c r="D408" s="3">
        <v>29.408571243286101</v>
      </c>
      <c r="E408" s="3">
        <v>0.36592070067689703</v>
      </c>
      <c r="F408" s="19">
        <v>7</v>
      </c>
      <c r="G408" s="3">
        <v>28.7299995422363</v>
      </c>
      <c r="H408" s="3">
        <v>0.23678400846908901</v>
      </c>
      <c r="I408" s="19">
        <v>3</v>
      </c>
    </row>
    <row r="409" spans="1:9" x14ac:dyDescent="0.3">
      <c r="A409" s="3">
        <v>2015.91666666673</v>
      </c>
      <c r="B409">
        <v>2015</v>
      </c>
      <c r="C409">
        <v>12</v>
      </c>
      <c r="D409" s="3">
        <v>30.108333587646399</v>
      </c>
      <c r="E409" s="3">
        <v>0.54762872662207496</v>
      </c>
      <c r="F409" s="19">
        <v>12</v>
      </c>
      <c r="G409" s="3">
        <v>29.725999832153299</v>
      </c>
      <c r="H409" s="3">
        <v>0.39792461597602802</v>
      </c>
      <c r="I409" s="19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D6E0-0CDD-46E3-B987-4612E3EB19E4}">
  <dimension ref="A1:AT793"/>
  <sheetViews>
    <sheetView workbookViewId="0">
      <selection activeCell="H20" sqref="H20"/>
    </sheetView>
  </sheetViews>
  <sheetFormatPr baseColWidth="10" defaultColWidth="11.44140625" defaultRowHeight="14.4" x14ac:dyDescent="0.3"/>
  <cols>
    <col min="1" max="1" width="6.88671875" customWidth="1"/>
    <col min="2" max="2" width="5.77734375" customWidth="1"/>
    <col min="3" max="3" width="7.109375" customWidth="1"/>
    <col min="4" max="4" width="14" customWidth="1"/>
    <col min="5" max="5" width="7.21875" customWidth="1"/>
    <col min="6" max="6" width="7.6640625" customWidth="1"/>
    <col min="7" max="7" width="7.109375" customWidth="1"/>
    <col min="8" max="8" width="7" customWidth="1"/>
    <col min="9" max="10" width="6.5546875" customWidth="1"/>
    <col min="11" max="11" width="7.5546875" customWidth="1"/>
    <col min="12" max="12" width="9.33203125" customWidth="1"/>
    <col min="16" max="16" width="6.6640625" customWidth="1"/>
    <col min="17" max="17" width="13.6640625" customWidth="1"/>
    <col min="19" max="19" width="7.44140625" customWidth="1"/>
    <col min="20" max="20" width="7.109375" customWidth="1"/>
    <col min="21" max="21" width="5.109375" customWidth="1"/>
    <col min="22" max="23" width="7.109375" customWidth="1"/>
    <col min="24" max="24" width="7.44140625" customWidth="1"/>
    <col min="25" max="25" width="7.33203125" customWidth="1"/>
    <col min="26" max="26" width="9.5546875" customWidth="1"/>
    <col min="27" max="27" width="6.6640625" customWidth="1"/>
    <col min="38" max="38" width="7.6640625" customWidth="1"/>
    <col min="39" max="39" width="8.44140625" customWidth="1"/>
    <col min="40" max="40" width="6.33203125" customWidth="1"/>
    <col min="41" max="41" width="6.21875" customWidth="1"/>
    <col min="42" max="42" width="5.109375" customWidth="1"/>
    <col min="43" max="43" width="7.5546875" customWidth="1"/>
    <col min="44" max="44" width="6" customWidth="1"/>
    <col min="45" max="45" width="5.5546875" customWidth="1"/>
    <col min="46" max="46" width="5.88671875" customWidth="1"/>
  </cols>
  <sheetData>
    <row r="1" spans="1:46" x14ac:dyDescent="0.3">
      <c r="A1" s="4" t="s">
        <v>44</v>
      </c>
      <c r="B1" s="4" t="s">
        <v>43</v>
      </c>
      <c r="C1" s="4" t="s">
        <v>17</v>
      </c>
      <c r="D1" s="25" t="s">
        <v>42</v>
      </c>
      <c r="E1" s="4" t="s">
        <v>16</v>
      </c>
      <c r="G1" s="6" t="s">
        <v>18</v>
      </c>
      <c r="H1" s="6" t="s">
        <v>41</v>
      </c>
      <c r="I1" s="6" t="s">
        <v>40</v>
      </c>
      <c r="J1" s="6"/>
      <c r="K1" t="s">
        <v>46</v>
      </c>
      <c r="L1" t="s">
        <v>45</v>
      </c>
      <c r="M1" t="s">
        <v>127</v>
      </c>
    </row>
    <row r="2" spans="1:46" x14ac:dyDescent="0.3">
      <c r="A2">
        <v>1950</v>
      </c>
      <c r="B2">
        <v>1</v>
      </c>
      <c r="C2" s="3">
        <v>1950.00000000261</v>
      </c>
      <c r="D2" s="2">
        <v>26.356407000000001</v>
      </c>
      <c r="E2" s="3">
        <f>STANDARDIZE(D2,H$13,I$13)</f>
        <v>-2.1814472304363584</v>
      </c>
      <c r="G2">
        <v>12</v>
      </c>
      <c r="H2" s="2">
        <f t="shared" ref="H2:H13" si="0">AVERAGEIF(B$2:B$793,G2,D$2:D$793)</f>
        <v>27.79777283333333</v>
      </c>
      <c r="I2" s="9">
        <f t="array" ref="I2">_xlfn.STDEV.S(IF(B$2:B$793=G2,D$2:D$793))</f>
        <v>0.31957548115328938</v>
      </c>
      <c r="J2" s="9"/>
      <c r="K2">
        <v>2015</v>
      </c>
      <c r="L2" s="3">
        <f>AVERAGEIF(A$2:A$793,K2,D$2:D$793)</f>
        <v>28.355173833333328</v>
      </c>
      <c r="AL2" s="3"/>
      <c r="AM2" s="3"/>
      <c r="AN2" s="3"/>
      <c r="AO2" s="3"/>
      <c r="AP2" s="3"/>
      <c r="AQ2" s="3"/>
      <c r="AR2" s="3"/>
      <c r="AS2" s="3"/>
      <c r="AT2" s="3"/>
    </row>
    <row r="3" spans="1:46" x14ac:dyDescent="0.3">
      <c r="A3">
        <v>1950</v>
      </c>
      <c r="B3">
        <v>2</v>
      </c>
      <c r="C3" s="3">
        <v>1950.0833333359401</v>
      </c>
      <c r="D3" s="2">
        <v>26.126427</v>
      </c>
      <c r="E3" s="3">
        <f>STANDARDIZE(D3,H$12,I$12)</f>
        <v>-1.9321373411385818</v>
      </c>
      <c r="G3">
        <v>11</v>
      </c>
      <c r="H3" s="2">
        <f t="shared" si="0"/>
        <v>28.679352166666668</v>
      </c>
      <c r="I3" s="9">
        <f t="array" ref="I3">_xlfn.STDEV.S(IF(B$2:B$793=G3,D$2:D$793))</f>
        <v>0.31545242292470033</v>
      </c>
      <c r="J3" s="9"/>
      <c r="K3">
        <v>2014</v>
      </c>
      <c r="L3" s="3">
        <f>AVERAGEIF(A$2:A$793,K3,D$2:D$793)</f>
        <v>28.293394333333335</v>
      </c>
      <c r="AJ3" s="2"/>
      <c r="AL3" s="3"/>
      <c r="AM3" s="3"/>
      <c r="AN3" s="3"/>
      <c r="AO3" s="3"/>
      <c r="AP3" s="3"/>
      <c r="AQ3" s="3"/>
      <c r="AR3" s="3"/>
      <c r="AS3" s="3"/>
      <c r="AT3" s="3"/>
    </row>
    <row r="4" spans="1:46" x14ac:dyDescent="0.3">
      <c r="A4">
        <v>1950</v>
      </c>
      <c r="B4">
        <v>3</v>
      </c>
      <c r="C4" s="3">
        <v>1950.1666666692699</v>
      </c>
      <c r="D4" s="2">
        <v>26.528521999999999</v>
      </c>
      <c r="E4" s="3">
        <f>STANDARDIZE(D4,H$11,I$11)</f>
        <v>-1.1143673087939945</v>
      </c>
      <c r="G4">
        <v>10</v>
      </c>
      <c r="H4" s="2">
        <f t="shared" si="0"/>
        <v>28.925387257575764</v>
      </c>
      <c r="I4" s="9">
        <f t="array" ref="I4">_xlfn.STDEV.S(IF(B$2:B$793=G4,D$2:D$793))</f>
        <v>0.31568470058438941</v>
      </c>
      <c r="J4" s="9"/>
      <c r="K4">
        <v>2013</v>
      </c>
      <c r="L4" s="3">
        <f t="shared" ref="L4:L67" si="1">AVERAGEIF(A$2:A$793,K4,D$2:D$793)</f>
        <v>28.339949749999999</v>
      </c>
      <c r="AJ4" s="3"/>
      <c r="AL4" s="3"/>
      <c r="AM4" s="3"/>
      <c r="AN4" s="3"/>
      <c r="AO4" s="3"/>
      <c r="AP4" s="3"/>
      <c r="AQ4" s="3"/>
      <c r="AR4" s="3"/>
      <c r="AS4" s="3"/>
      <c r="AT4" s="3"/>
    </row>
    <row r="5" spans="1:46" x14ac:dyDescent="0.3">
      <c r="A5">
        <v>1950</v>
      </c>
      <c r="B5">
        <v>4</v>
      </c>
      <c r="C5" s="3">
        <v>1950.2500000026</v>
      </c>
      <c r="D5" s="2">
        <v>26.793478</v>
      </c>
      <c r="E5" s="3">
        <f>STANDARDIZE(D5,H$10,I$10)</f>
        <v>-1.9479391435809617</v>
      </c>
      <c r="G5">
        <v>9</v>
      </c>
      <c r="H5" s="2">
        <f t="shared" si="0"/>
        <v>28.818721318181826</v>
      </c>
      <c r="I5" s="9">
        <f t="array" ref="I5">_xlfn.STDEV.S(IF(B$2:B$793=G5,D$2:D$793))</f>
        <v>0.33830816711159206</v>
      </c>
      <c r="J5" s="9"/>
      <c r="K5">
        <v>2012</v>
      </c>
      <c r="L5" s="3">
        <f t="shared" si="1"/>
        <v>28.264226666666669</v>
      </c>
      <c r="AJ5" s="3"/>
      <c r="AL5" s="3"/>
      <c r="AM5" s="3"/>
      <c r="AN5" s="3"/>
      <c r="AO5" s="3"/>
      <c r="AP5" s="3"/>
      <c r="AQ5" s="3"/>
      <c r="AR5" s="3"/>
      <c r="AS5" s="3"/>
      <c r="AT5" s="3"/>
    </row>
    <row r="6" spans="1:46" x14ac:dyDescent="0.3">
      <c r="A6">
        <v>1950</v>
      </c>
      <c r="B6">
        <v>5</v>
      </c>
      <c r="C6" s="3">
        <v>1950.3333333359301</v>
      </c>
      <c r="D6" s="2">
        <v>27.647210000000001</v>
      </c>
      <c r="E6" s="3">
        <f>STANDARDIZE(D6,H$9,I$9)</f>
        <v>-1.6505853651399913</v>
      </c>
      <c r="G6">
        <v>8</v>
      </c>
      <c r="H6" s="2">
        <f t="shared" si="0"/>
        <v>28.493212333333332</v>
      </c>
      <c r="I6" s="9">
        <f t="array" ref="I6">_xlfn.STDEV.S(IF(B$2:B$793=G6,D$2:D$793))</f>
        <v>0.33825273704960407</v>
      </c>
      <c r="J6" s="9"/>
      <c r="K6">
        <v>2011</v>
      </c>
      <c r="L6" s="3">
        <f t="shared" si="1"/>
        <v>28.428455916666667</v>
      </c>
      <c r="AL6" s="3"/>
      <c r="AM6" s="3"/>
      <c r="AN6" s="3"/>
      <c r="AO6" s="3"/>
      <c r="AP6" s="3"/>
      <c r="AQ6" s="3"/>
      <c r="AR6" s="3"/>
      <c r="AS6" s="3"/>
      <c r="AT6" s="3"/>
    </row>
    <row r="7" spans="1:46" x14ac:dyDescent="0.3">
      <c r="A7">
        <v>1950</v>
      </c>
      <c r="B7">
        <v>6</v>
      </c>
      <c r="C7" s="3">
        <v>1950.4166666692599</v>
      </c>
      <c r="D7" s="2">
        <v>28.136794999999999</v>
      </c>
      <c r="E7" s="3">
        <f>STANDARDIZE(D7,H$8,I$8)</f>
        <v>-1.370909495904447</v>
      </c>
      <c r="G7">
        <v>7</v>
      </c>
      <c r="H7" s="2">
        <f t="shared" si="0"/>
        <v>28.300005318181828</v>
      </c>
      <c r="I7" s="9">
        <f t="array" ref="I7">_xlfn.STDEV.S(IF(B$2:B$793=G7,D$2:D$793))</f>
        <v>0.34553689116896419</v>
      </c>
      <c r="J7" s="9"/>
      <c r="K7">
        <v>2010</v>
      </c>
      <c r="L7" s="3">
        <f t="shared" si="1"/>
        <v>28.769775499999994</v>
      </c>
      <c r="AL7" s="3"/>
      <c r="AM7" s="3"/>
      <c r="AN7" s="3"/>
      <c r="AO7" s="3"/>
      <c r="AP7" s="3"/>
      <c r="AQ7" s="3"/>
      <c r="AR7" s="3"/>
      <c r="AS7" s="3"/>
      <c r="AT7" s="3"/>
    </row>
    <row r="8" spans="1:46" x14ac:dyDescent="0.3">
      <c r="A8">
        <v>1950</v>
      </c>
      <c r="B8">
        <v>7</v>
      </c>
      <c r="C8" s="3">
        <v>1950.50000000259</v>
      </c>
      <c r="D8" s="2">
        <v>27.741499000000001</v>
      </c>
      <c r="E8" s="3">
        <f>STANDARDIZE(D8,H$7,I$7)</f>
        <v>-1.6163435293186188</v>
      </c>
      <c r="G8">
        <v>6</v>
      </c>
      <c r="H8" s="2">
        <f t="shared" si="0"/>
        <v>28.648335863636365</v>
      </c>
      <c r="I8" s="9">
        <f t="array" ref="I8">_xlfn.STDEV.S(IF(B$2:B$793=G8,D$2:D$793))</f>
        <v>0.37313977703457435</v>
      </c>
      <c r="J8" s="9"/>
      <c r="K8">
        <v>2009</v>
      </c>
      <c r="L8" s="3">
        <f t="shared" si="1"/>
        <v>28.08855208333333</v>
      </c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3">
      <c r="A9">
        <v>1950</v>
      </c>
      <c r="B9">
        <v>8</v>
      </c>
      <c r="C9" s="3">
        <v>1950.5833333359201</v>
      </c>
      <c r="D9" s="2">
        <v>28.178238</v>
      </c>
      <c r="E9" s="3">
        <f>STANDARDIZE(D9,H$6,I$6)</f>
        <v>-0.93118044241321707</v>
      </c>
      <c r="G9">
        <v>5</v>
      </c>
      <c r="H9" s="2">
        <f t="shared" si="0"/>
        <v>28.318618681818183</v>
      </c>
      <c r="I9" s="9">
        <f t="array" ref="I9">_xlfn.STDEV.S(IF(B$2:B$793=G9,D$2:D$793))</f>
        <v>0.40677004412991247</v>
      </c>
      <c r="J9" s="9"/>
      <c r="K9">
        <v>2008</v>
      </c>
      <c r="L9" s="3">
        <f t="shared" si="1"/>
        <v>28.12761025</v>
      </c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3">
      <c r="A10">
        <v>1950</v>
      </c>
      <c r="B10">
        <v>9</v>
      </c>
      <c r="C10" s="3">
        <v>1950.6666666692499</v>
      </c>
      <c r="D10" s="2">
        <v>28.880917</v>
      </c>
      <c r="E10" s="3">
        <f>STANDARDIZE(D10,H$5,I$5)</f>
        <v>0.18384327623299415</v>
      </c>
      <c r="G10">
        <v>4</v>
      </c>
      <c r="H10" s="2">
        <f t="shared" si="0"/>
        <v>27.481424484848482</v>
      </c>
      <c r="I10" s="9">
        <f t="array" ref="I10">_xlfn.STDEV.S(IF(B$2:B$793=G10,D$2:D$793))</f>
        <v>0.3531663127749497</v>
      </c>
      <c r="J10" s="9"/>
      <c r="K10">
        <v>2007</v>
      </c>
      <c r="L10" s="3">
        <f t="shared" si="1"/>
        <v>28.209015750000002</v>
      </c>
      <c r="AL10" s="3"/>
      <c r="AM10" s="3"/>
      <c r="AN10" s="3"/>
      <c r="AO10" s="3"/>
      <c r="AP10" s="3"/>
      <c r="AQ10" s="3"/>
      <c r="AR10" s="3"/>
      <c r="AS10" s="3"/>
      <c r="AT10" s="3"/>
    </row>
    <row r="11" spans="1:46" x14ac:dyDescent="0.3">
      <c r="A11">
        <v>1950</v>
      </c>
      <c r="B11">
        <v>10</v>
      </c>
      <c r="C11" s="3">
        <v>1950.75000000258</v>
      </c>
      <c r="D11" s="2">
        <v>28.699985999999999</v>
      </c>
      <c r="E11" s="3">
        <f>STANDARDIZE(D11,H$4,I$4)</f>
        <v>-0.71400754347140183</v>
      </c>
      <c r="G11">
        <v>3</v>
      </c>
      <c r="H11" s="2">
        <f t="shared" si="0"/>
        <v>26.979263060606058</v>
      </c>
      <c r="I11" s="9">
        <f t="array" ref="I11">_xlfn.STDEV.S(IF(B$2:B$793=G11,D$2:D$793))</f>
        <v>0.40448158973172554</v>
      </c>
      <c r="J11" s="9"/>
      <c r="K11">
        <v>2006</v>
      </c>
      <c r="L11" s="3">
        <f t="shared" si="1"/>
        <v>28.362006749999995</v>
      </c>
      <c r="AL11" s="3"/>
      <c r="AM11" s="3"/>
      <c r="AN11" s="3"/>
      <c r="AO11" s="3"/>
      <c r="AP11" s="3"/>
      <c r="AQ11" s="3"/>
      <c r="AR11" s="3"/>
      <c r="AS11" s="3"/>
      <c r="AT11" s="3"/>
    </row>
    <row r="12" spans="1:46" x14ac:dyDescent="0.3">
      <c r="A12">
        <v>1950</v>
      </c>
      <c r="B12">
        <v>11</v>
      </c>
      <c r="C12" s="3">
        <v>1950.8333333359101</v>
      </c>
      <c r="D12" s="2">
        <v>28.573665999999999</v>
      </c>
      <c r="E12" s="3">
        <f>STANDARDIZE(D12,H$3,I$3)</f>
        <v>-0.33503044829012485</v>
      </c>
      <c r="G12">
        <v>2</v>
      </c>
      <c r="H12" s="2">
        <f t="shared" si="0"/>
        <v>26.879908863636373</v>
      </c>
      <c r="I12" s="9">
        <f t="array" ref="I12">_xlfn.STDEV.S(IF(B$2:B$793=G12,D$2:D$793))</f>
        <v>0.38997324237435282</v>
      </c>
      <c r="J12" s="9"/>
      <c r="K12">
        <v>2005</v>
      </c>
      <c r="L12" s="3">
        <f t="shared" si="1"/>
        <v>28.552892583333332</v>
      </c>
      <c r="AL12" s="3"/>
      <c r="AM12" s="3"/>
      <c r="AN12" s="3"/>
      <c r="AO12" s="3"/>
      <c r="AP12" s="3"/>
      <c r="AQ12" s="3"/>
      <c r="AR12" s="3"/>
      <c r="AS12" s="3"/>
      <c r="AT12" s="3"/>
    </row>
    <row r="13" spans="1:46" x14ac:dyDescent="0.3">
      <c r="A13">
        <v>1950</v>
      </c>
      <c r="B13">
        <v>12</v>
      </c>
      <c r="C13" s="3">
        <v>1950.9166666692399</v>
      </c>
      <c r="D13" s="2">
        <v>27.662776999999998</v>
      </c>
      <c r="E13" s="3">
        <f>STANDARDIZE(D13,H$2,I$2)</f>
        <v>-0.4224223737257814</v>
      </c>
      <c r="G13">
        <v>1</v>
      </c>
      <c r="H13" s="2">
        <f t="shared" si="0"/>
        <v>27.07858162121212</v>
      </c>
      <c r="I13" s="9">
        <f t="array" ref="I13">_xlfn.STDEV.S(IF(B$2:B$793=G13,D$2:D$793))</f>
        <v>0.33105298681355733</v>
      </c>
      <c r="J13" s="9"/>
      <c r="K13">
        <v>2004</v>
      </c>
      <c r="L13" s="3">
        <f t="shared" si="1"/>
        <v>28.266666999999998</v>
      </c>
      <c r="AL13" s="3"/>
      <c r="AM13" s="3"/>
      <c r="AN13" s="3"/>
      <c r="AO13" s="3"/>
      <c r="AP13" s="3"/>
      <c r="AQ13" s="3"/>
      <c r="AR13" s="3"/>
      <c r="AS13" s="3"/>
      <c r="AT13" s="3"/>
    </row>
    <row r="14" spans="1:46" x14ac:dyDescent="0.3">
      <c r="A14">
        <v>1951</v>
      </c>
      <c r="B14">
        <v>1</v>
      </c>
      <c r="C14" s="3">
        <v>1951.00000000257</v>
      </c>
      <c r="D14" s="2">
        <v>27.125397</v>
      </c>
      <c r="E14" s="3">
        <f>STANDARDIZE(D14,H$13,I$13)</f>
        <v>0.1414135520675586</v>
      </c>
      <c r="K14">
        <v>2003</v>
      </c>
      <c r="L14" s="3">
        <f t="shared" si="1"/>
        <v>28.298869166666666</v>
      </c>
      <c r="AL14" s="3"/>
      <c r="AM14" s="3"/>
      <c r="AN14" s="3"/>
      <c r="AO14" s="3"/>
      <c r="AP14" s="3"/>
      <c r="AQ14" s="3"/>
      <c r="AR14" s="3"/>
      <c r="AS14" s="3"/>
      <c r="AT14" s="3"/>
    </row>
    <row r="15" spans="1:46" x14ac:dyDescent="0.3">
      <c r="A15">
        <v>1951</v>
      </c>
      <c r="B15">
        <v>2</v>
      </c>
      <c r="C15" s="3">
        <v>1951.0833333359001</v>
      </c>
      <c r="D15" s="2">
        <v>26.689254999999999</v>
      </c>
      <c r="E15" s="3">
        <f>STANDARDIZE(D15,H$12,I$12)</f>
        <v>-0.4888896029778293</v>
      </c>
      <c r="K15">
        <v>2002</v>
      </c>
      <c r="L15" s="3">
        <f t="shared" si="1"/>
        <v>28.077443916666667</v>
      </c>
      <c r="AL15" s="3"/>
      <c r="AM15" s="3"/>
      <c r="AN15" s="3"/>
      <c r="AO15" s="3"/>
      <c r="AP15" s="3"/>
      <c r="AQ15" s="3"/>
      <c r="AR15" s="3"/>
      <c r="AS15" s="3"/>
    </row>
    <row r="16" spans="1:46" x14ac:dyDescent="0.3">
      <c r="A16">
        <v>1951</v>
      </c>
      <c r="B16">
        <v>3</v>
      </c>
      <c r="C16" s="3">
        <v>1951.1666666692299</v>
      </c>
      <c r="D16" s="2">
        <v>26.483592999999999</v>
      </c>
      <c r="E16" s="3">
        <f>STANDARDIZE(D16,H$11,I$11)</f>
        <v>-1.2254452939003109</v>
      </c>
      <c r="K16">
        <v>2001</v>
      </c>
      <c r="L16" s="3">
        <f t="shared" si="1"/>
        <v>28.024439666666666</v>
      </c>
      <c r="AL16" s="3"/>
      <c r="AM16" s="3"/>
      <c r="AN16" s="3"/>
      <c r="AO16" s="3"/>
      <c r="AP16" s="3"/>
      <c r="AQ16" s="3"/>
      <c r="AR16" s="3"/>
      <c r="AS16" s="3"/>
    </row>
    <row r="17" spans="1:44" x14ac:dyDescent="0.3">
      <c r="A17">
        <v>1951</v>
      </c>
      <c r="B17">
        <v>4</v>
      </c>
      <c r="C17" s="3">
        <v>1951.25000000256</v>
      </c>
      <c r="D17" s="2">
        <v>27.419464000000001</v>
      </c>
      <c r="E17" s="3">
        <f>STANDARDIZE(D17,H$10,I$10)</f>
        <v>-0.17544279453392811</v>
      </c>
      <c r="K17">
        <v>2000</v>
      </c>
      <c r="L17" s="3">
        <f t="shared" si="1"/>
        <v>27.931871750000003</v>
      </c>
      <c r="AL17" s="3"/>
      <c r="AM17" s="3"/>
      <c r="AN17" s="3"/>
      <c r="AO17" s="3"/>
      <c r="AP17" s="3"/>
      <c r="AQ17" s="3"/>
      <c r="AR17" s="3"/>
    </row>
    <row r="18" spans="1:44" x14ac:dyDescent="0.3">
      <c r="A18">
        <v>1951</v>
      </c>
      <c r="B18">
        <v>5</v>
      </c>
      <c r="C18" s="3">
        <v>1951.3333333358901</v>
      </c>
      <c r="D18" s="2">
        <v>28.57837</v>
      </c>
      <c r="E18" s="3">
        <f>STANDARDIZE(D18,H$9,I$9)</f>
        <v>0.63857042063514946</v>
      </c>
      <c r="K18">
        <v>1999</v>
      </c>
      <c r="L18" s="3">
        <f t="shared" si="1"/>
        <v>28.058624499999997</v>
      </c>
      <c r="AL18" s="3"/>
      <c r="AM18" s="3"/>
      <c r="AN18" s="3"/>
      <c r="AO18" s="3"/>
      <c r="AP18" s="3"/>
      <c r="AQ18" s="3"/>
      <c r="AR18" s="3"/>
    </row>
    <row r="19" spans="1:44" x14ac:dyDescent="0.3">
      <c r="A19">
        <v>1951</v>
      </c>
      <c r="B19">
        <v>6</v>
      </c>
      <c r="C19" s="3">
        <v>1951.4166666692199</v>
      </c>
      <c r="D19" s="2">
        <v>28.707280999999998</v>
      </c>
      <c r="E19" s="3">
        <f>STANDARDIZE(D19,H$8,I$8)</f>
        <v>0.15797065869547089</v>
      </c>
      <c r="K19">
        <v>1998</v>
      </c>
      <c r="L19" s="3">
        <f t="shared" si="1"/>
        <v>28.510966333333329</v>
      </c>
      <c r="AL19" s="3"/>
      <c r="AM19" s="3"/>
      <c r="AN19" s="3"/>
      <c r="AO19" s="3"/>
      <c r="AP19" s="3"/>
      <c r="AQ19" s="3"/>
      <c r="AR19" s="3"/>
    </row>
    <row r="20" spans="1:44" x14ac:dyDescent="0.3">
      <c r="A20">
        <v>1951</v>
      </c>
      <c r="B20">
        <v>7</v>
      </c>
      <c r="C20" s="3">
        <v>1951.50000000255</v>
      </c>
      <c r="D20" s="2">
        <v>28.545216</v>
      </c>
      <c r="E20" s="3">
        <f>STANDARDIZE(D20,H$7,I$7)</f>
        <v>0.70965123575840183</v>
      </c>
      <c r="K20">
        <v>1997</v>
      </c>
      <c r="L20" s="3">
        <f t="shared" si="1"/>
        <v>28.115058000000005</v>
      </c>
      <c r="AL20" s="3"/>
      <c r="AM20" s="3"/>
      <c r="AN20" s="3"/>
      <c r="AO20" s="3"/>
      <c r="AP20" s="3"/>
      <c r="AQ20" s="3"/>
      <c r="AR20" s="3"/>
    </row>
    <row r="21" spans="1:44" x14ac:dyDescent="0.3">
      <c r="A21">
        <v>1951</v>
      </c>
      <c r="B21">
        <v>8</v>
      </c>
      <c r="C21" s="3">
        <v>1951.5833333358801</v>
      </c>
      <c r="D21" s="2">
        <v>28.755545000000001</v>
      </c>
      <c r="E21" s="3">
        <f>STANDARDIZE(D21,H$6,I$6)</f>
        <v>0.77555223633918047</v>
      </c>
      <c r="K21">
        <v>1996</v>
      </c>
      <c r="L21" s="3">
        <f t="shared" si="1"/>
        <v>28.120864749999999</v>
      </c>
      <c r="AL21" s="3"/>
      <c r="AM21" s="3"/>
      <c r="AN21" s="3"/>
      <c r="AO21" s="3"/>
      <c r="AP21" s="3"/>
      <c r="AQ21" s="3"/>
      <c r="AR21" s="3"/>
    </row>
    <row r="22" spans="1:44" x14ac:dyDescent="0.3">
      <c r="A22">
        <v>1951</v>
      </c>
      <c r="B22">
        <v>9</v>
      </c>
      <c r="C22" s="3">
        <v>1951.6666666692099</v>
      </c>
      <c r="D22" s="2">
        <v>29.098420000000001</v>
      </c>
      <c r="E22" s="3">
        <f>STANDARDIZE(D22,H$5,I$5)</f>
        <v>0.82675710789422208</v>
      </c>
      <c r="K22">
        <v>1995</v>
      </c>
      <c r="L22" s="3">
        <f t="shared" si="1"/>
        <v>28.316777833333333</v>
      </c>
      <c r="AL22" s="3"/>
      <c r="AM22" s="3"/>
      <c r="AN22" s="3"/>
      <c r="AO22" s="3"/>
      <c r="AP22" s="3"/>
      <c r="AQ22" s="3"/>
      <c r="AR22" s="3"/>
    </row>
    <row r="23" spans="1:44" x14ac:dyDescent="0.3">
      <c r="A23">
        <v>1951</v>
      </c>
      <c r="B23">
        <v>10</v>
      </c>
      <c r="C23" s="3">
        <v>1951.75000000254</v>
      </c>
      <c r="D23" s="2">
        <v>28.85529</v>
      </c>
      <c r="E23" s="3">
        <f>STANDARDIZE(D23,H$4,I$4)</f>
        <v>-0.22204832051094406</v>
      </c>
      <c r="K23">
        <v>1994</v>
      </c>
      <c r="L23" s="3">
        <f t="shared" si="1"/>
        <v>27.888758000000006</v>
      </c>
      <c r="AL23" s="3"/>
      <c r="AM23" s="3"/>
      <c r="AN23" s="3"/>
      <c r="AO23" s="3"/>
      <c r="AP23" s="3"/>
      <c r="AQ23" s="3"/>
      <c r="AR23" s="3"/>
    </row>
    <row r="24" spans="1:44" x14ac:dyDescent="0.3">
      <c r="A24">
        <v>1951</v>
      </c>
      <c r="B24">
        <v>11</v>
      </c>
      <c r="C24" s="3">
        <v>1951.8333333358701</v>
      </c>
      <c r="D24" s="2">
        <v>28.782222999999998</v>
      </c>
      <c r="E24" s="3">
        <f>STANDARDIZE(D24,H$3,I$3)</f>
        <v>0.32610570043992415</v>
      </c>
      <c r="K24">
        <v>1993</v>
      </c>
      <c r="L24" s="3">
        <f t="shared" si="1"/>
        <v>28.107895583333331</v>
      </c>
      <c r="AL24" s="3"/>
      <c r="AM24" s="3"/>
      <c r="AN24" s="3"/>
      <c r="AO24" s="3"/>
      <c r="AP24" s="3"/>
      <c r="AQ24" s="3"/>
      <c r="AR24" s="3"/>
    </row>
    <row r="25" spans="1:44" x14ac:dyDescent="0.3">
      <c r="A25">
        <v>1951</v>
      </c>
      <c r="B25">
        <v>12</v>
      </c>
      <c r="C25" s="3">
        <v>1951.9166666691999</v>
      </c>
      <c r="D25" s="2">
        <v>27.86459</v>
      </c>
      <c r="E25" s="3">
        <f>STANDARDIZE(D25,H$2,I$2)</f>
        <v>0.20908101718423214</v>
      </c>
      <c r="K25">
        <v>1992</v>
      </c>
      <c r="L25" s="3">
        <f t="shared" si="1"/>
        <v>27.87795366666667</v>
      </c>
      <c r="AL25" s="3"/>
      <c r="AM25" s="3"/>
      <c r="AN25" s="3"/>
      <c r="AO25" s="3"/>
      <c r="AP25" s="3"/>
      <c r="AQ25" s="3"/>
      <c r="AR25" s="3"/>
    </row>
    <row r="26" spans="1:44" x14ac:dyDescent="0.3">
      <c r="A26">
        <v>1952</v>
      </c>
      <c r="B26">
        <v>1</v>
      </c>
      <c r="C26" s="3">
        <v>1952.00000000253</v>
      </c>
      <c r="D26" s="2">
        <v>26.715765000000001</v>
      </c>
      <c r="E26" s="3">
        <f>STANDARDIZE(D26,H$13,I$13)</f>
        <v>-1.0959472823498493</v>
      </c>
      <c r="K26">
        <v>1991</v>
      </c>
      <c r="L26" s="3">
        <f t="shared" si="1"/>
        <v>27.760664083333335</v>
      </c>
      <c r="AL26" s="3"/>
      <c r="AM26" s="3"/>
      <c r="AN26" s="3"/>
      <c r="AO26" s="3"/>
      <c r="AP26" s="3"/>
      <c r="AQ26" s="3"/>
      <c r="AR26" s="3"/>
    </row>
    <row r="27" spans="1:44" x14ac:dyDescent="0.3">
      <c r="A27">
        <v>1952</v>
      </c>
      <c r="B27">
        <v>2</v>
      </c>
      <c r="C27" s="3">
        <v>1952.0833333358601</v>
      </c>
      <c r="D27" s="2">
        <v>26.857979</v>
      </c>
      <c r="E27" s="3">
        <f>STANDARDIZE(D27,H$12,I$12)</f>
        <v>-5.6234277774683088E-2</v>
      </c>
      <c r="K27">
        <v>1990</v>
      </c>
      <c r="L27" s="3">
        <f t="shared" si="1"/>
        <v>27.93991741666667</v>
      </c>
      <c r="AL27" s="3"/>
      <c r="AM27" s="3"/>
      <c r="AN27" s="3"/>
      <c r="AO27" s="3"/>
      <c r="AP27" s="3"/>
      <c r="AQ27" s="3"/>
      <c r="AR27" s="3"/>
    </row>
    <row r="28" spans="1:44" x14ac:dyDescent="0.3">
      <c r="A28">
        <v>1952</v>
      </c>
      <c r="B28">
        <v>3</v>
      </c>
      <c r="C28" s="3">
        <v>1952.1666666691899</v>
      </c>
      <c r="D28" s="2">
        <v>26.978850999999999</v>
      </c>
      <c r="E28" s="3">
        <f>STANDARDIZE(D28,H$11,I$11)</f>
        <v>-1.018737605172301E-3</v>
      </c>
      <c r="K28">
        <v>1989</v>
      </c>
      <c r="L28" s="3">
        <f t="shared" si="1"/>
        <v>27.649690250000006</v>
      </c>
      <c r="AL28" s="3"/>
      <c r="AM28" s="3"/>
      <c r="AN28" s="3"/>
      <c r="AO28" s="3"/>
      <c r="AP28" s="3"/>
      <c r="AQ28" s="3"/>
      <c r="AR28" s="3"/>
    </row>
    <row r="29" spans="1:44" x14ac:dyDescent="0.3">
      <c r="A29">
        <v>1952</v>
      </c>
      <c r="B29">
        <v>4</v>
      </c>
      <c r="C29" s="3">
        <v>1952.25000000252</v>
      </c>
      <c r="D29" s="2">
        <v>27.578576999999999</v>
      </c>
      <c r="E29" s="3">
        <f>STANDARDIZE(D29,H$10,I$10)</f>
        <v>0.27508998349292285</v>
      </c>
      <c r="K29">
        <v>1988</v>
      </c>
      <c r="L29" s="3">
        <f t="shared" si="1"/>
        <v>28.092704083333331</v>
      </c>
      <c r="AL29" s="3"/>
      <c r="AM29" s="3"/>
      <c r="AN29" s="3"/>
      <c r="AO29" s="3"/>
      <c r="AP29" s="3"/>
      <c r="AQ29" s="3"/>
      <c r="AR29" s="3"/>
    </row>
    <row r="30" spans="1:44" x14ac:dyDescent="0.3">
      <c r="A30">
        <v>1952</v>
      </c>
      <c r="B30">
        <v>5</v>
      </c>
      <c r="C30" s="3">
        <v>1952.3333333358501</v>
      </c>
      <c r="D30" s="2">
        <v>28.716728</v>
      </c>
      <c r="E30" s="3">
        <f>STANDARDIZE(D30,H$9,I$9)</f>
        <v>0.97870854534870877</v>
      </c>
      <c r="K30">
        <v>1987</v>
      </c>
      <c r="L30" s="3">
        <f t="shared" si="1"/>
        <v>28.246921083333337</v>
      </c>
      <c r="AL30" s="3"/>
      <c r="AM30" s="3"/>
      <c r="AN30" s="3"/>
      <c r="AO30" s="3"/>
      <c r="AP30" s="3"/>
      <c r="AQ30" s="3"/>
      <c r="AR30" s="3"/>
    </row>
    <row r="31" spans="1:44" x14ac:dyDescent="0.3">
      <c r="A31">
        <v>1952</v>
      </c>
      <c r="B31">
        <v>6</v>
      </c>
      <c r="C31" s="3">
        <v>1952.4166666691799</v>
      </c>
      <c r="D31" s="2">
        <v>28.908642</v>
      </c>
      <c r="E31" s="3">
        <f>STANDARDIZE(D31,H$8,I$8)</f>
        <v>0.69761025863376547</v>
      </c>
      <c r="K31">
        <v>1986</v>
      </c>
      <c r="L31" s="3">
        <f t="shared" si="1"/>
        <v>27.5675025</v>
      </c>
      <c r="AL31" s="3"/>
      <c r="AM31" s="3"/>
      <c r="AN31" s="3"/>
      <c r="AO31" s="3"/>
      <c r="AP31" s="3"/>
      <c r="AQ31" s="3"/>
      <c r="AR31" s="3"/>
    </row>
    <row r="32" spans="1:44" x14ac:dyDescent="0.3">
      <c r="A32">
        <v>1952</v>
      </c>
      <c r="B32">
        <v>7</v>
      </c>
      <c r="C32" s="3">
        <v>1952.50000000251</v>
      </c>
      <c r="D32" s="2">
        <v>28.545203999999998</v>
      </c>
      <c r="E32" s="3">
        <f>STANDARDIZE(D32,H$7,I$7)</f>
        <v>0.70961650719451075</v>
      </c>
      <c r="K32">
        <v>1985</v>
      </c>
      <c r="L32" s="3">
        <f t="shared" si="1"/>
        <v>27.473912250000001</v>
      </c>
      <c r="AL32" s="3"/>
      <c r="AM32" s="3"/>
      <c r="AN32" s="3"/>
      <c r="AO32" s="3"/>
      <c r="AP32" s="3"/>
      <c r="AQ32" s="3"/>
      <c r="AR32" s="3"/>
    </row>
    <row r="33" spans="1:44" x14ac:dyDescent="0.3">
      <c r="A33">
        <v>1952</v>
      </c>
      <c r="B33">
        <v>8</v>
      </c>
      <c r="C33" s="3">
        <v>1952.5833333358401</v>
      </c>
      <c r="D33" s="2">
        <v>28.760035999999999</v>
      </c>
      <c r="E33" s="3">
        <f>STANDARDIZE(D33,H$6,I$6)</f>
        <v>0.78882929076650188</v>
      </c>
      <c r="K33">
        <v>1984</v>
      </c>
      <c r="L33" s="3">
        <f t="shared" si="1"/>
        <v>27.73608175</v>
      </c>
      <c r="AL33" s="3"/>
      <c r="AM33" s="3"/>
      <c r="AN33" s="3"/>
      <c r="AO33" s="3"/>
      <c r="AP33" s="3"/>
      <c r="AQ33" s="3"/>
      <c r="AR33" s="3"/>
    </row>
    <row r="34" spans="1:44" x14ac:dyDescent="0.3">
      <c r="A34">
        <v>1952</v>
      </c>
      <c r="B34">
        <v>9</v>
      </c>
      <c r="C34" s="3">
        <v>1952.6666666691699</v>
      </c>
      <c r="D34" s="2">
        <v>29.063278</v>
      </c>
      <c r="E34" s="3">
        <f>STANDARDIZE(D34,H$5,I$5)</f>
        <v>0.72288140102011422</v>
      </c>
      <c r="K34">
        <v>1983</v>
      </c>
      <c r="L34" s="3">
        <f t="shared" si="1"/>
        <v>28.159372166666667</v>
      </c>
      <c r="AL34" s="3"/>
      <c r="AM34" s="3"/>
      <c r="AN34" s="3"/>
      <c r="AO34" s="3"/>
      <c r="AP34" s="3"/>
      <c r="AQ34" s="3"/>
      <c r="AR34" s="3"/>
    </row>
    <row r="35" spans="1:44" x14ac:dyDescent="0.3">
      <c r="A35">
        <v>1952</v>
      </c>
      <c r="B35">
        <v>10</v>
      </c>
      <c r="C35" s="3">
        <v>1952.7500000025</v>
      </c>
      <c r="D35" s="2">
        <v>29.206356</v>
      </c>
      <c r="E35" s="3">
        <f>STANDARDIZE(D35,H$4,I$4)</f>
        <v>0.89002964636585691</v>
      </c>
      <c r="K35">
        <v>1982</v>
      </c>
      <c r="L35" s="3">
        <f t="shared" si="1"/>
        <v>27.829861749999996</v>
      </c>
      <c r="AL35" s="3"/>
      <c r="AM35" s="3"/>
      <c r="AN35" s="3"/>
      <c r="AO35" s="3"/>
      <c r="AP35" s="3"/>
      <c r="AQ35" s="3"/>
      <c r="AR35" s="3"/>
    </row>
    <row r="36" spans="1:44" x14ac:dyDescent="0.3">
      <c r="A36">
        <v>1952</v>
      </c>
      <c r="B36">
        <v>11</v>
      </c>
      <c r="C36" s="3">
        <v>1952.83333333583</v>
      </c>
      <c r="D36" s="2">
        <v>28.968292000000002</v>
      </c>
      <c r="E36" s="3">
        <f>STANDARDIZE(D36,H$3,I$3)</f>
        <v>0.91595376144029483</v>
      </c>
      <c r="K36">
        <v>1981</v>
      </c>
      <c r="L36" s="3">
        <f t="shared" si="1"/>
        <v>28.183046750000003</v>
      </c>
      <c r="AL36" s="3"/>
      <c r="AM36" s="3"/>
      <c r="AN36" s="3"/>
      <c r="AO36" s="3"/>
      <c r="AP36" s="3"/>
      <c r="AQ36" s="3"/>
      <c r="AR36" s="3"/>
    </row>
    <row r="37" spans="1:44" x14ac:dyDescent="0.3">
      <c r="A37">
        <v>1952</v>
      </c>
      <c r="B37">
        <v>12</v>
      </c>
      <c r="C37" s="3">
        <v>1952.9166666691599</v>
      </c>
      <c r="D37" s="2">
        <v>27.841702999999999</v>
      </c>
      <c r="E37" s="3">
        <f>STANDARDIZE(D37,H$2,I$2)</f>
        <v>0.13746413369427921</v>
      </c>
      <c r="K37">
        <v>1980</v>
      </c>
      <c r="L37" s="3">
        <f t="shared" si="1"/>
        <v>28.043225333333336</v>
      </c>
      <c r="AL37" s="3"/>
      <c r="AM37" s="3"/>
      <c r="AN37" s="3"/>
      <c r="AO37" s="3"/>
      <c r="AP37" s="3"/>
      <c r="AQ37" s="3"/>
      <c r="AR37" s="3"/>
    </row>
    <row r="38" spans="1:44" x14ac:dyDescent="0.3">
      <c r="A38">
        <v>1953</v>
      </c>
      <c r="B38">
        <v>1</v>
      </c>
      <c r="C38" s="3">
        <v>1953.00000000249</v>
      </c>
      <c r="D38" s="2">
        <v>26.99287</v>
      </c>
      <c r="E38" s="3">
        <f>STANDARDIZE(D38,H$13,I$13)</f>
        <v>-0.25890605016770618</v>
      </c>
      <c r="K38">
        <v>1979</v>
      </c>
      <c r="L38" s="3">
        <f t="shared" si="1"/>
        <v>27.986774416666673</v>
      </c>
      <c r="AL38" s="3"/>
      <c r="AM38" s="3"/>
      <c r="AN38" s="3"/>
      <c r="AO38" s="3"/>
      <c r="AP38" s="3"/>
      <c r="AQ38" s="3"/>
      <c r="AR38" s="3"/>
    </row>
    <row r="39" spans="1:44" x14ac:dyDescent="0.3">
      <c r="A39">
        <v>1953</v>
      </c>
      <c r="B39">
        <v>2</v>
      </c>
      <c r="C39" s="3">
        <v>1953.08333333582</v>
      </c>
      <c r="D39" s="2">
        <v>26.707027</v>
      </c>
      <c r="E39" s="3">
        <f>STANDARDIZE(D39,H$12,I$12)</f>
        <v>-0.44331724552121016</v>
      </c>
      <c r="K39">
        <v>1978</v>
      </c>
      <c r="L39" s="3">
        <f t="shared" si="1"/>
        <v>27.972403499999999</v>
      </c>
      <c r="AL39" s="3"/>
      <c r="AM39" s="3"/>
      <c r="AN39" s="3"/>
      <c r="AO39" s="3"/>
      <c r="AP39" s="3"/>
      <c r="AQ39" s="3"/>
      <c r="AR39" s="3"/>
    </row>
    <row r="40" spans="1:44" x14ac:dyDescent="0.3">
      <c r="A40">
        <v>1953</v>
      </c>
      <c r="B40">
        <v>3</v>
      </c>
      <c r="C40" s="3">
        <v>1953.1666666691499</v>
      </c>
      <c r="D40" s="2">
        <v>26.413506999999999</v>
      </c>
      <c r="E40" s="3">
        <f>STANDARDIZE(D40,H$11,I$11)</f>
        <v>-1.3987189404128375</v>
      </c>
      <c r="K40">
        <v>1977</v>
      </c>
      <c r="L40" s="3">
        <f t="shared" si="1"/>
        <v>27.774049833333336</v>
      </c>
      <c r="AL40" s="3"/>
      <c r="AM40" s="3"/>
      <c r="AN40" s="3"/>
      <c r="AO40" s="3"/>
      <c r="AP40" s="3"/>
      <c r="AQ40" s="3"/>
      <c r="AR40" s="3"/>
    </row>
    <row r="41" spans="1:44" x14ac:dyDescent="0.3">
      <c r="A41">
        <v>1953</v>
      </c>
      <c r="B41">
        <v>4</v>
      </c>
      <c r="C41" s="3">
        <v>1953.25000000248</v>
      </c>
      <c r="D41" s="2">
        <v>27.411937999999999</v>
      </c>
      <c r="E41" s="3">
        <f>STANDARDIZE(D41,H$10,I$10)</f>
        <v>-0.19675286779903586</v>
      </c>
      <c r="K41">
        <v>1976</v>
      </c>
      <c r="L41" s="3">
        <f t="shared" si="1"/>
        <v>27.514467499999999</v>
      </c>
      <c r="AL41" s="3"/>
      <c r="AM41" s="3"/>
      <c r="AN41" s="3"/>
      <c r="AO41" s="3"/>
      <c r="AP41" s="3"/>
      <c r="AQ41" s="3"/>
      <c r="AR41" s="3"/>
    </row>
    <row r="42" spans="1:44" x14ac:dyDescent="0.3">
      <c r="A42">
        <v>1953</v>
      </c>
      <c r="B42">
        <v>5</v>
      </c>
      <c r="C42" s="3">
        <v>1953.33333333581</v>
      </c>
      <c r="D42" s="2">
        <v>28.296250000000001</v>
      </c>
      <c r="E42" s="3">
        <f>STANDARDIZE(D42,H$9,I$9)</f>
        <v>-5.499097620629731E-2</v>
      </c>
      <c r="K42">
        <v>1975</v>
      </c>
      <c r="L42" s="3">
        <f t="shared" si="1"/>
        <v>27.558954583333332</v>
      </c>
      <c r="AL42" s="3"/>
      <c r="AM42" s="3"/>
      <c r="AN42" s="3"/>
      <c r="AO42" s="3"/>
      <c r="AP42" s="3"/>
      <c r="AQ42" s="3"/>
      <c r="AR42" s="3"/>
    </row>
    <row r="43" spans="1:44" x14ac:dyDescent="0.3">
      <c r="A43">
        <v>1953</v>
      </c>
      <c r="B43">
        <v>6</v>
      </c>
      <c r="C43" s="3">
        <v>1953.4166666691401</v>
      </c>
      <c r="D43" s="2">
        <v>28.565704</v>
      </c>
      <c r="E43" s="3">
        <f>STANDARDIZE(D43,H$8,I$8)</f>
        <v>-0.22145016082996885</v>
      </c>
      <c r="K43">
        <v>1974</v>
      </c>
      <c r="L43" s="3">
        <f t="shared" si="1"/>
        <v>27.592790750000002</v>
      </c>
      <c r="AL43" s="3"/>
      <c r="AM43" s="3"/>
      <c r="AN43" s="3"/>
      <c r="AO43" s="3"/>
      <c r="AP43" s="3"/>
      <c r="AQ43" s="3"/>
      <c r="AR43" s="3"/>
    </row>
    <row r="44" spans="1:44" x14ac:dyDescent="0.3">
      <c r="A44">
        <v>1953</v>
      </c>
      <c r="B44">
        <v>7</v>
      </c>
      <c r="C44" s="3">
        <v>1953.50000000247</v>
      </c>
      <c r="D44" s="2">
        <v>28.423645</v>
      </c>
      <c r="E44" s="3">
        <f>STANDARDIZE(D44,H$7,I$7)</f>
        <v>0.35781904907431089</v>
      </c>
      <c r="K44">
        <v>1973</v>
      </c>
      <c r="L44" s="3">
        <f t="shared" si="1"/>
        <v>28.07664158333333</v>
      </c>
      <c r="AL44" s="3"/>
      <c r="AM44" s="3"/>
      <c r="AN44" s="3"/>
      <c r="AO44" s="3"/>
      <c r="AP44" s="3"/>
      <c r="AQ44" s="3"/>
      <c r="AR44" s="3"/>
    </row>
    <row r="45" spans="1:44" x14ac:dyDescent="0.3">
      <c r="A45">
        <v>1953</v>
      </c>
      <c r="B45">
        <v>8</v>
      </c>
      <c r="C45" s="3">
        <v>1953.5833333358</v>
      </c>
      <c r="D45" s="2">
        <v>28.413478999999999</v>
      </c>
      <c r="E45" s="3">
        <f>STANDARDIZE(D45,H$6,I$6)</f>
        <v>-0.23572117709616849</v>
      </c>
      <c r="K45">
        <v>1972</v>
      </c>
      <c r="L45" s="3">
        <f t="shared" si="1"/>
        <v>27.869388916666669</v>
      </c>
      <c r="AL45" s="3"/>
      <c r="AM45" s="3"/>
      <c r="AN45" s="3"/>
      <c r="AO45" s="3"/>
      <c r="AP45" s="3"/>
      <c r="AQ45" s="3"/>
      <c r="AR45" s="3"/>
    </row>
    <row r="46" spans="1:44" x14ac:dyDescent="0.3">
      <c r="A46">
        <v>1953</v>
      </c>
      <c r="B46">
        <v>9</v>
      </c>
      <c r="C46" s="3">
        <v>1953.6666666691301</v>
      </c>
      <c r="D46" s="2">
        <v>28.895423999999998</v>
      </c>
      <c r="E46" s="3">
        <f>STANDARDIZE(D46,H$5,I$5)</f>
        <v>0.22672429836100291</v>
      </c>
      <c r="K46">
        <v>1971</v>
      </c>
      <c r="L46" s="3">
        <f t="shared" si="1"/>
        <v>27.683181750000003</v>
      </c>
      <c r="AL46" s="3"/>
      <c r="AM46" s="3"/>
      <c r="AN46" s="3"/>
      <c r="AO46" s="3"/>
      <c r="AP46" s="3"/>
      <c r="AQ46" s="3"/>
      <c r="AR46" s="3"/>
    </row>
    <row r="47" spans="1:44" x14ac:dyDescent="0.3">
      <c r="A47">
        <v>1953</v>
      </c>
      <c r="B47">
        <v>10</v>
      </c>
      <c r="C47" s="3">
        <v>1953.75000000246</v>
      </c>
      <c r="D47" s="2">
        <v>29.070879999999999</v>
      </c>
      <c r="E47" s="3">
        <f>STANDARDIZE(D47,H$4,I$4)</f>
        <v>0.46087992910299924</v>
      </c>
      <c r="K47">
        <v>1970</v>
      </c>
      <c r="L47" s="3">
        <f t="shared" si="1"/>
        <v>28.037218416666665</v>
      </c>
      <c r="AL47" s="3"/>
      <c r="AM47" s="3"/>
      <c r="AN47" s="3"/>
      <c r="AO47" s="3"/>
      <c r="AP47" s="3"/>
      <c r="AQ47" s="3"/>
      <c r="AR47" s="3"/>
    </row>
    <row r="48" spans="1:44" x14ac:dyDescent="0.3">
      <c r="A48">
        <v>1953</v>
      </c>
      <c r="B48">
        <v>11</v>
      </c>
      <c r="C48" s="3">
        <v>1953.83333333579</v>
      </c>
      <c r="D48" s="2">
        <v>28.826778000000001</v>
      </c>
      <c r="E48" s="3">
        <f>STANDARDIZE(D48,H$3,I$3)</f>
        <v>0.46734728478698118</v>
      </c>
      <c r="K48">
        <v>1969</v>
      </c>
      <c r="L48" s="3">
        <f t="shared" si="1"/>
        <v>28.474781416666669</v>
      </c>
      <c r="AL48" s="3"/>
      <c r="AM48" s="3"/>
      <c r="AN48" s="3"/>
      <c r="AO48" s="3"/>
      <c r="AP48" s="3"/>
      <c r="AQ48" s="3"/>
      <c r="AR48" s="3"/>
    </row>
    <row r="49" spans="1:44" x14ac:dyDescent="0.3">
      <c r="A49">
        <v>1953</v>
      </c>
      <c r="B49">
        <v>12</v>
      </c>
      <c r="C49" s="3">
        <v>1953.9166666691201</v>
      </c>
      <c r="D49" s="2">
        <v>28.199314000000001</v>
      </c>
      <c r="E49" s="3">
        <f>STANDARDIZE(D49,H$2,I$2)</f>
        <v>1.2564830230954609</v>
      </c>
      <c r="K49">
        <v>1968</v>
      </c>
      <c r="L49" s="3">
        <f t="shared" si="1"/>
        <v>27.772011333333335</v>
      </c>
      <c r="AL49" s="3"/>
      <c r="AM49" s="3"/>
      <c r="AN49" s="3"/>
      <c r="AO49" s="3"/>
      <c r="AP49" s="3"/>
      <c r="AQ49" s="3"/>
      <c r="AR49" s="3"/>
    </row>
    <row r="50" spans="1:44" x14ac:dyDescent="0.3">
      <c r="A50">
        <v>1954</v>
      </c>
      <c r="B50">
        <v>1</v>
      </c>
      <c r="C50" s="3">
        <v>1954.00000000245</v>
      </c>
      <c r="D50" s="2">
        <v>27.182971999999999</v>
      </c>
      <c r="E50" s="3">
        <f>STANDARDIZE(D50,H$13,I$13)</f>
        <v>0.3153283098051925</v>
      </c>
      <c r="K50">
        <v>1967</v>
      </c>
      <c r="L50" s="3">
        <f t="shared" si="1"/>
        <v>27.815735333333333</v>
      </c>
      <c r="AL50" s="3"/>
      <c r="AM50" s="3"/>
      <c r="AN50" s="3"/>
      <c r="AO50" s="3"/>
      <c r="AP50" s="3"/>
      <c r="AQ50" s="3"/>
      <c r="AR50" s="3"/>
    </row>
    <row r="51" spans="1:44" x14ac:dyDescent="0.3">
      <c r="A51">
        <v>1954</v>
      </c>
      <c r="B51">
        <v>2</v>
      </c>
      <c r="C51" s="3">
        <v>1954.08333333578</v>
      </c>
      <c r="D51" s="2">
        <v>26.765903000000002</v>
      </c>
      <c r="E51" s="3">
        <f>STANDARDIZE(D51,H$12,I$12)</f>
        <v>-0.29234278470555303</v>
      </c>
      <c r="K51">
        <v>1966</v>
      </c>
      <c r="L51" s="3">
        <f t="shared" si="1"/>
        <v>28.076882083333331</v>
      </c>
      <c r="AL51" s="3"/>
      <c r="AM51" s="3"/>
      <c r="AN51" s="3"/>
      <c r="AO51" s="3"/>
      <c r="AP51" s="3"/>
      <c r="AQ51" s="3"/>
      <c r="AR51" s="3"/>
    </row>
    <row r="52" spans="1:44" x14ac:dyDescent="0.3">
      <c r="A52">
        <v>1954</v>
      </c>
      <c r="B52">
        <v>3</v>
      </c>
      <c r="C52" s="3">
        <v>1954.1666666691101</v>
      </c>
      <c r="D52" s="2">
        <v>27.113303999999999</v>
      </c>
      <c r="E52" s="3">
        <f>STANDARDIZE(D52,H$11,I$11)</f>
        <v>0.3313894693769483</v>
      </c>
      <c r="K52">
        <v>1965</v>
      </c>
      <c r="L52" s="3">
        <f t="shared" si="1"/>
        <v>27.645168583333341</v>
      </c>
      <c r="AL52" s="3"/>
      <c r="AM52" s="3"/>
      <c r="AN52" s="3"/>
      <c r="AO52" s="3"/>
      <c r="AP52" s="3"/>
      <c r="AQ52" s="3"/>
      <c r="AR52" s="3"/>
    </row>
    <row r="53" spans="1:44" x14ac:dyDescent="0.3">
      <c r="A53">
        <v>1954</v>
      </c>
      <c r="B53">
        <v>4</v>
      </c>
      <c r="C53" s="3">
        <v>1954.2500000024399</v>
      </c>
      <c r="D53" s="2">
        <v>27.443425999999999</v>
      </c>
      <c r="E53" s="3">
        <f>STANDARDIZE(D53,H$10,I$10)</f>
        <v>-0.10759374117513049</v>
      </c>
      <c r="K53">
        <v>1964</v>
      </c>
      <c r="L53" s="3">
        <f t="shared" si="1"/>
        <v>27.886182833333336</v>
      </c>
      <c r="AL53" s="3"/>
      <c r="AM53" s="3"/>
      <c r="AN53" s="3"/>
      <c r="AO53" s="3"/>
      <c r="AP53" s="3"/>
      <c r="AQ53" s="3"/>
      <c r="AR53" s="3"/>
    </row>
    <row r="54" spans="1:44" x14ac:dyDescent="0.3">
      <c r="A54">
        <v>1954</v>
      </c>
      <c r="B54">
        <v>5</v>
      </c>
      <c r="C54" s="3">
        <v>1954.33333333577</v>
      </c>
      <c r="D54" s="2">
        <v>28.362912999999999</v>
      </c>
      <c r="E54" s="3">
        <f>STANDARDIZE(D54,H$9,I$9)</f>
        <v>0.10889277325365018</v>
      </c>
      <c r="K54">
        <v>1963</v>
      </c>
      <c r="L54" s="3">
        <f t="shared" si="1"/>
        <v>28.205158166666664</v>
      </c>
      <c r="AL54" s="3"/>
      <c r="AM54" s="3"/>
      <c r="AN54" s="3"/>
      <c r="AO54" s="3"/>
      <c r="AP54" s="3"/>
      <c r="AQ54" s="3"/>
      <c r="AR54" s="3"/>
    </row>
    <row r="55" spans="1:44" x14ac:dyDescent="0.3">
      <c r="A55">
        <v>1954</v>
      </c>
      <c r="B55">
        <v>6</v>
      </c>
      <c r="C55" s="3">
        <v>1954.4166666691001</v>
      </c>
      <c r="D55" s="2">
        <v>28.727388000000001</v>
      </c>
      <c r="E55" s="3">
        <f>STANDARDIZE(D55,H$8,I$8)</f>
        <v>0.21185663182810724</v>
      </c>
      <c r="K55">
        <v>1962</v>
      </c>
      <c r="L55" s="3">
        <f t="shared" si="1"/>
        <v>28.066027083333335</v>
      </c>
      <c r="AL55" s="3"/>
      <c r="AM55" s="3"/>
      <c r="AN55" s="3"/>
      <c r="AO55" s="3"/>
      <c r="AP55" s="3"/>
      <c r="AQ55" s="3"/>
      <c r="AR55" s="3"/>
    </row>
    <row r="56" spans="1:44" x14ac:dyDescent="0.3">
      <c r="A56">
        <v>1954</v>
      </c>
      <c r="B56">
        <v>7</v>
      </c>
      <c r="C56" s="3">
        <v>1954.5000000024299</v>
      </c>
      <c r="D56" s="2">
        <v>28.231102</v>
      </c>
      <c r="E56" s="3">
        <f>STANDARDIZE(D56,H$7,I$7)</f>
        <v>-0.19940944062072696</v>
      </c>
      <c r="K56">
        <v>1961</v>
      </c>
      <c r="L56" s="3">
        <f t="shared" si="1"/>
        <v>28.061047250000001</v>
      </c>
      <c r="AL56" s="3"/>
      <c r="AM56" s="3"/>
      <c r="AN56" s="3"/>
      <c r="AO56" s="3"/>
      <c r="AP56" s="3"/>
      <c r="AQ56" s="3"/>
      <c r="AR56" s="3"/>
    </row>
    <row r="57" spans="1:44" x14ac:dyDescent="0.3">
      <c r="A57">
        <v>1954</v>
      </c>
      <c r="B57">
        <v>8</v>
      </c>
      <c r="C57" s="3">
        <v>1954.58333333576</v>
      </c>
      <c r="D57" s="2">
        <v>28.394843999999999</v>
      </c>
      <c r="E57" s="3">
        <f>STANDARDIZE(D57,H$6,I$6)</f>
        <v>-0.29081311859098913</v>
      </c>
      <c r="K57">
        <v>1960</v>
      </c>
      <c r="L57" s="3">
        <f t="shared" si="1"/>
        <v>28.31934583333334</v>
      </c>
      <c r="AL57" s="3"/>
      <c r="AM57" s="3"/>
      <c r="AN57" s="3"/>
      <c r="AO57" s="3"/>
      <c r="AP57" s="3"/>
      <c r="AQ57" s="3"/>
      <c r="AR57" s="3"/>
    </row>
    <row r="58" spans="1:44" x14ac:dyDescent="0.3">
      <c r="A58">
        <v>1954</v>
      </c>
      <c r="B58">
        <v>9</v>
      </c>
      <c r="C58" s="3">
        <v>1954.6666666690901</v>
      </c>
      <c r="D58" s="2">
        <v>28.824017000000001</v>
      </c>
      <c r="E58" s="3">
        <f>STANDARDIZE(D58,H$5,I$5)</f>
        <v>1.5653425879100121E-2</v>
      </c>
      <c r="K58">
        <v>1959</v>
      </c>
      <c r="L58" s="3">
        <f t="shared" si="1"/>
        <v>27.904639749999998</v>
      </c>
      <c r="AL58" s="3"/>
      <c r="AM58" s="3"/>
      <c r="AN58" s="3"/>
      <c r="AO58" s="3"/>
      <c r="AP58" s="3"/>
      <c r="AQ58" s="3"/>
      <c r="AR58" s="3"/>
    </row>
    <row r="59" spans="1:44" x14ac:dyDescent="0.3">
      <c r="A59">
        <v>1954</v>
      </c>
      <c r="B59">
        <v>10</v>
      </c>
      <c r="C59" s="3">
        <v>1954.7500000024199</v>
      </c>
      <c r="D59" s="2">
        <v>28.556839</v>
      </c>
      <c r="E59" s="3">
        <f>STANDARDIZE(D59,H$4,I$4)</f>
        <v>-1.1674568228790134</v>
      </c>
      <c r="K59">
        <v>1958</v>
      </c>
      <c r="L59" s="3">
        <f t="shared" si="1"/>
        <v>28.568485999999996</v>
      </c>
      <c r="AL59" s="3"/>
      <c r="AM59" s="3"/>
      <c r="AN59" s="3"/>
      <c r="AO59" s="3"/>
      <c r="AP59" s="3"/>
      <c r="AQ59" s="3"/>
      <c r="AR59" s="3"/>
    </row>
    <row r="60" spans="1:44" x14ac:dyDescent="0.3">
      <c r="A60">
        <v>1954</v>
      </c>
      <c r="B60">
        <v>11</v>
      </c>
      <c r="C60" s="3">
        <v>1954.83333333575</v>
      </c>
      <c r="D60" s="2">
        <v>28.406009999999998</v>
      </c>
      <c r="E60" s="3">
        <f>STANDARDIZE(D60,H$3,I$3)</f>
        <v>-0.86650837591416163</v>
      </c>
      <c r="K60">
        <v>1957</v>
      </c>
      <c r="L60" s="3">
        <f t="shared" si="1"/>
        <v>27.856275833333331</v>
      </c>
      <c r="AL60" s="3"/>
      <c r="AM60" s="3"/>
      <c r="AN60" s="3"/>
      <c r="AO60" s="3"/>
      <c r="AP60" s="3"/>
      <c r="AQ60" s="3"/>
      <c r="AR60" s="3"/>
    </row>
    <row r="61" spans="1:44" x14ac:dyDescent="0.3">
      <c r="A61">
        <v>1954</v>
      </c>
      <c r="B61">
        <v>12</v>
      </c>
      <c r="C61" s="3">
        <v>1954.9166666690801</v>
      </c>
      <c r="D61" s="2">
        <v>27.531766999999999</v>
      </c>
      <c r="E61" s="3">
        <f>STANDARDIZE(D61,H$2,I$2)</f>
        <v>-0.83237247229782685</v>
      </c>
      <c r="K61">
        <v>1956</v>
      </c>
      <c r="L61" s="3">
        <f t="shared" si="1"/>
        <v>27.723436416666669</v>
      </c>
      <c r="AL61" s="3"/>
      <c r="AM61" s="3"/>
      <c r="AN61" s="3"/>
      <c r="AO61" s="3"/>
      <c r="AP61" s="3"/>
      <c r="AQ61" s="3"/>
      <c r="AR61" s="3"/>
    </row>
    <row r="62" spans="1:44" x14ac:dyDescent="0.3">
      <c r="A62">
        <v>1955</v>
      </c>
      <c r="B62">
        <v>1</v>
      </c>
      <c r="C62" s="3">
        <v>1955.0000000024099</v>
      </c>
      <c r="D62" s="2">
        <v>27.055759999999999</v>
      </c>
      <c r="E62" s="3">
        <f>STANDARDIZE(D62,H$13,I$13)</f>
        <v>-6.8936460691028559E-2</v>
      </c>
      <c r="K62">
        <v>1955</v>
      </c>
      <c r="L62" s="3">
        <f t="shared" si="1"/>
        <v>27.847912249999997</v>
      </c>
      <c r="AL62" s="3"/>
      <c r="AM62" s="3"/>
      <c r="AN62" s="3"/>
      <c r="AO62" s="3"/>
      <c r="AP62" s="3"/>
      <c r="AQ62" s="3"/>
      <c r="AR62" s="3"/>
    </row>
    <row r="63" spans="1:44" x14ac:dyDescent="0.3">
      <c r="A63">
        <v>1955</v>
      </c>
      <c r="B63">
        <v>2</v>
      </c>
      <c r="C63" s="3">
        <v>1955.08333333575</v>
      </c>
      <c r="D63" s="2">
        <v>26.717483999999999</v>
      </c>
      <c r="E63" s="3">
        <f>STANDARDIZE(D63,H$12,I$12)</f>
        <v>-0.41650258527341633</v>
      </c>
      <c r="K63">
        <v>1954</v>
      </c>
      <c r="L63" s="3">
        <f t="shared" si="1"/>
        <v>27.961707083333334</v>
      </c>
      <c r="AL63" s="3"/>
      <c r="AM63" s="3"/>
      <c r="AN63" s="3"/>
      <c r="AO63" s="3"/>
      <c r="AP63" s="3"/>
      <c r="AQ63" s="3"/>
      <c r="AR63" s="3"/>
    </row>
    <row r="64" spans="1:44" x14ac:dyDescent="0.3">
      <c r="A64">
        <v>1955</v>
      </c>
      <c r="B64">
        <v>3</v>
      </c>
      <c r="C64" s="3">
        <v>1955.1666666690801</v>
      </c>
      <c r="D64" s="2">
        <v>26.437494000000001</v>
      </c>
      <c r="E64" s="3">
        <f>STANDARDIZE(D64,H$11,I$11)</f>
        <v>-1.3394158704859436</v>
      </c>
      <c r="K64">
        <v>1953</v>
      </c>
      <c r="L64" s="3">
        <f t="shared" si="1"/>
        <v>28.018068</v>
      </c>
    </row>
    <row r="65" spans="1:12" x14ac:dyDescent="0.3">
      <c r="A65">
        <v>1955</v>
      </c>
      <c r="B65">
        <v>4</v>
      </c>
      <c r="C65" s="3">
        <v>1955.2500000024099</v>
      </c>
      <c r="D65" s="2">
        <v>27.234386000000001</v>
      </c>
      <c r="E65" s="3">
        <f>STANDARDIZE(D65,H$10,I$10)</f>
        <v>-0.69949617478353054</v>
      </c>
      <c r="K65">
        <v>1952</v>
      </c>
      <c r="L65" s="3">
        <f t="shared" si="1"/>
        <v>28.178450916666666</v>
      </c>
    </row>
    <row r="66" spans="1:12" x14ac:dyDescent="0.3">
      <c r="A66">
        <v>1955</v>
      </c>
      <c r="B66">
        <v>5</v>
      </c>
      <c r="C66" s="3">
        <v>1955.33333333574</v>
      </c>
      <c r="D66" s="2">
        <v>28.008379999999999</v>
      </c>
      <c r="E66" s="3">
        <f>STANDARDIZE(D66,H$9,I$9)</f>
        <v>-0.76268812390496843</v>
      </c>
      <c r="K66">
        <v>1951</v>
      </c>
      <c r="L66" s="3">
        <f t="shared" si="1"/>
        <v>28.075387000000003</v>
      </c>
    </row>
    <row r="67" spans="1:12" x14ac:dyDescent="0.3">
      <c r="A67">
        <v>1955</v>
      </c>
      <c r="B67">
        <v>6</v>
      </c>
      <c r="C67" s="3">
        <v>1955.4166666690701</v>
      </c>
      <c r="D67" s="2">
        <v>28.252459000000002</v>
      </c>
      <c r="E67" s="3">
        <f>STANDARDIZE(D67,H$8,I$8)</f>
        <v>-1.0609345022996102</v>
      </c>
      <c r="K67">
        <v>1950</v>
      </c>
      <c r="L67" s="3">
        <f t="shared" si="1"/>
        <v>27.610493500000004</v>
      </c>
    </row>
    <row r="68" spans="1:12" x14ac:dyDescent="0.3">
      <c r="A68">
        <v>1955</v>
      </c>
      <c r="B68">
        <v>7</v>
      </c>
      <c r="C68" s="3">
        <v>1955.5000000023999</v>
      </c>
      <c r="D68" s="2">
        <v>28.021281999999999</v>
      </c>
      <c r="E68" s="3">
        <f>STANDARDIZE(D68,H$7,I$7)</f>
        <v>-0.80663838017091993</v>
      </c>
    </row>
    <row r="69" spans="1:12" x14ac:dyDescent="0.3">
      <c r="A69">
        <v>1955</v>
      </c>
      <c r="B69">
        <v>8</v>
      </c>
      <c r="C69" s="3">
        <v>1955.58333333573</v>
      </c>
      <c r="D69" s="2">
        <v>28.489211999999998</v>
      </c>
      <c r="E69" s="3">
        <f>STANDARDIZE(D69,H$6,I$6)</f>
        <v>-1.1826462568275352E-2</v>
      </c>
    </row>
    <row r="70" spans="1:12" x14ac:dyDescent="0.3">
      <c r="A70">
        <v>1955</v>
      </c>
      <c r="B70">
        <v>9</v>
      </c>
      <c r="C70" s="3">
        <v>1955.6666666690601</v>
      </c>
      <c r="D70" s="2">
        <v>28.870773</v>
      </c>
      <c r="E70" s="3">
        <f>STANDARDIZE(D70,H$5,I$5)</f>
        <v>0.15385877988870594</v>
      </c>
    </row>
    <row r="71" spans="1:12" x14ac:dyDescent="0.3">
      <c r="A71">
        <v>1955</v>
      </c>
      <c r="B71">
        <v>10</v>
      </c>
      <c r="C71" s="3">
        <v>1955.7500000023899</v>
      </c>
      <c r="D71" s="2">
        <v>28.964835999999998</v>
      </c>
      <c r="E71" s="3">
        <f>STANDARDIZE(D71,H$4,I$4)</f>
        <v>0.12496247791295394</v>
      </c>
    </row>
    <row r="72" spans="1:12" x14ac:dyDescent="0.3">
      <c r="A72">
        <v>1955</v>
      </c>
      <c r="B72">
        <v>11</v>
      </c>
      <c r="C72" s="3">
        <v>1955.83333333572</v>
      </c>
      <c r="D72" s="2">
        <v>28.615241999999999</v>
      </c>
      <c r="E72" s="3">
        <f>STANDARDIZE(D72,H$3,I$3)</f>
        <v>-0.2032324433341651</v>
      </c>
    </row>
    <row r="73" spans="1:12" x14ac:dyDescent="0.3">
      <c r="A73">
        <v>1955</v>
      </c>
      <c r="B73">
        <v>12</v>
      </c>
      <c r="C73" s="3">
        <v>1955.9166666690501</v>
      </c>
      <c r="D73" s="2">
        <v>27.507639000000001</v>
      </c>
      <c r="E73" s="3">
        <f>STANDARDIZE(D73,H$2,I$2)</f>
        <v>-0.90787263242564376</v>
      </c>
    </row>
    <row r="74" spans="1:12" x14ac:dyDescent="0.3">
      <c r="A74">
        <v>1956</v>
      </c>
      <c r="B74">
        <v>1</v>
      </c>
      <c r="C74" s="3">
        <v>1956.0000000023799</v>
      </c>
      <c r="D74" s="2">
        <v>26.875129999999999</v>
      </c>
      <c r="E74" s="3">
        <f>STANDARDIZE(D74,H$13,I$13)</f>
        <v>-0.61455908665974723</v>
      </c>
    </row>
    <row r="75" spans="1:12" x14ac:dyDescent="0.3">
      <c r="A75">
        <v>1956</v>
      </c>
      <c r="B75">
        <v>2</v>
      </c>
      <c r="C75" s="3">
        <v>1956.08333333571</v>
      </c>
      <c r="D75" s="2">
        <v>26.700862999999998</v>
      </c>
      <c r="E75" s="3">
        <f>STANDARDIZE(D75,H$12,I$12)</f>
        <v>-0.45912345817947436</v>
      </c>
    </row>
    <row r="76" spans="1:12" x14ac:dyDescent="0.3">
      <c r="A76">
        <v>1956</v>
      </c>
      <c r="B76">
        <v>3</v>
      </c>
      <c r="C76" s="3">
        <v>1956.1666666690401</v>
      </c>
      <c r="D76" s="2">
        <v>26.65916</v>
      </c>
      <c r="E76" s="3">
        <f>STANDARDIZE(D76,H$11,I$11)</f>
        <v>-0.79139092787478504</v>
      </c>
    </row>
    <row r="77" spans="1:12" x14ac:dyDescent="0.3">
      <c r="A77">
        <v>1956</v>
      </c>
      <c r="B77">
        <v>4</v>
      </c>
      <c r="C77" s="3">
        <v>1956.2500000023699</v>
      </c>
      <c r="D77" s="2">
        <v>27.428505000000001</v>
      </c>
      <c r="E77" s="3">
        <f>STANDARDIZE(D77,H$10,I$10)</f>
        <v>-0.14984295764982217</v>
      </c>
    </row>
    <row r="78" spans="1:12" x14ac:dyDescent="0.3">
      <c r="A78">
        <v>1956</v>
      </c>
      <c r="B78">
        <v>5</v>
      </c>
      <c r="C78" s="3">
        <v>1956.3333333357</v>
      </c>
      <c r="D78" s="2">
        <v>27.840263</v>
      </c>
      <c r="E78" s="3">
        <f>STANDARDIZE(D78,H$9,I$9)</f>
        <v>-1.175985519881124</v>
      </c>
    </row>
    <row r="79" spans="1:12" x14ac:dyDescent="0.3">
      <c r="A79">
        <v>1956</v>
      </c>
      <c r="B79">
        <v>6</v>
      </c>
      <c r="C79" s="3">
        <v>1956.4166666690301</v>
      </c>
      <c r="D79" s="2">
        <v>28.409420000000001</v>
      </c>
      <c r="E79" s="3">
        <f>STANDARDIZE(D79,H$8,I$8)</f>
        <v>-0.64028516481164965</v>
      </c>
    </row>
    <row r="80" spans="1:12" x14ac:dyDescent="0.3">
      <c r="A80">
        <v>1956</v>
      </c>
      <c r="B80">
        <v>7</v>
      </c>
      <c r="C80" s="3">
        <v>1956.5000000023599</v>
      </c>
      <c r="D80" s="2">
        <v>27.847624</v>
      </c>
      <c r="E80" s="3">
        <f>STANDARDIZE(D80,H$7,I$7)</f>
        <v>-1.3092127924500492</v>
      </c>
    </row>
    <row r="81" spans="1:5" x14ac:dyDescent="0.3">
      <c r="A81">
        <v>1956</v>
      </c>
      <c r="B81">
        <v>8</v>
      </c>
      <c r="C81" s="3">
        <v>1956.58333333569</v>
      </c>
      <c r="D81" s="2">
        <v>27.881502000000001</v>
      </c>
      <c r="E81" s="3">
        <f>STANDARDIZE(D81,H$6,I$6)</f>
        <v>-1.8084416364785396</v>
      </c>
    </row>
    <row r="82" spans="1:5" x14ac:dyDescent="0.3">
      <c r="A82">
        <v>1956</v>
      </c>
      <c r="B82">
        <v>9</v>
      </c>
      <c r="C82" s="3">
        <v>1956.6666666690201</v>
      </c>
      <c r="D82" s="2">
        <v>28.388110999999999</v>
      </c>
      <c r="E82" s="3">
        <f>STANDARDIZE(D82,H$5,I$5)</f>
        <v>-1.2728345338461458</v>
      </c>
    </row>
    <row r="83" spans="1:5" x14ac:dyDescent="0.3">
      <c r="A83">
        <v>1956</v>
      </c>
      <c r="B83">
        <v>10</v>
      </c>
      <c r="C83" s="3">
        <v>1956.7500000023499</v>
      </c>
      <c r="D83" s="2">
        <v>28.569873999999999</v>
      </c>
      <c r="E83" s="3">
        <f>STANDARDIZE(D83,H$4,I$4)</f>
        <v>-1.1261656232235711</v>
      </c>
    </row>
    <row r="84" spans="1:5" x14ac:dyDescent="0.3">
      <c r="A84">
        <v>1956</v>
      </c>
      <c r="B84">
        <v>11</v>
      </c>
      <c r="C84" s="3">
        <v>1956.83333333568</v>
      </c>
      <c r="D84" s="2">
        <v>28.438604000000002</v>
      </c>
      <c r="E84" s="3">
        <f>STANDARDIZE(D84,H$3,I$3)</f>
        <v>-0.76318376138811173</v>
      </c>
    </row>
    <row r="85" spans="1:5" x14ac:dyDescent="0.3">
      <c r="A85">
        <v>1956</v>
      </c>
      <c r="B85">
        <v>12</v>
      </c>
      <c r="C85" s="3">
        <v>1956.9166666690101</v>
      </c>
      <c r="D85" s="2">
        <v>27.642181000000001</v>
      </c>
      <c r="E85" s="3">
        <f>STANDARDIZE(D85,H$2,I$2)</f>
        <v>-0.4868703718189718</v>
      </c>
    </row>
    <row r="86" spans="1:5" x14ac:dyDescent="0.3">
      <c r="A86">
        <v>1957</v>
      </c>
      <c r="B86">
        <v>1</v>
      </c>
      <c r="C86" s="3">
        <v>1957.0000000023399</v>
      </c>
      <c r="D86" s="2">
        <v>26.669730000000001</v>
      </c>
      <c r="E86" s="3">
        <f>STANDARDIZE(D86,H$13,I$13)</f>
        <v>-1.2350035719278252</v>
      </c>
    </row>
    <row r="87" spans="1:5" x14ac:dyDescent="0.3">
      <c r="A87">
        <v>1957</v>
      </c>
      <c r="B87">
        <v>2</v>
      </c>
      <c r="C87" s="3">
        <v>1957.08333333567</v>
      </c>
      <c r="D87" s="2">
        <v>25.773323000000001</v>
      </c>
      <c r="E87" s="3">
        <f>STANDARDIZE(D87,H$12,I$12)</f>
        <v>-2.8375943357008855</v>
      </c>
    </row>
    <row r="88" spans="1:5" x14ac:dyDescent="0.3">
      <c r="A88">
        <v>1957</v>
      </c>
      <c r="B88">
        <v>3</v>
      </c>
      <c r="C88" s="3">
        <v>1957.1666666690001</v>
      </c>
      <c r="D88" s="2">
        <v>26.993870000000001</v>
      </c>
      <c r="E88" s="3">
        <f>STANDARDIZE(D88,H$11,I$11)</f>
        <v>3.611274224775194E-2</v>
      </c>
    </row>
    <row r="89" spans="1:5" x14ac:dyDescent="0.3">
      <c r="A89">
        <v>1957</v>
      </c>
      <c r="B89">
        <v>4</v>
      </c>
      <c r="C89" s="3">
        <v>1957.2500000023299</v>
      </c>
      <c r="D89" s="2">
        <v>26.880375000000001</v>
      </c>
      <c r="E89" s="3">
        <f>STANDARDIZE(D89,H$10,I$10)</f>
        <v>-1.7018879295871332</v>
      </c>
    </row>
    <row r="90" spans="1:5" x14ac:dyDescent="0.3">
      <c r="A90">
        <v>1957</v>
      </c>
      <c r="B90">
        <v>5</v>
      </c>
      <c r="C90" s="3">
        <v>1957.33333333566</v>
      </c>
      <c r="D90" s="2">
        <v>27.727533000000001</v>
      </c>
      <c r="E90" s="3">
        <f>STANDARDIZE(D90,H$9,I$9)</f>
        <v>-1.4531199884261969</v>
      </c>
    </row>
    <row r="91" spans="1:5" x14ac:dyDescent="0.3">
      <c r="A91">
        <v>1957</v>
      </c>
      <c r="B91">
        <v>6</v>
      </c>
      <c r="C91" s="3">
        <v>1957.41666666899</v>
      </c>
      <c r="D91" s="2">
        <v>28.550896000000002</v>
      </c>
      <c r="E91" s="3">
        <f>STANDARDIZE(D91,H$8,I$8)</f>
        <v>-0.26113502133366834</v>
      </c>
    </row>
    <row r="92" spans="1:5" x14ac:dyDescent="0.3">
      <c r="A92">
        <v>1957</v>
      </c>
      <c r="B92">
        <v>7</v>
      </c>
      <c r="C92" s="3">
        <v>1957.5000000023199</v>
      </c>
      <c r="D92" s="2">
        <v>28.332858999999999</v>
      </c>
      <c r="E92" s="3">
        <f>STANDARDIZE(D92,H$7,I$7)</f>
        <v>9.5080098993267623E-2</v>
      </c>
    </row>
    <row r="93" spans="1:5" x14ac:dyDescent="0.3">
      <c r="A93">
        <v>1957</v>
      </c>
      <c r="B93">
        <v>8</v>
      </c>
      <c r="C93" s="3">
        <v>1957.58333333565</v>
      </c>
      <c r="D93" s="2">
        <v>28.644043</v>
      </c>
      <c r="E93" s="3">
        <f>STANDARDIZE(D93,H$6,I$6)</f>
        <v>0.44591114910785973</v>
      </c>
    </row>
    <row r="94" spans="1:5" x14ac:dyDescent="0.3">
      <c r="A94">
        <v>1957</v>
      </c>
      <c r="B94">
        <v>9</v>
      </c>
      <c r="C94" s="3">
        <v>1957.66666666898</v>
      </c>
      <c r="D94" s="2">
        <v>28.872826</v>
      </c>
      <c r="E94" s="3">
        <f>STANDARDIZE(D94,H$5,I$5)</f>
        <v>0.15992721157194961</v>
      </c>
    </row>
    <row r="95" spans="1:5" x14ac:dyDescent="0.3">
      <c r="A95">
        <v>1957</v>
      </c>
      <c r="B95">
        <v>10</v>
      </c>
      <c r="C95" s="3">
        <v>1957.7500000023099</v>
      </c>
      <c r="D95" s="2">
        <v>29.320868000000001</v>
      </c>
      <c r="E95" s="3">
        <f>STANDARDIZE(D95,H$4,I$4)</f>
        <v>1.252771330673075</v>
      </c>
    </row>
    <row r="96" spans="1:5" x14ac:dyDescent="0.3">
      <c r="A96">
        <v>1957</v>
      </c>
      <c r="B96">
        <v>11</v>
      </c>
      <c r="C96" s="3">
        <v>1957.83333333564</v>
      </c>
      <c r="D96" s="2">
        <v>28.674807000000001</v>
      </c>
      <c r="E96" s="3">
        <f>STANDARDIZE(D96,H$3,I$3)</f>
        <v>-1.4408406264647514E-2</v>
      </c>
    </row>
    <row r="97" spans="1:5" x14ac:dyDescent="0.3">
      <c r="A97">
        <v>1957</v>
      </c>
      <c r="B97">
        <v>12</v>
      </c>
      <c r="C97" s="3">
        <v>1957.91666666897</v>
      </c>
      <c r="D97" s="2">
        <v>27.83418</v>
      </c>
      <c r="E97" s="3">
        <f>STANDARDIZE(D97,H$2,I$2)</f>
        <v>0.11392352922471875</v>
      </c>
    </row>
    <row r="98" spans="1:5" x14ac:dyDescent="0.3">
      <c r="A98">
        <v>1958</v>
      </c>
      <c r="B98">
        <v>1</v>
      </c>
      <c r="C98" s="3">
        <v>1958.0000000023001</v>
      </c>
      <c r="D98" s="2">
        <v>27.749324999999999</v>
      </c>
      <c r="E98" s="3">
        <f>STANDARDIZE(D98,H$13,I$13)</f>
        <v>2.0260907030137414</v>
      </c>
    </row>
    <row r="99" spans="1:5" x14ac:dyDescent="0.3">
      <c r="A99">
        <v>1958</v>
      </c>
      <c r="B99">
        <v>2</v>
      </c>
      <c r="C99" s="3">
        <v>1958.08333333563</v>
      </c>
      <c r="D99" s="2">
        <v>27.589801999999999</v>
      </c>
      <c r="E99" s="3">
        <f>STANDARDIZE(D99,H$12,I$12)</f>
        <v>1.8203637050620183</v>
      </c>
    </row>
    <row r="100" spans="1:5" x14ac:dyDescent="0.3">
      <c r="A100">
        <v>1958</v>
      </c>
      <c r="B100">
        <v>3</v>
      </c>
      <c r="C100" s="3">
        <v>1958.16666666896</v>
      </c>
      <c r="D100" s="2">
        <v>27.799702</v>
      </c>
      <c r="E100" s="3">
        <f>STANDARDIZE(D100,H$11,I$11)</f>
        <v>2.0283715259774908</v>
      </c>
    </row>
    <row r="101" spans="1:5" x14ac:dyDescent="0.3">
      <c r="A101">
        <v>1958</v>
      </c>
      <c r="B101">
        <v>4</v>
      </c>
      <c r="C101" s="3">
        <v>1958.2500000022901</v>
      </c>
      <c r="D101" s="2">
        <v>28.202895999999999</v>
      </c>
      <c r="E101" s="3">
        <f>STANDARDIZE(D101,H$10,I$10)</f>
        <v>2.0428661767954774</v>
      </c>
    </row>
    <row r="102" spans="1:5" x14ac:dyDescent="0.3">
      <c r="A102">
        <v>1958</v>
      </c>
      <c r="B102">
        <v>5</v>
      </c>
      <c r="C102" s="3">
        <v>1958.33333333562</v>
      </c>
      <c r="D102" s="2">
        <v>29.162496999999998</v>
      </c>
      <c r="E102" s="3">
        <f>STANDARDIZE(D102,H$9,I$9)</f>
        <v>2.0745832451523913</v>
      </c>
    </row>
    <row r="103" spans="1:5" x14ac:dyDescent="0.3">
      <c r="A103">
        <v>1958</v>
      </c>
      <c r="B103">
        <v>6</v>
      </c>
      <c r="C103" s="3">
        <v>1958.41666666895</v>
      </c>
      <c r="D103" s="2">
        <v>29.763983</v>
      </c>
      <c r="E103" s="3">
        <f>STANDARDIZE(D103,H$8,I$8)</f>
        <v>2.9898906657176374</v>
      </c>
    </row>
    <row r="104" spans="1:5" x14ac:dyDescent="0.3">
      <c r="A104">
        <v>1958</v>
      </c>
      <c r="B104">
        <v>7</v>
      </c>
      <c r="C104" s="3">
        <v>1958.5000000022801</v>
      </c>
      <c r="D104" s="2">
        <v>28.773392000000001</v>
      </c>
      <c r="E104" s="3">
        <f>STANDARDIZE(D104,H$7,I$7)</f>
        <v>1.3700033018665194</v>
      </c>
    </row>
    <row r="105" spans="1:5" x14ac:dyDescent="0.3">
      <c r="A105">
        <v>1958</v>
      </c>
      <c r="B105">
        <v>8</v>
      </c>
      <c r="C105" s="3">
        <v>1958.58333333561</v>
      </c>
      <c r="D105" s="2">
        <v>28.850597</v>
      </c>
      <c r="E105" s="3">
        <f>STANDARDIZE(D105,H$6,I$6)</f>
        <v>1.0565610489480193</v>
      </c>
    </row>
    <row r="106" spans="1:5" x14ac:dyDescent="0.3">
      <c r="A106">
        <v>1958</v>
      </c>
      <c r="B106">
        <v>9</v>
      </c>
      <c r="C106" s="3">
        <v>1958.66666666894</v>
      </c>
      <c r="D106" s="2">
        <v>29.147597999999999</v>
      </c>
      <c r="E106" s="3">
        <f>STANDARDIZE(D106,H$5,I$5)</f>
        <v>0.97212161511221129</v>
      </c>
    </row>
    <row r="107" spans="1:5" x14ac:dyDescent="0.3">
      <c r="A107">
        <v>1958</v>
      </c>
      <c r="B107">
        <v>10</v>
      </c>
      <c r="C107" s="3">
        <v>1958.7500000022701</v>
      </c>
      <c r="D107" s="2">
        <v>29.120450000000002</v>
      </c>
      <c r="E107" s="3">
        <f>STANDARDIZE(D107,H$4,I$4)</f>
        <v>0.61790369334700523</v>
      </c>
    </row>
    <row r="108" spans="1:5" x14ac:dyDescent="0.3">
      <c r="A108">
        <v>1958</v>
      </c>
      <c r="B108">
        <v>11</v>
      </c>
      <c r="C108" s="3">
        <v>1958.8333333355999</v>
      </c>
      <c r="D108" s="2">
        <v>28.748200000000001</v>
      </c>
      <c r="E108" s="3">
        <f>STANDARDIZE(D108,H$3,I$3)</f>
        <v>0.21825108425230616</v>
      </c>
    </row>
    <row r="109" spans="1:5" x14ac:dyDescent="0.3">
      <c r="A109">
        <v>1958</v>
      </c>
      <c r="B109">
        <v>12</v>
      </c>
      <c r="C109" s="3">
        <v>1958.91666666893</v>
      </c>
      <c r="D109" s="2">
        <v>27.91339</v>
      </c>
      <c r="E109" s="3">
        <f>STANDARDIZE(D109,H$2,I$2)</f>
        <v>0.36178359569210045</v>
      </c>
    </row>
    <row r="110" spans="1:5" x14ac:dyDescent="0.3">
      <c r="A110">
        <v>1959</v>
      </c>
      <c r="B110">
        <v>1</v>
      </c>
      <c r="C110" s="3">
        <v>1959.0000000022601</v>
      </c>
      <c r="D110" s="2">
        <v>27.162434000000001</v>
      </c>
      <c r="E110" s="3">
        <f>STANDARDIZE(D110,H$13,I$13)</f>
        <v>0.25328990260735923</v>
      </c>
    </row>
    <row r="111" spans="1:5" x14ac:dyDescent="0.3">
      <c r="A111">
        <v>1959</v>
      </c>
      <c r="B111">
        <v>2</v>
      </c>
      <c r="C111" s="3">
        <v>1959.0833333355899</v>
      </c>
      <c r="D111" s="2">
        <v>26.846319999999999</v>
      </c>
      <c r="E111" s="3">
        <f>STANDARDIZE(D111,H$12,I$12)</f>
        <v>-8.6131200776414688E-2</v>
      </c>
    </row>
    <row r="112" spans="1:5" x14ac:dyDescent="0.3">
      <c r="A112">
        <v>1959</v>
      </c>
      <c r="B112">
        <v>3</v>
      </c>
      <c r="C112" s="3">
        <v>1959.16666666892</v>
      </c>
      <c r="D112" s="2">
        <v>26.899567000000001</v>
      </c>
      <c r="E112" s="3">
        <f>STANDARDIZE(D112,H$11,I$11)</f>
        <v>-0.19703260328589017</v>
      </c>
    </row>
    <row r="113" spans="1:5" x14ac:dyDescent="0.3">
      <c r="A113">
        <v>1959</v>
      </c>
      <c r="B113">
        <v>4</v>
      </c>
      <c r="C113" s="3">
        <v>1959.2500000022501</v>
      </c>
      <c r="D113" s="2">
        <v>27.452836999999999</v>
      </c>
      <c r="E113" s="3">
        <f>STANDARDIZE(D113,H$10,I$10)</f>
        <v>-8.0946239248758795E-2</v>
      </c>
    </row>
    <row r="114" spans="1:5" x14ac:dyDescent="0.3">
      <c r="A114">
        <v>1959</v>
      </c>
      <c r="B114">
        <v>5</v>
      </c>
      <c r="C114" s="3">
        <v>1959.3333333355799</v>
      </c>
      <c r="D114" s="2">
        <v>27.909804999999999</v>
      </c>
      <c r="E114" s="3">
        <f>STANDARDIZE(D114,H$9,I$9)</f>
        <v>-1.0050240614267536</v>
      </c>
    </row>
    <row r="115" spans="1:5" x14ac:dyDescent="0.3">
      <c r="A115">
        <v>1959</v>
      </c>
      <c r="B115">
        <v>6</v>
      </c>
      <c r="C115" s="3">
        <v>1959.41666666891</v>
      </c>
      <c r="D115" s="2">
        <v>28.406094</v>
      </c>
      <c r="E115" s="3">
        <f>STANDARDIZE(D115,H$8,I$8)</f>
        <v>-0.64919871465196344</v>
      </c>
    </row>
    <row r="116" spans="1:5" x14ac:dyDescent="0.3">
      <c r="A116">
        <v>1959</v>
      </c>
      <c r="B116">
        <v>7</v>
      </c>
      <c r="C116" s="3">
        <v>1959.5000000022401</v>
      </c>
      <c r="D116" s="2">
        <v>28.154067999999999</v>
      </c>
      <c r="E116" s="3">
        <f>STANDARDIZE(D116,H$7,I$7)</f>
        <v>-0.42234945648818545</v>
      </c>
    </row>
    <row r="117" spans="1:5" x14ac:dyDescent="0.3">
      <c r="A117">
        <v>1959</v>
      </c>
      <c r="B117">
        <v>8</v>
      </c>
      <c r="C117" s="3">
        <v>1959.5833333355699</v>
      </c>
      <c r="D117" s="2">
        <v>28.150528000000001</v>
      </c>
      <c r="E117" s="3">
        <f>STANDARDIZE(D117,H$6,I$6)</f>
        <v>-1.0131014351055405</v>
      </c>
    </row>
    <row r="118" spans="1:5" x14ac:dyDescent="0.3">
      <c r="A118">
        <v>1959</v>
      </c>
      <c r="B118">
        <v>9</v>
      </c>
      <c r="C118" s="3">
        <v>1959.6666666689</v>
      </c>
      <c r="D118" s="2">
        <v>28.60135</v>
      </c>
      <c r="E118" s="3">
        <f>STANDARDIZE(D118,H$5,I$5)</f>
        <v>-0.6425245953643357</v>
      </c>
    </row>
    <row r="119" spans="1:5" x14ac:dyDescent="0.3">
      <c r="A119">
        <v>1959</v>
      </c>
      <c r="B119">
        <v>10</v>
      </c>
      <c r="C119" s="3">
        <v>1959.7500000022301</v>
      </c>
      <c r="D119" s="2">
        <v>28.706951</v>
      </c>
      <c r="E119" s="3">
        <f>STANDARDIZE(D119,H$4,I$4)</f>
        <v>-0.69194438999228958</v>
      </c>
    </row>
    <row r="120" spans="1:5" x14ac:dyDescent="0.3">
      <c r="A120">
        <v>1959</v>
      </c>
      <c r="B120">
        <v>11</v>
      </c>
      <c r="C120" s="3">
        <v>1959.8333333355599</v>
      </c>
      <c r="D120" s="2">
        <v>28.573264999999999</v>
      </c>
      <c r="E120" s="3">
        <f>STANDARDIZE(D120,H$3,I$3)</f>
        <v>-0.33630163839949934</v>
      </c>
    </row>
    <row r="121" spans="1:5" x14ac:dyDescent="0.3">
      <c r="A121">
        <v>1959</v>
      </c>
      <c r="B121">
        <v>12</v>
      </c>
      <c r="C121" s="3">
        <v>1959.91666666889</v>
      </c>
      <c r="D121" s="2">
        <v>27.992457999999999</v>
      </c>
      <c r="E121" s="3">
        <f>STANDARDIZE(D121,H$2,I$2)</f>
        <v>0.60919932268923283</v>
      </c>
    </row>
    <row r="122" spans="1:5" x14ac:dyDescent="0.3">
      <c r="A122">
        <v>1960</v>
      </c>
      <c r="B122">
        <v>1</v>
      </c>
      <c r="C122" s="3">
        <v>1960.0000000022201</v>
      </c>
      <c r="D122" s="2">
        <v>27.381208000000001</v>
      </c>
      <c r="E122" s="3">
        <f>STANDARDIZE(D122,H$13,I$13)</f>
        <v>0.91413275470103061</v>
      </c>
    </row>
    <row r="123" spans="1:5" x14ac:dyDescent="0.3">
      <c r="A123">
        <v>1960</v>
      </c>
      <c r="B123">
        <v>2</v>
      </c>
      <c r="C123" s="3">
        <v>1960.0833333355499</v>
      </c>
      <c r="D123" s="2">
        <v>27.572299999999998</v>
      </c>
      <c r="E123" s="3">
        <f>STANDARDIZE(D123,H$12,I$12)</f>
        <v>1.7754837027997108</v>
      </c>
    </row>
    <row r="124" spans="1:5" x14ac:dyDescent="0.3">
      <c r="A124">
        <v>1960</v>
      </c>
      <c r="B124">
        <v>3</v>
      </c>
      <c r="C124" s="3">
        <v>1960.16666666888</v>
      </c>
      <c r="D124" s="2">
        <v>27.431813999999999</v>
      </c>
      <c r="E124" s="3">
        <f>STANDARDIZE(D124,H$11,I$11)</f>
        <v>1.1188418728627367</v>
      </c>
    </row>
    <row r="125" spans="1:5" x14ac:dyDescent="0.3">
      <c r="A125">
        <v>1960</v>
      </c>
      <c r="B125">
        <v>4</v>
      </c>
      <c r="C125" s="3">
        <v>1960.2500000022101</v>
      </c>
      <c r="D125" s="2">
        <v>27.729161999999999</v>
      </c>
      <c r="E125" s="3">
        <f>STANDARDIZE(D125,H$10,I$10)</f>
        <v>0.70147549805913723</v>
      </c>
    </row>
    <row r="126" spans="1:5" x14ac:dyDescent="0.3">
      <c r="A126">
        <v>1960</v>
      </c>
      <c r="B126">
        <v>5</v>
      </c>
      <c r="C126" s="3">
        <v>1960.3333333355399</v>
      </c>
      <c r="D126" s="2">
        <v>28.918209999999998</v>
      </c>
      <c r="E126" s="3">
        <f>STANDARDIZE(D126,H$9,I$9)</f>
        <v>1.4740301721685298</v>
      </c>
    </row>
    <row r="127" spans="1:5" x14ac:dyDescent="0.3">
      <c r="A127">
        <v>1960</v>
      </c>
      <c r="B127">
        <v>6</v>
      </c>
      <c r="C127" s="3">
        <v>1960.41666666887</v>
      </c>
      <c r="D127" s="2">
        <v>29.148790000000002</v>
      </c>
      <c r="E127" s="3">
        <f>STANDARDIZE(D127,H$8,I$8)</f>
        <v>1.3411975006815349</v>
      </c>
    </row>
    <row r="128" spans="1:5" x14ac:dyDescent="0.3">
      <c r="A128">
        <v>1960</v>
      </c>
      <c r="B128">
        <v>7</v>
      </c>
      <c r="C128" s="3">
        <v>1960.5000000022001</v>
      </c>
      <c r="D128" s="2">
        <v>28.599136000000001</v>
      </c>
      <c r="E128" s="3">
        <f>STANDARDIZE(D128,H$7,I$7)</f>
        <v>0.86569824948706087</v>
      </c>
    </row>
    <row r="129" spans="1:5" x14ac:dyDescent="0.3">
      <c r="A129">
        <v>1960</v>
      </c>
      <c r="B129">
        <v>8</v>
      </c>
      <c r="C129" s="3">
        <v>1960.5833333355299</v>
      </c>
      <c r="D129" s="2">
        <v>28.63514</v>
      </c>
      <c r="E129" s="3">
        <f>STANDARDIZE(D129,H$6,I$6)</f>
        <v>0.41959059342616395</v>
      </c>
    </row>
    <row r="130" spans="1:5" x14ac:dyDescent="0.3">
      <c r="A130">
        <v>1960</v>
      </c>
      <c r="B130">
        <v>9</v>
      </c>
      <c r="C130" s="3">
        <v>1960.66666666886</v>
      </c>
      <c r="D130" s="2">
        <v>29.040330000000001</v>
      </c>
      <c r="E130" s="3">
        <f>STANDARDIZE(D130,H$5,I$5)</f>
        <v>0.6550497545188636</v>
      </c>
    </row>
    <row r="131" spans="1:5" x14ac:dyDescent="0.3">
      <c r="A131">
        <v>1960</v>
      </c>
      <c r="B131">
        <v>10</v>
      </c>
      <c r="C131" s="3">
        <v>1960.7500000021901</v>
      </c>
      <c r="D131" s="2">
        <v>29.004028000000002</v>
      </c>
      <c r="E131" s="3">
        <f>STANDARDIZE(D131,H$4,I$4)</f>
        <v>0.2491116683154409</v>
      </c>
    </row>
    <row r="132" spans="1:5" x14ac:dyDescent="0.3">
      <c r="A132">
        <v>1960</v>
      </c>
      <c r="B132">
        <v>11</v>
      </c>
      <c r="C132" s="3">
        <v>1960.8333333355199</v>
      </c>
      <c r="D132" s="2">
        <v>28.619586999999999</v>
      </c>
      <c r="E132" s="3">
        <f>STANDARDIZE(D132,H$3,I$3)</f>
        <v>-0.18945857544081918</v>
      </c>
    </row>
    <row r="133" spans="1:5" x14ac:dyDescent="0.3">
      <c r="A133">
        <v>1960</v>
      </c>
      <c r="B133">
        <v>12</v>
      </c>
      <c r="C133" s="3">
        <v>1960.91666666885</v>
      </c>
      <c r="D133" s="2">
        <v>27.752445000000002</v>
      </c>
      <c r="E133" s="3">
        <f>STANDARDIZE(D133,H$2,I$2)</f>
        <v>-0.14183764401996102</v>
      </c>
    </row>
    <row r="134" spans="1:5" x14ac:dyDescent="0.3">
      <c r="A134">
        <v>1961</v>
      </c>
      <c r="B134">
        <v>1</v>
      </c>
      <c r="C134" s="3">
        <v>1961.0000000021801</v>
      </c>
      <c r="D134" s="2">
        <v>27.311126999999999</v>
      </c>
      <c r="E134" s="3">
        <f>STANDARDIZE(D134,H$13,I$13)</f>
        <v>0.70244156691099235</v>
      </c>
    </row>
    <row r="135" spans="1:5" x14ac:dyDescent="0.3">
      <c r="A135">
        <v>1961</v>
      </c>
      <c r="B135">
        <v>2</v>
      </c>
      <c r="C135" s="3">
        <v>1961.0833333355099</v>
      </c>
      <c r="D135" s="2">
        <v>27.033394000000001</v>
      </c>
      <c r="E135" s="3">
        <f>STANDARDIZE(D135,H$12,I$12)</f>
        <v>0.39357863485487687</v>
      </c>
    </row>
    <row r="136" spans="1:5" x14ac:dyDescent="0.3">
      <c r="A136">
        <v>1961</v>
      </c>
      <c r="B136">
        <v>3</v>
      </c>
      <c r="C136" s="3">
        <v>1961.16666666884</v>
      </c>
      <c r="D136" s="2">
        <v>27.320055</v>
      </c>
      <c r="E136" s="3">
        <f>STANDARDIZE(D136,H$11,I$11)</f>
        <v>0.8425400513777983</v>
      </c>
    </row>
    <row r="137" spans="1:5" x14ac:dyDescent="0.3">
      <c r="A137">
        <v>1961</v>
      </c>
      <c r="B137">
        <v>4</v>
      </c>
      <c r="C137" s="3">
        <v>1961.2500000021701</v>
      </c>
      <c r="D137" s="2">
        <v>27.654699999999998</v>
      </c>
      <c r="E137" s="3">
        <f>STANDARDIZE(D137,H$10,I$10)</f>
        <v>0.49063432406684215</v>
      </c>
    </row>
    <row r="138" spans="1:5" x14ac:dyDescent="0.3">
      <c r="A138">
        <v>1961</v>
      </c>
      <c r="B138">
        <v>5</v>
      </c>
      <c r="C138" s="3">
        <v>1961.3333333354999</v>
      </c>
      <c r="D138" s="2">
        <v>28.231660000000002</v>
      </c>
      <c r="E138" s="3">
        <f>STANDARDIZE(D138,H$9,I$9)</f>
        <v>-0.21377848018328771</v>
      </c>
    </row>
    <row r="139" spans="1:5" x14ac:dyDescent="0.3">
      <c r="A139">
        <v>1961</v>
      </c>
      <c r="B139">
        <v>6</v>
      </c>
      <c r="C139" s="3">
        <v>1961.41666666883</v>
      </c>
      <c r="D139" s="2">
        <v>28.26763</v>
      </c>
      <c r="E139" s="3">
        <f>STANDARDIZE(D139,H$8,I$8)</f>
        <v>-1.020276816001553</v>
      </c>
    </row>
    <row r="140" spans="1:5" x14ac:dyDescent="0.3">
      <c r="A140">
        <v>1961</v>
      </c>
      <c r="B140">
        <v>7</v>
      </c>
      <c r="C140" s="3">
        <v>1961.50000000216</v>
      </c>
      <c r="D140" s="2">
        <v>28.172432000000001</v>
      </c>
      <c r="E140" s="3">
        <f>STANDARDIZE(D140,H$7,I$7)</f>
        <v>-0.36920317755433346</v>
      </c>
    </row>
    <row r="141" spans="1:5" x14ac:dyDescent="0.3">
      <c r="A141">
        <v>1961</v>
      </c>
      <c r="B141">
        <v>8</v>
      </c>
      <c r="C141" s="3">
        <v>1961.5833333354899</v>
      </c>
      <c r="D141" s="2">
        <v>28.609074</v>
      </c>
      <c r="E141" s="3">
        <f>STANDARDIZE(D141,H$6,I$6)</f>
        <v>0.34252987182680666</v>
      </c>
    </row>
    <row r="142" spans="1:5" x14ac:dyDescent="0.3">
      <c r="A142">
        <v>1961</v>
      </c>
      <c r="B142">
        <v>9</v>
      </c>
      <c r="C142" s="3">
        <v>1961.66666666882</v>
      </c>
      <c r="D142" s="2">
        <v>28.771318000000001</v>
      </c>
      <c r="E142" s="3">
        <f>STANDARDIZE(D142,H$5,I$5)</f>
        <v>-0.14011875204357344</v>
      </c>
    </row>
    <row r="143" spans="1:5" x14ac:dyDescent="0.3">
      <c r="A143">
        <v>1961</v>
      </c>
      <c r="B143">
        <v>10</v>
      </c>
      <c r="C143" s="3">
        <v>1961.75000000215</v>
      </c>
      <c r="D143" s="2">
        <v>28.900846000000001</v>
      </c>
      <c r="E143" s="3">
        <f>STANDARDIZE(D143,H$4,I$4)</f>
        <v>-7.7739774941048279E-2</v>
      </c>
    </row>
    <row r="144" spans="1:5" x14ac:dyDescent="0.3">
      <c r="A144">
        <v>1961</v>
      </c>
      <c r="B144">
        <v>11</v>
      </c>
      <c r="C144" s="3">
        <v>1961.8333333354799</v>
      </c>
      <c r="D144" s="2">
        <v>28.480170999999999</v>
      </c>
      <c r="E144" s="3">
        <f>STANDARDIZE(D144,H$3,I$3)</f>
        <v>-0.63141428688349133</v>
      </c>
    </row>
    <row r="145" spans="1:5" x14ac:dyDescent="0.3">
      <c r="A145">
        <v>1961</v>
      </c>
      <c r="B145">
        <v>12</v>
      </c>
      <c r="C145" s="3">
        <v>1961.91666666881</v>
      </c>
      <c r="D145" s="2">
        <v>27.980160000000001</v>
      </c>
      <c r="E145" s="3">
        <f>STANDARDIZE(D145,H$2,I$2)</f>
        <v>0.57071702124477763</v>
      </c>
    </row>
    <row r="146" spans="1:5" x14ac:dyDescent="0.3">
      <c r="A146">
        <v>1962</v>
      </c>
      <c r="B146">
        <v>1</v>
      </c>
      <c r="C146" s="3">
        <v>1962.00000000214</v>
      </c>
      <c r="D146" s="2">
        <v>27.248867000000001</v>
      </c>
      <c r="E146" s="3">
        <f>STANDARDIZE(D146,H$13,I$13)</f>
        <v>0.51437499606001835</v>
      </c>
    </row>
    <row r="147" spans="1:5" x14ac:dyDescent="0.3">
      <c r="A147">
        <v>1962</v>
      </c>
      <c r="B147">
        <v>2</v>
      </c>
      <c r="C147" s="3">
        <v>1962.0833333354699</v>
      </c>
      <c r="D147" s="2">
        <v>26.94407</v>
      </c>
      <c r="E147" s="3">
        <f>STANDARDIZE(D147,H$12,I$12)</f>
        <v>0.16452702234897279</v>
      </c>
    </row>
    <row r="148" spans="1:5" x14ac:dyDescent="0.3">
      <c r="A148">
        <v>1962</v>
      </c>
      <c r="B148">
        <v>3</v>
      </c>
      <c r="C148" s="3">
        <v>1962.1666666688</v>
      </c>
      <c r="D148" s="2">
        <v>27.254759</v>
      </c>
      <c r="E148" s="3">
        <f>STANDARDIZE(D148,H$11,I$11)</f>
        <v>0.68110872382761756</v>
      </c>
    </row>
    <row r="149" spans="1:5" x14ac:dyDescent="0.3">
      <c r="A149">
        <v>1962</v>
      </c>
      <c r="B149">
        <v>4</v>
      </c>
      <c r="C149" s="3">
        <v>1962.25000000213</v>
      </c>
      <c r="D149" s="2">
        <v>27.442882999999998</v>
      </c>
      <c r="E149" s="3">
        <f>STANDARDIZE(D149,H$10,I$10)</f>
        <v>-0.10913126041283429</v>
      </c>
    </row>
    <row r="150" spans="1:5" x14ac:dyDescent="0.3">
      <c r="A150">
        <v>1962</v>
      </c>
      <c r="B150">
        <v>5</v>
      </c>
      <c r="C150" s="3">
        <v>1962.3333333354601</v>
      </c>
      <c r="D150" s="2">
        <v>28.032426999999998</v>
      </c>
      <c r="E150" s="3">
        <f>STANDARDIZE(D150,H$9,I$9)</f>
        <v>-0.70357118462435742</v>
      </c>
    </row>
    <row r="151" spans="1:5" x14ac:dyDescent="0.3">
      <c r="A151">
        <v>1962</v>
      </c>
      <c r="B151">
        <v>6</v>
      </c>
      <c r="C151" s="3">
        <v>1962.41666666879</v>
      </c>
      <c r="D151" s="2">
        <v>28.496047999999998</v>
      </c>
      <c r="E151" s="3">
        <f>STANDARDIZE(D151,H$8,I$8)</f>
        <v>-0.40812551491195342</v>
      </c>
    </row>
    <row r="152" spans="1:5" x14ac:dyDescent="0.3">
      <c r="A152">
        <v>1962</v>
      </c>
      <c r="B152">
        <v>7</v>
      </c>
      <c r="C152" s="3">
        <v>1962.50000000212</v>
      </c>
      <c r="D152" s="2">
        <v>28.299168000000002</v>
      </c>
      <c r="E152" s="3">
        <f>STANDARDIZE(D152,H$7,I$7)</f>
        <v>-2.4232381642195714E-3</v>
      </c>
    </row>
    <row r="153" spans="1:5" x14ac:dyDescent="0.3">
      <c r="A153">
        <v>1962</v>
      </c>
      <c r="B153">
        <v>8</v>
      </c>
      <c r="C153" s="3">
        <v>1962.5833333354501</v>
      </c>
      <c r="D153" s="2">
        <v>28.657364000000001</v>
      </c>
      <c r="E153" s="3">
        <f>STANDARDIZE(D153,H$6,I$6)</f>
        <v>0.4852929442595949</v>
      </c>
    </row>
    <row r="154" spans="1:5" x14ac:dyDescent="0.3">
      <c r="A154">
        <v>1962</v>
      </c>
      <c r="B154">
        <v>9</v>
      </c>
      <c r="C154" s="3">
        <v>1962.66666666878</v>
      </c>
      <c r="D154" s="2">
        <v>28.795881000000001</v>
      </c>
      <c r="E154" s="3">
        <f>STANDARDIZE(D154,H$5,I$5)</f>
        <v>-6.7513351441765401E-2</v>
      </c>
    </row>
    <row r="155" spans="1:5" x14ac:dyDescent="0.3">
      <c r="A155">
        <v>1962</v>
      </c>
      <c r="B155">
        <v>10</v>
      </c>
      <c r="C155" s="3">
        <v>1962.75000000211</v>
      </c>
      <c r="D155" s="2">
        <v>28.878613999999999</v>
      </c>
      <c r="E155" s="3">
        <f>STANDARDIZE(D155,H$4,I$4)</f>
        <v>-0.14816447388542861</v>
      </c>
    </row>
    <row r="156" spans="1:5" x14ac:dyDescent="0.3">
      <c r="A156">
        <v>1962</v>
      </c>
      <c r="B156">
        <v>11</v>
      </c>
      <c r="C156" s="3">
        <v>1962.8333333354401</v>
      </c>
      <c r="D156" s="2">
        <v>28.639744</v>
      </c>
      <c r="E156" s="3">
        <f>STANDARDIZE(D156,H$3,I$3)</f>
        <v>-0.12555987460626372</v>
      </c>
    </row>
    <row r="157" spans="1:5" x14ac:dyDescent="0.3">
      <c r="A157">
        <v>1962</v>
      </c>
      <c r="B157">
        <v>12</v>
      </c>
      <c r="C157" s="3">
        <v>1962.9166666687699</v>
      </c>
      <c r="D157" s="2">
        <v>28.102499999999999</v>
      </c>
      <c r="E157" s="3">
        <f>STANDARDIZE(D157,H$2,I$2)</f>
        <v>0.95353737892207824</v>
      </c>
    </row>
    <row r="158" spans="1:5" x14ac:dyDescent="0.3">
      <c r="A158">
        <v>1963</v>
      </c>
      <c r="B158">
        <v>1</v>
      </c>
      <c r="C158" s="3">
        <v>1963.0000000021</v>
      </c>
      <c r="D158" s="2">
        <v>27.297771000000001</v>
      </c>
      <c r="E158" s="3">
        <f>STANDARDIZE(D158,H$13,I$13)</f>
        <v>0.66209757204614617</v>
      </c>
    </row>
    <row r="159" spans="1:5" x14ac:dyDescent="0.3">
      <c r="A159">
        <v>1963</v>
      </c>
      <c r="B159">
        <v>2</v>
      </c>
      <c r="C159" s="3">
        <v>1963.0833333354301</v>
      </c>
      <c r="D159" s="2">
        <v>27.197811000000002</v>
      </c>
      <c r="E159" s="3">
        <f>STANDARDIZE(D159,H$12,I$12)</f>
        <v>0.81518961256951972</v>
      </c>
    </row>
    <row r="160" spans="1:5" x14ac:dyDescent="0.3">
      <c r="A160">
        <v>1963</v>
      </c>
      <c r="B160">
        <v>3</v>
      </c>
      <c r="C160" s="3">
        <v>1963.1666666687599</v>
      </c>
      <c r="D160" s="2">
        <v>27.320347000000002</v>
      </c>
      <c r="E160" s="3">
        <f>STANDARDIZE(D160,H$11,I$11)</f>
        <v>0.84326196309742796</v>
      </c>
    </row>
    <row r="161" spans="1:5" x14ac:dyDescent="0.3">
      <c r="A161">
        <v>1963</v>
      </c>
      <c r="B161">
        <v>4</v>
      </c>
      <c r="C161" s="3">
        <v>1963.25000000209</v>
      </c>
      <c r="D161" s="2">
        <v>27.740735999999998</v>
      </c>
      <c r="E161" s="3">
        <f>STANDARDIZE(D161,H$10,I$10)</f>
        <v>0.73424759319204669</v>
      </c>
    </row>
    <row r="162" spans="1:5" x14ac:dyDescent="0.3">
      <c r="A162">
        <v>1963</v>
      </c>
      <c r="B162">
        <v>5</v>
      </c>
      <c r="C162" s="3">
        <v>1963.3333333354201</v>
      </c>
      <c r="D162" s="2">
        <v>28.199759</v>
      </c>
      <c r="E162" s="3">
        <f>STANDARDIZE(D162,H$9,I$9)</f>
        <v>-0.29220362593913618</v>
      </c>
    </row>
    <row r="163" spans="1:5" x14ac:dyDescent="0.3">
      <c r="A163">
        <v>1963</v>
      </c>
      <c r="B163">
        <v>6</v>
      </c>
      <c r="C163" s="3">
        <v>1963.4166666687499</v>
      </c>
      <c r="D163" s="2">
        <v>28.658875999999999</v>
      </c>
      <c r="E163" s="3">
        <f>STANDARDIZE(D163,H$8,I$8)</f>
        <v>2.8247152976824841E-2</v>
      </c>
    </row>
    <row r="164" spans="1:5" x14ac:dyDescent="0.3">
      <c r="A164">
        <v>1963</v>
      </c>
      <c r="B164">
        <v>7</v>
      </c>
      <c r="C164" s="3">
        <v>1963.50000000208</v>
      </c>
      <c r="D164" s="2">
        <v>28.29862</v>
      </c>
      <c r="E164" s="3">
        <f>STANDARDIZE(D164,H$7,I$7)</f>
        <v>-4.0091759150284265E-3</v>
      </c>
    </row>
    <row r="165" spans="1:5" x14ac:dyDescent="0.3">
      <c r="A165">
        <v>1963</v>
      </c>
      <c r="B165">
        <v>8</v>
      </c>
      <c r="C165" s="3">
        <v>1963.5833333354101</v>
      </c>
      <c r="D165" s="2">
        <v>28.598158000000002</v>
      </c>
      <c r="E165" s="3">
        <f>STANDARDIZE(D165,H$6,I$6)</f>
        <v>0.31025814478857922</v>
      </c>
    </row>
    <row r="166" spans="1:5" x14ac:dyDescent="0.3">
      <c r="A166">
        <v>1963</v>
      </c>
      <c r="B166">
        <v>9</v>
      </c>
      <c r="C166" s="3">
        <v>1963.6666666687399</v>
      </c>
      <c r="D166" s="2">
        <v>28.903917</v>
      </c>
      <c r="E166" s="3">
        <f>STANDARDIZE(D166,H$5,I$5)</f>
        <v>0.25182862874862838</v>
      </c>
    </row>
    <row r="167" spans="1:5" x14ac:dyDescent="0.3">
      <c r="A167">
        <v>1963</v>
      </c>
      <c r="B167">
        <v>10</v>
      </c>
      <c r="C167" s="3">
        <v>1963.75000000207</v>
      </c>
      <c r="D167" s="2">
        <v>29.077421000000001</v>
      </c>
      <c r="E167" s="3">
        <f>STANDARDIZE(D167,H$4,I$4)</f>
        <v>0.48159997029566254</v>
      </c>
    </row>
    <row r="168" spans="1:5" x14ac:dyDescent="0.3">
      <c r="A168">
        <v>1963</v>
      </c>
      <c r="B168">
        <v>11</v>
      </c>
      <c r="C168" s="3">
        <v>1963.8333333354001</v>
      </c>
      <c r="D168" s="2">
        <v>28.966681999999999</v>
      </c>
      <c r="E168" s="3">
        <f>STANDARDIZE(D168,H$3,I$3)</f>
        <v>0.91084998070190015</v>
      </c>
    </row>
    <row r="169" spans="1:5" x14ac:dyDescent="0.3">
      <c r="A169">
        <v>1963</v>
      </c>
      <c r="B169">
        <v>12</v>
      </c>
      <c r="C169" s="3">
        <v>1963.9166666687299</v>
      </c>
      <c r="D169" s="2">
        <v>28.201799999999999</v>
      </c>
      <c r="E169" s="3">
        <f>STANDARDIZE(D169,H$2,I$2)</f>
        <v>1.2642620929759973</v>
      </c>
    </row>
    <row r="170" spans="1:5" x14ac:dyDescent="0.3">
      <c r="A170">
        <v>1964</v>
      </c>
      <c r="B170">
        <v>1</v>
      </c>
      <c r="C170" s="3">
        <v>1964.00000000206</v>
      </c>
      <c r="D170" s="2">
        <v>27.265322000000001</v>
      </c>
      <c r="E170" s="3">
        <f>STANDARDIZE(D170,H$13,I$13)</f>
        <v>0.56408003016462738</v>
      </c>
    </row>
    <row r="171" spans="1:5" x14ac:dyDescent="0.3">
      <c r="A171">
        <v>1964</v>
      </c>
      <c r="B171">
        <v>2</v>
      </c>
      <c r="C171" s="3">
        <v>1964.0833333353901</v>
      </c>
      <c r="D171" s="2">
        <v>27.069970000000001</v>
      </c>
      <c r="E171" s="3">
        <f>STANDARDIZE(D171,H$12,I$12)</f>
        <v>0.48736968517747625</v>
      </c>
    </row>
    <row r="172" spans="1:5" x14ac:dyDescent="0.3">
      <c r="A172">
        <v>1964</v>
      </c>
      <c r="B172">
        <v>3</v>
      </c>
      <c r="C172" s="3">
        <v>1964.1666666687199</v>
      </c>
      <c r="D172" s="2">
        <v>26.942474000000001</v>
      </c>
      <c r="E172" s="3">
        <f>STANDARDIZE(D172,H$11,I$11)</f>
        <v>-9.095360960793844E-2</v>
      </c>
    </row>
    <row r="173" spans="1:5" x14ac:dyDescent="0.3">
      <c r="A173">
        <v>1964</v>
      </c>
      <c r="B173">
        <v>4</v>
      </c>
      <c r="C173" s="3">
        <v>1964.25000000205</v>
      </c>
      <c r="D173" s="2">
        <v>27.474352</v>
      </c>
      <c r="E173" s="3">
        <f>STANDARDIZE(D173,H$10,I$10)</f>
        <v>-2.0025932804607731E-2</v>
      </c>
    </row>
    <row r="174" spans="1:5" x14ac:dyDescent="0.3">
      <c r="A174">
        <v>1964</v>
      </c>
      <c r="B174">
        <v>5</v>
      </c>
      <c r="C174" s="3">
        <v>1964.3333333353801</v>
      </c>
      <c r="D174" s="2">
        <v>28.025126</v>
      </c>
      <c r="E174" s="3">
        <f>STANDARDIZE(D174,H$9,I$9)</f>
        <v>-0.72151990062583971</v>
      </c>
    </row>
    <row r="175" spans="1:5" x14ac:dyDescent="0.3">
      <c r="A175">
        <v>1964</v>
      </c>
      <c r="B175">
        <v>6</v>
      </c>
      <c r="C175" s="3">
        <v>1964.4166666687099</v>
      </c>
      <c r="D175" s="2">
        <v>28.258913</v>
      </c>
      <c r="E175" s="3">
        <f>STANDARDIZE(D175,H$8,I$8)</f>
        <v>-1.0436380348704624</v>
      </c>
    </row>
    <row r="176" spans="1:5" x14ac:dyDescent="0.3">
      <c r="A176">
        <v>1964</v>
      </c>
      <c r="B176">
        <v>7</v>
      </c>
      <c r="C176" s="3">
        <v>1964.50000000204</v>
      </c>
      <c r="D176" s="2">
        <v>28.314934000000001</v>
      </c>
      <c r="E176" s="3">
        <f>STANDARDIZE(D176,H$7,I$7)</f>
        <v>4.3204306688262938E-2</v>
      </c>
    </row>
    <row r="177" spans="1:5" x14ac:dyDescent="0.3">
      <c r="A177">
        <v>1964</v>
      </c>
      <c r="B177">
        <v>8</v>
      </c>
      <c r="C177" s="3">
        <v>1964.5833333353701</v>
      </c>
      <c r="D177" s="2">
        <v>28.298683</v>
      </c>
      <c r="E177" s="3">
        <f>STANDARDIZE(D177,H$6,I$6)</f>
        <v>-0.57510054472908656</v>
      </c>
    </row>
    <row r="178" spans="1:5" x14ac:dyDescent="0.3">
      <c r="A178">
        <v>1964</v>
      </c>
      <c r="B178">
        <v>9</v>
      </c>
      <c r="C178" s="3">
        <v>1964.6666666686999</v>
      </c>
      <c r="D178" s="2">
        <v>28.600950000000001</v>
      </c>
      <c r="E178" s="3">
        <f>STANDARDIZE(D178,H$5,I$5)</f>
        <v>-0.6437069493211266</v>
      </c>
    </row>
    <row r="179" spans="1:5" x14ac:dyDescent="0.3">
      <c r="A179">
        <v>1964</v>
      </c>
      <c r="B179">
        <v>10</v>
      </c>
      <c r="C179" s="3">
        <v>1964.75000000203</v>
      </c>
      <c r="D179" s="2">
        <v>28.862738</v>
      </c>
      <c r="E179" s="3">
        <f>STANDARDIZE(D179,H$4,I$4)</f>
        <v>-0.19845515940363498</v>
      </c>
    </row>
    <row r="180" spans="1:5" x14ac:dyDescent="0.3">
      <c r="A180">
        <v>1964</v>
      </c>
      <c r="B180">
        <v>11</v>
      </c>
      <c r="C180" s="3">
        <v>1964.8333333353601</v>
      </c>
      <c r="D180" s="2">
        <v>28.222770000000001</v>
      </c>
      <c r="E180" s="3">
        <f>STANDARDIZE(D180,H$3,I$3)</f>
        <v>-1.4473883650456381</v>
      </c>
    </row>
    <row r="181" spans="1:5" x14ac:dyDescent="0.3">
      <c r="A181">
        <v>1964</v>
      </c>
      <c r="B181">
        <v>12</v>
      </c>
      <c r="C181" s="3">
        <v>1964.9166666686899</v>
      </c>
      <c r="D181" s="2">
        <v>27.297961999999998</v>
      </c>
      <c r="E181" s="3">
        <f>STANDARDIZE(D181,H$2,I$2)</f>
        <v>-1.5639836683640609</v>
      </c>
    </row>
    <row r="182" spans="1:5" x14ac:dyDescent="0.3">
      <c r="A182">
        <v>1965</v>
      </c>
      <c r="B182">
        <v>1</v>
      </c>
      <c r="C182" s="3">
        <v>1965.00000000202</v>
      </c>
      <c r="D182" s="2">
        <v>26.373477999999999</v>
      </c>
      <c r="E182" s="3">
        <f>STANDARDIZE(D182,H$13,I$13)</f>
        <v>-2.1298814670088504</v>
      </c>
    </row>
    <row r="183" spans="1:5" x14ac:dyDescent="0.3">
      <c r="A183">
        <v>1965</v>
      </c>
      <c r="B183">
        <v>2</v>
      </c>
      <c r="C183" s="3">
        <v>1965.0833333353501</v>
      </c>
      <c r="D183" s="2">
        <v>26.094754999999999</v>
      </c>
      <c r="E183" s="3">
        <f>STANDARDIZE(D183,H$12,I$12)</f>
        <v>-2.0133531697097049</v>
      </c>
    </row>
    <row r="184" spans="1:5" x14ac:dyDescent="0.3">
      <c r="A184">
        <v>1965</v>
      </c>
      <c r="B184">
        <v>3</v>
      </c>
      <c r="C184" s="3">
        <v>1965.1666666686799</v>
      </c>
      <c r="D184" s="2">
        <v>26.352934000000001</v>
      </c>
      <c r="E184" s="3">
        <f>STANDARDIZE(D184,H$11,I$11)</f>
        <v>-1.5484735931281153</v>
      </c>
    </row>
    <row r="185" spans="1:5" x14ac:dyDescent="0.3">
      <c r="A185">
        <v>1965</v>
      </c>
      <c r="B185">
        <v>4</v>
      </c>
      <c r="C185" s="3">
        <v>1965.25000000201</v>
      </c>
      <c r="D185" s="2">
        <v>26.975704</v>
      </c>
      <c r="E185" s="3">
        <f>STANDARDIZE(D185,H$10,I$10)</f>
        <v>-1.4319612787382268</v>
      </c>
    </row>
    <row r="186" spans="1:5" x14ac:dyDescent="0.3">
      <c r="A186">
        <v>1965</v>
      </c>
      <c r="B186">
        <v>5</v>
      </c>
      <c r="C186" s="3">
        <v>1965.3333333353401</v>
      </c>
      <c r="D186" s="2">
        <v>27.800080000000001</v>
      </c>
      <c r="E186" s="3">
        <f>STANDARDIZE(D186,H$9,I$9)</f>
        <v>-1.2747710636542675</v>
      </c>
    </row>
    <row r="187" spans="1:5" x14ac:dyDescent="0.3">
      <c r="A187">
        <v>1965</v>
      </c>
      <c r="B187">
        <v>6</v>
      </c>
      <c r="C187" s="3">
        <v>1965.4166666686699</v>
      </c>
      <c r="D187" s="2">
        <v>28.262810000000002</v>
      </c>
      <c r="E187" s="3">
        <f>STANDARDIZE(D187,H$8,I$8)</f>
        <v>-1.0331942273756616</v>
      </c>
    </row>
    <row r="188" spans="1:5" x14ac:dyDescent="0.3">
      <c r="A188">
        <v>1965</v>
      </c>
      <c r="B188">
        <v>7</v>
      </c>
      <c r="C188" s="3">
        <v>1965.500000002</v>
      </c>
      <c r="D188" s="2">
        <v>28.151888</v>
      </c>
      <c r="E188" s="3">
        <f>STANDARDIZE(D188,H$7,I$7)</f>
        <v>-0.42865847892750925</v>
      </c>
    </row>
    <row r="189" spans="1:5" x14ac:dyDescent="0.3">
      <c r="A189">
        <v>1965</v>
      </c>
      <c r="B189">
        <v>8</v>
      </c>
      <c r="C189" s="3">
        <v>1965.5833333353301</v>
      </c>
      <c r="D189" s="2">
        <v>28.099143999999999</v>
      </c>
      <c r="E189" s="3">
        <f>STANDARDIZE(D189,H$6,I$6)</f>
        <v>-1.1650115140843456</v>
      </c>
    </row>
    <row r="190" spans="1:5" x14ac:dyDescent="0.3">
      <c r="A190">
        <v>1965</v>
      </c>
      <c r="B190">
        <v>9</v>
      </c>
      <c r="C190" s="3">
        <v>1965.6666666686599</v>
      </c>
      <c r="D190" s="2">
        <v>28.652636999999999</v>
      </c>
      <c r="E190" s="3">
        <f>STANDARDIZE(D190,H$5,I$5)</f>
        <v>-0.49092612690914961</v>
      </c>
    </row>
    <row r="191" spans="1:5" x14ac:dyDescent="0.3">
      <c r="A191">
        <v>1965</v>
      </c>
      <c r="B191">
        <v>10</v>
      </c>
      <c r="C191" s="3">
        <v>1965.75000000199</v>
      </c>
      <c r="D191" s="2">
        <v>28.851461</v>
      </c>
      <c r="E191" s="3">
        <f>STANDARDIZE(D191,H$4,I$4)</f>
        <v>-0.23417751141855367</v>
      </c>
    </row>
    <row r="192" spans="1:5" x14ac:dyDescent="0.3">
      <c r="A192">
        <v>1965</v>
      </c>
      <c r="B192">
        <v>11</v>
      </c>
      <c r="C192" s="3">
        <v>1965.83333333532</v>
      </c>
      <c r="D192" s="2">
        <v>28.399426999999999</v>
      </c>
      <c r="E192" s="3">
        <f>STANDARDIZE(D192,H$3,I$3)</f>
        <v>-0.88737681603887264</v>
      </c>
    </row>
    <row r="193" spans="1:5" x14ac:dyDescent="0.3">
      <c r="A193">
        <v>1965</v>
      </c>
      <c r="B193">
        <v>12</v>
      </c>
      <c r="C193" s="3">
        <v>1965.9166666686499</v>
      </c>
      <c r="D193" s="2">
        <v>27.727705</v>
      </c>
      <c r="E193" s="3">
        <f>STANDARDIZE(D193,H$2,I$2)</f>
        <v>-0.21925284468153614</v>
      </c>
    </row>
    <row r="194" spans="1:5" x14ac:dyDescent="0.3">
      <c r="A194">
        <v>1966</v>
      </c>
      <c r="B194">
        <v>1</v>
      </c>
      <c r="C194" s="3">
        <v>1966.00000000198</v>
      </c>
      <c r="D194" s="2">
        <v>27.388726999999999</v>
      </c>
      <c r="E194" s="3">
        <f>STANDARDIZE(D194,H$13,I$13)</f>
        <v>0.9368451309655379</v>
      </c>
    </row>
    <row r="195" spans="1:5" x14ac:dyDescent="0.3">
      <c r="A195">
        <v>1966</v>
      </c>
      <c r="B195">
        <v>2</v>
      </c>
      <c r="C195" s="3">
        <v>1966.08333333531</v>
      </c>
      <c r="D195" s="2">
        <v>27.197706</v>
      </c>
      <c r="E195" s="3">
        <f>STANDARDIZE(D195,H$12,I$12)</f>
        <v>0.81492036332728435</v>
      </c>
    </row>
    <row r="196" spans="1:5" x14ac:dyDescent="0.3">
      <c r="A196">
        <v>1966</v>
      </c>
      <c r="B196">
        <v>3</v>
      </c>
      <c r="C196" s="3">
        <v>1966.1666666686399</v>
      </c>
      <c r="D196" s="2">
        <v>26.789856</v>
      </c>
      <c r="E196" s="3">
        <f>STANDARDIZE(D196,H$11,I$11)</f>
        <v>-0.46827115353181648</v>
      </c>
    </row>
    <row r="197" spans="1:5" x14ac:dyDescent="0.3">
      <c r="A197">
        <v>1966</v>
      </c>
      <c r="B197">
        <v>4</v>
      </c>
      <c r="C197" s="3">
        <v>1966.25000000197</v>
      </c>
      <c r="D197" s="2">
        <v>27.526423999999999</v>
      </c>
      <c r="E197" s="3">
        <f>STANDARDIZE(D197,H$10,I$10)</f>
        <v>0.12741734849493447</v>
      </c>
    </row>
    <row r="198" spans="1:5" x14ac:dyDescent="0.3">
      <c r="A198">
        <v>1966</v>
      </c>
      <c r="B198">
        <v>5</v>
      </c>
      <c r="C198" s="3">
        <v>1966.33333333531</v>
      </c>
      <c r="D198" s="2">
        <v>28.140716999999999</v>
      </c>
      <c r="E198" s="3">
        <f>STANDARDIZE(D198,H$9,I$9)</f>
        <v>-0.43735197413250759</v>
      </c>
    </row>
    <row r="199" spans="1:5" x14ac:dyDescent="0.3">
      <c r="A199">
        <v>1966</v>
      </c>
      <c r="B199">
        <v>6</v>
      </c>
      <c r="C199" s="3">
        <v>1966.4166666686399</v>
      </c>
      <c r="D199" s="2">
        <v>28.637854000000001</v>
      </c>
      <c r="E199" s="3">
        <f>STANDARDIZE(D199,H$8,I$8)</f>
        <v>-2.8090984348188054E-2</v>
      </c>
    </row>
    <row r="200" spans="1:5" x14ac:dyDescent="0.3">
      <c r="A200">
        <v>1966</v>
      </c>
      <c r="B200">
        <v>7</v>
      </c>
      <c r="C200" s="3">
        <v>1966.50000000197</v>
      </c>
      <c r="D200" s="2">
        <v>28.414401999999999</v>
      </c>
      <c r="E200" s="3">
        <f>STANDARDIZE(D200,H$7,I$7)</f>
        <v>0.33106937274096188</v>
      </c>
    </row>
    <row r="201" spans="1:5" x14ac:dyDescent="0.3">
      <c r="A201">
        <v>1966</v>
      </c>
      <c r="B201">
        <v>8</v>
      </c>
      <c r="C201" s="3">
        <v>1966.5833333353</v>
      </c>
      <c r="D201" s="2">
        <v>28.410982000000001</v>
      </c>
      <c r="E201" s="3">
        <f>STANDARDIZE(D201,H$6,I$6)</f>
        <v>-0.24310323118323421</v>
      </c>
    </row>
    <row r="202" spans="1:5" x14ac:dyDescent="0.3">
      <c r="A202">
        <v>1966</v>
      </c>
      <c r="B202">
        <v>9</v>
      </c>
      <c r="C202" s="3">
        <v>1966.6666666686299</v>
      </c>
      <c r="D202" s="2">
        <v>28.701609999999999</v>
      </c>
      <c r="E202" s="3">
        <f>STANDARDIZE(D202,H$5,I$5)</f>
        <v>-0.34616757609400994</v>
      </c>
    </row>
    <row r="203" spans="1:5" x14ac:dyDescent="0.3">
      <c r="A203">
        <v>1966</v>
      </c>
      <c r="B203">
        <v>10</v>
      </c>
      <c r="C203" s="3">
        <v>1966.75000000196</v>
      </c>
      <c r="D203" s="2">
        <v>29.081271999999998</v>
      </c>
      <c r="E203" s="3">
        <f>STANDARDIZE(D203,H$4,I$4)</f>
        <v>0.493798850991713</v>
      </c>
    </row>
    <row r="204" spans="1:5" x14ac:dyDescent="0.3">
      <c r="A204">
        <v>1966</v>
      </c>
      <c r="B204">
        <v>11</v>
      </c>
      <c r="C204" s="3">
        <v>1966.83333333529</v>
      </c>
      <c r="D204" s="2">
        <v>28.793254999999998</v>
      </c>
      <c r="E204" s="3">
        <f>STANDARDIZE(D204,H$3,I$3)</f>
        <v>0.36107769367338088</v>
      </c>
    </row>
    <row r="205" spans="1:5" x14ac:dyDescent="0.3">
      <c r="A205">
        <v>1966</v>
      </c>
      <c r="B205">
        <v>12</v>
      </c>
      <c r="C205" s="3">
        <v>1966.9166666686201</v>
      </c>
      <c r="D205" s="2">
        <v>27.839780000000001</v>
      </c>
      <c r="E205" s="3">
        <f>STANDARDIZE(D205,H$2,I$2)</f>
        <v>0.13144677593874007</v>
      </c>
    </row>
    <row r="206" spans="1:5" x14ac:dyDescent="0.3">
      <c r="A206">
        <v>1967</v>
      </c>
      <c r="B206">
        <v>1</v>
      </c>
      <c r="C206" s="3">
        <v>1967.00000000195</v>
      </c>
      <c r="D206" s="2">
        <v>27.032845999999999</v>
      </c>
      <c r="E206" s="3">
        <f>STANDARDIZE(D206,H$13,I$13)</f>
        <v>-0.1381519667057948</v>
      </c>
    </row>
    <row r="207" spans="1:5" x14ac:dyDescent="0.3">
      <c r="A207">
        <v>1967</v>
      </c>
      <c r="B207">
        <v>2</v>
      </c>
      <c r="C207" s="3">
        <v>1967.08333333528</v>
      </c>
      <c r="D207" s="2">
        <v>26.709381</v>
      </c>
      <c r="E207" s="3">
        <f>STANDARDIZE(D207,H$12,I$12)</f>
        <v>-0.43728093393822032</v>
      </c>
    </row>
    <row r="208" spans="1:5" x14ac:dyDescent="0.3">
      <c r="A208">
        <v>1967</v>
      </c>
      <c r="B208">
        <v>3</v>
      </c>
      <c r="C208" s="3">
        <v>1967.1666666686101</v>
      </c>
      <c r="D208" s="2">
        <v>26.720590000000001</v>
      </c>
      <c r="E208" s="3">
        <f>STANDARDIZE(D208,H$11,I$11)</f>
        <v>-0.63951751370840682</v>
      </c>
    </row>
    <row r="209" spans="1:5" x14ac:dyDescent="0.3">
      <c r="A209">
        <v>1967</v>
      </c>
      <c r="B209">
        <v>4</v>
      </c>
      <c r="C209" s="3">
        <v>1967.25000000194</v>
      </c>
      <c r="D209" s="2">
        <v>27.171565999999999</v>
      </c>
      <c r="E209" s="3">
        <f>STANDARDIZE(D209,H$10,I$10)</f>
        <v>-0.87737270979731385</v>
      </c>
    </row>
    <row r="210" spans="1:5" x14ac:dyDescent="0.3">
      <c r="A210">
        <v>1967</v>
      </c>
      <c r="B210">
        <v>5</v>
      </c>
      <c r="C210" s="3">
        <v>1967.33333333527</v>
      </c>
      <c r="D210" s="2">
        <v>27.821249999999999</v>
      </c>
      <c r="E210" s="3">
        <f>STANDARDIZE(D210,H$9,I$9)</f>
        <v>-1.2227269165851762</v>
      </c>
    </row>
    <row r="211" spans="1:5" x14ac:dyDescent="0.3">
      <c r="A211">
        <v>1967</v>
      </c>
      <c r="B211">
        <v>6</v>
      </c>
      <c r="C211" s="3">
        <v>1967.4166666686001</v>
      </c>
      <c r="D211" s="2">
        <v>28.285274999999999</v>
      </c>
      <c r="E211" s="3">
        <f>STANDARDIZE(D211,H$8,I$8)</f>
        <v>-0.97298890652101755</v>
      </c>
    </row>
    <row r="212" spans="1:5" x14ac:dyDescent="0.3">
      <c r="A212">
        <v>1967</v>
      </c>
      <c r="B212">
        <v>7</v>
      </c>
      <c r="C212" s="3">
        <v>1967.5000000019299</v>
      </c>
      <c r="D212" s="2">
        <v>28.104074000000001</v>
      </c>
      <c r="E212" s="3">
        <f>STANDARDIZE(D212,H$7,I$7)</f>
        <v>-0.56703444173206641</v>
      </c>
    </row>
    <row r="213" spans="1:5" x14ac:dyDescent="0.3">
      <c r="A213">
        <v>1967</v>
      </c>
      <c r="B213">
        <v>8</v>
      </c>
      <c r="C213" s="3">
        <v>1967.58333333526</v>
      </c>
      <c r="D213" s="2">
        <v>28.132853000000001</v>
      </c>
      <c r="E213" s="3">
        <f>STANDARDIZE(D213,H$6,I$6)</f>
        <v>-1.0653552620935201</v>
      </c>
    </row>
    <row r="214" spans="1:5" x14ac:dyDescent="0.3">
      <c r="A214">
        <v>1967</v>
      </c>
      <c r="B214">
        <v>9</v>
      </c>
      <c r="C214" s="3">
        <v>1967.6666666685901</v>
      </c>
      <c r="D214" s="2">
        <v>28.632576</v>
      </c>
      <c r="E214" s="3">
        <f>STANDARDIZE(D214,H$5,I$5)</f>
        <v>-0.55022413372723844</v>
      </c>
    </row>
    <row r="215" spans="1:5" x14ac:dyDescent="0.3">
      <c r="A215">
        <v>1967</v>
      </c>
      <c r="B215">
        <v>10</v>
      </c>
      <c r="C215" s="3">
        <v>1967.7500000019199</v>
      </c>
      <c r="D215" s="2">
        <v>28.769401999999999</v>
      </c>
      <c r="E215" s="3">
        <f>STANDARDIZE(D215,H$4,I$4)</f>
        <v>-0.49411725461198353</v>
      </c>
    </row>
    <row r="216" spans="1:5" x14ac:dyDescent="0.3">
      <c r="A216">
        <v>1967</v>
      </c>
      <c r="B216">
        <v>11</v>
      </c>
      <c r="C216" s="3">
        <v>1967.83333333525</v>
      </c>
      <c r="D216" s="2">
        <v>28.784164000000001</v>
      </c>
      <c r="E216" s="3">
        <f>STANDARDIZE(D216,H$3,I$3)</f>
        <v>0.33225876777732583</v>
      </c>
    </row>
    <row r="217" spans="1:5" x14ac:dyDescent="0.3">
      <c r="A217">
        <v>1967</v>
      </c>
      <c r="B217">
        <v>12</v>
      </c>
      <c r="C217" s="3">
        <v>1967.9166666685801</v>
      </c>
      <c r="D217" s="2">
        <v>27.624846999999999</v>
      </c>
      <c r="E217" s="3">
        <f>STANDARDIZE(D217,H$2,I$2)</f>
        <v>-0.54111107870125985</v>
      </c>
    </row>
    <row r="218" spans="1:5" x14ac:dyDescent="0.3">
      <c r="A218">
        <v>1968</v>
      </c>
      <c r="B218">
        <v>1</v>
      </c>
      <c r="C218" s="3">
        <v>1968.0000000019099</v>
      </c>
      <c r="D218" s="2">
        <v>26.628746</v>
      </c>
      <c r="E218" s="3">
        <f>STANDARDIZE(D218,H$13,I$13)</f>
        <v>-1.3588024851908644</v>
      </c>
    </row>
    <row r="219" spans="1:5" x14ac:dyDescent="0.3">
      <c r="A219">
        <v>1968</v>
      </c>
      <c r="B219">
        <v>2</v>
      </c>
      <c r="C219" s="3">
        <v>1968.08333333524</v>
      </c>
      <c r="D219" s="2">
        <v>26.416347999999999</v>
      </c>
      <c r="E219" s="3">
        <f>STANDARDIZE(D219,H$12,I$12)</f>
        <v>-1.1886991548804298</v>
      </c>
    </row>
    <row r="220" spans="1:5" x14ac:dyDescent="0.3">
      <c r="A220">
        <v>1968</v>
      </c>
      <c r="B220">
        <v>3</v>
      </c>
      <c r="C220" s="3">
        <v>1968.1666666685701</v>
      </c>
      <c r="D220" s="2">
        <v>26.664639000000001</v>
      </c>
      <c r="E220" s="3">
        <f>STANDARDIZE(D220,H$11,I$11)</f>
        <v>-0.77784519393016949</v>
      </c>
    </row>
    <row r="221" spans="1:5" x14ac:dyDescent="0.3">
      <c r="A221">
        <v>1968</v>
      </c>
      <c r="B221">
        <v>4</v>
      </c>
      <c r="C221" s="3">
        <v>1968.2500000018999</v>
      </c>
      <c r="D221" s="2">
        <v>27.068860000000001</v>
      </c>
      <c r="E221" s="3">
        <f>STANDARDIZE(D221,H$10,I$10)</f>
        <v>-1.1681875363672696</v>
      </c>
    </row>
    <row r="222" spans="1:5" x14ac:dyDescent="0.3">
      <c r="A222">
        <v>1968</v>
      </c>
      <c r="B222">
        <v>5</v>
      </c>
      <c r="C222" s="3">
        <v>1968.33333333523</v>
      </c>
      <c r="D222" s="2">
        <v>27.917501000000001</v>
      </c>
      <c r="E222" s="3">
        <f>STANDARDIZE(D222,H$9,I$9)</f>
        <v>-0.98610428080115553</v>
      </c>
    </row>
    <row r="223" spans="1:5" x14ac:dyDescent="0.3">
      <c r="A223">
        <v>1968</v>
      </c>
      <c r="B223">
        <v>6</v>
      </c>
      <c r="C223" s="3">
        <v>1968.4166666685601</v>
      </c>
      <c r="D223" s="2">
        <v>28.377869</v>
      </c>
      <c r="E223" s="3">
        <f>STANDARDIZE(D223,H$8,I$8)</f>
        <v>-0.72484061009476364</v>
      </c>
    </row>
    <row r="224" spans="1:5" x14ac:dyDescent="0.3">
      <c r="A224">
        <v>1968</v>
      </c>
      <c r="B224">
        <v>7</v>
      </c>
      <c r="C224" s="3">
        <v>1968.5000000018899</v>
      </c>
      <c r="D224" s="2">
        <v>28.113530000000001</v>
      </c>
      <c r="E224" s="3">
        <f>STANDARDIZE(D224,H$7,I$7)</f>
        <v>-0.53966833338974118</v>
      </c>
    </row>
    <row r="225" spans="1:5" x14ac:dyDescent="0.3">
      <c r="A225">
        <v>1968</v>
      </c>
      <c r="B225">
        <v>8</v>
      </c>
      <c r="C225" s="3">
        <v>1968.58333333522</v>
      </c>
      <c r="D225" s="2">
        <v>28.172905</v>
      </c>
      <c r="E225" s="3">
        <f>STANDARDIZE(D225,H$6,I$6)</f>
        <v>-0.94694675977258913</v>
      </c>
    </row>
    <row r="226" spans="1:5" x14ac:dyDescent="0.3">
      <c r="A226">
        <v>1968</v>
      </c>
      <c r="B226">
        <v>9</v>
      </c>
      <c r="C226" s="3">
        <v>1968.6666666685501</v>
      </c>
      <c r="D226" s="2">
        <v>28.667757000000002</v>
      </c>
      <c r="E226" s="3">
        <f>STANDARDIZE(D226,H$5,I$5)</f>
        <v>-0.44623314734234015</v>
      </c>
    </row>
    <row r="227" spans="1:5" x14ac:dyDescent="0.3">
      <c r="A227">
        <v>1968</v>
      </c>
      <c r="B227">
        <v>10</v>
      </c>
      <c r="C227" s="3">
        <v>1968.7500000018799</v>
      </c>
      <c r="D227" s="2">
        <v>28.789324000000001</v>
      </c>
      <c r="E227" s="3">
        <f>STANDARDIZE(D227,H$4,I$4)</f>
        <v>-0.43100998345464875</v>
      </c>
    </row>
    <row r="228" spans="1:5" x14ac:dyDescent="0.3">
      <c r="A228">
        <v>1968</v>
      </c>
      <c r="B228">
        <v>11</v>
      </c>
      <c r="C228" s="3">
        <v>1968.83333333521</v>
      </c>
      <c r="D228" s="2">
        <v>28.499127999999999</v>
      </c>
      <c r="E228" s="3">
        <f>STANDARDIZE(D228,H$3,I$3)</f>
        <v>-0.57131964622661668</v>
      </c>
    </row>
    <row r="229" spans="1:5" x14ac:dyDescent="0.3">
      <c r="A229">
        <v>1968</v>
      </c>
      <c r="B229">
        <v>12</v>
      </c>
      <c r="C229" s="3">
        <v>1968.9166666685401</v>
      </c>
      <c r="D229" s="2">
        <v>27.947528999999999</v>
      </c>
      <c r="E229" s="3">
        <f>STANDARDIZE(D229,H$2,I$2)</f>
        <v>0.46860968847242979</v>
      </c>
    </row>
    <row r="230" spans="1:5" x14ac:dyDescent="0.3">
      <c r="A230">
        <v>1969</v>
      </c>
      <c r="B230">
        <v>1</v>
      </c>
      <c r="C230" s="3">
        <v>1969.0000000018699</v>
      </c>
      <c r="D230" s="2">
        <v>26.954985000000001</v>
      </c>
      <c r="E230" s="3">
        <f>STANDARDIZE(D230,H$13,I$13)</f>
        <v>-0.37334392419098261</v>
      </c>
    </row>
    <row r="231" spans="1:5" x14ac:dyDescent="0.3">
      <c r="A231">
        <v>1969</v>
      </c>
      <c r="B231">
        <v>2</v>
      </c>
      <c r="C231" s="3">
        <v>1969.0833333352</v>
      </c>
      <c r="D231" s="2">
        <v>27.026426000000001</v>
      </c>
      <c r="E231" s="3">
        <f>STANDARDIZE(D231,H$12,I$12)</f>
        <v>0.37571074228466911</v>
      </c>
    </row>
    <row r="232" spans="1:5" x14ac:dyDescent="0.3">
      <c r="A232">
        <v>1969</v>
      </c>
      <c r="B232">
        <v>3</v>
      </c>
      <c r="C232" s="3">
        <v>1969.1666666685301</v>
      </c>
      <c r="D232" s="2">
        <v>27.636641999999998</v>
      </c>
      <c r="E232" s="3">
        <f>STANDARDIZE(D232,H$11,I$11)</f>
        <v>1.6252382211757768</v>
      </c>
    </row>
    <row r="233" spans="1:5" x14ac:dyDescent="0.3">
      <c r="A233">
        <v>1969</v>
      </c>
      <c r="B233">
        <v>4</v>
      </c>
      <c r="C233" s="3">
        <v>1969.2500000018599</v>
      </c>
      <c r="D233" s="2">
        <v>27.785419999999998</v>
      </c>
      <c r="E233" s="3">
        <f>STANDARDIZE(D233,H$10,I$10)</f>
        <v>0.86077155197198396</v>
      </c>
    </row>
    <row r="234" spans="1:5" x14ac:dyDescent="0.3">
      <c r="A234">
        <v>1969</v>
      </c>
      <c r="B234">
        <v>5</v>
      </c>
      <c r="C234" s="3">
        <v>1969.33333333519</v>
      </c>
      <c r="D234" s="2">
        <v>29.221077000000001</v>
      </c>
      <c r="E234" s="3">
        <f>STANDARDIZE(D234,H$9,I$9)</f>
        <v>2.2185958164942812</v>
      </c>
    </row>
    <row r="235" spans="1:5" x14ac:dyDescent="0.3">
      <c r="A235">
        <v>1969</v>
      </c>
      <c r="B235">
        <v>6</v>
      </c>
      <c r="C235" s="3">
        <v>1969.4166666685201</v>
      </c>
      <c r="D235" s="2">
        <v>29.614554999999999</v>
      </c>
      <c r="E235" s="3">
        <f>STANDARDIZE(D235,H$8,I$8)</f>
        <v>2.5894294734332384</v>
      </c>
    </row>
    <row r="236" spans="1:5" x14ac:dyDescent="0.3">
      <c r="A236">
        <v>1969</v>
      </c>
      <c r="B236">
        <v>7</v>
      </c>
      <c r="C236" s="3">
        <v>1969.5000000018499</v>
      </c>
      <c r="D236" s="2">
        <v>28.970848</v>
      </c>
      <c r="E236" s="3">
        <f>STANDARDIZE(D236,H$7,I$7)</f>
        <v>1.9414502444259607</v>
      </c>
    </row>
    <row r="237" spans="1:5" x14ac:dyDescent="0.3">
      <c r="A237">
        <v>1969</v>
      </c>
      <c r="B237">
        <v>8</v>
      </c>
      <c r="C237" s="3">
        <v>1969.58333333518</v>
      </c>
      <c r="D237" s="2">
        <v>28.812961999999999</v>
      </c>
      <c r="E237" s="3">
        <f>STANDARDIZE(D237,H$6,I$6)</f>
        <v>0.94529809117191554</v>
      </c>
    </row>
    <row r="238" spans="1:5" x14ac:dyDescent="0.3">
      <c r="A238">
        <v>1969</v>
      </c>
      <c r="B238">
        <v>9</v>
      </c>
      <c r="C238" s="3">
        <v>1969.6666666685101</v>
      </c>
      <c r="D238" s="2">
        <v>29.296275999999999</v>
      </c>
      <c r="E238" s="3">
        <f>STANDARDIZE(D238,H$5,I$5)</f>
        <v>1.4115966690826298</v>
      </c>
    </row>
    <row r="239" spans="1:5" x14ac:dyDescent="0.3">
      <c r="A239">
        <v>1969</v>
      </c>
      <c r="B239">
        <v>10</v>
      </c>
      <c r="C239" s="3">
        <v>1969.7500000018399</v>
      </c>
      <c r="D239" s="2">
        <v>29.149667999999998</v>
      </c>
      <c r="E239" s="3">
        <f>STANDARDIZE(D239,H$4,I$4)</f>
        <v>0.71045806784126753</v>
      </c>
    </row>
    <row r="240" spans="1:5" x14ac:dyDescent="0.3">
      <c r="A240">
        <v>1969</v>
      </c>
      <c r="B240">
        <v>11</v>
      </c>
      <c r="C240" s="3">
        <v>1969.83333333517</v>
      </c>
      <c r="D240" s="2">
        <v>29.107073</v>
      </c>
      <c r="E240" s="3">
        <f>STANDARDIZE(D240,H$3,I$3)</f>
        <v>1.3558964910389373</v>
      </c>
    </row>
    <row r="241" spans="1:5" x14ac:dyDescent="0.3">
      <c r="A241">
        <v>1969</v>
      </c>
      <c r="B241">
        <v>12</v>
      </c>
      <c r="C241" s="3">
        <v>1969.9166666685001</v>
      </c>
      <c r="D241" s="2">
        <v>28.121445000000001</v>
      </c>
      <c r="E241" s="3">
        <f>STANDARDIZE(D241,H$2,I$2)</f>
        <v>1.0128191483858466</v>
      </c>
    </row>
    <row r="242" spans="1:5" x14ac:dyDescent="0.3">
      <c r="A242">
        <v>1970</v>
      </c>
      <c r="B242">
        <v>1</v>
      </c>
      <c r="C242" s="3">
        <v>1970.0000000018299</v>
      </c>
      <c r="D242" s="2">
        <v>27.345226</v>
      </c>
      <c r="E242" s="3">
        <f>STANDARDIZE(D242,H$13,I$13)</f>
        <v>0.80544320519315982</v>
      </c>
    </row>
    <row r="243" spans="1:5" x14ac:dyDescent="0.3">
      <c r="A243">
        <v>1970</v>
      </c>
      <c r="B243">
        <v>2</v>
      </c>
      <c r="C243" s="3">
        <v>1970.08333333516</v>
      </c>
      <c r="D243" s="2">
        <v>27.354984000000002</v>
      </c>
      <c r="E243" s="3">
        <f>STANDARDIZE(D243,H$12,I$12)</f>
        <v>1.2182249568486607</v>
      </c>
    </row>
    <row r="244" spans="1:5" x14ac:dyDescent="0.3">
      <c r="A244">
        <v>1970</v>
      </c>
      <c r="B244">
        <v>3</v>
      </c>
      <c r="C244" s="3">
        <v>1970.1666666684901</v>
      </c>
      <c r="D244" s="2">
        <v>27.160647999999998</v>
      </c>
      <c r="E244" s="3">
        <f>STANDARDIZE(D244,H$11,I$11)</f>
        <v>0.44843805997262925</v>
      </c>
    </row>
    <row r="245" spans="1:5" x14ac:dyDescent="0.3">
      <c r="A245">
        <v>1970</v>
      </c>
      <c r="B245">
        <v>4</v>
      </c>
      <c r="C245" s="3">
        <v>1970.2500000018199</v>
      </c>
      <c r="D245" s="2">
        <v>27.628278999999999</v>
      </c>
      <c r="E245" s="3">
        <f>STANDARDIZE(D245,H$10,I$10)</f>
        <v>0.41582254546768804</v>
      </c>
    </row>
    <row r="246" spans="1:5" x14ac:dyDescent="0.3">
      <c r="A246">
        <v>1970</v>
      </c>
      <c r="B246">
        <v>5</v>
      </c>
      <c r="C246" s="3">
        <v>1970.33333333515</v>
      </c>
      <c r="D246" s="2">
        <v>28.204163000000001</v>
      </c>
      <c r="E246" s="3">
        <f>STANDARDIZE(D246,H$9,I$9)</f>
        <v>-0.28137686997823153</v>
      </c>
    </row>
    <row r="247" spans="1:5" x14ac:dyDescent="0.3">
      <c r="A247">
        <v>1970</v>
      </c>
      <c r="B247">
        <v>6</v>
      </c>
      <c r="C247" s="3">
        <v>1970.41666666848</v>
      </c>
      <c r="D247" s="2">
        <v>28.517997999999999</v>
      </c>
      <c r="E247" s="3">
        <f>STANDARDIZE(D247,H$8,I$8)</f>
        <v>-0.34930037390328922</v>
      </c>
    </row>
    <row r="248" spans="1:5" x14ac:dyDescent="0.3">
      <c r="A248">
        <v>1970</v>
      </c>
      <c r="B248">
        <v>7</v>
      </c>
      <c r="C248" s="3">
        <v>1970.5000000018099</v>
      </c>
      <c r="D248" s="2">
        <v>28.321027999999998</v>
      </c>
      <c r="E248" s="3">
        <f>STANDARDIZE(D248,H$7,I$7)</f>
        <v>6.0840629048463463E-2</v>
      </c>
    </row>
    <row r="249" spans="1:5" x14ac:dyDescent="0.3">
      <c r="A249">
        <v>1970</v>
      </c>
      <c r="B249">
        <v>8</v>
      </c>
      <c r="C249" s="3">
        <v>1970.58333333514</v>
      </c>
      <c r="D249" s="2">
        <v>28.439274000000001</v>
      </c>
      <c r="E249" s="3">
        <f>STANDARDIZE(D249,H$6,I$6)</f>
        <v>-0.15946163157113272</v>
      </c>
    </row>
    <row r="250" spans="1:5" x14ac:dyDescent="0.3">
      <c r="A250">
        <v>1970</v>
      </c>
      <c r="B250">
        <v>9</v>
      </c>
      <c r="C250" s="3">
        <v>1970.66666666847</v>
      </c>
      <c r="D250" s="2">
        <v>28.482664</v>
      </c>
      <c r="E250" s="3">
        <f>STANDARDIZE(D250,H$5,I$5)</f>
        <v>-0.99334674965436598</v>
      </c>
    </row>
    <row r="251" spans="1:5" x14ac:dyDescent="0.3">
      <c r="A251">
        <v>1970</v>
      </c>
      <c r="B251">
        <v>10</v>
      </c>
      <c r="C251" s="3">
        <v>1970.7500000017999</v>
      </c>
      <c r="D251" s="2">
        <v>28.728401000000002</v>
      </c>
      <c r="E251" s="3">
        <f>STANDARDIZE(D251,H$4,I$4)</f>
        <v>-0.62399684625547336</v>
      </c>
    </row>
    <row r="252" spans="1:5" x14ac:dyDescent="0.3">
      <c r="A252">
        <v>1970</v>
      </c>
      <c r="B252">
        <v>11</v>
      </c>
      <c r="C252" s="3">
        <v>1970.83333333513</v>
      </c>
      <c r="D252" s="2">
        <v>28.610082999999999</v>
      </c>
      <c r="E252" s="3">
        <f>STANDARDIZE(D252,H$3,I$3)</f>
        <v>-0.21958673204803084</v>
      </c>
    </row>
    <row r="253" spans="1:5" x14ac:dyDescent="0.3">
      <c r="A253">
        <v>1970</v>
      </c>
      <c r="B253">
        <v>12</v>
      </c>
      <c r="C253" s="3">
        <v>1970.91666666846</v>
      </c>
      <c r="D253" s="2">
        <v>27.653873000000001</v>
      </c>
      <c r="E253" s="3">
        <f>STANDARDIZE(D253,H$2,I$2)</f>
        <v>-0.45028433600106194</v>
      </c>
    </row>
    <row r="254" spans="1:5" x14ac:dyDescent="0.3">
      <c r="A254">
        <v>1971</v>
      </c>
      <c r="B254">
        <v>1</v>
      </c>
      <c r="C254" s="3">
        <v>1971.0000000017901</v>
      </c>
      <c r="D254" s="2">
        <v>26.851825999999999</v>
      </c>
      <c r="E254" s="3">
        <f>STANDARDIZE(D254,H$13,I$13)</f>
        <v>-0.68495265182375498</v>
      </c>
    </row>
    <row r="255" spans="1:5" x14ac:dyDescent="0.3">
      <c r="A255">
        <v>1971</v>
      </c>
      <c r="B255">
        <v>2</v>
      </c>
      <c r="C255" s="3">
        <v>1971.08333333512</v>
      </c>
      <c r="D255" s="2">
        <v>26.599415</v>
      </c>
      <c r="E255" s="3">
        <f>STANDARDIZE(D255,H$12,I$12)</f>
        <v>-0.71926438318840935</v>
      </c>
    </row>
    <row r="256" spans="1:5" x14ac:dyDescent="0.3">
      <c r="A256">
        <v>1971</v>
      </c>
      <c r="B256">
        <v>3</v>
      </c>
      <c r="C256" s="3">
        <v>1971.16666666845</v>
      </c>
      <c r="D256" s="2">
        <v>26.792303</v>
      </c>
      <c r="E256" s="3">
        <f>STANDARDIZE(D256,H$11,I$11)</f>
        <v>-0.46222143442933994</v>
      </c>
    </row>
    <row r="257" spans="1:5" x14ac:dyDescent="0.3">
      <c r="A257">
        <v>1971</v>
      </c>
      <c r="B257">
        <v>4</v>
      </c>
      <c r="C257" s="3">
        <v>1971.2500000017801</v>
      </c>
      <c r="D257" s="2">
        <v>27.209002999999999</v>
      </c>
      <c r="E257" s="3">
        <f>STANDARDIZE(D257,H$10,I$10)</f>
        <v>-0.77136882821006636</v>
      </c>
    </row>
    <row r="258" spans="1:5" x14ac:dyDescent="0.3">
      <c r="A258">
        <v>1971</v>
      </c>
      <c r="B258">
        <v>5</v>
      </c>
      <c r="C258" s="3">
        <v>1971.33333333511</v>
      </c>
      <c r="D258" s="2">
        <v>28.035247999999999</v>
      </c>
      <c r="E258" s="3">
        <f>STANDARDIZE(D258,H$9,I$9)</f>
        <v>-0.69663606233423148</v>
      </c>
    </row>
    <row r="259" spans="1:5" x14ac:dyDescent="0.3">
      <c r="A259">
        <v>1971</v>
      </c>
      <c r="B259">
        <v>6</v>
      </c>
      <c r="C259" s="3">
        <v>1971.41666666844</v>
      </c>
      <c r="D259" s="2">
        <v>28.179216</v>
      </c>
      <c r="E259" s="3">
        <f>STANDARDIZE(D259,H$8,I$8)</f>
        <v>-1.2572228760079296</v>
      </c>
    </row>
    <row r="260" spans="1:5" x14ac:dyDescent="0.3">
      <c r="A260">
        <v>1971</v>
      </c>
      <c r="B260">
        <v>7</v>
      </c>
      <c r="C260" s="3">
        <v>1971.5000000017701</v>
      </c>
      <c r="D260" s="2">
        <v>27.815002</v>
      </c>
      <c r="E260" s="3">
        <f>STANDARDIZE(D260,H$7,I$7)</f>
        <v>-1.4036223933746812</v>
      </c>
    </row>
    <row r="261" spans="1:5" x14ac:dyDescent="0.3">
      <c r="A261">
        <v>1971</v>
      </c>
      <c r="B261">
        <v>8</v>
      </c>
      <c r="C261" s="3">
        <v>1971.5833333351</v>
      </c>
      <c r="D261" s="2">
        <v>27.995933999999998</v>
      </c>
      <c r="E261" s="3">
        <f>STANDARDIZE(D261,H$6,I$6)</f>
        <v>-1.4701383872628031</v>
      </c>
    </row>
    <row r="262" spans="1:5" x14ac:dyDescent="0.3">
      <c r="A262">
        <v>1971</v>
      </c>
      <c r="B262">
        <v>9</v>
      </c>
      <c r="C262" s="3">
        <v>1971.66666666843</v>
      </c>
      <c r="D262" s="2">
        <v>28.280259999999998</v>
      </c>
      <c r="E262" s="3">
        <f>STANDARDIZE(D262,H$5,I$5)</f>
        <v>-1.5916296753315275</v>
      </c>
    </row>
    <row r="263" spans="1:5" x14ac:dyDescent="0.3">
      <c r="A263">
        <v>1971</v>
      </c>
      <c r="B263">
        <v>10</v>
      </c>
      <c r="C263" s="3">
        <v>1971.7500000017601</v>
      </c>
      <c r="D263" s="2">
        <v>28.564919</v>
      </c>
      <c r="E263" s="3">
        <f>STANDARDIZE(D263,H$4,I$4)</f>
        <v>-1.141861664212654</v>
      </c>
    </row>
    <row r="264" spans="1:5" x14ac:dyDescent="0.3">
      <c r="A264">
        <v>1971</v>
      </c>
      <c r="B264">
        <v>11</v>
      </c>
      <c r="C264" s="3">
        <v>1971.8333333350899</v>
      </c>
      <c r="D264" s="2">
        <v>28.486238</v>
      </c>
      <c r="E264" s="3">
        <f>STANDARDIZE(D264,H$3,I$3)</f>
        <v>-0.61218159263517424</v>
      </c>
    </row>
    <row r="265" spans="1:5" x14ac:dyDescent="0.3">
      <c r="A265">
        <v>1971</v>
      </c>
      <c r="B265">
        <v>12</v>
      </c>
      <c r="C265" s="3">
        <v>1971.91666666842</v>
      </c>
      <c r="D265" s="2">
        <v>27.388817</v>
      </c>
      <c r="E265" s="3">
        <f>STANDARDIZE(D265,H$2,I$2)</f>
        <v>-1.2796846361851146</v>
      </c>
    </row>
    <row r="266" spans="1:5" x14ac:dyDescent="0.3">
      <c r="A266">
        <v>1972</v>
      </c>
      <c r="B266">
        <v>1</v>
      </c>
      <c r="C266" s="3">
        <v>1972.0000000017501</v>
      </c>
      <c r="D266" s="2">
        <v>26.688637</v>
      </c>
      <c r="E266" s="3">
        <f>STANDARDIZE(D266,H$13,I$13)</f>
        <v>-1.1778918685054158</v>
      </c>
    </row>
    <row r="267" spans="1:5" x14ac:dyDescent="0.3">
      <c r="A267">
        <v>1972</v>
      </c>
      <c r="B267">
        <v>2</v>
      </c>
      <c r="C267" s="3">
        <v>1972.0833333350799</v>
      </c>
      <c r="D267" s="2">
        <v>26.78661</v>
      </c>
      <c r="E267" s="3">
        <f>STANDARDIZE(D267,H$12,I$12)</f>
        <v>-0.23924426985893582</v>
      </c>
    </row>
    <row r="268" spans="1:5" x14ac:dyDescent="0.3">
      <c r="A268">
        <v>1972</v>
      </c>
      <c r="B268">
        <v>3</v>
      </c>
      <c r="C268" s="3">
        <v>1972.16666666841</v>
      </c>
      <c r="D268" s="2">
        <v>27.04945</v>
      </c>
      <c r="E268" s="3">
        <f>STANDARDIZE(D268,H$11,I$11)</f>
        <v>0.17352319901752183</v>
      </c>
    </row>
    <row r="269" spans="1:5" x14ac:dyDescent="0.3">
      <c r="A269">
        <v>1972</v>
      </c>
      <c r="B269">
        <v>4</v>
      </c>
      <c r="C269" s="3">
        <v>1972.2500000017401</v>
      </c>
      <c r="D269" s="2">
        <v>27.422367000000001</v>
      </c>
      <c r="E269" s="3">
        <f>STANDARDIZE(D269,H$10,I$10)</f>
        <v>-0.16722287124285881</v>
      </c>
    </row>
    <row r="270" spans="1:5" x14ac:dyDescent="0.3">
      <c r="A270">
        <v>1972</v>
      </c>
      <c r="B270">
        <v>5</v>
      </c>
      <c r="C270" s="3">
        <v>1972.3333333350699</v>
      </c>
      <c r="D270" s="2">
        <v>28.175564000000001</v>
      </c>
      <c r="E270" s="3">
        <f>STANDARDIZE(D270,H$9,I$9)</f>
        <v>-0.35168440715485311</v>
      </c>
    </row>
    <row r="271" spans="1:5" x14ac:dyDescent="0.3">
      <c r="A271">
        <v>1972</v>
      </c>
      <c r="B271">
        <v>6</v>
      </c>
      <c r="C271" s="3">
        <v>1972.4166666684</v>
      </c>
      <c r="D271" s="2">
        <v>28.570872999999999</v>
      </c>
      <c r="E271" s="3">
        <f>STANDARDIZE(D271,H$8,I$8)</f>
        <v>-0.20759744311362713</v>
      </c>
    </row>
    <row r="272" spans="1:5" x14ac:dyDescent="0.3">
      <c r="A272">
        <v>1972</v>
      </c>
      <c r="B272">
        <v>7</v>
      </c>
      <c r="C272" s="3">
        <v>1972.5000000017301</v>
      </c>
      <c r="D272" s="2">
        <v>28.057511999999999</v>
      </c>
      <c r="E272" s="3">
        <f>STANDARDIZE(D272,H$7,I$7)</f>
        <v>-0.70178705770450445</v>
      </c>
    </row>
    <row r="273" spans="1:5" x14ac:dyDescent="0.3">
      <c r="A273">
        <v>1972</v>
      </c>
      <c r="B273">
        <v>8</v>
      </c>
      <c r="C273" s="3">
        <v>1972.5833333350599</v>
      </c>
      <c r="D273" s="2">
        <v>28.078385999999998</v>
      </c>
      <c r="E273" s="3">
        <f>STANDARDIZE(D273,H$6,I$6)</f>
        <v>-1.2263798275562823</v>
      </c>
    </row>
    <row r="274" spans="1:5" x14ac:dyDescent="0.3">
      <c r="A274">
        <v>1972</v>
      </c>
      <c r="B274">
        <v>9</v>
      </c>
      <c r="C274" s="3">
        <v>1972.66666666839</v>
      </c>
      <c r="D274" s="2">
        <v>27.955736000000002</v>
      </c>
      <c r="E274" s="3">
        <f>STANDARDIZE(D274,H$5,I$5)</f>
        <v>-2.5508852640177779</v>
      </c>
    </row>
    <row r="275" spans="1:5" x14ac:dyDescent="0.3">
      <c r="A275">
        <v>1972</v>
      </c>
      <c r="B275">
        <v>10</v>
      </c>
      <c r="C275" s="3">
        <v>1972.7500000017201</v>
      </c>
      <c r="D275" s="2">
        <v>28.893898</v>
      </c>
      <c r="E275" s="3">
        <f>STANDARDIZE(D275,H$4,I$4)</f>
        <v>-9.9749077219997123E-2</v>
      </c>
    </row>
    <row r="276" spans="1:5" x14ac:dyDescent="0.3">
      <c r="A276">
        <v>1972</v>
      </c>
      <c r="B276">
        <v>11</v>
      </c>
      <c r="C276" s="3">
        <v>1972.8333333350499</v>
      </c>
      <c r="D276" s="2">
        <v>28.886209999999998</v>
      </c>
      <c r="E276" s="3">
        <f>STANDARDIZE(D276,H$3,I$3)</f>
        <v>0.65574970518678932</v>
      </c>
    </row>
    <row r="277" spans="1:5" x14ac:dyDescent="0.3">
      <c r="A277">
        <v>1972</v>
      </c>
      <c r="B277">
        <v>12</v>
      </c>
      <c r="C277" s="3">
        <v>1972.91666666838</v>
      </c>
      <c r="D277" s="2">
        <v>27.867424</v>
      </c>
      <c r="E277" s="3">
        <f>STANDARDIZE(D277,H$2,I$2)</f>
        <v>0.21794903168200466</v>
      </c>
    </row>
    <row r="278" spans="1:5" x14ac:dyDescent="0.3">
      <c r="A278">
        <v>1973</v>
      </c>
      <c r="B278">
        <v>1</v>
      </c>
      <c r="C278" s="3">
        <v>1973.0000000017101</v>
      </c>
      <c r="D278" s="2">
        <v>27.333057</v>
      </c>
      <c r="E278" s="3">
        <f>STANDARDIZE(D278,H$13,I$13)</f>
        <v>0.7686847390722864</v>
      </c>
    </row>
    <row r="279" spans="1:5" x14ac:dyDescent="0.3">
      <c r="A279">
        <v>1973</v>
      </c>
      <c r="B279">
        <v>2</v>
      </c>
      <c r="C279" s="3">
        <v>1973.0833333350399</v>
      </c>
      <c r="D279" s="2">
        <v>27.183261999999999</v>
      </c>
      <c r="E279" s="3">
        <f>STANDARDIZE(D279,H$12,I$12)</f>
        <v>0.77788192471016615</v>
      </c>
    </row>
    <row r="280" spans="1:5" x14ac:dyDescent="0.3">
      <c r="A280">
        <v>1973</v>
      </c>
      <c r="B280">
        <v>3</v>
      </c>
      <c r="C280" s="3">
        <v>1973.16666666837</v>
      </c>
      <c r="D280" s="2">
        <v>27.305336</v>
      </c>
      <c r="E280" s="3">
        <f>STANDARDIZE(D280,H$11,I$11)</f>
        <v>0.80615026164778381</v>
      </c>
    </row>
    <row r="281" spans="1:5" x14ac:dyDescent="0.3">
      <c r="A281">
        <v>1973</v>
      </c>
      <c r="B281">
        <v>4</v>
      </c>
      <c r="C281" s="3">
        <v>1973.2500000017001</v>
      </c>
      <c r="D281" s="2">
        <v>27.473057000000001</v>
      </c>
      <c r="E281" s="3">
        <f>STANDARDIZE(D281,H$10,I$10)</f>
        <v>-2.3692760452532793E-2</v>
      </c>
    </row>
    <row r="282" spans="1:5" x14ac:dyDescent="0.3">
      <c r="A282">
        <v>1973</v>
      </c>
      <c r="B282">
        <v>5</v>
      </c>
      <c r="C282" s="3">
        <v>1973.3333333350299</v>
      </c>
      <c r="D282" s="2">
        <v>28.593658000000001</v>
      </c>
      <c r="E282" s="3">
        <f>STANDARDIZE(D282,H$9,I$9)</f>
        <v>0.67615430917517949</v>
      </c>
    </row>
    <row r="283" spans="1:5" x14ac:dyDescent="0.3">
      <c r="A283">
        <v>1973</v>
      </c>
      <c r="B283">
        <v>6</v>
      </c>
      <c r="C283" s="3">
        <v>1973.41666666836</v>
      </c>
      <c r="D283" s="2">
        <v>28.478480000000001</v>
      </c>
      <c r="E283" s="3">
        <f>STANDARDIZE(D283,H$8,I$8)</f>
        <v>-0.45520706740580436</v>
      </c>
    </row>
    <row r="284" spans="1:5" x14ac:dyDescent="0.3">
      <c r="A284">
        <v>1973</v>
      </c>
      <c r="B284">
        <v>7</v>
      </c>
      <c r="C284" s="3">
        <v>1973.5000000016901</v>
      </c>
      <c r="D284" s="2">
        <v>28.377106000000001</v>
      </c>
      <c r="E284" s="3">
        <f>STANDARDIZE(D284,H$7,I$7)</f>
        <v>0.22313299618266147</v>
      </c>
    </row>
    <row r="285" spans="1:5" x14ac:dyDescent="0.3">
      <c r="A285">
        <v>1973</v>
      </c>
      <c r="B285">
        <v>8</v>
      </c>
      <c r="C285" s="3">
        <v>1973.5833333350199</v>
      </c>
      <c r="D285" s="2">
        <v>28.635414000000001</v>
      </c>
      <c r="E285" s="3">
        <f>STANDARDIZE(D285,H$6,I$6)</f>
        <v>0.42040063860832849</v>
      </c>
    </row>
    <row r="286" spans="1:5" x14ac:dyDescent="0.3">
      <c r="A286">
        <v>1973</v>
      </c>
      <c r="B286">
        <v>9</v>
      </c>
      <c r="C286" s="3">
        <v>1973.66666666835</v>
      </c>
      <c r="D286" s="2">
        <v>28.641044999999998</v>
      </c>
      <c r="E286" s="3">
        <f>STANDARDIZE(D286,H$5,I$5)</f>
        <v>-0.52519074457703052</v>
      </c>
    </row>
    <row r="287" spans="1:5" x14ac:dyDescent="0.3">
      <c r="A287">
        <v>1973</v>
      </c>
      <c r="B287">
        <v>10</v>
      </c>
      <c r="C287" s="3">
        <v>1973.7500000016801</v>
      </c>
      <c r="D287" s="2">
        <v>28.846651000000001</v>
      </c>
      <c r="E287" s="3">
        <f>STANDARDIZE(D287,H$4,I$4)</f>
        <v>-0.2494142333474115</v>
      </c>
    </row>
    <row r="288" spans="1:5" x14ac:dyDescent="0.3">
      <c r="A288">
        <v>1973</v>
      </c>
      <c r="B288">
        <v>11</v>
      </c>
      <c r="C288" s="3">
        <v>1973.8333333350099</v>
      </c>
      <c r="D288" s="2">
        <v>28.506117</v>
      </c>
      <c r="E288" s="3">
        <f>STANDARDIZE(D288,H$3,I$3)</f>
        <v>-0.54916416574178584</v>
      </c>
    </row>
    <row r="289" spans="1:5" x14ac:dyDescent="0.3">
      <c r="A289">
        <v>1973</v>
      </c>
      <c r="B289">
        <v>12</v>
      </c>
      <c r="C289" s="3">
        <v>1973.91666666834</v>
      </c>
      <c r="D289" s="2">
        <v>27.546516</v>
      </c>
      <c r="E289" s="3">
        <f>STANDARDIZE(D289,H$2,I$2)</f>
        <v>-0.78622062126477688</v>
      </c>
    </row>
    <row r="290" spans="1:5" x14ac:dyDescent="0.3">
      <c r="A290">
        <v>1974</v>
      </c>
      <c r="B290">
        <v>1</v>
      </c>
      <c r="C290" s="3">
        <v>1974.0000000016701</v>
      </c>
      <c r="D290" s="2">
        <v>26.765740000000001</v>
      </c>
      <c r="E290" s="3">
        <f>STANDARDIZE(D290,H$13,I$13)</f>
        <v>-0.94498957470003186</v>
      </c>
    </row>
    <row r="291" spans="1:5" x14ac:dyDescent="0.3">
      <c r="A291">
        <v>1974</v>
      </c>
      <c r="B291">
        <v>2</v>
      </c>
      <c r="C291" s="3">
        <v>1974.0833333349999</v>
      </c>
      <c r="D291" s="2">
        <v>26.545544</v>
      </c>
      <c r="E291" s="3">
        <f>STANDARDIZE(D291,H$12,I$12)</f>
        <v>-0.85740463012434587</v>
      </c>
    </row>
    <row r="292" spans="1:5" x14ac:dyDescent="0.3">
      <c r="A292">
        <v>1974</v>
      </c>
      <c r="B292">
        <v>3</v>
      </c>
      <c r="C292" s="3">
        <v>1974.16666666833</v>
      </c>
      <c r="D292" s="2">
        <v>26.782803000000001</v>
      </c>
      <c r="E292" s="3">
        <f>STANDARDIZE(D292,H$11,I$11)</f>
        <v>-0.48570828832125651</v>
      </c>
    </row>
    <row r="293" spans="1:5" x14ac:dyDescent="0.3">
      <c r="A293">
        <v>1974</v>
      </c>
      <c r="B293">
        <v>4</v>
      </c>
      <c r="C293" s="3">
        <v>1974.2500000016601</v>
      </c>
      <c r="D293" s="2">
        <v>26.859853999999999</v>
      </c>
      <c r="E293" s="3">
        <f>STANDARDIZE(D293,H$10,I$10)</f>
        <v>-1.7599936980528788</v>
      </c>
    </row>
    <row r="294" spans="1:5" x14ac:dyDescent="0.3">
      <c r="A294">
        <v>1974</v>
      </c>
      <c r="B294">
        <v>5</v>
      </c>
      <c r="C294" s="3">
        <v>1974.3333333349899</v>
      </c>
      <c r="D294" s="2">
        <v>27.794540000000001</v>
      </c>
      <c r="E294" s="3">
        <f>STANDARDIZE(D294,H$9,I$9)</f>
        <v>-1.2883905523062651</v>
      </c>
    </row>
    <row r="295" spans="1:5" x14ac:dyDescent="0.3">
      <c r="A295">
        <v>1974</v>
      </c>
      <c r="B295">
        <v>6</v>
      </c>
      <c r="C295" s="3">
        <v>1974.41666666832</v>
      </c>
      <c r="D295" s="2">
        <v>28.115410000000001</v>
      </c>
      <c r="E295" s="3">
        <f>STANDARDIZE(D295,H$8,I$8)</f>
        <v>-1.4282204590238177</v>
      </c>
    </row>
    <row r="296" spans="1:5" x14ac:dyDescent="0.3">
      <c r="A296">
        <v>1974</v>
      </c>
      <c r="B296">
        <v>7</v>
      </c>
      <c r="C296" s="3">
        <v>1974.5000000016501</v>
      </c>
      <c r="D296" s="2">
        <v>27.660734000000001</v>
      </c>
      <c r="E296" s="3">
        <f>STANDARDIZE(D296,H$7,I$7)</f>
        <v>-1.85008123450769</v>
      </c>
    </row>
    <row r="297" spans="1:5" x14ac:dyDescent="0.3">
      <c r="A297">
        <v>1974</v>
      </c>
      <c r="B297">
        <v>8</v>
      </c>
      <c r="C297" s="3">
        <v>1974.5833333349799</v>
      </c>
      <c r="D297" s="2">
        <v>27.987347</v>
      </c>
      <c r="E297" s="3">
        <f>STANDARDIZE(D297,H$6,I$6)</f>
        <v>-1.4955247302526584</v>
      </c>
    </row>
    <row r="298" spans="1:5" x14ac:dyDescent="0.3">
      <c r="A298">
        <v>1974</v>
      </c>
      <c r="B298">
        <v>9</v>
      </c>
      <c r="C298" s="3">
        <v>1974.66666666831</v>
      </c>
      <c r="D298" s="2">
        <v>28.6206</v>
      </c>
      <c r="E298" s="3">
        <f>STANDARDIZE(D298,H$5,I$5)</f>
        <v>-0.58562381119364237</v>
      </c>
    </row>
    <row r="299" spans="1:5" x14ac:dyDescent="0.3">
      <c r="A299">
        <v>1974</v>
      </c>
      <c r="B299">
        <v>10</v>
      </c>
      <c r="C299" s="3">
        <v>1974.75000000164</v>
      </c>
      <c r="D299" s="2">
        <v>28.439436000000001</v>
      </c>
      <c r="E299" s="3">
        <f>STANDARDIZE(D299,H$4,I$4)</f>
        <v>-1.5393563789318261</v>
      </c>
    </row>
    <row r="300" spans="1:5" x14ac:dyDescent="0.3">
      <c r="A300">
        <v>1974</v>
      </c>
      <c r="B300">
        <v>11</v>
      </c>
      <c r="C300" s="3">
        <v>1974.8333333349699</v>
      </c>
      <c r="D300" s="2">
        <v>28.037071000000001</v>
      </c>
      <c r="E300" s="3">
        <f>STANDARDIZE(D300,H$3,I$3)</f>
        <v>-2.0360635074912126</v>
      </c>
    </row>
    <row r="301" spans="1:5" x14ac:dyDescent="0.3">
      <c r="A301">
        <v>1974</v>
      </c>
      <c r="B301">
        <v>12</v>
      </c>
      <c r="C301" s="3">
        <v>1974.9166666683</v>
      </c>
      <c r="D301" s="2">
        <v>27.50441</v>
      </c>
      <c r="E301" s="3">
        <f>STANDARDIZE(D301,H$2,I$2)</f>
        <v>-0.91797666164699754</v>
      </c>
    </row>
    <row r="302" spans="1:5" x14ac:dyDescent="0.3">
      <c r="A302">
        <v>1975</v>
      </c>
      <c r="B302">
        <v>1</v>
      </c>
      <c r="C302" s="3">
        <v>1975.00000000163</v>
      </c>
      <c r="D302" s="2">
        <v>26.792973</v>
      </c>
      <c r="E302" s="3">
        <f>STANDARDIZE(D302,H$13,I$13)</f>
        <v>-0.86272781877352189</v>
      </c>
    </row>
    <row r="303" spans="1:5" x14ac:dyDescent="0.3">
      <c r="A303">
        <v>1975</v>
      </c>
      <c r="B303">
        <v>2</v>
      </c>
      <c r="C303" s="3">
        <v>1975.0833333349599</v>
      </c>
      <c r="D303" s="2">
        <v>26.369834999999998</v>
      </c>
      <c r="E303" s="3">
        <f>STANDARDIZE(D303,H$12,I$12)</f>
        <v>-1.3079714406321556</v>
      </c>
    </row>
    <row r="304" spans="1:5" x14ac:dyDescent="0.3">
      <c r="A304">
        <v>1975</v>
      </c>
      <c r="B304">
        <v>3</v>
      </c>
      <c r="C304" s="3">
        <v>1975.16666666829</v>
      </c>
      <c r="D304" s="2">
        <v>26.691276999999999</v>
      </c>
      <c r="E304" s="3">
        <f>STANDARDIZE(D304,H$11,I$11)</f>
        <v>-0.71198805561723366</v>
      </c>
    </row>
    <row r="305" spans="1:5" x14ac:dyDescent="0.3">
      <c r="A305">
        <v>1975</v>
      </c>
      <c r="B305">
        <v>4</v>
      </c>
      <c r="C305" s="3">
        <v>1975.25000000162</v>
      </c>
      <c r="D305" s="2">
        <v>26.936104</v>
      </c>
      <c r="E305" s="3">
        <f>STANDARDIZE(D305,H$10,I$10)</f>
        <v>-1.5440897535320122</v>
      </c>
    </row>
    <row r="306" spans="1:5" x14ac:dyDescent="0.3">
      <c r="A306">
        <v>1975</v>
      </c>
      <c r="B306">
        <v>5</v>
      </c>
      <c r="C306" s="3">
        <v>1975.3333333349501</v>
      </c>
      <c r="D306" s="2">
        <v>27.607254000000001</v>
      </c>
      <c r="E306" s="3">
        <f>STANDARDIZE(D306,H$9,I$9)</f>
        <v>-1.7488128540532091</v>
      </c>
    </row>
    <row r="307" spans="1:5" x14ac:dyDescent="0.3">
      <c r="A307">
        <v>1975</v>
      </c>
      <c r="B307">
        <v>6</v>
      </c>
      <c r="C307" s="3">
        <v>1975.41666666828</v>
      </c>
      <c r="D307" s="2">
        <v>28.298615999999999</v>
      </c>
      <c r="E307" s="3">
        <f>STANDARDIZE(D307,H$8,I$8)</f>
        <v>-0.93723554860773262</v>
      </c>
    </row>
    <row r="308" spans="1:5" x14ac:dyDescent="0.3">
      <c r="A308">
        <v>1975</v>
      </c>
      <c r="B308">
        <v>7</v>
      </c>
      <c r="C308" s="3">
        <v>1975.50000000161</v>
      </c>
      <c r="D308" s="2">
        <v>27.851398</v>
      </c>
      <c r="E308" s="3">
        <f>STANDARDIZE(D308,H$7,I$7)</f>
        <v>-1.2982906591078398</v>
      </c>
    </row>
    <row r="309" spans="1:5" x14ac:dyDescent="0.3">
      <c r="A309">
        <v>1975</v>
      </c>
      <c r="B309">
        <v>8</v>
      </c>
      <c r="C309" s="3">
        <v>1975.5833333349401</v>
      </c>
      <c r="D309" s="2">
        <v>28.081810000000001</v>
      </c>
      <c r="E309" s="3">
        <f>STANDARDIZE(D309,H$6,I$6)</f>
        <v>-1.216257219148533</v>
      </c>
    </row>
    <row r="310" spans="1:5" x14ac:dyDescent="0.3">
      <c r="A310">
        <v>1975</v>
      </c>
      <c r="B310">
        <v>9</v>
      </c>
      <c r="C310" s="3">
        <v>1975.66666666827</v>
      </c>
      <c r="D310" s="2">
        <v>28.43291</v>
      </c>
      <c r="E310" s="3">
        <f>STANDARDIZE(D310,H$5,I$5)</f>
        <v>-1.140413846570145</v>
      </c>
    </row>
    <row r="311" spans="1:5" x14ac:dyDescent="0.3">
      <c r="A311">
        <v>1975</v>
      </c>
      <c r="B311">
        <v>10</v>
      </c>
      <c r="C311" s="3">
        <v>1975.7500000016</v>
      </c>
      <c r="D311" s="2">
        <v>28.397797000000001</v>
      </c>
      <c r="E311" s="3">
        <f>STANDARDIZE(D311,H$4,I$4)</f>
        <v>-1.671256974440315</v>
      </c>
    </row>
    <row r="312" spans="1:5" x14ac:dyDescent="0.3">
      <c r="A312">
        <v>1975</v>
      </c>
      <c r="B312">
        <v>11</v>
      </c>
      <c r="C312" s="3">
        <v>1975.8333333349301</v>
      </c>
      <c r="D312" s="2">
        <v>28.09085</v>
      </c>
      <c r="E312" s="3">
        <f>STANDARDIZE(D312,H$3,I$3)</f>
        <v>-1.8655813805784138</v>
      </c>
    </row>
    <row r="313" spans="1:5" x14ac:dyDescent="0.3">
      <c r="A313">
        <v>1975</v>
      </c>
      <c r="B313">
        <v>12</v>
      </c>
      <c r="C313" s="3">
        <v>1975.9166666682599</v>
      </c>
      <c r="D313" s="2">
        <v>27.156631000000001</v>
      </c>
      <c r="E313" s="3">
        <f>STANDARDIZE(D313,H$2,I$2)</f>
        <v>-2.006229736460273</v>
      </c>
    </row>
    <row r="314" spans="1:5" x14ac:dyDescent="0.3">
      <c r="A314">
        <v>1976</v>
      </c>
      <c r="B314">
        <v>1</v>
      </c>
      <c r="C314" s="3">
        <v>1976.00000000159</v>
      </c>
      <c r="D314" s="2">
        <v>26.661617</v>
      </c>
      <c r="E314" s="3">
        <f>STANDARDIZE(D314,H$13,I$13)</f>
        <v>-1.2595102228965738</v>
      </c>
    </row>
    <row r="315" spans="1:5" x14ac:dyDescent="0.3">
      <c r="A315">
        <v>1976</v>
      </c>
      <c r="B315">
        <v>2</v>
      </c>
      <c r="C315" s="3">
        <v>1976.0833333349201</v>
      </c>
      <c r="D315" s="2">
        <v>26.242004000000001</v>
      </c>
      <c r="E315" s="3">
        <f>STANDARDIZE(D315,H$12,I$12)</f>
        <v>-1.6357657252392166</v>
      </c>
    </row>
    <row r="316" spans="1:5" x14ac:dyDescent="0.3">
      <c r="A316">
        <v>1976</v>
      </c>
      <c r="B316">
        <v>3</v>
      </c>
      <c r="C316" s="3">
        <v>1976.1666666682499</v>
      </c>
      <c r="D316" s="2">
        <v>26.217545000000001</v>
      </c>
      <c r="E316" s="3">
        <f>STANDARDIZE(D316,H$11,I$11)</f>
        <v>-1.8831958732936906</v>
      </c>
    </row>
    <row r="317" spans="1:5" x14ac:dyDescent="0.3">
      <c r="A317">
        <v>1976</v>
      </c>
      <c r="B317">
        <v>4</v>
      </c>
      <c r="C317" s="3">
        <v>1976.25000000158</v>
      </c>
      <c r="D317" s="2">
        <v>26.772110000000001</v>
      </c>
      <c r="E317" s="3">
        <f>STANDARDIZE(D317,H$10,I$10)</f>
        <v>-2.0084432155353427</v>
      </c>
    </row>
    <row r="318" spans="1:5" x14ac:dyDescent="0.3">
      <c r="A318">
        <v>1976</v>
      </c>
      <c r="B318">
        <v>5</v>
      </c>
      <c r="C318" s="3">
        <v>1976.3333333349101</v>
      </c>
      <c r="D318" s="2">
        <v>27.661669</v>
      </c>
      <c r="E318" s="3">
        <f>STANDARDIZE(D318,H$9,I$9)</f>
        <v>-1.6150394831148616</v>
      </c>
    </row>
    <row r="319" spans="1:5" x14ac:dyDescent="0.3">
      <c r="A319">
        <v>1976</v>
      </c>
      <c r="B319">
        <v>6</v>
      </c>
      <c r="C319" s="3">
        <v>1976.4166666682399</v>
      </c>
      <c r="D319" s="2">
        <v>27.915295</v>
      </c>
      <c r="E319" s="3">
        <f>STANDARDIZE(D319,H$8,I$8)</f>
        <v>-1.9645208277230732</v>
      </c>
    </row>
    <row r="320" spans="1:5" x14ac:dyDescent="0.3">
      <c r="A320">
        <v>1976</v>
      </c>
      <c r="B320">
        <v>7</v>
      </c>
      <c r="C320" s="3">
        <v>1976.50000000157</v>
      </c>
      <c r="D320" s="2">
        <v>27.422272</v>
      </c>
      <c r="E320" s="3">
        <f>STANDARDIZE(D320,H$7,I$7)</f>
        <v>-2.5402014679602631</v>
      </c>
    </row>
    <row r="321" spans="1:5" x14ac:dyDescent="0.3">
      <c r="A321">
        <v>1976</v>
      </c>
      <c r="B321">
        <v>8</v>
      </c>
      <c r="C321" s="3">
        <v>1976.5833333349001</v>
      </c>
      <c r="D321" s="2">
        <v>27.991972000000001</v>
      </c>
      <c r="E321" s="3">
        <f>STANDARDIZE(D321,H$6,I$6)</f>
        <v>-1.4818515223420818</v>
      </c>
    </row>
    <row r="322" spans="1:5" x14ac:dyDescent="0.3">
      <c r="A322">
        <v>1976</v>
      </c>
      <c r="B322">
        <v>9</v>
      </c>
      <c r="C322" s="3">
        <v>1976.6666666682299</v>
      </c>
      <c r="D322" s="2">
        <v>28.188393000000001</v>
      </c>
      <c r="E322" s="3">
        <f>STANDARDIZE(D322,H$5,I$5)</f>
        <v>-1.8631779527034256</v>
      </c>
    </row>
    <row r="323" spans="1:5" x14ac:dyDescent="0.3">
      <c r="A323">
        <v>1976</v>
      </c>
      <c r="B323">
        <v>10</v>
      </c>
      <c r="C323" s="3">
        <v>1976.75000000156</v>
      </c>
      <c r="D323" s="2">
        <v>28.782544999999999</v>
      </c>
      <c r="E323" s="3">
        <f>STANDARDIZE(D323,H$4,I$4)</f>
        <v>-0.45248394144961174</v>
      </c>
    </row>
    <row r="324" spans="1:5" x14ac:dyDescent="0.3">
      <c r="A324">
        <v>1976</v>
      </c>
      <c r="B324">
        <v>11</v>
      </c>
      <c r="C324" s="3">
        <v>1976.8333333348901</v>
      </c>
      <c r="D324" s="2">
        <v>28.710121000000001</v>
      </c>
      <c r="E324" s="3">
        <f>STANDARDIZE(D324,H$3,I$3)</f>
        <v>9.753874466412886E-2</v>
      </c>
    </row>
    <row r="325" spans="1:5" x14ac:dyDescent="0.3">
      <c r="A325">
        <v>1976</v>
      </c>
      <c r="B325">
        <v>12</v>
      </c>
      <c r="C325" s="3">
        <v>1976.9166666682199</v>
      </c>
      <c r="D325" s="2">
        <v>27.608066999999998</v>
      </c>
      <c r="E325" s="3">
        <f>STANDARDIZE(D325,H$2,I$2)</f>
        <v>-0.59361823581933648</v>
      </c>
    </row>
    <row r="326" spans="1:5" x14ac:dyDescent="0.3">
      <c r="A326">
        <v>1977</v>
      </c>
      <c r="B326">
        <v>1</v>
      </c>
      <c r="C326" s="3">
        <v>1977.00000000155</v>
      </c>
      <c r="D326" s="2">
        <v>26.898754</v>
      </c>
      <c r="E326" s="3">
        <f>STANDARDIZE(D326,H$13,I$13)</f>
        <v>-0.54319890886045663</v>
      </c>
    </row>
    <row r="327" spans="1:5" x14ac:dyDescent="0.3">
      <c r="A327">
        <v>1977</v>
      </c>
      <c r="B327">
        <v>2</v>
      </c>
      <c r="C327" s="3">
        <v>1977.0833333348801</v>
      </c>
      <c r="D327" s="2">
        <v>26.911798000000001</v>
      </c>
      <c r="E327" s="3">
        <f>STANDARDIZE(D327,H$12,I$12)</f>
        <v>8.1772626679385715E-2</v>
      </c>
    </row>
    <row r="328" spans="1:5" x14ac:dyDescent="0.3">
      <c r="A328">
        <v>1977</v>
      </c>
      <c r="B328">
        <v>3</v>
      </c>
      <c r="C328" s="3">
        <v>1977.1666666682099</v>
      </c>
      <c r="D328" s="2">
        <v>26.811250000000001</v>
      </c>
      <c r="E328" s="3">
        <f>STANDARDIZE(D328,H$11,I$11)</f>
        <v>-0.41537875856721379</v>
      </c>
    </row>
    <row r="329" spans="1:5" x14ac:dyDescent="0.3">
      <c r="A329">
        <v>1977</v>
      </c>
      <c r="B329">
        <v>4</v>
      </c>
      <c r="C329" s="3">
        <v>1977.25000000154</v>
      </c>
      <c r="D329" s="2">
        <v>27.167826000000002</v>
      </c>
      <c r="E329" s="3">
        <f>STANDARDIZE(D329,H$10,I$10)</f>
        <v>-0.88796262130560721</v>
      </c>
    </row>
    <row r="330" spans="1:5" x14ac:dyDescent="0.3">
      <c r="A330">
        <v>1977</v>
      </c>
      <c r="B330">
        <v>5</v>
      </c>
      <c r="C330" s="3">
        <v>1977.3333333348701</v>
      </c>
      <c r="D330" s="2">
        <v>28.009426000000001</v>
      </c>
      <c r="E330" s="3">
        <f>STANDARDIZE(D330,H$9,I$9)</f>
        <v>-0.76011664644467569</v>
      </c>
    </row>
    <row r="331" spans="1:5" x14ac:dyDescent="0.3">
      <c r="A331">
        <v>1977</v>
      </c>
      <c r="B331">
        <v>6</v>
      </c>
      <c r="C331" s="3">
        <v>1977.4166666681999</v>
      </c>
      <c r="D331" s="2">
        <v>28.432835000000001</v>
      </c>
      <c r="E331" s="3">
        <f>STANDARDIZE(D331,H$8,I$8)</f>
        <v>-0.57753388113429893</v>
      </c>
    </row>
    <row r="332" spans="1:5" x14ac:dyDescent="0.3">
      <c r="A332">
        <v>1977</v>
      </c>
      <c r="B332">
        <v>7</v>
      </c>
      <c r="C332" s="3">
        <v>1977.50000000153</v>
      </c>
      <c r="D332" s="2">
        <v>27.756536000000001</v>
      </c>
      <c r="E332" s="3">
        <f>STANDARDIZE(D332,H$7,I$7)</f>
        <v>-1.5728257447222223</v>
      </c>
    </row>
    <row r="333" spans="1:5" x14ac:dyDescent="0.3">
      <c r="A333">
        <v>1977</v>
      </c>
      <c r="B333">
        <v>8</v>
      </c>
      <c r="C333" s="3">
        <v>1977.5833333348701</v>
      </c>
      <c r="D333" s="2">
        <v>28.015353999999999</v>
      </c>
      <c r="E333" s="3">
        <f>STANDARDIZE(D333,H$6,I$6)</f>
        <v>-1.4127256958847809</v>
      </c>
    </row>
    <row r="334" spans="1:5" x14ac:dyDescent="0.3">
      <c r="A334">
        <v>1977</v>
      </c>
      <c r="B334">
        <v>9</v>
      </c>
      <c r="C334" s="3">
        <v>1977.6666666681999</v>
      </c>
      <c r="D334" s="2">
        <v>28.333176000000002</v>
      </c>
      <c r="E334" s="3">
        <f>STANDARDIZE(D334,H$5,I$5)</f>
        <v>-1.4352160703872852</v>
      </c>
    </row>
    <row r="335" spans="1:5" x14ac:dyDescent="0.3">
      <c r="A335">
        <v>1977</v>
      </c>
      <c r="B335">
        <v>10</v>
      </c>
      <c r="C335" s="3">
        <v>1977.75000000153</v>
      </c>
      <c r="D335" s="2">
        <v>28.592316</v>
      </c>
      <c r="E335" s="3">
        <f>STANDARDIZE(D335,H$4,I$4)</f>
        <v>-1.0550757035712806</v>
      </c>
    </row>
    <row r="336" spans="1:5" x14ac:dyDescent="0.3">
      <c r="A336">
        <v>1977</v>
      </c>
      <c r="B336">
        <v>11</v>
      </c>
      <c r="C336" s="3">
        <v>1977.8333333348601</v>
      </c>
      <c r="D336" s="2">
        <v>28.646356999999998</v>
      </c>
      <c r="E336" s="3">
        <f>STANDARDIZE(D336,H$3,I$3)</f>
        <v>-0.10459633297711438</v>
      </c>
    </row>
    <row r="337" spans="1:5" x14ac:dyDescent="0.3">
      <c r="A337">
        <v>1977</v>
      </c>
      <c r="B337">
        <v>12</v>
      </c>
      <c r="C337" s="3">
        <v>1977.9166666681899</v>
      </c>
      <c r="D337" s="2">
        <v>27.712969999999999</v>
      </c>
      <c r="E337" s="3">
        <f>STANDARDIZE(D337,H$2,I$2)</f>
        <v>-0.26536088759780058</v>
      </c>
    </row>
    <row r="338" spans="1:5" x14ac:dyDescent="0.3">
      <c r="A338">
        <v>1978</v>
      </c>
      <c r="B338">
        <v>1</v>
      </c>
      <c r="C338" s="3">
        <v>1978.00000000152</v>
      </c>
      <c r="D338" s="2">
        <v>27.264517000000001</v>
      </c>
      <c r="E338" s="3">
        <f>STANDARDIZE(D338,H$13,I$13)</f>
        <v>0.56164839525401089</v>
      </c>
    </row>
    <row r="339" spans="1:5" x14ac:dyDescent="0.3">
      <c r="A339">
        <v>1978</v>
      </c>
      <c r="B339">
        <v>2</v>
      </c>
      <c r="C339" s="3">
        <v>1978.0833333348501</v>
      </c>
      <c r="D339" s="2">
        <v>27.261524000000001</v>
      </c>
      <c r="E339" s="3">
        <f>STANDARDIZE(D339,H$12,I$12)</f>
        <v>0.97856748847732089</v>
      </c>
    </row>
    <row r="340" spans="1:5" x14ac:dyDescent="0.3">
      <c r="A340">
        <v>1978</v>
      </c>
      <c r="B340">
        <v>3</v>
      </c>
      <c r="C340" s="3">
        <v>1978.1666666681799</v>
      </c>
      <c r="D340" s="2">
        <v>27.325665000000001</v>
      </c>
      <c r="E340" s="3">
        <f>STANDARDIZE(D340,H$11,I$11)</f>
        <v>0.8564096566760806</v>
      </c>
    </row>
    <row r="341" spans="1:5" x14ac:dyDescent="0.3">
      <c r="A341">
        <v>1978</v>
      </c>
      <c r="B341">
        <v>4</v>
      </c>
      <c r="C341" s="3">
        <v>1978.25000000151</v>
      </c>
      <c r="D341" s="2">
        <v>27.622406000000002</v>
      </c>
      <c r="E341" s="3">
        <f>STANDARDIZE(D341,H$10,I$10)</f>
        <v>0.3991929865670914</v>
      </c>
    </row>
    <row r="342" spans="1:5" x14ac:dyDescent="0.3">
      <c r="A342">
        <v>1978</v>
      </c>
      <c r="B342">
        <v>5</v>
      </c>
      <c r="C342" s="3">
        <v>1978.3333333348401</v>
      </c>
      <c r="D342" s="2">
        <v>28.672716000000001</v>
      </c>
      <c r="E342" s="3">
        <f>STANDARDIZE(D342,H$9,I$9)</f>
        <v>0.87050982070038574</v>
      </c>
    </row>
    <row r="343" spans="1:5" x14ac:dyDescent="0.3">
      <c r="A343">
        <v>1978</v>
      </c>
      <c r="B343">
        <v>6</v>
      </c>
      <c r="C343" s="3">
        <v>1978.4166666681699</v>
      </c>
      <c r="D343" s="2">
        <v>28.353933000000001</v>
      </c>
      <c r="E343" s="3">
        <f>STANDARDIZE(D343,H$8,I$8)</f>
        <v>-0.78898815338329709</v>
      </c>
    </row>
    <row r="344" spans="1:5" x14ac:dyDescent="0.3">
      <c r="A344">
        <v>1978</v>
      </c>
      <c r="B344">
        <v>7</v>
      </c>
      <c r="C344" s="3">
        <v>1978.5000000015</v>
      </c>
      <c r="D344" s="2">
        <v>28.089182000000001</v>
      </c>
      <c r="E344" s="3">
        <f>STANDARDIZE(D344,H$7,I$7)</f>
        <v>-0.61013258951483862</v>
      </c>
    </row>
    <row r="345" spans="1:5" x14ac:dyDescent="0.3">
      <c r="A345">
        <v>1978</v>
      </c>
      <c r="B345">
        <v>8</v>
      </c>
      <c r="C345" s="3">
        <v>1978.5833333348301</v>
      </c>
      <c r="D345" s="2">
        <v>28.211459999999999</v>
      </c>
      <c r="E345" s="3">
        <f>STANDARDIZE(D345,H$6,I$6)</f>
        <v>-0.83296394226076875</v>
      </c>
    </row>
    <row r="346" spans="1:5" x14ac:dyDescent="0.3">
      <c r="A346">
        <v>1978</v>
      </c>
      <c r="B346">
        <v>9</v>
      </c>
      <c r="C346" s="3">
        <v>1978.6666666681599</v>
      </c>
      <c r="D346" s="2">
        <v>28.158617</v>
      </c>
      <c r="E346" s="3">
        <f>STANDARDIZE(D346,H$5,I$5)</f>
        <v>-1.9511923812471506</v>
      </c>
    </row>
    <row r="347" spans="1:5" x14ac:dyDescent="0.3">
      <c r="A347">
        <v>1978</v>
      </c>
      <c r="B347">
        <v>10</v>
      </c>
      <c r="C347" s="3">
        <v>1978.75000000149</v>
      </c>
      <c r="D347" s="2">
        <v>28.525145999999999</v>
      </c>
      <c r="E347" s="3">
        <f>STANDARDIZE(D347,H$4,I$4)</f>
        <v>-1.2678512985736898</v>
      </c>
    </row>
    <row r="348" spans="1:5" x14ac:dyDescent="0.3">
      <c r="A348">
        <v>1978</v>
      </c>
      <c r="B348">
        <v>11</v>
      </c>
      <c r="C348" s="3">
        <v>1978.8333333348201</v>
      </c>
      <c r="D348" s="2">
        <v>28.622420999999999</v>
      </c>
      <c r="E348" s="3">
        <f>STANDARDIZE(D348,H$3,I$3)</f>
        <v>-0.18047465332120213</v>
      </c>
    </row>
    <row r="349" spans="1:5" x14ac:dyDescent="0.3">
      <c r="A349">
        <v>1978</v>
      </c>
      <c r="B349">
        <v>12</v>
      </c>
      <c r="C349" s="3">
        <v>1978.9166666681499</v>
      </c>
      <c r="D349" s="2">
        <v>27.561254999999999</v>
      </c>
      <c r="E349" s="3">
        <f>STANDARDIZE(D349,H$2,I$2)</f>
        <v>-0.740100061743726</v>
      </c>
    </row>
    <row r="350" spans="1:5" x14ac:dyDescent="0.3">
      <c r="A350">
        <v>1979</v>
      </c>
      <c r="B350">
        <v>1</v>
      </c>
      <c r="C350" s="3">
        <v>1979.00000000148</v>
      </c>
      <c r="D350" s="2">
        <v>26.861004000000001</v>
      </c>
      <c r="E350" s="3">
        <f>STANDARDIZE(D350,H$13,I$13)</f>
        <v>-0.65722899317822525</v>
      </c>
    </row>
    <row r="351" spans="1:5" x14ac:dyDescent="0.3">
      <c r="A351">
        <v>1979</v>
      </c>
      <c r="B351">
        <v>2</v>
      </c>
      <c r="C351" s="3">
        <v>1979.08333333481</v>
      </c>
      <c r="D351" s="2">
        <v>26.909672</v>
      </c>
      <c r="E351" s="3">
        <f>STANDARDIZE(D351,H$12,I$12)</f>
        <v>7.6320970593813389E-2</v>
      </c>
    </row>
    <row r="352" spans="1:5" x14ac:dyDescent="0.3">
      <c r="A352">
        <v>1979</v>
      </c>
      <c r="B352">
        <v>3</v>
      </c>
      <c r="C352" s="3">
        <v>1979.1666666681399</v>
      </c>
      <c r="D352" s="2">
        <v>26.905308000000002</v>
      </c>
      <c r="E352" s="3">
        <f>STANDARDIZE(D352,H$11,I$11)</f>
        <v>-0.18283912663394125</v>
      </c>
    </row>
    <row r="353" spans="1:5" x14ac:dyDescent="0.3">
      <c r="A353">
        <v>1979</v>
      </c>
      <c r="B353">
        <v>4</v>
      </c>
      <c r="C353" s="3">
        <v>1979.25000000147</v>
      </c>
      <c r="D353" s="2">
        <v>27.118216</v>
      </c>
      <c r="E353" s="3">
        <f>STANDARDIZE(D353,H$10,I$10)</f>
        <v>-1.0284346827833806</v>
      </c>
    </row>
    <row r="354" spans="1:5" x14ac:dyDescent="0.3">
      <c r="A354">
        <v>1979</v>
      </c>
      <c r="B354">
        <v>5</v>
      </c>
      <c r="C354" s="3">
        <v>1979.3333333348</v>
      </c>
      <c r="D354" s="2">
        <v>28.291654999999999</v>
      </c>
      <c r="E354" s="3">
        <f>STANDARDIZE(D354,H$9,I$9)</f>
        <v>-6.6287284934809218E-2</v>
      </c>
    </row>
    <row r="355" spans="1:5" x14ac:dyDescent="0.3">
      <c r="A355">
        <v>1979</v>
      </c>
      <c r="B355">
        <v>6</v>
      </c>
      <c r="C355" s="3">
        <v>1979.4166666681299</v>
      </c>
      <c r="D355" s="2">
        <v>28.622676999999999</v>
      </c>
      <c r="E355" s="3">
        <f>STANDARDIZE(D355,H$8,I$8)</f>
        <v>-6.8764750411448194E-2</v>
      </c>
    </row>
    <row r="356" spans="1:5" x14ac:dyDescent="0.3">
      <c r="A356">
        <v>1979</v>
      </c>
      <c r="B356">
        <v>7</v>
      </c>
      <c r="C356" s="3">
        <v>1979.50000000146</v>
      </c>
      <c r="D356" s="2">
        <v>28.579032999999999</v>
      </c>
      <c r="E356" s="3">
        <f>STANDARDIZE(D356,H$7,I$7)</f>
        <v>0.80751922283669886</v>
      </c>
    </row>
    <row r="357" spans="1:5" x14ac:dyDescent="0.3">
      <c r="A357">
        <v>1979</v>
      </c>
      <c r="B357">
        <v>8</v>
      </c>
      <c r="C357" s="3">
        <v>1979.58333333479</v>
      </c>
      <c r="D357" s="2">
        <v>28.296282000000001</v>
      </c>
      <c r="E357" s="3">
        <f>STANDARDIZE(D357,H$6,I$6)</f>
        <v>-0.58219878736547026</v>
      </c>
    </row>
    <row r="358" spans="1:5" x14ac:dyDescent="0.3">
      <c r="A358">
        <v>1979</v>
      </c>
      <c r="B358">
        <v>9</v>
      </c>
      <c r="C358" s="3">
        <v>1979.6666666681199</v>
      </c>
      <c r="D358" s="2">
        <v>28.731574999999999</v>
      </c>
      <c r="E358" s="3">
        <f>STANDARDIZE(D358,H$5,I$5)</f>
        <v>-0.25759448530570322</v>
      </c>
    </row>
    <row r="359" spans="1:5" x14ac:dyDescent="0.3">
      <c r="A359">
        <v>1979</v>
      </c>
      <c r="B359">
        <v>10</v>
      </c>
      <c r="C359" s="3">
        <v>1979.75000000145</v>
      </c>
      <c r="D359" s="2">
        <v>28.743378</v>
      </c>
      <c r="E359" s="3">
        <f>STANDARDIZE(D359,H$4,I$4)</f>
        <v>-0.57655393891066664</v>
      </c>
    </row>
    <row r="360" spans="1:5" x14ac:dyDescent="0.3">
      <c r="A360">
        <v>1979</v>
      </c>
      <c r="B360">
        <v>11</v>
      </c>
      <c r="C360" s="3">
        <v>1979.83333333478</v>
      </c>
      <c r="D360" s="2">
        <v>28.791801</v>
      </c>
      <c r="E360" s="3">
        <f>STANDARDIZE(D360,H$3,I$3)</f>
        <v>0.35646844075809725</v>
      </c>
    </row>
    <row r="361" spans="1:5" x14ac:dyDescent="0.3">
      <c r="A361">
        <v>1979</v>
      </c>
      <c r="B361">
        <v>12</v>
      </c>
      <c r="C361" s="3">
        <v>1979.9166666681101</v>
      </c>
      <c r="D361" s="2">
        <v>27.990691999999999</v>
      </c>
      <c r="E361" s="3">
        <f>STANDARDIZE(D361,H$2,I$2)</f>
        <v>0.6036732416719196</v>
      </c>
    </row>
    <row r="362" spans="1:5" x14ac:dyDescent="0.3">
      <c r="A362">
        <v>1980</v>
      </c>
      <c r="B362">
        <v>1</v>
      </c>
      <c r="C362" s="3">
        <v>1980.00000000144</v>
      </c>
      <c r="D362" s="2">
        <v>27.253899000000001</v>
      </c>
      <c r="E362" s="3">
        <f>STANDARDIZE(D362,H$13,I$13)</f>
        <v>0.52957497974974066</v>
      </c>
    </row>
    <row r="363" spans="1:5" x14ac:dyDescent="0.3">
      <c r="A363">
        <v>1980</v>
      </c>
      <c r="B363">
        <v>2</v>
      </c>
      <c r="C363" s="3">
        <v>1980.08333333477</v>
      </c>
      <c r="D363" s="2">
        <v>26.906555000000001</v>
      </c>
      <c r="E363" s="3">
        <f>STANDARDIZE(D363,H$12,I$12)</f>
        <v>6.8328114517274052E-2</v>
      </c>
    </row>
    <row r="364" spans="1:5" x14ac:dyDescent="0.3">
      <c r="A364">
        <v>1980</v>
      </c>
      <c r="B364">
        <v>3</v>
      </c>
      <c r="C364" s="3">
        <v>1980.1666666681001</v>
      </c>
      <c r="D364" s="2">
        <v>26.592037000000001</v>
      </c>
      <c r="E364" s="3">
        <f>STANDARDIZE(D364,H$11,I$11)</f>
        <v>-0.95733914827344002</v>
      </c>
    </row>
    <row r="365" spans="1:5" x14ac:dyDescent="0.3">
      <c r="A365">
        <v>1980</v>
      </c>
      <c r="B365">
        <v>4</v>
      </c>
      <c r="C365" s="3">
        <v>1980.25000000143</v>
      </c>
      <c r="D365" s="2">
        <v>27.172215000000001</v>
      </c>
      <c r="E365" s="3">
        <f>STANDARDIZE(D365,H$10,I$10)</f>
        <v>-0.8755350486826301</v>
      </c>
    </row>
    <row r="366" spans="1:5" x14ac:dyDescent="0.3">
      <c r="A366">
        <v>1980</v>
      </c>
      <c r="B366">
        <v>5</v>
      </c>
      <c r="C366" s="3">
        <v>1980.33333333476</v>
      </c>
      <c r="D366" s="2">
        <v>28.698509999999999</v>
      </c>
      <c r="E366" s="3">
        <f>STANDARDIZE(D366,H$9,I$9)</f>
        <v>0.93392156985013308</v>
      </c>
    </row>
    <row r="367" spans="1:5" x14ac:dyDescent="0.3">
      <c r="A367">
        <v>1980</v>
      </c>
      <c r="B367">
        <v>6</v>
      </c>
      <c r="C367" s="3">
        <v>1980.4166666680901</v>
      </c>
      <c r="D367" s="2">
        <v>28.870646000000001</v>
      </c>
      <c r="E367" s="3">
        <f>STANDARDIZE(D367,H$8,I$8)</f>
        <v>0.59578246556929382</v>
      </c>
    </row>
    <row r="368" spans="1:5" x14ac:dyDescent="0.3">
      <c r="A368">
        <v>1980</v>
      </c>
      <c r="B368">
        <v>7</v>
      </c>
      <c r="C368" s="3">
        <v>1980.5000000014199</v>
      </c>
      <c r="D368" s="2">
        <v>28.581654</v>
      </c>
      <c r="E368" s="3">
        <f>STANDARDIZE(D368,H$7,I$7)</f>
        <v>0.81510451999884659</v>
      </c>
    </row>
    <row r="369" spans="1:5" x14ac:dyDescent="0.3">
      <c r="A369">
        <v>1980</v>
      </c>
      <c r="B369">
        <v>8</v>
      </c>
      <c r="C369" s="3">
        <v>1980.58333333475</v>
      </c>
      <c r="D369" s="2">
        <v>28.55077</v>
      </c>
      <c r="E369" s="3">
        <f>STANDARDIZE(D369,H$6,I$6)</f>
        <v>0.17016171744451256</v>
      </c>
    </row>
    <row r="370" spans="1:5" x14ac:dyDescent="0.3">
      <c r="A370">
        <v>1980</v>
      </c>
      <c r="B370">
        <v>9</v>
      </c>
      <c r="C370" s="3">
        <v>1980.6666666680801</v>
      </c>
      <c r="D370" s="2">
        <v>28.820509999999999</v>
      </c>
      <c r="E370" s="3">
        <f>STANDARDIZE(D370,H$5,I$5)</f>
        <v>5.2871375629040904E-3</v>
      </c>
    </row>
    <row r="371" spans="1:5" x14ac:dyDescent="0.3">
      <c r="A371">
        <v>1980</v>
      </c>
      <c r="B371">
        <v>10</v>
      </c>
      <c r="C371" s="3">
        <v>1980.7500000014099</v>
      </c>
      <c r="D371" s="2">
        <v>28.700056</v>
      </c>
      <c r="E371" s="3">
        <f>STANDARDIZE(D371,H$4,I$4)</f>
        <v>-0.71378580323542806</v>
      </c>
    </row>
    <row r="372" spans="1:5" x14ac:dyDescent="0.3">
      <c r="A372">
        <v>1980</v>
      </c>
      <c r="B372">
        <v>11</v>
      </c>
      <c r="C372" s="3">
        <v>1980.83333333474</v>
      </c>
      <c r="D372" s="2">
        <v>28.681742</v>
      </c>
      <c r="E372" s="3">
        <f>STANDARDIZE(D372,H$3,I$3)</f>
        <v>7.5758915121807583E-3</v>
      </c>
    </row>
    <row r="373" spans="1:5" x14ac:dyDescent="0.3">
      <c r="A373">
        <v>1980</v>
      </c>
      <c r="B373">
        <v>12</v>
      </c>
      <c r="C373" s="3">
        <v>1980.9166666680701</v>
      </c>
      <c r="D373" s="2">
        <v>27.690110000000001</v>
      </c>
      <c r="E373" s="3">
        <f>STANDARDIZE(D373,H$2,I$2)</f>
        <v>-0.33689328400537327</v>
      </c>
    </row>
    <row r="374" spans="1:5" x14ac:dyDescent="0.3">
      <c r="A374">
        <v>1981</v>
      </c>
      <c r="B374">
        <v>1</v>
      </c>
      <c r="C374" s="3">
        <v>1981.0000000013999</v>
      </c>
      <c r="D374" s="2">
        <v>27.302422</v>
      </c>
      <c r="E374" s="3">
        <f>STANDARDIZE(D374,H$13,I$13)</f>
        <v>0.67614668256698984</v>
      </c>
    </row>
    <row r="375" spans="1:5" x14ac:dyDescent="0.3">
      <c r="A375">
        <v>1981</v>
      </c>
      <c r="B375">
        <v>2</v>
      </c>
      <c r="C375" s="3">
        <v>1981.08333333473</v>
      </c>
      <c r="D375" s="2">
        <v>27.065819000000001</v>
      </c>
      <c r="E375" s="3">
        <f>STANDARDIZE(D375,H$12,I$12)</f>
        <v>0.4767253651345757</v>
      </c>
    </row>
    <row r="376" spans="1:5" x14ac:dyDescent="0.3">
      <c r="A376">
        <v>1981</v>
      </c>
      <c r="B376">
        <v>3</v>
      </c>
      <c r="C376" s="3">
        <v>1981.1666666680601</v>
      </c>
      <c r="D376" s="2">
        <v>27.641193000000001</v>
      </c>
      <c r="E376" s="3">
        <f>STANDARDIZE(D376,H$11,I$11)</f>
        <v>1.6364896603402177</v>
      </c>
    </row>
    <row r="377" spans="1:5" x14ac:dyDescent="0.3">
      <c r="A377">
        <v>1981</v>
      </c>
      <c r="B377">
        <v>4</v>
      </c>
      <c r="C377" s="3">
        <v>1981.2500000013899</v>
      </c>
      <c r="D377" s="2">
        <v>27.56223</v>
      </c>
      <c r="E377" s="3">
        <f>STANDARDIZE(D377,H$10,I$10)</f>
        <v>0.22880300931479233</v>
      </c>
    </row>
    <row r="378" spans="1:5" x14ac:dyDescent="0.3">
      <c r="A378">
        <v>1981</v>
      </c>
      <c r="B378">
        <v>5</v>
      </c>
      <c r="C378" s="3">
        <v>1981.33333333472</v>
      </c>
      <c r="D378" s="2">
        <v>28.898409999999998</v>
      </c>
      <c r="E378" s="3">
        <f>STANDARDIZE(D378,H$9,I$9)</f>
        <v>1.4253540213906313</v>
      </c>
    </row>
    <row r="379" spans="1:5" x14ac:dyDescent="0.3">
      <c r="A379">
        <v>1981</v>
      </c>
      <c r="B379">
        <v>6</v>
      </c>
      <c r="C379" s="3">
        <v>1981.4166666680501</v>
      </c>
      <c r="D379" s="2">
        <v>28.902926999999998</v>
      </c>
      <c r="E379" s="3">
        <f>STANDARDIZE(D379,H$8,I$8)</f>
        <v>0.68229428228457922</v>
      </c>
    </row>
    <row r="380" spans="1:5" x14ac:dyDescent="0.3">
      <c r="A380">
        <v>1981</v>
      </c>
      <c r="B380">
        <v>7</v>
      </c>
      <c r="C380" s="3">
        <v>1981.5000000013799</v>
      </c>
      <c r="D380" s="2">
        <v>28.536498999999999</v>
      </c>
      <c r="E380" s="3">
        <f>STANDARDIZE(D380,H$7,I$7)</f>
        <v>0.68442382814206659</v>
      </c>
    </row>
    <row r="381" spans="1:5" x14ac:dyDescent="0.3">
      <c r="A381">
        <v>1981</v>
      </c>
      <c r="B381">
        <v>8</v>
      </c>
      <c r="C381" s="3">
        <v>1981.58333333471</v>
      </c>
      <c r="D381" s="2">
        <v>28.467770000000002</v>
      </c>
      <c r="E381" s="3">
        <f>STANDARDIZE(D381,H$6,I$6)</f>
        <v>-7.5216932626326727E-2</v>
      </c>
    </row>
    <row r="382" spans="1:5" x14ac:dyDescent="0.3">
      <c r="A382">
        <v>1981</v>
      </c>
      <c r="B382">
        <v>9</v>
      </c>
      <c r="C382" s="3">
        <v>1981.6666666680401</v>
      </c>
      <c r="D382" s="2">
        <v>28.831500999999999</v>
      </c>
      <c r="E382" s="3">
        <f>STANDARDIZE(D382,H$5,I$5)</f>
        <v>3.7775268410703638E-2</v>
      </c>
    </row>
    <row r="383" spans="1:5" x14ac:dyDescent="0.3">
      <c r="A383">
        <v>1981</v>
      </c>
      <c r="B383">
        <v>10</v>
      </c>
      <c r="C383" s="3">
        <v>1981.7500000013699</v>
      </c>
      <c r="D383" s="2">
        <v>28.780743000000001</v>
      </c>
      <c r="E383" s="3">
        <f>STANDARDIZE(D383,H$4,I$4)</f>
        <v>-0.4581921686670285</v>
      </c>
    </row>
    <row r="384" spans="1:5" x14ac:dyDescent="0.3">
      <c r="A384">
        <v>1981</v>
      </c>
      <c r="B384">
        <v>11</v>
      </c>
      <c r="C384" s="3">
        <v>1981.8333333347</v>
      </c>
      <c r="D384" s="2">
        <v>28.377061999999999</v>
      </c>
      <c r="E384" s="3">
        <f>STANDARDIZE(D384,H$3,I$3)</f>
        <v>-0.95827498760035479</v>
      </c>
    </row>
    <row r="385" spans="1:5" x14ac:dyDescent="0.3">
      <c r="A385">
        <v>1981</v>
      </c>
      <c r="B385">
        <v>12</v>
      </c>
      <c r="C385" s="3">
        <v>1981.9166666680301</v>
      </c>
      <c r="D385" s="2">
        <v>27.829985000000001</v>
      </c>
      <c r="E385" s="3">
        <f>STANDARDIZE(D385,H$2,I$2)</f>
        <v>0.1007967399452024</v>
      </c>
    </row>
    <row r="386" spans="1:5" x14ac:dyDescent="0.3">
      <c r="A386">
        <v>1982</v>
      </c>
      <c r="B386">
        <v>1</v>
      </c>
      <c r="C386" s="3">
        <v>1982.0000000013599</v>
      </c>
      <c r="D386" s="2">
        <v>27.228565</v>
      </c>
      <c r="E386" s="3">
        <f>STANDARDIZE(D386,H$13,I$13)</f>
        <v>0.45304946568069382</v>
      </c>
    </row>
    <row r="387" spans="1:5" x14ac:dyDescent="0.3">
      <c r="A387">
        <v>1982</v>
      </c>
      <c r="B387">
        <v>2</v>
      </c>
      <c r="C387" s="3">
        <v>1982.08333333469</v>
      </c>
      <c r="D387" s="2">
        <v>27.009761999999998</v>
      </c>
      <c r="E387" s="3">
        <f>STANDARDIZE(D387,H$12,I$12)</f>
        <v>0.33297960540321686</v>
      </c>
    </row>
    <row r="388" spans="1:5" x14ac:dyDescent="0.3">
      <c r="A388">
        <v>1982</v>
      </c>
      <c r="B388">
        <v>3</v>
      </c>
      <c r="C388" s="3">
        <v>1982.1666666680201</v>
      </c>
      <c r="D388" s="2">
        <v>26.834885</v>
      </c>
      <c r="E388" s="3">
        <f>STANDARDIZE(D388,H$11,I$11)</f>
        <v>-0.35694593838453315</v>
      </c>
    </row>
    <row r="389" spans="1:5" x14ac:dyDescent="0.3">
      <c r="A389">
        <v>1982</v>
      </c>
      <c r="B389">
        <v>4</v>
      </c>
      <c r="C389" s="3">
        <v>1982.2500000013499</v>
      </c>
      <c r="D389" s="2">
        <v>27.535212999999999</v>
      </c>
      <c r="E389" s="3">
        <f>STANDARDIZE(D389,H$10,I$10)</f>
        <v>0.15230364053944445</v>
      </c>
    </row>
    <row r="390" spans="1:5" x14ac:dyDescent="0.3">
      <c r="A390">
        <v>1982</v>
      </c>
      <c r="B390">
        <v>5</v>
      </c>
      <c r="C390" s="3">
        <v>1982.33333333468</v>
      </c>
      <c r="D390" s="2">
        <v>28.335847999999999</v>
      </c>
      <c r="E390" s="3">
        <f>STANDARDIZE(D390,H$9,I$9)</f>
        <v>4.2356408566587747E-2</v>
      </c>
    </row>
    <row r="391" spans="1:5" x14ac:dyDescent="0.3">
      <c r="A391">
        <v>1982</v>
      </c>
      <c r="B391">
        <v>6</v>
      </c>
      <c r="C391" s="3">
        <v>1982.4166666680101</v>
      </c>
      <c r="D391" s="2">
        <v>28.584976000000001</v>
      </c>
      <c r="E391" s="3">
        <f>STANDARDIZE(D391,H$8,I$8)</f>
        <v>-0.16980195502044687</v>
      </c>
    </row>
    <row r="392" spans="1:5" x14ac:dyDescent="0.3">
      <c r="A392">
        <v>1982</v>
      </c>
      <c r="B392">
        <v>7</v>
      </c>
      <c r="C392" s="3">
        <v>1982.5000000013399</v>
      </c>
      <c r="D392" s="2">
        <v>27.928457000000002</v>
      </c>
      <c r="E392" s="3">
        <f>STANDARDIZE(D392,H$7,I$7)</f>
        <v>-1.0752782920656159</v>
      </c>
    </row>
    <row r="393" spans="1:5" x14ac:dyDescent="0.3">
      <c r="A393">
        <v>1982</v>
      </c>
      <c r="B393">
        <v>8</v>
      </c>
      <c r="C393" s="3">
        <v>1982.58333333467</v>
      </c>
      <c r="D393" s="2">
        <v>27.933047999999999</v>
      </c>
      <c r="E393" s="3">
        <f>STANDARDIZE(D393,H$6,I$6)</f>
        <v>-1.6560526256767165</v>
      </c>
    </row>
    <row r="394" spans="1:5" x14ac:dyDescent="0.3">
      <c r="A394">
        <v>1982</v>
      </c>
      <c r="B394">
        <v>9</v>
      </c>
      <c r="C394" s="3">
        <v>1982.6666666680001</v>
      </c>
      <c r="D394" s="2">
        <v>28.399704</v>
      </c>
      <c r="E394" s="3">
        <f>STANDARDIZE(D394,H$5,I$5)</f>
        <v>-1.2385669602933698</v>
      </c>
    </row>
    <row r="395" spans="1:5" x14ac:dyDescent="0.3">
      <c r="A395">
        <v>1982</v>
      </c>
      <c r="B395">
        <v>10</v>
      </c>
      <c r="C395" s="3">
        <v>1982.7500000013299</v>
      </c>
      <c r="D395" s="2">
        <v>28.556156000000001</v>
      </c>
      <c r="E395" s="3">
        <f>STANDARDIZE(D395,H$4,I$4)</f>
        <v>-1.1696203740385545</v>
      </c>
    </row>
    <row r="396" spans="1:5" x14ac:dyDescent="0.3">
      <c r="A396">
        <v>1982</v>
      </c>
      <c r="B396">
        <v>11</v>
      </c>
      <c r="C396" s="3">
        <v>1982.83333333466</v>
      </c>
      <c r="D396" s="2">
        <v>28.297533000000001</v>
      </c>
      <c r="E396" s="3">
        <f>STANDARDIZE(D396,H$3,I$3)</f>
        <v>-1.2103859058258304</v>
      </c>
    </row>
    <row r="397" spans="1:5" x14ac:dyDescent="0.3">
      <c r="A397">
        <v>1982</v>
      </c>
      <c r="B397">
        <v>12</v>
      </c>
      <c r="C397" s="3">
        <v>1982.9166666679901</v>
      </c>
      <c r="D397" s="2">
        <v>27.314194000000001</v>
      </c>
      <c r="E397" s="3">
        <f>STANDARDIZE(D397,H$2,I$2)</f>
        <v>-1.5131912861029939</v>
      </c>
    </row>
    <row r="398" spans="1:5" x14ac:dyDescent="0.3">
      <c r="A398">
        <v>1983</v>
      </c>
      <c r="B398">
        <v>1</v>
      </c>
      <c r="C398" s="3">
        <v>1983.0000000013199</v>
      </c>
      <c r="D398" s="2">
        <v>26.974377</v>
      </c>
      <c r="E398" s="3">
        <f>STANDARDIZE(D398,H$13,I$13)</f>
        <v>-0.31476719849322882</v>
      </c>
    </row>
    <row r="399" spans="1:5" x14ac:dyDescent="0.3">
      <c r="A399">
        <v>1983</v>
      </c>
      <c r="B399">
        <v>2</v>
      </c>
      <c r="C399" s="3">
        <v>1983.08333333465</v>
      </c>
      <c r="D399" s="2">
        <v>26.744598</v>
      </c>
      <c r="E399" s="3">
        <f>STANDARDIZE(D399,H$12,I$12)</f>
        <v>-0.34697473809365259</v>
      </c>
    </row>
    <row r="400" spans="1:5" x14ac:dyDescent="0.3">
      <c r="A400">
        <v>1983</v>
      </c>
      <c r="B400">
        <v>3</v>
      </c>
      <c r="C400" s="3">
        <v>1983.1666666679801</v>
      </c>
      <c r="D400" s="2">
        <v>27.299713000000001</v>
      </c>
      <c r="E400" s="3">
        <f>STANDARDIZE(D400,H$11,I$11)</f>
        <v>0.79224851644417793</v>
      </c>
    </row>
    <row r="401" spans="1:5" x14ac:dyDescent="0.3">
      <c r="A401">
        <v>1983</v>
      </c>
      <c r="B401">
        <v>4</v>
      </c>
      <c r="C401" s="3">
        <v>1983.2500000013099</v>
      </c>
      <c r="D401" s="2">
        <v>27.905666</v>
      </c>
      <c r="E401" s="3">
        <f>STANDARDIZE(D401,H$10,I$10)</f>
        <v>1.2012513645996021</v>
      </c>
    </row>
    <row r="402" spans="1:5" x14ac:dyDescent="0.3">
      <c r="A402">
        <v>1983</v>
      </c>
      <c r="B402">
        <v>5</v>
      </c>
      <c r="C402" s="3">
        <v>1983.33333333464</v>
      </c>
      <c r="D402" s="2">
        <v>28.765336999999999</v>
      </c>
      <c r="E402" s="3">
        <f>STANDARDIZE(D402,H$9,I$9)</f>
        <v>1.098208495508447</v>
      </c>
    </row>
    <row r="403" spans="1:5" x14ac:dyDescent="0.3">
      <c r="A403">
        <v>1983</v>
      </c>
      <c r="B403">
        <v>6</v>
      </c>
      <c r="C403" s="3">
        <v>1983.41666666797</v>
      </c>
      <c r="D403" s="2">
        <v>29.250540000000001</v>
      </c>
      <c r="E403" s="3">
        <f>STANDARDIZE(D403,H$8,I$8)</f>
        <v>1.6138835187968623</v>
      </c>
    </row>
    <row r="404" spans="1:5" x14ac:dyDescent="0.3">
      <c r="A404">
        <v>1983</v>
      </c>
      <c r="B404">
        <v>7</v>
      </c>
      <c r="C404" s="3">
        <v>1983.5000000012999</v>
      </c>
      <c r="D404" s="2">
        <v>28.50544</v>
      </c>
      <c r="E404" s="3">
        <f>STANDARDIZE(D404,H$7,I$7)</f>
        <v>0.59453762266361443</v>
      </c>
    </row>
    <row r="405" spans="1:5" x14ac:dyDescent="0.3">
      <c r="A405">
        <v>1983</v>
      </c>
      <c r="B405">
        <v>8</v>
      </c>
      <c r="C405" s="3">
        <v>1983.58333333463</v>
      </c>
      <c r="D405" s="2">
        <v>28.514420000000001</v>
      </c>
      <c r="E405" s="3">
        <f>STANDARDIZE(D405,H$6,I$6)</f>
        <v>6.2697694190598355E-2</v>
      </c>
    </row>
    <row r="406" spans="1:5" x14ac:dyDescent="0.3">
      <c r="A406">
        <v>1983</v>
      </c>
      <c r="B406">
        <v>9</v>
      </c>
      <c r="C406" s="3">
        <v>1983.66666666796</v>
      </c>
      <c r="D406" s="2">
        <v>28.658867000000001</v>
      </c>
      <c r="E406" s="3">
        <f>STANDARDIZE(D406,H$5,I$5)</f>
        <v>-0.47251096403208198</v>
      </c>
    </row>
    <row r="407" spans="1:5" x14ac:dyDescent="0.3">
      <c r="A407">
        <v>1983</v>
      </c>
      <c r="B407">
        <v>10</v>
      </c>
      <c r="C407" s="3">
        <v>1983.7500000012899</v>
      </c>
      <c r="D407" s="2">
        <v>28.807379999999998</v>
      </c>
      <c r="E407" s="3">
        <f>STANDARDIZE(D407,H$4,I$4)</f>
        <v>-0.37381367344477839</v>
      </c>
    </row>
    <row r="408" spans="1:5" x14ac:dyDescent="0.3">
      <c r="A408">
        <v>1983</v>
      </c>
      <c r="B408">
        <v>11</v>
      </c>
      <c r="C408" s="3">
        <v>1983.83333333462</v>
      </c>
      <c r="D408" s="2">
        <v>28.718912</v>
      </c>
      <c r="E408" s="3">
        <f>STANDARDIZE(D408,H$3,I$3)</f>
        <v>0.12540665551576655</v>
      </c>
    </row>
    <row r="409" spans="1:5" x14ac:dyDescent="0.3">
      <c r="A409">
        <v>1983</v>
      </c>
      <c r="B409">
        <v>12</v>
      </c>
      <c r="C409" s="3">
        <v>1983.91666666795</v>
      </c>
      <c r="D409" s="2">
        <v>27.767216000000001</v>
      </c>
      <c r="E409" s="3">
        <f>STANDARDIZE(D409,H$2,I$2)</f>
        <v>-9.561695166054153E-2</v>
      </c>
    </row>
    <row r="410" spans="1:5" x14ac:dyDescent="0.3">
      <c r="A410">
        <v>1984</v>
      </c>
      <c r="B410">
        <v>1</v>
      </c>
      <c r="C410" s="3">
        <v>1984.0000000012799</v>
      </c>
      <c r="D410" s="2">
        <v>27.36628</v>
      </c>
      <c r="E410" s="3">
        <f>STANDARDIZE(D410,H$13,I$13)</f>
        <v>0.86904027526537964</v>
      </c>
    </row>
    <row r="411" spans="1:5" x14ac:dyDescent="0.3">
      <c r="A411">
        <v>1984</v>
      </c>
      <c r="B411">
        <v>2</v>
      </c>
      <c r="C411" s="3">
        <v>1984.08333333461</v>
      </c>
      <c r="D411" s="2">
        <v>27.060241999999999</v>
      </c>
      <c r="E411" s="3">
        <f>STANDARDIZE(D411,H$12,I$12)</f>
        <v>0.46242438395431112</v>
      </c>
    </row>
    <row r="412" spans="1:5" x14ac:dyDescent="0.3">
      <c r="A412">
        <v>1984</v>
      </c>
      <c r="B412">
        <v>3</v>
      </c>
      <c r="C412" s="3">
        <v>1984.16666666794</v>
      </c>
      <c r="D412" s="2">
        <v>27.135601000000001</v>
      </c>
      <c r="E412" s="3">
        <f>STANDARDIZE(D412,H$11,I$11)</f>
        <v>0.3865143516114905</v>
      </c>
    </row>
    <row r="413" spans="1:5" x14ac:dyDescent="0.3">
      <c r="A413">
        <v>1984</v>
      </c>
      <c r="B413">
        <v>4</v>
      </c>
      <c r="C413" s="3">
        <v>1984.2500000012701</v>
      </c>
      <c r="D413" s="2">
        <v>27.550076000000001</v>
      </c>
      <c r="E413" s="3">
        <f>STANDARDIZE(D413,H$10,I$10)</f>
        <v>0.19438862843995547</v>
      </c>
    </row>
    <row r="414" spans="1:5" x14ac:dyDescent="0.3">
      <c r="A414">
        <v>1984</v>
      </c>
      <c r="B414">
        <v>5</v>
      </c>
      <c r="C414" s="3">
        <v>1984.3333333346</v>
      </c>
      <c r="D414" s="2">
        <v>28.131042000000001</v>
      </c>
      <c r="E414" s="3">
        <f>STANDARDIZE(D414,H$9,I$9)</f>
        <v>-0.46113691144442998</v>
      </c>
    </row>
    <row r="415" spans="1:5" x14ac:dyDescent="0.3">
      <c r="A415">
        <v>1984</v>
      </c>
      <c r="B415">
        <v>6</v>
      </c>
      <c r="C415" s="3">
        <v>1984.41666666793</v>
      </c>
      <c r="D415" s="2">
        <v>28.069008</v>
      </c>
      <c r="E415" s="3">
        <f>STANDARDIZE(D415,H$8,I$8)</f>
        <v>-1.5525760031278732</v>
      </c>
    </row>
    <row r="416" spans="1:5" x14ac:dyDescent="0.3">
      <c r="A416">
        <v>1984</v>
      </c>
      <c r="B416">
        <v>7</v>
      </c>
      <c r="C416" s="3">
        <v>1984.5000000012601</v>
      </c>
      <c r="D416" s="2">
        <v>27.933865000000001</v>
      </c>
      <c r="E416" s="3">
        <f>STANDARDIZE(D416,H$7,I$7)</f>
        <v>-1.0596272859409046</v>
      </c>
    </row>
    <row r="417" spans="1:5" x14ac:dyDescent="0.3">
      <c r="A417">
        <v>1984</v>
      </c>
      <c r="B417">
        <v>8</v>
      </c>
      <c r="C417" s="3">
        <v>1984.58333333459</v>
      </c>
      <c r="D417" s="2">
        <v>28.109867000000001</v>
      </c>
      <c r="E417" s="3">
        <f>STANDARDIZE(D417,H$6,I$6)</f>
        <v>-1.1333103663167525</v>
      </c>
    </row>
    <row r="418" spans="1:5" x14ac:dyDescent="0.3">
      <c r="A418">
        <v>1984</v>
      </c>
      <c r="B418">
        <v>9</v>
      </c>
      <c r="C418" s="3">
        <v>1984.66666666792</v>
      </c>
      <c r="D418" s="2">
        <v>28.300379</v>
      </c>
      <c r="E418" s="3">
        <f>STANDARDIZE(D418,H$5,I$5)</f>
        <v>-1.5321602271896952</v>
      </c>
    </row>
    <row r="419" spans="1:5" x14ac:dyDescent="0.3">
      <c r="A419">
        <v>1984</v>
      </c>
      <c r="B419">
        <v>10</v>
      </c>
      <c r="C419" s="3">
        <v>1984.7500000012501</v>
      </c>
      <c r="D419" s="2">
        <v>28.159077</v>
      </c>
      <c r="E419" s="3">
        <f>STANDARDIZE(D419,H$4,I$4)</f>
        <v>-2.4274545334543784</v>
      </c>
    </row>
    <row r="420" spans="1:5" x14ac:dyDescent="0.3">
      <c r="A420">
        <v>1984</v>
      </c>
      <c r="B420">
        <v>11</v>
      </c>
      <c r="C420" s="3">
        <v>1984.8333333345799</v>
      </c>
      <c r="D420" s="2">
        <v>27.987850000000002</v>
      </c>
      <c r="E420" s="3">
        <f>STANDARDIZE(D420,H$3,I$3)</f>
        <v>-2.1920965458291319</v>
      </c>
    </row>
    <row r="421" spans="1:5" x14ac:dyDescent="0.3">
      <c r="A421">
        <v>1984</v>
      </c>
      <c r="B421">
        <v>12</v>
      </c>
      <c r="C421" s="3">
        <v>1984.91666666791</v>
      </c>
      <c r="D421" s="2">
        <v>27.029693999999999</v>
      </c>
      <c r="E421" s="3">
        <f>STANDARDIZE(D421,H$2,I$2)</f>
        <v>-2.4034348021990755</v>
      </c>
    </row>
    <row r="422" spans="1:5" x14ac:dyDescent="0.3">
      <c r="A422">
        <v>1985</v>
      </c>
      <c r="B422">
        <v>1</v>
      </c>
      <c r="C422" s="3">
        <v>1985.0000000012401</v>
      </c>
      <c r="D422" s="2">
        <v>26.096679999999999</v>
      </c>
      <c r="E422" s="3">
        <f>STANDARDIZE(D422,H$13,I$13)</f>
        <v>-2.965995355194027</v>
      </c>
    </row>
    <row r="423" spans="1:5" x14ac:dyDescent="0.3">
      <c r="A423">
        <v>1985</v>
      </c>
      <c r="B423">
        <v>2</v>
      </c>
      <c r="C423" s="3">
        <v>1985.0833333345699</v>
      </c>
      <c r="D423" s="2">
        <v>26.421638000000002</v>
      </c>
      <c r="E423" s="3">
        <f>STANDARDIZE(D423,H$12,I$12)</f>
        <v>-1.1751341216289326</v>
      </c>
    </row>
    <row r="424" spans="1:5" x14ac:dyDescent="0.3">
      <c r="A424">
        <v>1985</v>
      </c>
      <c r="B424">
        <v>3</v>
      </c>
      <c r="C424" s="3">
        <v>1985.1666666679</v>
      </c>
      <c r="D424" s="2">
        <v>26.229607000000001</v>
      </c>
      <c r="E424" s="3">
        <f>STANDARDIZE(D424,H$11,I$11)</f>
        <v>-1.8533749857521824</v>
      </c>
    </row>
    <row r="425" spans="1:5" x14ac:dyDescent="0.3">
      <c r="A425">
        <v>1985</v>
      </c>
      <c r="B425">
        <v>4</v>
      </c>
      <c r="C425" s="3">
        <v>1985.2500000012301</v>
      </c>
      <c r="D425" s="2">
        <v>26.904177000000001</v>
      </c>
      <c r="E425" s="3">
        <f>STANDARDIZE(D425,H$10,I$10)</f>
        <v>-1.6344919205709296</v>
      </c>
    </row>
    <row r="426" spans="1:5" x14ac:dyDescent="0.3">
      <c r="A426">
        <v>1985</v>
      </c>
      <c r="B426">
        <v>5</v>
      </c>
      <c r="C426" s="3">
        <v>1985.3333333345599</v>
      </c>
      <c r="D426" s="2">
        <v>27.899887</v>
      </c>
      <c r="E426" s="3">
        <f>STANDARDIZE(D426,H$9,I$9)</f>
        <v>-1.029406387861862</v>
      </c>
    </row>
    <row r="427" spans="1:5" x14ac:dyDescent="0.3">
      <c r="A427">
        <v>1985</v>
      </c>
      <c r="B427">
        <v>6</v>
      </c>
      <c r="C427" s="3">
        <v>1985.41666666789</v>
      </c>
      <c r="D427" s="2">
        <v>28.208447</v>
      </c>
      <c r="E427" s="3">
        <f>STANDARDIZE(D427,H$8,I$8)</f>
        <v>-1.1788849399339343</v>
      </c>
    </row>
    <row r="428" spans="1:5" x14ac:dyDescent="0.3">
      <c r="A428">
        <v>1985</v>
      </c>
      <c r="B428">
        <v>7</v>
      </c>
      <c r="C428" s="3">
        <v>1985.5000000012201</v>
      </c>
      <c r="D428" s="2">
        <v>28.003826</v>
      </c>
      <c r="E428" s="3">
        <f>STANDARDIZE(D428,H$7,I$7)</f>
        <v>-0.85715686443737538</v>
      </c>
    </row>
    <row r="429" spans="1:5" x14ac:dyDescent="0.3">
      <c r="A429">
        <v>1985</v>
      </c>
      <c r="B429">
        <v>8</v>
      </c>
      <c r="C429" s="3">
        <v>1985.5833333345499</v>
      </c>
      <c r="D429" s="2">
        <v>28.068059999999999</v>
      </c>
      <c r="E429" s="3">
        <f>STANDARDIZE(D429,H$6,I$6)</f>
        <v>-1.2569072967205153</v>
      </c>
    </row>
    <row r="430" spans="1:5" x14ac:dyDescent="0.3">
      <c r="A430">
        <v>1985</v>
      </c>
      <c r="B430">
        <v>9</v>
      </c>
      <c r="C430" s="3">
        <v>1985.66666666788</v>
      </c>
      <c r="D430" s="2">
        <v>28.385859</v>
      </c>
      <c r="E430" s="3">
        <f>STANDARDIZE(D430,H$5,I$5)</f>
        <v>-1.27949118662289</v>
      </c>
    </row>
    <row r="431" spans="1:5" x14ac:dyDescent="0.3">
      <c r="A431">
        <v>1985</v>
      </c>
      <c r="B431">
        <v>10</v>
      </c>
      <c r="C431" s="3">
        <v>1985.7500000012101</v>
      </c>
      <c r="D431" s="2">
        <v>28.344597</v>
      </c>
      <c r="E431" s="3">
        <f>STANDARDIZE(D431,H$4,I$4)</f>
        <v>-1.8397795537782353</v>
      </c>
    </row>
    <row r="432" spans="1:5" x14ac:dyDescent="0.3">
      <c r="A432">
        <v>1985</v>
      </c>
      <c r="B432">
        <v>11</v>
      </c>
      <c r="C432" s="3">
        <v>1985.8333333345399</v>
      </c>
      <c r="D432" s="2">
        <v>27.878197</v>
      </c>
      <c r="E432" s="3">
        <f>STANDARDIZE(D432,H$3,I$3)</f>
        <v>-2.5397020547149398</v>
      </c>
    </row>
    <row r="433" spans="1:5" x14ac:dyDescent="0.3">
      <c r="A433">
        <v>1985</v>
      </c>
      <c r="B433">
        <v>12</v>
      </c>
      <c r="C433" s="3">
        <v>1985.91666666787</v>
      </c>
      <c r="D433" s="2">
        <v>27.245971999999998</v>
      </c>
      <c r="E433" s="3">
        <f>STANDARDIZE(D433,H$2,I$2)</f>
        <v>-1.7266682391965216</v>
      </c>
    </row>
    <row r="434" spans="1:5" x14ac:dyDescent="0.3">
      <c r="A434">
        <v>1986</v>
      </c>
      <c r="B434">
        <v>1</v>
      </c>
      <c r="C434" s="3">
        <v>1986.0000000012001</v>
      </c>
      <c r="D434" s="2">
        <v>26.453082999999999</v>
      </c>
      <c r="E434" s="3">
        <f>STANDARDIZE(D434,H$13,I$13)</f>
        <v>-1.8894214706613992</v>
      </c>
    </row>
    <row r="435" spans="1:5" x14ac:dyDescent="0.3">
      <c r="A435">
        <v>1986</v>
      </c>
      <c r="B435">
        <v>2</v>
      </c>
      <c r="C435" s="3">
        <v>1986.0833333345299</v>
      </c>
      <c r="D435" s="2">
        <v>26.251438</v>
      </c>
      <c r="E435" s="3">
        <f>STANDARDIZE(D435,H$12,I$12)</f>
        <v>-1.6115743218943104</v>
      </c>
    </row>
    <row r="436" spans="1:5" x14ac:dyDescent="0.3">
      <c r="A436">
        <v>1986</v>
      </c>
      <c r="B436">
        <v>3</v>
      </c>
      <c r="C436" s="3">
        <v>1986.16666666786</v>
      </c>
      <c r="D436" s="2">
        <v>26.381073000000001</v>
      </c>
      <c r="E436" s="3">
        <f>STANDARDIZE(D436,H$11,I$11)</f>
        <v>-1.4789055319002535</v>
      </c>
    </row>
    <row r="437" spans="1:5" x14ac:dyDescent="0.3">
      <c r="A437">
        <v>1986</v>
      </c>
      <c r="B437">
        <v>4</v>
      </c>
      <c r="C437" s="3">
        <v>1986.2500000011901</v>
      </c>
      <c r="D437" s="2">
        <v>27.155024999999998</v>
      </c>
      <c r="E437" s="3">
        <f>STANDARDIZE(D437,H$10,I$10)</f>
        <v>-0.92420900024084962</v>
      </c>
    </row>
    <row r="438" spans="1:5" x14ac:dyDescent="0.3">
      <c r="A438">
        <v>1986</v>
      </c>
      <c r="B438">
        <v>5</v>
      </c>
      <c r="C438" s="3">
        <v>1986.3333333345199</v>
      </c>
      <c r="D438" s="2">
        <v>28.080646999999999</v>
      </c>
      <c r="E438" s="3">
        <f>STANDARDIZE(D438,H$9,I$9)</f>
        <v>-0.5850275487399994</v>
      </c>
    </row>
    <row r="439" spans="1:5" x14ac:dyDescent="0.3">
      <c r="A439">
        <v>1986</v>
      </c>
      <c r="B439">
        <v>6</v>
      </c>
      <c r="C439" s="3">
        <v>1986.41666666785</v>
      </c>
      <c r="D439" s="2">
        <v>28.42773</v>
      </c>
      <c r="E439" s="3">
        <f>STANDARDIZE(D439,H$8,I$8)</f>
        <v>-0.59121508135522138</v>
      </c>
    </row>
    <row r="440" spans="1:5" x14ac:dyDescent="0.3">
      <c r="A440">
        <v>1986</v>
      </c>
      <c r="B440">
        <v>7</v>
      </c>
      <c r="C440" s="3">
        <v>1986.5000000011801</v>
      </c>
      <c r="D440" s="2">
        <v>27.797011999999999</v>
      </c>
      <c r="E440" s="3">
        <f>STANDARDIZE(D440,H$7,I$7)</f>
        <v>-1.455686298734078</v>
      </c>
    </row>
    <row r="441" spans="1:5" x14ac:dyDescent="0.3">
      <c r="A441">
        <v>1986</v>
      </c>
      <c r="B441">
        <v>8</v>
      </c>
      <c r="C441" s="3">
        <v>1986.5833333345099</v>
      </c>
      <c r="D441" s="2">
        <v>28.042576</v>
      </c>
      <c r="E441" s="3">
        <f>STANDARDIZE(D441,H$6,I$6)</f>
        <v>-1.3322474114000946</v>
      </c>
    </row>
    <row r="442" spans="1:5" x14ac:dyDescent="0.3">
      <c r="A442">
        <v>1986</v>
      </c>
      <c r="B442">
        <v>9</v>
      </c>
      <c r="C442" s="3">
        <v>1986.66666666784</v>
      </c>
      <c r="D442" s="2">
        <v>28.452005</v>
      </c>
      <c r="E442" s="3">
        <f>STANDARDIZE(D442,H$5,I$5)</f>
        <v>-1.0839712245577076</v>
      </c>
    </row>
    <row r="443" spans="1:5" x14ac:dyDescent="0.3">
      <c r="A443">
        <v>1986</v>
      </c>
      <c r="B443">
        <v>10</v>
      </c>
      <c r="C443" s="3">
        <v>1986.7500000011701</v>
      </c>
      <c r="D443" s="2">
        <v>28.503032999999999</v>
      </c>
      <c r="E443" s="3">
        <f>STANDARDIZE(D443,H$4,I$4)</f>
        <v>-1.3378990391169148</v>
      </c>
    </row>
    <row r="444" spans="1:5" x14ac:dyDescent="0.3">
      <c r="A444">
        <v>1986</v>
      </c>
      <c r="B444">
        <v>11</v>
      </c>
      <c r="C444" s="3">
        <v>1986.8333333344999</v>
      </c>
      <c r="D444" s="2">
        <v>28.061070000000001</v>
      </c>
      <c r="E444" s="3">
        <f>STANDARDIZE(D444,H$3,I$3)</f>
        <v>-1.9599854739877942</v>
      </c>
    </row>
    <row r="445" spans="1:5" x14ac:dyDescent="0.3">
      <c r="A445">
        <v>1986</v>
      </c>
      <c r="B445">
        <v>12</v>
      </c>
      <c r="C445" s="3">
        <v>1986.91666666783</v>
      </c>
      <c r="D445" s="2">
        <v>27.205338000000001</v>
      </c>
      <c r="E445" s="3">
        <f>STANDARDIZE(D445,H$2,I$2)</f>
        <v>-1.8538181690139046</v>
      </c>
    </row>
    <row r="446" spans="1:5" x14ac:dyDescent="0.3">
      <c r="A446">
        <v>1987</v>
      </c>
      <c r="B446">
        <v>1</v>
      </c>
      <c r="C446" s="3">
        <v>1987.0000000011601</v>
      </c>
      <c r="D446" s="2">
        <v>26.907608</v>
      </c>
      <c r="E446" s="3">
        <f>STANDARDIZE(D446,H$13,I$13)</f>
        <v>-0.51645394550815238</v>
      </c>
    </row>
    <row r="447" spans="1:5" x14ac:dyDescent="0.3">
      <c r="A447">
        <v>1987</v>
      </c>
      <c r="B447">
        <v>2</v>
      </c>
      <c r="C447" s="3">
        <v>1987.0833333344899</v>
      </c>
      <c r="D447" s="2">
        <v>26.76116</v>
      </c>
      <c r="E447" s="3">
        <f>STANDARDIZE(D447,H$12,I$12)</f>
        <v>-0.30450515761894453</v>
      </c>
    </row>
    <row r="448" spans="1:5" x14ac:dyDescent="0.3">
      <c r="A448">
        <v>1987</v>
      </c>
      <c r="B448">
        <v>3</v>
      </c>
      <c r="C448" s="3">
        <v>1987.16666666782</v>
      </c>
      <c r="D448" s="2">
        <v>27.103563000000001</v>
      </c>
      <c r="E448" s="3">
        <f>STANDARDIZE(D448,H$11,I$11)</f>
        <v>0.30730679108630221</v>
      </c>
    </row>
    <row r="449" spans="1:5" x14ac:dyDescent="0.3">
      <c r="A449">
        <v>1987</v>
      </c>
      <c r="B449">
        <v>4</v>
      </c>
      <c r="C449" s="3">
        <v>1987.2500000011501</v>
      </c>
      <c r="D449" s="2">
        <v>27.661086999999998</v>
      </c>
      <c r="E449" s="3">
        <f>STANDARDIZE(D449,H$10,I$10)</f>
        <v>0.50871928791805232</v>
      </c>
    </row>
    <row r="450" spans="1:5" x14ac:dyDescent="0.3">
      <c r="A450">
        <v>1987</v>
      </c>
      <c r="B450">
        <v>5</v>
      </c>
      <c r="C450" s="3">
        <v>1987.3333333344799</v>
      </c>
      <c r="D450" s="2">
        <v>28.794291999999999</v>
      </c>
      <c r="E450" s="3">
        <f>STANDARDIZE(D450,H$9,I$9)</f>
        <v>1.1693912200424894</v>
      </c>
    </row>
    <row r="451" spans="1:5" x14ac:dyDescent="0.3">
      <c r="A451">
        <v>1987</v>
      </c>
      <c r="B451">
        <v>6</v>
      </c>
      <c r="C451" s="3">
        <v>1987.41666666781</v>
      </c>
      <c r="D451" s="2">
        <v>29.119105999999999</v>
      </c>
      <c r="E451" s="3">
        <f>STANDARDIZE(D451,H$8,I$8)</f>
        <v>1.2616455423352322</v>
      </c>
    </row>
    <row r="452" spans="1:5" x14ac:dyDescent="0.3">
      <c r="A452">
        <v>1987</v>
      </c>
      <c r="B452">
        <v>7</v>
      </c>
      <c r="C452" s="3">
        <v>1987.5000000011401</v>
      </c>
      <c r="D452" s="2">
        <v>28.532698</v>
      </c>
      <c r="E452" s="3">
        <f>STANDARDIZE(D452,H$7,I$7)</f>
        <v>0.6734235555311151</v>
      </c>
    </row>
    <row r="453" spans="1:5" x14ac:dyDescent="0.3">
      <c r="A453">
        <v>1987</v>
      </c>
      <c r="B453">
        <v>8</v>
      </c>
      <c r="C453" s="3">
        <v>1987.5833333344699</v>
      </c>
      <c r="D453" s="2">
        <v>28.876339999999999</v>
      </c>
      <c r="E453" s="3">
        <f>STANDARDIZE(D453,H$6,I$6)</f>
        <v>1.1326668632705901</v>
      </c>
    </row>
    <row r="454" spans="1:5" x14ac:dyDescent="0.3">
      <c r="A454">
        <v>1987</v>
      </c>
      <c r="B454">
        <v>9</v>
      </c>
      <c r="C454" s="3">
        <v>1987.6666666678</v>
      </c>
      <c r="D454" s="2">
        <v>29.046396000000001</v>
      </c>
      <c r="E454" s="3">
        <f>STANDARDIZE(D454,H$5,I$5)</f>
        <v>0.67298015227364105</v>
      </c>
    </row>
    <row r="455" spans="1:5" x14ac:dyDescent="0.3">
      <c r="A455">
        <v>1987</v>
      </c>
      <c r="B455">
        <v>10</v>
      </c>
      <c r="C455" s="3">
        <v>1987.75000000113</v>
      </c>
      <c r="D455" s="2">
        <v>29.300514</v>
      </c>
      <c r="E455" s="3">
        <f>STANDARDIZE(D455,H$4,I$4)</f>
        <v>1.188295605488034</v>
      </c>
    </row>
    <row r="456" spans="1:5" x14ac:dyDescent="0.3">
      <c r="A456">
        <v>1987</v>
      </c>
      <c r="B456">
        <v>11</v>
      </c>
      <c r="C456" s="3">
        <v>1987.8333333344599</v>
      </c>
      <c r="D456" s="2">
        <v>28.763072999999999</v>
      </c>
      <c r="E456" s="3">
        <f>STANDARDIZE(D456,H$3,I$3)</f>
        <v>0.26539924010447458</v>
      </c>
    </row>
    <row r="457" spans="1:5" x14ac:dyDescent="0.3">
      <c r="A457">
        <v>1987</v>
      </c>
      <c r="B457">
        <v>12</v>
      </c>
      <c r="C457" s="3">
        <v>1987.91666666779</v>
      </c>
      <c r="D457" s="2">
        <v>28.097216</v>
      </c>
      <c r="E457" s="3">
        <f>STANDARDIZE(D457,H$2,I$2)</f>
        <v>0.93700294398692408</v>
      </c>
    </row>
    <row r="458" spans="1:5" x14ac:dyDescent="0.3">
      <c r="A458">
        <v>1988</v>
      </c>
      <c r="B458">
        <v>1</v>
      </c>
      <c r="C458" s="3">
        <v>1988.00000000112</v>
      </c>
      <c r="D458" s="2">
        <v>27.169080000000001</v>
      </c>
      <c r="E458" s="3">
        <f>STANDARDIZE(D458,H$13,I$13)</f>
        <v>0.27336523877625729</v>
      </c>
    </row>
    <row r="459" spans="1:5" x14ac:dyDescent="0.3">
      <c r="A459">
        <v>1988</v>
      </c>
      <c r="B459">
        <v>2</v>
      </c>
      <c r="C459" s="3">
        <v>1988.0833333344499</v>
      </c>
      <c r="D459" s="2">
        <v>27.052219999999998</v>
      </c>
      <c r="E459" s="3">
        <f>STANDARDIZE(D459,H$12,I$12)</f>
        <v>0.44185374184779513</v>
      </c>
    </row>
    <row r="460" spans="1:5" x14ac:dyDescent="0.3">
      <c r="A460">
        <v>1988</v>
      </c>
      <c r="B460">
        <v>3</v>
      </c>
      <c r="C460" s="3">
        <v>1988.16666666778</v>
      </c>
      <c r="D460" s="2">
        <v>27.139492000000001</v>
      </c>
      <c r="E460" s="3">
        <f>STANDARDIZE(D460,H$11,I$11)</f>
        <v>0.39613407250553695</v>
      </c>
    </row>
    <row r="461" spans="1:5" x14ac:dyDescent="0.3">
      <c r="A461">
        <v>1988</v>
      </c>
      <c r="B461">
        <v>4</v>
      </c>
      <c r="C461" s="3">
        <v>1988.25000000111</v>
      </c>
      <c r="D461" s="2">
        <v>27.590651999999999</v>
      </c>
      <c r="E461" s="3">
        <f>STANDARDIZE(D461,H$10,I$10)</f>
        <v>0.30928067372360185</v>
      </c>
    </row>
    <row r="462" spans="1:5" x14ac:dyDescent="0.3">
      <c r="A462">
        <v>1988</v>
      </c>
      <c r="B462">
        <v>5</v>
      </c>
      <c r="C462" s="3">
        <v>1988.3333333344401</v>
      </c>
      <c r="D462" s="2">
        <v>28.653555000000001</v>
      </c>
      <c r="E462" s="3">
        <f>STANDARDIZE(D462,H$9,I$9)</f>
        <v>0.82340458206122757</v>
      </c>
    </row>
    <row r="463" spans="1:5" x14ac:dyDescent="0.3">
      <c r="A463">
        <v>1988</v>
      </c>
      <c r="B463">
        <v>6</v>
      </c>
      <c r="C463" s="3">
        <v>1988.41666666777</v>
      </c>
      <c r="D463" s="2">
        <v>28.977024</v>
      </c>
      <c r="E463" s="3">
        <f>STANDARDIZE(D463,H$8,I$8)</f>
        <v>0.88087134257246213</v>
      </c>
    </row>
    <row r="464" spans="1:5" x14ac:dyDescent="0.3">
      <c r="A464">
        <v>1988</v>
      </c>
      <c r="B464">
        <v>7</v>
      </c>
      <c r="C464" s="3">
        <v>1988.5000000011</v>
      </c>
      <c r="D464" s="2">
        <v>28.588062000000001</v>
      </c>
      <c r="E464" s="3">
        <f>STANDARDIZE(D464,H$7,I$7)</f>
        <v>0.83364957311407817</v>
      </c>
    </row>
    <row r="465" spans="1:5" x14ac:dyDescent="0.3">
      <c r="A465">
        <v>1988</v>
      </c>
      <c r="B465">
        <v>8</v>
      </c>
      <c r="C465" s="3">
        <v>1988.5833333344301</v>
      </c>
      <c r="D465" s="2">
        <v>28.689496999999999</v>
      </c>
      <c r="E465" s="3">
        <f>STANDARDIZE(D465,H$6,I$6)</f>
        <v>0.58028995826834173</v>
      </c>
    </row>
    <row r="466" spans="1:5" x14ac:dyDescent="0.3">
      <c r="A466">
        <v>1988</v>
      </c>
      <c r="B466">
        <v>9</v>
      </c>
      <c r="C466" s="3">
        <v>1988.66666666776</v>
      </c>
      <c r="D466" s="2">
        <v>28.857769000000001</v>
      </c>
      <c r="E466" s="3">
        <f>STANDARDIZE(D466,H$5,I$5)</f>
        <v>0.1154204527533481</v>
      </c>
    </row>
    <row r="467" spans="1:5" x14ac:dyDescent="0.3">
      <c r="A467">
        <v>1988</v>
      </c>
      <c r="B467">
        <v>10</v>
      </c>
      <c r="C467" s="3">
        <v>1988.7500000011</v>
      </c>
      <c r="D467" s="2">
        <v>28.717724</v>
      </c>
      <c r="E467" s="3">
        <f>STANDARDIZE(D467,H$4,I$4)</f>
        <v>-0.65781856767635982</v>
      </c>
    </row>
    <row r="468" spans="1:5" x14ac:dyDescent="0.3">
      <c r="A468">
        <v>1988</v>
      </c>
      <c r="B468">
        <v>11</v>
      </c>
      <c r="C468" s="3">
        <v>1988.8333333344301</v>
      </c>
      <c r="D468" s="2">
        <v>28.411228000000001</v>
      </c>
      <c r="E468" s="3">
        <f>STANDARDIZE(D468,H$3,I$3)</f>
        <v>-0.84996705424154795</v>
      </c>
    </row>
    <row r="469" spans="1:5" x14ac:dyDescent="0.3">
      <c r="A469">
        <v>1988</v>
      </c>
      <c r="B469">
        <v>12</v>
      </c>
      <c r="C469" s="3">
        <v>1988.91666666776</v>
      </c>
      <c r="D469" s="2">
        <v>27.266145999999999</v>
      </c>
      <c r="E469" s="3">
        <f>STANDARDIZE(D469,H$2,I$2)</f>
        <v>-1.6635407429092701</v>
      </c>
    </row>
    <row r="470" spans="1:5" x14ac:dyDescent="0.3">
      <c r="A470">
        <v>1989</v>
      </c>
      <c r="B470">
        <v>1</v>
      </c>
      <c r="C470" s="3">
        <v>1989.00000000109</v>
      </c>
      <c r="D470" s="2">
        <v>26.728110000000001</v>
      </c>
      <c r="E470" s="3">
        <f>STANDARDIZE(D470,H$13,I$13)</f>
        <v>-1.0586571792795747</v>
      </c>
    </row>
    <row r="471" spans="1:5" x14ac:dyDescent="0.3">
      <c r="A471">
        <v>1989</v>
      </c>
      <c r="B471">
        <v>2</v>
      </c>
      <c r="C471" s="3">
        <v>1989.0833333344201</v>
      </c>
      <c r="D471" s="2">
        <v>26.394656999999999</v>
      </c>
      <c r="E471" s="3">
        <f>STANDARDIZE(D471,H$12,I$12)</f>
        <v>-1.2443209197685408</v>
      </c>
    </row>
    <row r="472" spans="1:5" x14ac:dyDescent="0.3">
      <c r="A472">
        <v>1989</v>
      </c>
      <c r="B472">
        <v>3</v>
      </c>
      <c r="C472" s="3">
        <v>1989.16666666775</v>
      </c>
      <c r="D472" s="2">
        <v>26.214655</v>
      </c>
      <c r="E472" s="3">
        <f>STANDARDIZE(D472,H$11,I$11)</f>
        <v>-1.8903408214776551</v>
      </c>
    </row>
    <row r="473" spans="1:5" x14ac:dyDescent="0.3">
      <c r="A473">
        <v>1989</v>
      </c>
      <c r="B473">
        <v>4</v>
      </c>
      <c r="C473" s="3">
        <v>1989.25000000108</v>
      </c>
      <c r="D473" s="2">
        <v>26.806018999999999</v>
      </c>
      <c r="E473" s="3">
        <f>STANDARDIZE(D473,H$10,I$10)</f>
        <v>-1.9124289617024584</v>
      </c>
    </row>
    <row r="474" spans="1:5" x14ac:dyDescent="0.3">
      <c r="A474">
        <v>1989</v>
      </c>
      <c r="B474">
        <v>5</v>
      </c>
      <c r="C474" s="3">
        <v>1989.3333333344101</v>
      </c>
      <c r="D474" s="2">
        <v>27.854078000000001</v>
      </c>
      <c r="E474" s="3">
        <f>STANDARDIZE(D474,H$9,I$9)</f>
        <v>-1.1420228419519969</v>
      </c>
    </row>
    <row r="475" spans="1:5" x14ac:dyDescent="0.3">
      <c r="A475">
        <v>1989</v>
      </c>
      <c r="B475">
        <v>6</v>
      </c>
      <c r="C475" s="3">
        <v>1989.4166666677399</v>
      </c>
      <c r="D475" s="2">
        <v>28.129704</v>
      </c>
      <c r="E475" s="3">
        <f>STANDARDIZE(D475,H$8,I$8)</f>
        <v>-1.3899130984052386</v>
      </c>
    </row>
    <row r="476" spans="1:5" x14ac:dyDescent="0.3">
      <c r="A476">
        <v>1989</v>
      </c>
      <c r="B476">
        <v>7</v>
      </c>
      <c r="C476" s="3">
        <v>1989.50000000107</v>
      </c>
      <c r="D476" s="2">
        <v>27.92024</v>
      </c>
      <c r="E476" s="3">
        <f>STANDARDIZE(D476,H$7,I$7)</f>
        <v>-1.0990586761866963</v>
      </c>
    </row>
    <row r="477" spans="1:5" x14ac:dyDescent="0.3">
      <c r="A477">
        <v>1989</v>
      </c>
      <c r="B477">
        <v>8</v>
      </c>
      <c r="C477" s="3">
        <v>1989.5833333344001</v>
      </c>
      <c r="D477" s="2">
        <v>28.569210000000002</v>
      </c>
      <c r="E477" s="3">
        <f>STANDARDIZE(D477,H$6,I$6)</f>
        <v>0.22467716693013667</v>
      </c>
    </row>
    <row r="478" spans="1:5" x14ac:dyDescent="0.3">
      <c r="A478">
        <v>1989</v>
      </c>
      <c r="B478">
        <v>9</v>
      </c>
      <c r="C478" s="3">
        <v>1989.6666666677299</v>
      </c>
      <c r="D478" s="2">
        <v>28.668156</v>
      </c>
      <c r="E478" s="3">
        <f>STANDARDIZE(D478,H$5,I$5)</f>
        <v>-0.44505374927044428</v>
      </c>
    </row>
    <row r="479" spans="1:5" x14ac:dyDescent="0.3">
      <c r="A479">
        <v>1989</v>
      </c>
      <c r="B479">
        <v>10</v>
      </c>
      <c r="C479" s="3">
        <v>1989.75000000106</v>
      </c>
      <c r="D479" s="2">
        <v>28.470669000000001</v>
      </c>
      <c r="E479" s="3">
        <f>STANDARDIZE(D479,H$4,I$4)</f>
        <v>-1.4404190533592458</v>
      </c>
    </row>
    <row r="480" spans="1:5" x14ac:dyDescent="0.3">
      <c r="A480">
        <v>1989</v>
      </c>
      <c r="B480">
        <v>11</v>
      </c>
      <c r="C480" s="3">
        <v>1989.8333333343901</v>
      </c>
      <c r="D480" s="2">
        <v>28.517444999999999</v>
      </c>
      <c r="E480" s="3">
        <f>STANDARDIZE(D480,H$3,I$3)</f>
        <v>-0.51325383766450572</v>
      </c>
    </row>
    <row r="481" spans="1:5" x14ac:dyDescent="0.3">
      <c r="A481">
        <v>1989</v>
      </c>
      <c r="B481">
        <v>12</v>
      </c>
      <c r="C481" s="3">
        <v>1989.9166666677199</v>
      </c>
      <c r="D481" s="2">
        <v>27.523340000000001</v>
      </c>
      <c r="E481" s="3">
        <f>STANDARDIZE(D481,H$2,I$2)</f>
        <v>-0.8587418294512168</v>
      </c>
    </row>
    <row r="482" spans="1:5" x14ac:dyDescent="0.3">
      <c r="A482">
        <v>1990</v>
      </c>
      <c r="B482">
        <v>1</v>
      </c>
      <c r="C482" s="3">
        <v>1990.00000000105</v>
      </c>
      <c r="D482" s="2">
        <v>27.100798000000001</v>
      </c>
      <c r="E482" s="3">
        <f>STANDARDIZE(D482,H$13,I$13)</f>
        <v>6.7108226395169585E-2</v>
      </c>
    </row>
    <row r="483" spans="1:5" x14ac:dyDescent="0.3">
      <c r="A483">
        <v>1990</v>
      </c>
      <c r="B483">
        <v>2</v>
      </c>
      <c r="C483" s="3">
        <v>1990.0833333343801</v>
      </c>
      <c r="D483" s="2">
        <v>26.502728000000001</v>
      </c>
      <c r="E483" s="3">
        <f>STANDARDIZE(D483,H$12,I$12)</f>
        <v>-0.96719677827100614</v>
      </c>
    </row>
    <row r="484" spans="1:5" x14ac:dyDescent="0.3">
      <c r="A484">
        <v>1990</v>
      </c>
      <c r="B484">
        <v>3</v>
      </c>
      <c r="C484" s="3">
        <v>1990.1666666677099</v>
      </c>
      <c r="D484" s="2">
        <v>26.766666000000001</v>
      </c>
      <c r="E484" s="3">
        <f>STANDARDIZE(D484,H$11,I$11)</f>
        <v>-0.52560380003219365</v>
      </c>
    </row>
    <row r="485" spans="1:5" x14ac:dyDescent="0.3">
      <c r="A485">
        <v>1990</v>
      </c>
      <c r="B485">
        <v>4</v>
      </c>
      <c r="C485" s="3">
        <v>1990.25000000104</v>
      </c>
      <c r="D485" s="2">
        <v>27.372534000000002</v>
      </c>
      <c r="E485" s="3">
        <f>STANDARDIZE(D485,H$10,I$10)</f>
        <v>-0.30832636327312773</v>
      </c>
    </row>
    <row r="486" spans="1:5" x14ac:dyDescent="0.3">
      <c r="A486">
        <v>1990</v>
      </c>
      <c r="B486">
        <v>5</v>
      </c>
      <c r="C486" s="3">
        <v>1990.3333333343701</v>
      </c>
      <c r="D486" s="2">
        <v>28.14134</v>
      </c>
      <c r="E486" s="3">
        <f>STANDARDIZE(D486,H$9,I$9)</f>
        <v>-0.4358203962570189</v>
      </c>
    </row>
    <row r="487" spans="1:5" x14ac:dyDescent="0.3">
      <c r="A487">
        <v>1990</v>
      </c>
      <c r="B487">
        <v>6</v>
      </c>
      <c r="C487" s="3">
        <v>1990.4166666676999</v>
      </c>
      <c r="D487" s="2">
        <v>28.557456999999999</v>
      </c>
      <c r="E487" s="3">
        <f>STANDARDIZE(D487,H$8,I$8)</f>
        <v>-0.24355179809185915</v>
      </c>
    </row>
    <row r="488" spans="1:5" x14ac:dyDescent="0.3">
      <c r="A488">
        <v>1990</v>
      </c>
      <c r="B488">
        <v>7</v>
      </c>
      <c r="C488" s="3">
        <v>1990.50000000103</v>
      </c>
      <c r="D488" s="2">
        <v>28.185023999999999</v>
      </c>
      <c r="E488" s="3">
        <f>STANDARDIZE(D488,H$7,I$7)</f>
        <v>-0.33276133784975453</v>
      </c>
    </row>
    <row r="489" spans="1:5" x14ac:dyDescent="0.3">
      <c r="A489">
        <v>1990</v>
      </c>
      <c r="B489">
        <v>8</v>
      </c>
      <c r="C489" s="3">
        <v>1990.5833333343601</v>
      </c>
      <c r="D489" s="2">
        <v>28.511348999999999</v>
      </c>
      <c r="E489" s="3">
        <f>STANDARDIZE(D489,H$6,I$6)</f>
        <v>5.3618684137971093E-2</v>
      </c>
    </row>
    <row r="490" spans="1:5" x14ac:dyDescent="0.3">
      <c r="A490">
        <v>1990</v>
      </c>
      <c r="B490">
        <v>9</v>
      </c>
      <c r="C490" s="3">
        <v>1990.6666666676899</v>
      </c>
      <c r="D490" s="2">
        <v>28.873536999999999</v>
      </c>
      <c r="E490" s="3">
        <f>STANDARDIZE(D490,H$5,I$5)</f>
        <v>0.16202884573014745</v>
      </c>
    </row>
    <row r="491" spans="1:5" x14ac:dyDescent="0.3">
      <c r="A491">
        <v>1990</v>
      </c>
      <c r="B491">
        <v>10</v>
      </c>
      <c r="C491" s="3">
        <v>1990.75000000102</v>
      </c>
      <c r="D491" s="2">
        <v>28.929722000000002</v>
      </c>
      <c r="E491" s="3">
        <f>STANDARDIZE(D491,H$4,I$4)</f>
        <v>1.3731240114624852E-2</v>
      </c>
    </row>
    <row r="492" spans="1:5" x14ac:dyDescent="0.3">
      <c r="A492">
        <v>1990</v>
      </c>
      <c r="B492">
        <v>11</v>
      </c>
      <c r="C492" s="3">
        <v>1990.8333333343501</v>
      </c>
      <c r="D492" s="2">
        <v>28.699667000000002</v>
      </c>
      <c r="E492" s="3">
        <f>STANDARDIZE(D492,H$3,I$3)</f>
        <v>6.4399040416256575E-2</v>
      </c>
    </row>
    <row r="493" spans="1:5" x14ac:dyDescent="0.3">
      <c r="A493">
        <v>1990</v>
      </c>
      <c r="B493">
        <v>12</v>
      </c>
      <c r="C493" s="3">
        <v>1990.9166666676799</v>
      </c>
      <c r="D493" s="2">
        <v>27.638186999999999</v>
      </c>
      <c r="E493" s="3">
        <f>STANDARDIZE(D493,H$2,I$2)</f>
        <v>-0.49936820170751228</v>
      </c>
    </row>
    <row r="494" spans="1:5" x14ac:dyDescent="0.3">
      <c r="A494">
        <v>1991</v>
      </c>
      <c r="B494">
        <v>1</v>
      </c>
      <c r="C494" s="3">
        <v>1991.00000000101</v>
      </c>
      <c r="D494" s="2">
        <v>26.725667999999999</v>
      </c>
      <c r="E494" s="3">
        <f>STANDARDIZE(D494,H$13,I$13)</f>
        <v>-1.0660336419525345</v>
      </c>
    </row>
    <row r="495" spans="1:5" x14ac:dyDescent="0.3">
      <c r="A495">
        <v>1991</v>
      </c>
      <c r="B495">
        <v>2</v>
      </c>
      <c r="C495" s="3">
        <v>1991.0833333343401</v>
      </c>
      <c r="D495" s="2">
        <v>26.800629000000001</v>
      </c>
      <c r="E495" s="3">
        <f>STANDARDIZE(D495,H$12,I$12)</f>
        <v>-0.2032956496032321</v>
      </c>
    </row>
    <row r="496" spans="1:5" x14ac:dyDescent="0.3">
      <c r="A496">
        <v>1991</v>
      </c>
      <c r="B496">
        <v>3</v>
      </c>
      <c r="C496" s="3">
        <v>1991.1666666676699</v>
      </c>
      <c r="D496" s="2">
        <v>26.861784</v>
      </c>
      <c r="E496" s="3">
        <f>STANDARDIZE(D496,H$11,I$11)</f>
        <v>-0.29044352966466747</v>
      </c>
    </row>
    <row r="497" spans="1:5" x14ac:dyDescent="0.3">
      <c r="A497">
        <v>1991</v>
      </c>
      <c r="B497">
        <v>4</v>
      </c>
      <c r="C497" s="3">
        <v>1991.250000001</v>
      </c>
      <c r="D497" s="2">
        <v>27.43328</v>
      </c>
      <c r="E497" s="3">
        <f>STANDARDIZE(D497,H$10,I$10)</f>
        <v>-0.13632241555032287</v>
      </c>
    </row>
    <row r="498" spans="1:5" x14ac:dyDescent="0.3">
      <c r="A498">
        <v>1991</v>
      </c>
      <c r="B498">
        <v>5</v>
      </c>
      <c r="C498" s="3">
        <v>1991.3333333343301</v>
      </c>
      <c r="D498" s="2">
        <v>28.061271999999999</v>
      </c>
      <c r="E498" s="3">
        <f>STANDARDIZE(D498,H$9,I$9)</f>
        <v>-0.6326588831501907</v>
      </c>
    </row>
    <row r="499" spans="1:5" x14ac:dyDescent="0.3">
      <c r="A499">
        <v>1991</v>
      </c>
      <c r="B499">
        <v>6</v>
      </c>
      <c r="C499" s="3">
        <v>1991.4166666676599</v>
      </c>
      <c r="D499" s="2">
        <v>28.352810000000002</v>
      </c>
      <c r="E499" s="3">
        <f>STANDARDIZE(D499,H$8,I$8)</f>
        <v>-0.79199774943581258</v>
      </c>
    </row>
    <row r="500" spans="1:5" x14ac:dyDescent="0.3">
      <c r="A500">
        <v>1991</v>
      </c>
      <c r="B500">
        <v>7</v>
      </c>
      <c r="C500" s="3">
        <v>1991.50000000099</v>
      </c>
      <c r="D500" s="2">
        <v>27.819365999999999</v>
      </c>
      <c r="E500" s="3">
        <f>STANDARDIZE(D500,H$7,I$7)</f>
        <v>-1.3909927723080699</v>
      </c>
    </row>
    <row r="501" spans="1:5" x14ac:dyDescent="0.3">
      <c r="A501">
        <v>1991</v>
      </c>
      <c r="B501">
        <v>8</v>
      </c>
      <c r="C501" s="3">
        <v>1991.5833333343201</v>
      </c>
      <c r="D501" s="2">
        <v>28.10549</v>
      </c>
      <c r="E501" s="3">
        <f>STANDARDIZE(D501,H$6,I$6)</f>
        <v>-1.1462503946463969</v>
      </c>
    </row>
    <row r="502" spans="1:5" x14ac:dyDescent="0.3">
      <c r="A502">
        <v>1991</v>
      </c>
      <c r="B502">
        <v>9</v>
      </c>
      <c r="C502" s="3">
        <v>1991.6666666676499</v>
      </c>
      <c r="D502" s="2">
        <v>28.425203</v>
      </c>
      <c r="E502" s="3">
        <f>STANDARDIZE(D502,H$5,I$5)</f>
        <v>-1.1631948514326664</v>
      </c>
    </row>
    <row r="503" spans="1:5" x14ac:dyDescent="0.3">
      <c r="A503">
        <v>1991</v>
      </c>
      <c r="B503">
        <v>10</v>
      </c>
      <c r="C503" s="3">
        <v>1991.75000000098</v>
      </c>
      <c r="D503" s="2">
        <v>28.660633000000001</v>
      </c>
      <c r="E503" s="3">
        <f>STANDARDIZE(D503,H$4,I$4)</f>
        <v>-0.83866673641660605</v>
      </c>
    </row>
    <row r="504" spans="1:5" x14ac:dyDescent="0.3">
      <c r="A504">
        <v>1991</v>
      </c>
      <c r="B504">
        <v>11</v>
      </c>
      <c r="C504" s="3">
        <v>1991.8333333343101</v>
      </c>
      <c r="D504" s="2">
        <v>28.525556999999999</v>
      </c>
      <c r="E504" s="3">
        <f>STANDARDIZE(D504,H$3,I$3)</f>
        <v>-0.48753839086339834</v>
      </c>
    </row>
    <row r="505" spans="1:5" x14ac:dyDescent="0.3">
      <c r="A505">
        <v>1991</v>
      </c>
      <c r="B505">
        <v>12</v>
      </c>
      <c r="C505" s="3">
        <v>1991.9166666676399</v>
      </c>
      <c r="D505" s="2">
        <v>27.356276999999999</v>
      </c>
      <c r="E505" s="3">
        <f>STANDARDIZE(D505,H$2,I$2)</f>
        <v>-1.3815072161983559</v>
      </c>
    </row>
    <row r="506" spans="1:5" x14ac:dyDescent="0.3">
      <c r="A506">
        <v>1992</v>
      </c>
      <c r="B506">
        <v>1</v>
      </c>
      <c r="C506" s="3">
        <v>1992.00000000097</v>
      </c>
      <c r="D506" s="2">
        <v>26.734821</v>
      </c>
      <c r="E506" s="3">
        <f>STANDARDIZE(D506,H$13,I$13)</f>
        <v>-1.0383854999191382</v>
      </c>
    </row>
    <row r="507" spans="1:5" x14ac:dyDescent="0.3">
      <c r="A507">
        <v>1992</v>
      </c>
      <c r="B507">
        <v>2</v>
      </c>
      <c r="C507" s="3">
        <v>1992.0833333343001</v>
      </c>
      <c r="D507" s="2">
        <v>26.744986999999998</v>
      </c>
      <c r="E507" s="3">
        <f>STANDARDIZE(D507,H$12,I$12)</f>
        <v>-0.34597723375814998</v>
      </c>
    </row>
    <row r="508" spans="1:5" x14ac:dyDescent="0.3">
      <c r="A508">
        <v>1992</v>
      </c>
      <c r="B508">
        <v>3</v>
      </c>
      <c r="C508" s="3">
        <v>1992.1666666676299</v>
      </c>
      <c r="D508" s="2">
        <v>26.734273999999999</v>
      </c>
      <c r="E508" s="3">
        <f>STANDARDIZE(D508,H$11,I$11)</f>
        <v>-0.60568655490241075</v>
      </c>
    </row>
    <row r="509" spans="1:5" x14ac:dyDescent="0.3">
      <c r="A509">
        <v>1992</v>
      </c>
      <c r="B509">
        <v>4</v>
      </c>
      <c r="C509" s="3">
        <v>1992.25000000096</v>
      </c>
      <c r="D509" s="2">
        <v>27.414646000000001</v>
      </c>
      <c r="E509" s="3">
        <f>STANDARDIZE(D509,H$10,I$10)</f>
        <v>-0.18908509230050591</v>
      </c>
    </row>
    <row r="510" spans="1:5" x14ac:dyDescent="0.3">
      <c r="A510">
        <v>1992</v>
      </c>
      <c r="B510">
        <v>5</v>
      </c>
      <c r="C510" s="3">
        <v>1992.33333333429</v>
      </c>
      <c r="D510" s="2">
        <v>28.337070000000001</v>
      </c>
      <c r="E510" s="3">
        <f>STANDARDIZE(D510,H$9,I$9)</f>
        <v>4.5360562922683298E-2</v>
      </c>
    </row>
    <row r="511" spans="1:5" x14ac:dyDescent="0.3">
      <c r="A511">
        <v>1992</v>
      </c>
      <c r="B511">
        <v>6</v>
      </c>
      <c r="C511" s="3">
        <v>1992.4166666676199</v>
      </c>
      <c r="D511" s="2">
        <v>28.596867</v>
      </c>
      <c r="E511" s="3">
        <f>STANDARDIZE(D511,H$8,I$8)</f>
        <v>-0.13793454036286468</v>
      </c>
    </row>
    <row r="512" spans="1:5" x14ac:dyDescent="0.3">
      <c r="A512">
        <v>1992</v>
      </c>
      <c r="B512">
        <v>7</v>
      </c>
      <c r="C512" s="3">
        <v>1992.50000000095</v>
      </c>
      <c r="D512" s="2">
        <v>27.974834000000001</v>
      </c>
      <c r="E512" s="3">
        <f>STANDARDIZE(D512,H$7,I$7)</f>
        <v>-0.94106107478642897</v>
      </c>
    </row>
    <row r="513" spans="1:5" x14ac:dyDescent="0.3">
      <c r="A513">
        <v>1992</v>
      </c>
      <c r="B513">
        <v>8</v>
      </c>
      <c r="C513" s="3">
        <v>1992.58333333428</v>
      </c>
      <c r="D513" s="2">
        <v>28.267208</v>
      </c>
      <c r="E513" s="3">
        <f>STANDARDIZE(D513,H$6,I$6)</f>
        <v>-0.66815226775294079</v>
      </c>
    </row>
    <row r="514" spans="1:5" x14ac:dyDescent="0.3">
      <c r="A514">
        <v>1992</v>
      </c>
      <c r="B514">
        <v>9</v>
      </c>
      <c r="C514" s="3">
        <v>1992.6666666676099</v>
      </c>
      <c r="D514" s="2">
        <v>28.676563000000002</v>
      </c>
      <c r="E514" s="3">
        <f>STANDARDIZE(D514,H$5,I$5)</f>
        <v>-0.4202036249835282</v>
      </c>
    </row>
    <row r="515" spans="1:5" x14ac:dyDescent="0.3">
      <c r="A515">
        <v>1992</v>
      </c>
      <c r="B515">
        <v>10</v>
      </c>
      <c r="C515" s="3">
        <v>1992.75000000094</v>
      </c>
      <c r="D515" s="2">
        <v>28.799296999999999</v>
      </c>
      <c r="E515" s="3">
        <f>STANDARDIZE(D515,H$4,I$4)</f>
        <v>-0.39941833526410658</v>
      </c>
    </row>
    <row r="516" spans="1:5" x14ac:dyDescent="0.3">
      <c r="A516">
        <v>1992</v>
      </c>
      <c r="B516">
        <v>11</v>
      </c>
      <c r="C516" s="3">
        <v>1992.83333333427</v>
      </c>
      <c r="D516" s="2">
        <v>28.560661</v>
      </c>
      <c r="E516" s="3">
        <f>STANDARDIZE(D516,H$3,I$3)</f>
        <v>-0.376256950465713</v>
      </c>
    </row>
    <row r="517" spans="1:5" x14ac:dyDescent="0.3">
      <c r="A517">
        <v>1992</v>
      </c>
      <c r="B517">
        <v>12</v>
      </c>
      <c r="C517" s="3">
        <v>1992.9166666676001</v>
      </c>
      <c r="D517" s="2">
        <v>27.694216000000001</v>
      </c>
      <c r="E517" s="3">
        <f>STANDARDIZE(D517,H$2,I$2)</f>
        <v>-0.32404498918255908</v>
      </c>
    </row>
    <row r="518" spans="1:5" x14ac:dyDescent="0.3">
      <c r="A518">
        <v>1993</v>
      </c>
      <c r="B518">
        <v>1</v>
      </c>
      <c r="C518" s="3">
        <v>1993.00000000093</v>
      </c>
      <c r="D518" s="2">
        <v>27.107855000000001</v>
      </c>
      <c r="E518" s="3">
        <f>STANDARDIZE(D518,H$13,I$13)</f>
        <v>8.8425055667499974E-2</v>
      </c>
    </row>
    <row r="519" spans="1:5" x14ac:dyDescent="0.3">
      <c r="A519">
        <v>1993</v>
      </c>
      <c r="B519">
        <v>2</v>
      </c>
      <c r="C519" s="3">
        <v>1993.08333333426</v>
      </c>
      <c r="D519" s="2">
        <v>26.868487999999999</v>
      </c>
      <c r="E519" s="3">
        <f>STANDARDIZE(D519,H$12,I$12)</f>
        <v>-2.9286275045021626E-2</v>
      </c>
    </row>
    <row r="520" spans="1:5" x14ac:dyDescent="0.3">
      <c r="A520">
        <v>1993</v>
      </c>
      <c r="B520">
        <v>3</v>
      </c>
      <c r="C520" s="3">
        <v>1993.1666666675901</v>
      </c>
      <c r="D520" s="2">
        <v>26.927567</v>
      </c>
      <c r="E520" s="3">
        <f>STANDARDIZE(D520,H$11,I$11)</f>
        <v>-0.12780819181497544</v>
      </c>
    </row>
    <row r="521" spans="1:5" x14ac:dyDescent="0.3">
      <c r="A521">
        <v>1993</v>
      </c>
      <c r="B521">
        <v>4</v>
      </c>
      <c r="C521" s="3">
        <v>1993.25000000092</v>
      </c>
      <c r="D521" s="2">
        <v>27.950142</v>
      </c>
      <c r="E521" s="3">
        <f>STANDARDIZE(D521,H$10,I$10)</f>
        <v>1.327186365734156</v>
      </c>
    </row>
    <row r="522" spans="1:5" x14ac:dyDescent="0.3">
      <c r="A522">
        <v>1993</v>
      </c>
      <c r="B522">
        <v>5</v>
      </c>
      <c r="C522" s="3">
        <v>1993.33333333425</v>
      </c>
      <c r="D522" s="2">
        <v>28.787512</v>
      </c>
      <c r="E522" s="3">
        <f>STANDARDIZE(D522,H$9,I$9)</f>
        <v>1.1527233259882415</v>
      </c>
    </row>
    <row r="523" spans="1:5" x14ac:dyDescent="0.3">
      <c r="A523">
        <v>1993</v>
      </c>
      <c r="B523">
        <v>6</v>
      </c>
      <c r="C523" s="3">
        <v>1993.4166666675801</v>
      </c>
      <c r="D523" s="2">
        <v>29.062488999999999</v>
      </c>
      <c r="E523" s="3">
        <f>STANDARDIZE(D523,H$8,I$8)</f>
        <v>1.1099141979850071</v>
      </c>
    </row>
    <row r="524" spans="1:5" x14ac:dyDescent="0.3">
      <c r="A524">
        <v>1993</v>
      </c>
      <c r="B524">
        <v>7</v>
      </c>
      <c r="C524" s="3">
        <v>1993.5000000009099</v>
      </c>
      <c r="D524" s="2">
        <v>28.247907999999999</v>
      </c>
      <c r="E524" s="3">
        <f>STANDARDIZE(D524,H$7,I$7)</f>
        <v>-0.15077208689810803</v>
      </c>
    </row>
    <row r="525" spans="1:5" x14ac:dyDescent="0.3">
      <c r="A525">
        <v>1993</v>
      </c>
      <c r="B525">
        <v>8</v>
      </c>
      <c r="C525" s="3">
        <v>1993.58333333424</v>
      </c>
      <c r="D525" s="2">
        <v>28.524956</v>
      </c>
      <c r="E525" s="3">
        <f>STANDARDIZE(D525,H$6,I$6)</f>
        <v>9.3846000903200777E-2</v>
      </c>
    </row>
    <row r="526" spans="1:5" x14ac:dyDescent="0.3">
      <c r="A526">
        <v>1993</v>
      </c>
      <c r="B526">
        <v>9</v>
      </c>
      <c r="C526" s="3">
        <v>1993.6666666675701</v>
      </c>
      <c r="D526" s="2">
        <v>28.745933999999998</v>
      </c>
      <c r="E526" s="3">
        <f>STANDARDIZE(D526,H$5,I$5)</f>
        <v>-0.21515093414170622</v>
      </c>
    </row>
    <row r="527" spans="1:5" x14ac:dyDescent="0.3">
      <c r="A527">
        <v>1993</v>
      </c>
      <c r="B527">
        <v>10</v>
      </c>
      <c r="C527" s="3">
        <v>1993.7500000008999</v>
      </c>
      <c r="D527" s="2">
        <v>28.845434000000001</v>
      </c>
      <c r="E527" s="3">
        <f>STANDARDIZE(D527,H$4,I$4)</f>
        <v>-0.25326934573565074</v>
      </c>
    </row>
    <row r="528" spans="1:5" x14ac:dyDescent="0.3">
      <c r="A528">
        <v>1993</v>
      </c>
      <c r="B528">
        <v>11</v>
      </c>
      <c r="C528" s="3">
        <v>1993.83333333423</v>
      </c>
      <c r="D528" s="2">
        <v>28.551247</v>
      </c>
      <c r="E528" s="3">
        <f>STANDARDIZE(D528,H$3,I$3)</f>
        <v>-0.40609980255959832</v>
      </c>
    </row>
    <row r="529" spans="1:5" x14ac:dyDescent="0.3">
      <c r="A529">
        <v>1993</v>
      </c>
      <c r="B529">
        <v>12</v>
      </c>
      <c r="C529" s="3">
        <v>1993.9166666675601</v>
      </c>
      <c r="D529" s="2">
        <v>27.675215000000001</v>
      </c>
      <c r="E529" s="3">
        <f>STANDARDIZE(D529,H$2,I$2)</f>
        <v>-0.38350199111345895</v>
      </c>
    </row>
    <row r="530" spans="1:5" x14ac:dyDescent="0.3">
      <c r="A530">
        <v>1994</v>
      </c>
      <c r="B530">
        <v>1</v>
      </c>
      <c r="C530" s="3">
        <v>1994.0000000008899</v>
      </c>
      <c r="D530" s="2">
        <v>26.998756</v>
      </c>
      <c r="E530" s="3">
        <f>STANDARDIZE(D530,H$13,I$13)</f>
        <v>-0.24112641900758869</v>
      </c>
    </row>
    <row r="531" spans="1:5" x14ac:dyDescent="0.3">
      <c r="A531">
        <v>1994</v>
      </c>
      <c r="B531">
        <v>2</v>
      </c>
      <c r="C531" s="3">
        <v>1994.08333333422</v>
      </c>
      <c r="D531" s="2">
        <v>26.582369</v>
      </c>
      <c r="E531" s="3">
        <f>STANDARDIZE(D531,H$12,I$12)</f>
        <v>-0.76297507445588186</v>
      </c>
    </row>
    <row r="532" spans="1:5" x14ac:dyDescent="0.3">
      <c r="A532">
        <v>1994</v>
      </c>
      <c r="B532">
        <v>3</v>
      </c>
      <c r="C532" s="3">
        <v>1994.1666666675501</v>
      </c>
      <c r="D532" s="2">
        <v>26.864509999999999</v>
      </c>
      <c r="E532" s="3">
        <f>STANDARDIZE(D532,H$11,I$11)</f>
        <v>-0.28370403874789385</v>
      </c>
    </row>
    <row r="533" spans="1:5" x14ac:dyDescent="0.3">
      <c r="A533">
        <v>1994</v>
      </c>
      <c r="B533">
        <v>4</v>
      </c>
      <c r="C533" s="3">
        <v>1994.2500000008799</v>
      </c>
      <c r="D533" s="2">
        <v>27.414017000000001</v>
      </c>
      <c r="E533" s="3">
        <f>STANDARDIZE(D533,H$10,I$10)</f>
        <v>-0.19086612287235666</v>
      </c>
    </row>
    <row r="534" spans="1:5" x14ac:dyDescent="0.3">
      <c r="A534">
        <v>1994</v>
      </c>
      <c r="B534">
        <v>5</v>
      </c>
      <c r="C534" s="3">
        <v>1994.33333333421</v>
      </c>
      <c r="D534" s="2">
        <v>28.216442000000001</v>
      </c>
      <c r="E534" s="3">
        <f>STANDARDIZE(D534,H$9,I$9)</f>
        <v>-0.2511902813215755</v>
      </c>
    </row>
    <row r="535" spans="1:5" x14ac:dyDescent="0.3">
      <c r="A535">
        <v>1994</v>
      </c>
      <c r="B535">
        <v>6</v>
      </c>
      <c r="C535" s="3">
        <v>1994.4166666675401</v>
      </c>
      <c r="D535" s="2">
        <v>28.462057000000001</v>
      </c>
      <c r="E535" s="3">
        <f>STANDARDIZE(D535,H$8,I$8)</f>
        <v>-0.49922006470809388</v>
      </c>
    </row>
    <row r="536" spans="1:5" x14ac:dyDescent="0.3">
      <c r="A536">
        <v>1994</v>
      </c>
      <c r="B536">
        <v>7</v>
      </c>
      <c r="C536" s="3">
        <v>1994.5000000008699</v>
      </c>
      <c r="D536" s="2">
        <v>27.998660999999998</v>
      </c>
      <c r="E536" s="3">
        <f>STANDARDIZE(D536,H$7,I$7)</f>
        <v>-0.87210461714339838</v>
      </c>
    </row>
    <row r="537" spans="1:5" x14ac:dyDescent="0.3">
      <c r="A537">
        <v>1994</v>
      </c>
      <c r="B537">
        <v>8</v>
      </c>
      <c r="C537" s="3">
        <v>1994.5833333342</v>
      </c>
      <c r="D537" s="2">
        <v>28.235440000000001</v>
      </c>
      <c r="E537" s="3">
        <f>STANDARDIZE(D537,H$6,I$6)</f>
        <v>-0.76207020697523564</v>
      </c>
    </row>
    <row r="538" spans="1:5" x14ac:dyDescent="0.3">
      <c r="A538">
        <v>1994</v>
      </c>
      <c r="B538">
        <v>9</v>
      </c>
      <c r="C538" s="3">
        <v>1994.6666666675301</v>
      </c>
      <c r="D538" s="2">
        <v>28.571362000000001</v>
      </c>
      <c r="E538" s="3">
        <f>STANDARDIZE(D538,H$5,I$5)</f>
        <v>-0.73116567150515444</v>
      </c>
    </row>
    <row r="539" spans="1:5" x14ac:dyDescent="0.3">
      <c r="A539">
        <v>1994</v>
      </c>
      <c r="B539">
        <v>10</v>
      </c>
      <c r="C539" s="3">
        <v>1994.7500000008599</v>
      </c>
      <c r="D539" s="2">
        <v>28.904247000000002</v>
      </c>
      <c r="E539" s="3">
        <f>STANDARDIZE(D539,H$4,I$4)</f>
        <v>-6.6966367190516352E-2</v>
      </c>
    </row>
    <row r="540" spans="1:5" x14ac:dyDescent="0.3">
      <c r="A540">
        <v>1994</v>
      </c>
      <c r="B540">
        <v>11</v>
      </c>
      <c r="C540" s="3">
        <v>1994.83333333419</v>
      </c>
      <c r="D540" s="2">
        <v>28.612185</v>
      </c>
      <c r="E540" s="3">
        <f>STANDARDIZE(D540,H$3,I$3)</f>
        <v>-0.21292328663679533</v>
      </c>
    </row>
    <row r="541" spans="1:5" x14ac:dyDescent="0.3">
      <c r="A541">
        <v>1994</v>
      </c>
      <c r="B541">
        <v>12</v>
      </c>
      <c r="C541" s="3">
        <v>1994.9166666675201</v>
      </c>
      <c r="D541" s="2">
        <v>27.805050000000001</v>
      </c>
      <c r="E541" s="3">
        <f>STANDARDIZE(D541,H$2,I$2)</f>
        <v>2.2771354799842006E-2</v>
      </c>
    </row>
    <row r="542" spans="1:5" x14ac:dyDescent="0.3">
      <c r="A542">
        <v>1995</v>
      </c>
      <c r="B542">
        <v>1</v>
      </c>
      <c r="C542" s="3">
        <v>1995.0000000008499</v>
      </c>
      <c r="D542" s="2">
        <v>27.284130000000001</v>
      </c>
      <c r="E542" s="3">
        <f>STANDARDIZE(D542,H$13,I$13)</f>
        <v>0.62089268780300189</v>
      </c>
    </row>
    <row r="543" spans="1:5" x14ac:dyDescent="0.3">
      <c r="A543">
        <v>1995</v>
      </c>
      <c r="B543">
        <v>2</v>
      </c>
      <c r="C543" s="3">
        <v>1995.08333333418</v>
      </c>
      <c r="D543" s="2">
        <v>27.112738</v>
      </c>
      <c r="E543" s="3">
        <f>STANDARDIZE(D543,H$12,I$12)</f>
        <v>0.59703874795626011</v>
      </c>
    </row>
    <row r="544" spans="1:5" x14ac:dyDescent="0.3">
      <c r="A544">
        <v>1995</v>
      </c>
      <c r="B544">
        <v>3</v>
      </c>
      <c r="C544" s="3">
        <v>1995.1666666675101</v>
      </c>
      <c r="D544" s="2">
        <v>27.377182000000001</v>
      </c>
      <c r="E544" s="3">
        <f>STANDARDIZE(D544,H$11,I$11)</f>
        <v>0.98377515688134187</v>
      </c>
    </row>
    <row r="545" spans="1:5" x14ac:dyDescent="0.3">
      <c r="A545">
        <v>1995</v>
      </c>
      <c r="B545">
        <v>4</v>
      </c>
      <c r="C545" s="3">
        <v>1995.2500000008399</v>
      </c>
      <c r="D545" s="2">
        <v>27.807023999999998</v>
      </c>
      <c r="E545" s="3">
        <f>STANDARDIZE(D545,H$10,I$10)</f>
        <v>0.9219438643317045</v>
      </c>
    </row>
    <row r="546" spans="1:5" x14ac:dyDescent="0.3">
      <c r="A546">
        <v>1995</v>
      </c>
      <c r="B546">
        <v>5</v>
      </c>
      <c r="C546" s="3">
        <v>1995.33333333417</v>
      </c>
      <c r="D546" s="2">
        <v>28.602460000000001</v>
      </c>
      <c r="E546" s="3">
        <f>STANDARDIZE(D546,H$9,I$9)</f>
        <v>0.6977930707482618</v>
      </c>
    </row>
    <row r="547" spans="1:5" x14ac:dyDescent="0.3">
      <c r="A547">
        <v>1995</v>
      </c>
      <c r="B547">
        <v>6</v>
      </c>
      <c r="C547" s="3">
        <v>1995.4166666675001</v>
      </c>
      <c r="D547" s="2">
        <v>29.007117999999998</v>
      </c>
      <c r="E547" s="3">
        <f>STANDARDIZE(D547,H$8,I$8)</f>
        <v>0.96152208487381119</v>
      </c>
    </row>
    <row r="548" spans="1:5" x14ac:dyDescent="0.3">
      <c r="A548">
        <v>1995</v>
      </c>
      <c r="B548">
        <v>7</v>
      </c>
      <c r="C548" s="3">
        <v>1995.5000000008299</v>
      </c>
      <c r="D548" s="2">
        <v>28.697051999999999</v>
      </c>
      <c r="E548" s="3">
        <f>STANDARDIZE(D548,H$7,I$7)</f>
        <v>1.1490717546104774</v>
      </c>
    </row>
    <row r="549" spans="1:5" x14ac:dyDescent="0.3">
      <c r="A549">
        <v>1995</v>
      </c>
      <c r="B549">
        <v>8</v>
      </c>
      <c r="C549" s="3">
        <v>1995.58333333416</v>
      </c>
      <c r="D549" s="2">
        <v>28.871324999999999</v>
      </c>
      <c r="E549" s="3">
        <f>STANDARDIZE(D549,H$6,I$6)</f>
        <v>1.1178406713416102</v>
      </c>
    </row>
    <row r="550" spans="1:5" x14ac:dyDescent="0.3">
      <c r="A550">
        <v>1995</v>
      </c>
      <c r="B550">
        <v>9</v>
      </c>
      <c r="C550" s="3">
        <v>1995.6666666674901</v>
      </c>
      <c r="D550" s="2">
        <v>28.932924</v>
      </c>
      <c r="E550" s="3">
        <f>STANDARDIZE(D550,H$5,I$5)</f>
        <v>0.33756998181041231</v>
      </c>
    </row>
    <row r="551" spans="1:5" x14ac:dyDescent="0.3">
      <c r="A551">
        <v>1995</v>
      </c>
      <c r="B551">
        <v>10</v>
      </c>
      <c r="C551" s="3">
        <v>1995.7500000008199</v>
      </c>
      <c r="D551" s="2">
        <v>29.092924</v>
      </c>
      <c r="E551" s="3">
        <f>STANDARDIZE(D551,H$4,I$4)</f>
        <v>0.53070909712791026</v>
      </c>
    </row>
    <row r="552" spans="1:5" x14ac:dyDescent="0.3">
      <c r="A552">
        <v>1995</v>
      </c>
      <c r="B552">
        <v>11</v>
      </c>
      <c r="C552" s="3">
        <v>1995.83333333415</v>
      </c>
      <c r="D552" s="2">
        <v>28.912303999999999</v>
      </c>
      <c r="E552" s="3">
        <f>STANDARDIZE(D552,H$3,I$3)</f>
        <v>0.73846899375040653</v>
      </c>
    </row>
    <row r="553" spans="1:5" x14ac:dyDescent="0.3">
      <c r="A553">
        <v>1995</v>
      </c>
      <c r="B553">
        <v>12</v>
      </c>
      <c r="C553" s="3">
        <v>1995.9166666674801</v>
      </c>
      <c r="D553" s="2">
        <v>28.104153</v>
      </c>
      <c r="E553" s="3">
        <f>STANDARDIZE(D553,H$2,I$2)</f>
        <v>0.95870986585391549</v>
      </c>
    </row>
    <row r="554" spans="1:5" x14ac:dyDescent="0.3">
      <c r="A554">
        <v>1996</v>
      </c>
      <c r="B554">
        <v>1</v>
      </c>
      <c r="C554" s="3">
        <v>1996.0000000008099</v>
      </c>
      <c r="D554" s="2">
        <v>27.703735000000002</v>
      </c>
      <c r="E554" s="3">
        <f>STANDARDIZE(D554,H$13,I$13)</f>
        <v>1.888378609131705</v>
      </c>
    </row>
    <row r="555" spans="1:5" x14ac:dyDescent="0.3">
      <c r="A555">
        <v>1996</v>
      </c>
      <c r="B555">
        <v>2</v>
      </c>
      <c r="C555" s="3">
        <v>1996.08333333414</v>
      </c>
      <c r="D555" s="2">
        <v>27.209606000000001</v>
      </c>
      <c r="E555" s="3">
        <f>STANDARDIZE(D555,H$12,I$12)</f>
        <v>0.84543527744689806</v>
      </c>
    </row>
    <row r="556" spans="1:5" x14ac:dyDescent="0.3">
      <c r="A556">
        <v>1996</v>
      </c>
      <c r="B556">
        <v>3</v>
      </c>
      <c r="C556" s="3">
        <v>1996.1666666674701</v>
      </c>
      <c r="D556" s="2">
        <v>27.268969999999999</v>
      </c>
      <c r="E556" s="3">
        <f>STANDARDIZE(D556,H$11,I$11)</f>
        <v>0.71624258494951698</v>
      </c>
    </row>
    <row r="557" spans="1:5" x14ac:dyDescent="0.3">
      <c r="A557">
        <v>1996</v>
      </c>
      <c r="B557">
        <v>4</v>
      </c>
      <c r="C557" s="3">
        <v>1996.2500000007999</v>
      </c>
      <c r="D557" s="2">
        <v>27.657910000000001</v>
      </c>
      <c r="E557" s="3">
        <f>STANDARDIZE(D557,H$10,I$10)</f>
        <v>0.49972352619028576</v>
      </c>
    </row>
    <row r="558" spans="1:5" x14ac:dyDescent="0.3">
      <c r="A558">
        <v>1996</v>
      </c>
      <c r="B558">
        <v>5</v>
      </c>
      <c r="C558" s="3">
        <v>1996.33333333413</v>
      </c>
      <c r="D558" s="2">
        <v>28.376728</v>
      </c>
      <c r="E558" s="3">
        <f>STANDARDIZE(D558,H$9,I$9)</f>
        <v>0.14285545118277726</v>
      </c>
    </row>
    <row r="559" spans="1:5" x14ac:dyDescent="0.3">
      <c r="A559">
        <v>1996</v>
      </c>
      <c r="B559">
        <v>6</v>
      </c>
      <c r="C559" s="3">
        <v>1996.41666666746</v>
      </c>
      <c r="D559" s="2">
        <v>28.796707000000001</v>
      </c>
      <c r="E559" s="3">
        <f>STANDARDIZE(D559,H$8,I$8)</f>
        <v>0.39762883909824553</v>
      </c>
    </row>
    <row r="560" spans="1:5" x14ac:dyDescent="0.3">
      <c r="A560">
        <v>1996</v>
      </c>
      <c r="B560">
        <v>7</v>
      </c>
      <c r="C560" s="3">
        <v>1996.5000000007899</v>
      </c>
      <c r="D560" s="2">
        <v>28.343678000000001</v>
      </c>
      <c r="E560" s="3">
        <f>STANDARDIZE(D560,H$7,I$7)</f>
        <v>0.12639079338367087</v>
      </c>
    </row>
    <row r="561" spans="1:5" x14ac:dyDescent="0.3">
      <c r="A561">
        <v>1996</v>
      </c>
      <c r="B561">
        <v>8</v>
      </c>
      <c r="C561" s="3">
        <v>1996.58333333412</v>
      </c>
      <c r="D561" s="2">
        <v>28.405017999999998</v>
      </c>
      <c r="E561" s="3">
        <f>STANDARDIZE(D561,H$6,I$6)</f>
        <v>-0.26073501755700623</v>
      </c>
    </row>
    <row r="562" spans="1:5" x14ac:dyDescent="0.3">
      <c r="A562">
        <v>1996</v>
      </c>
      <c r="B562">
        <v>9</v>
      </c>
      <c r="C562" s="3">
        <v>1996.66666666745</v>
      </c>
      <c r="D562" s="2">
        <v>28.809937000000001</v>
      </c>
      <c r="E562" s="3">
        <f>STANDARDIZE(D562,H$5,I$5)</f>
        <v>-2.5965433400036157E-2</v>
      </c>
    </row>
    <row r="563" spans="1:5" x14ac:dyDescent="0.3">
      <c r="A563">
        <v>1996</v>
      </c>
      <c r="B563">
        <v>10</v>
      </c>
      <c r="C563" s="3">
        <v>1996.7500000007799</v>
      </c>
      <c r="D563" s="2">
        <v>28.765609999999999</v>
      </c>
      <c r="E563" s="3">
        <f>STANDARDIZE(D563,H$4,I$4)</f>
        <v>-0.50612923996629755</v>
      </c>
    </row>
    <row r="564" spans="1:5" x14ac:dyDescent="0.3">
      <c r="A564">
        <v>1996</v>
      </c>
      <c r="B564">
        <v>11</v>
      </c>
      <c r="C564" s="3">
        <v>1996.83333333411</v>
      </c>
      <c r="D564" s="2">
        <v>28.459136999999998</v>
      </c>
      <c r="E564" s="3">
        <f>STANDARDIZE(D564,H$3,I$3)</f>
        <v>-0.69809312169789739</v>
      </c>
    </row>
    <row r="565" spans="1:5" x14ac:dyDescent="0.3">
      <c r="A565">
        <v>1996</v>
      </c>
      <c r="B565">
        <v>12</v>
      </c>
      <c r="C565" s="3">
        <v>1996.91666666744</v>
      </c>
      <c r="D565" s="2">
        <v>27.653341000000001</v>
      </c>
      <c r="E565" s="3">
        <f>STANDARDIZE(D565,H$2,I$2)</f>
        <v>-0.45194904443889283</v>
      </c>
    </row>
    <row r="566" spans="1:5" x14ac:dyDescent="0.3">
      <c r="A566">
        <v>1997</v>
      </c>
      <c r="B566">
        <v>1</v>
      </c>
      <c r="C566" s="3">
        <v>1997.0000000007699</v>
      </c>
      <c r="D566" s="2">
        <v>27.178028000000001</v>
      </c>
      <c r="E566" s="3">
        <f>STANDARDIZE(D566,H$13,I$13)</f>
        <v>0.30039414459017616</v>
      </c>
    </row>
    <row r="567" spans="1:5" x14ac:dyDescent="0.3">
      <c r="A567">
        <v>1997</v>
      </c>
      <c r="B567">
        <v>2</v>
      </c>
      <c r="C567" s="3">
        <v>1997.0833333341</v>
      </c>
      <c r="D567" s="2">
        <v>26.930568999999998</v>
      </c>
      <c r="E567" s="3">
        <f>STANDARDIZE(D567,H$12,I$12)</f>
        <v>0.1299066983549452</v>
      </c>
    </row>
    <row r="568" spans="1:5" x14ac:dyDescent="0.3">
      <c r="A568">
        <v>1997</v>
      </c>
      <c r="B568">
        <v>3</v>
      </c>
      <c r="C568" s="3">
        <v>1997.16666666743</v>
      </c>
      <c r="D568" s="2">
        <v>26.858093</v>
      </c>
      <c r="E568" s="3">
        <f>STANDARDIZE(D568,H$11,I$11)</f>
        <v>-0.29956879047677998</v>
      </c>
    </row>
    <row r="569" spans="1:5" x14ac:dyDescent="0.3">
      <c r="A569">
        <v>1997</v>
      </c>
      <c r="B569">
        <v>4</v>
      </c>
      <c r="C569" s="3">
        <v>1997.2500000007601</v>
      </c>
      <c r="D569" s="2">
        <v>27.389868</v>
      </c>
      <c r="E569" s="3">
        <f>STANDARDIZE(D569,H$10,I$10)</f>
        <v>-0.25924467180658051</v>
      </c>
    </row>
    <row r="570" spans="1:5" x14ac:dyDescent="0.3">
      <c r="A570">
        <v>1997</v>
      </c>
      <c r="B570">
        <v>5</v>
      </c>
      <c r="C570" s="3">
        <v>1997.33333333409</v>
      </c>
      <c r="D570" s="2">
        <v>28.317820000000001</v>
      </c>
      <c r="E570" s="3">
        <f>STANDARDIZE(D570,H$9,I$9)</f>
        <v>-1.9634725558279075E-3</v>
      </c>
    </row>
    <row r="571" spans="1:5" x14ac:dyDescent="0.3">
      <c r="A571">
        <v>1997</v>
      </c>
      <c r="B571">
        <v>6</v>
      </c>
      <c r="C571" s="3">
        <v>1997.41666666742</v>
      </c>
      <c r="D571" s="2">
        <v>28.73631</v>
      </c>
      <c r="E571" s="3">
        <f>STANDARDIZE(D571,H$8,I$8)</f>
        <v>0.2357672426745398</v>
      </c>
    </row>
    <row r="572" spans="1:5" x14ac:dyDescent="0.3">
      <c r="A572">
        <v>1997</v>
      </c>
      <c r="B572">
        <v>7</v>
      </c>
      <c r="C572" s="3">
        <v>1997.5000000007501</v>
      </c>
      <c r="D572" s="2">
        <v>28.393802999999998</v>
      </c>
      <c r="E572" s="3">
        <f>STANDARDIZE(D572,H$7,I$7)</f>
        <v>0.27145489878330853</v>
      </c>
    </row>
    <row r="573" spans="1:5" x14ac:dyDescent="0.3">
      <c r="A573">
        <v>1997</v>
      </c>
      <c r="B573">
        <v>8</v>
      </c>
      <c r="C573" s="3">
        <v>1997.58333333408</v>
      </c>
      <c r="D573" s="2">
        <v>28.438068000000001</v>
      </c>
      <c r="E573" s="3">
        <f>STANDARDIZE(D573,H$6,I$6)</f>
        <v>-0.16302701292035432</v>
      </c>
    </row>
    <row r="574" spans="1:5" x14ac:dyDescent="0.3">
      <c r="A574">
        <v>1997</v>
      </c>
      <c r="B574">
        <v>9</v>
      </c>
      <c r="C574" s="3">
        <v>1997.66666666741</v>
      </c>
      <c r="D574" s="2">
        <v>28.914299</v>
      </c>
      <c r="E574" s="3">
        <f>STANDARDIZE(D574,H$5,I$5)</f>
        <v>0.28251662569720737</v>
      </c>
    </row>
    <row r="575" spans="1:5" x14ac:dyDescent="0.3">
      <c r="A575">
        <v>1997</v>
      </c>
      <c r="B575">
        <v>10</v>
      </c>
      <c r="C575" s="3">
        <v>1997.7500000007401</v>
      </c>
      <c r="D575" s="2">
        <v>29.191174</v>
      </c>
      <c r="E575" s="3">
        <f>STANDARDIZE(D575,H$4,I$4)</f>
        <v>0.84193735690141747</v>
      </c>
    </row>
    <row r="576" spans="1:5" x14ac:dyDescent="0.3">
      <c r="A576">
        <v>1997</v>
      </c>
      <c r="B576">
        <v>11</v>
      </c>
      <c r="C576" s="3">
        <v>1997.8333333340699</v>
      </c>
      <c r="D576" s="2">
        <v>28.978885999999999</v>
      </c>
      <c r="E576" s="3">
        <f>STANDARDIZE(D576,H$3,I$3)</f>
        <v>0.94953727270889066</v>
      </c>
    </row>
    <row r="577" spans="1:5" x14ac:dyDescent="0.3">
      <c r="A577">
        <v>1997</v>
      </c>
      <c r="B577">
        <v>12</v>
      </c>
      <c r="C577" s="3">
        <v>1997.9166666674</v>
      </c>
      <c r="D577" s="2">
        <v>28.053778000000001</v>
      </c>
      <c r="E577" s="3">
        <f>STANDARDIZE(D577,H$2,I$2)</f>
        <v>0.80107887420773294</v>
      </c>
    </row>
    <row r="578" spans="1:5" x14ac:dyDescent="0.3">
      <c r="A578">
        <v>1998</v>
      </c>
      <c r="B578">
        <v>1</v>
      </c>
      <c r="C578" s="3">
        <v>1998.0000000007301</v>
      </c>
      <c r="D578" s="2">
        <v>27.386194</v>
      </c>
      <c r="E578" s="3">
        <f>STANDARDIZE(D578,H$13,I$13)</f>
        <v>0.92919378782442863</v>
      </c>
    </row>
    <row r="579" spans="1:5" x14ac:dyDescent="0.3">
      <c r="A579">
        <v>1998</v>
      </c>
      <c r="B579">
        <v>2</v>
      </c>
      <c r="C579" s="3">
        <v>1998.0833333340599</v>
      </c>
      <c r="D579" s="2">
        <v>27.492370000000001</v>
      </c>
      <c r="E579" s="3">
        <f>STANDARDIZE(D579,H$12,I$12)</f>
        <v>1.5705209224988279</v>
      </c>
    </row>
    <row r="580" spans="1:5" x14ac:dyDescent="0.3">
      <c r="A580">
        <v>1998</v>
      </c>
      <c r="B580">
        <v>3</v>
      </c>
      <c r="C580" s="3">
        <v>1998.16666666739</v>
      </c>
      <c r="D580" s="2">
        <v>27.566013000000002</v>
      </c>
      <c r="E580" s="3">
        <f>STANDARDIZE(D580,H$11,I$11)</f>
        <v>1.4506221155408041</v>
      </c>
    </row>
    <row r="581" spans="1:5" x14ac:dyDescent="0.3">
      <c r="A581">
        <v>1998</v>
      </c>
      <c r="B581">
        <v>4</v>
      </c>
      <c r="C581" s="3">
        <v>1998.2500000007201</v>
      </c>
      <c r="D581" s="2">
        <v>27.934906000000002</v>
      </c>
      <c r="E581" s="3">
        <f>STANDARDIZE(D581,H$10,I$10)</f>
        <v>1.2840452182099669</v>
      </c>
    </row>
    <row r="582" spans="1:5" x14ac:dyDescent="0.3">
      <c r="A582">
        <v>1998</v>
      </c>
      <c r="B582">
        <v>5</v>
      </c>
      <c r="C582" s="3">
        <v>1998.3333333340499</v>
      </c>
      <c r="D582" s="2">
        <v>28.859881999999999</v>
      </c>
      <c r="E582" s="3">
        <f>STANDARDIZE(D582,H$9,I$9)</f>
        <v>1.330637115472912</v>
      </c>
    </row>
    <row r="583" spans="1:5" x14ac:dyDescent="0.3">
      <c r="A583">
        <v>1998</v>
      </c>
      <c r="B583">
        <v>6</v>
      </c>
      <c r="C583" s="3">
        <v>1998.41666666738</v>
      </c>
      <c r="D583" s="2">
        <v>29.120782999999999</v>
      </c>
      <c r="E583" s="3">
        <f>STANDARDIZE(D583,H$8,I$8)</f>
        <v>1.2661398367075136</v>
      </c>
    </row>
    <row r="584" spans="1:5" x14ac:dyDescent="0.3">
      <c r="A584">
        <v>1998</v>
      </c>
      <c r="B584">
        <v>7</v>
      </c>
      <c r="C584" s="3">
        <v>1998.5000000007101</v>
      </c>
      <c r="D584" s="2">
        <v>28.865658</v>
      </c>
      <c r="E584" s="3">
        <f>STANDARDIZE(D584,H$7,I$7)</f>
        <v>1.6370254414935193</v>
      </c>
    </row>
    <row r="585" spans="1:5" x14ac:dyDescent="0.3">
      <c r="A585">
        <v>1998</v>
      </c>
      <c r="B585">
        <v>8</v>
      </c>
      <c r="C585" s="3">
        <v>1998.5833333340399</v>
      </c>
      <c r="D585" s="2">
        <v>29.319911999999999</v>
      </c>
      <c r="E585" s="3">
        <f>STANDARDIZE(D585,H$6,I$6)</f>
        <v>2.4440294966347387</v>
      </c>
    </row>
    <row r="586" spans="1:5" x14ac:dyDescent="0.3">
      <c r="A586">
        <v>1998</v>
      </c>
      <c r="B586">
        <v>9</v>
      </c>
      <c r="C586" s="3">
        <v>1998.66666666737</v>
      </c>
      <c r="D586" s="2">
        <v>29.418707000000001</v>
      </c>
      <c r="E586" s="3">
        <f>STANDARDIZE(D586,H$5,I$5)</f>
        <v>1.773488612293147</v>
      </c>
    </row>
    <row r="587" spans="1:5" x14ac:dyDescent="0.3">
      <c r="A587">
        <v>1998</v>
      </c>
      <c r="B587">
        <v>10</v>
      </c>
      <c r="C587" s="3">
        <v>1998.7500000007001</v>
      </c>
      <c r="D587" s="2">
        <v>29.101966999999998</v>
      </c>
      <c r="E587" s="3">
        <f>STANDARDIZE(D587,H$4,I$4)</f>
        <v>0.55935476789769456</v>
      </c>
    </row>
    <row r="588" spans="1:5" x14ac:dyDescent="0.3">
      <c r="A588">
        <v>1998</v>
      </c>
      <c r="B588">
        <v>11</v>
      </c>
      <c r="C588" s="3">
        <v>1998.8333333340299</v>
      </c>
      <c r="D588" s="2">
        <v>28.998287000000001</v>
      </c>
      <c r="E588" s="3">
        <f>STANDARDIZE(D588,H$3,I$3)</f>
        <v>1.0110394156315117</v>
      </c>
    </row>
    <row r="589" spans="1:5" x14ac:dyDescent="0.3">
      <c r="A589">
        <v>1998</v>
      </c>
      <c r="B589">
        <v>12</v>
      </c>
      <c r="C589" s="3">
        <v>1998.91666666736</v>
      </c>
      <c r="D589" s="2">
        <v>28.066917</v>
      </c>
      <c r="E589" s="3">
        <f>STANDARDIZE(D589,H$2,I$2)</f>
        <v>0.84219279181049345</v>
      </c>
    </row>
    <row r="590" spans="1:5" x14ac:dyDescent="0.3">
      <c r="A590">
        <v>1999</v>
      </c>
      <c r="B590">
        <v>1</v>
      </c>
      <c r="C590" s="3">
        <v>1999.0000000006901</v>
      </c>
      <c r="D590" s="2">
        <v>27.152920000000002</v>
      </c>
      <c r="E590" s="3">
        <f>STANDARDIZE(D590,H$13,I$13)</f>
        <v>0.22455130069479756</v>
      </c>
    </row>
    <row r="591" spans="1:5" x14ac:dyDescent="0.3">
      <c r="A591">
        <v>1999</v>
      </c>
      <c r="B591">
        <v>2</v>
      </c>
      <c r="C591" s="3">
        <v>1999.0833333340199</v>
      </c>
      <c r="D591" s="2">
        <v>26.596931000000001</v>
      </c>
      <c r="E591" s="3">
        <f>STANDARDIZE(D591,H$12,I$12)</f>
        <v>-0.72563405097606382</v>
      </c>
    </row>
    <row r="592" spans="1:5" x14ac:dyDescent="0.3">
      <c r="A592">
        <v>1999</v>
      </c>
      <c r="B592">
        <v>3</v>
      </c>
      <c r="C592" s="3">
        <v>1999.16666666735</v>
      </c>
      <c r="D592" s="2">
        <v>26.935252999999999</v>
      </c>
      <c r="E592" s="3">
        <f>STANDARDIZE(D592,H$11,I$11)</f>
        <v>-0.10880609086620936</v>
      </c>
    </row>
    <row r="593" spans="1:5" x14ac:dyDescent="0.3">
      <c r="A593">
        <v>1999</v>
      </c>
      <c r="B593">
        <v>4</v>
      </c>
      <c r="C593" s="3">
        <v>1999.2500000006801</v>
      </c>
      <c r="D593" s="2">
        <v>27.552143000000001</v>
      </c>
      <c r="E593" s="3">
        <f>STANDARDIZE(D593,H$10,I$10)</f>
        <v>0.20024139504093486</v>
      </c>
    </row>
    <row r="594" spans="1:5" x14ac:dyDescent="0.3">
      <c r="A594">
        <v>1999</v>
      </c>
      <c r="B594">
        <v>5</v>
      </c>
      <c r="C594" s="3">
        <v>1999.3333333340099</v>
      </c>
      <c r="D594" s="2">
        <v>28.198405999999999</v>
      </c>
      <c r="E594" s="3">
        <f>STANDARDIZE(D594,H$9,I$9)</f>
        <v>-0.29552982957563012</v>
      </c>
    </row>
    <row r="595" spans="1:5" x14ac:dyDescent="0.3">
      <c r="A595">
        <v>1999</v>
      </c>
      <c r="B595">
        <v>6</v>
      </c>
      <c r="C595" s="3">
        <v>1999.41666666734</v>
      </c>
      <c r="D595" s="2">
        <v>28.782764</v>
      </c>
      <c r="E595" s="3">
        <f>STANDARDIZE(D595,H$8,I$8)</f>
        <v>0.36026214474362778</v>
      </c>
    </row>
    <row r="596" spans="1:5" x14ac:dyDescent="0.3">
      <c r="A596">
        <v>1999</v>
      </c>
      <c r="B596">
        <v>7</v>
      </c>
      <c r="C596" s="3">
        <v>1999.5000000006701</v>
      </c>
      <c r="D596" s="2">
        <v>28.540585</v>
      </c>
      <c r="E596" s="3">
        <f>STANDARDIZE(D596,H$7,I$7)</f>
        <v>0.69624890414532004</v>
      </c>
    </row>
    <row r="597" spans="1:5" x14ac:dyDescent="0.3">
      <c r="A597">
        <v>1999</v>
      </c>
      <c r="B597">
        <v>8</v>
      </c>
      <c r="C597" s="3">
        <v>1999.5833333339999</v>
      </c>
      <c r="D597" s="2">
        <v>28.797606999999999</v>
      </c>
      <c r="E597" s="3">
        <f>STANDARDIZE(D597,H$6,I$6)</f>
        <v>0.89990304090881068</v>
      </c>
    </row>
    <row r="598" spans="1:5" x14ac:dyDescent="0.3">
      <c r="A598">
        <v>1999</v>
      </c>
      <c r="B598">
        <v>9</v>
      </c>
      <c r="C598" s="3">
        <v>1999.66666666733</v>
      </c>
      <c r="D598" s="2">
        <v>28.978497999999998</v>
      </c>
      <c r="E598" s="3">
        <f>STANDARDIZE(D598,H$5,I$5)</f>
        <v>0.47228147987769281</v>
      </c>
    </row>
    <row r="599" spans="1:5" x14ac:dyDescent="0.3">
      <c r="A599">
        <v>1999</v>
      </c>
      <c r="B599">
        <v>10</v>
      </c>
      <c r="C599" s="3">
        <v>1999.7500000006601</v>
      </c>
      <c r="D599" s="2">
        <v>28.966629000000001</v>
      </c>
      <c r="E599" s="3">
        <f>STANDARDIZE(D599,H$4,I$4)</f>
        <v>0.13064219567147584</v>
      </c>
    </row>
    <row r="600" spans="1:5" x14ac:dyDescent="0.3">
      <c r="A600">
        <v>1999</v>
      </c>
      <c r="B600">
        <v>11</v>
      </c>
      <c r="C600" s="3">
        <v>1999.8333333339899</v>
      </c>
      <c r="D600" s="2">
        <v>28.303477999999998</v>
      </c>
      <c r="E600" s="3">
        <f>STANDARDIZE(D600,H$3,I$3)</f>
        <v>-1.1915399576955918</v>
      </c>
    </row>
    <row r="601" spans="1:5" x14ac:dyDescent="0.3">
      <c r="A601">
        <v>1999</v>
      </c>
      <c r="B601">
        <v>12</v>
      </c>
      <c r="C601" s="3">
        <v>1999.91666666732</v>
      </c>
      <c r="D601" s="2">
        <v>27.89828</v>
      </c>
      <c r="E601" s="3">
        <f>STANDARDIZE(D601,H$2,I$2)</f>
        <v>0.31450212107624209</v>
      </c>
    </row>
    <row r="602" spans="1:5" x14ac:dyDescent="0.3">
      <c r="A602">
        <v>2000</v>
      </c>
      <c r="B602">
        <v>1</v>
      </c>
      <c r="C602" s="3">
        <v>2000.0000000006601</v>
      </c>
      <c r="D602" s="2">
        <v>26.800830000000001</v>
      </c>
      <c r="E602" s="3">
        <f>STANDARDIZE(D602,H$13,I$13)</f>
        <v>-0.83899445791299521</v>
      </c>
    </row>
    <row r="603" spans="1:5" x14ac:dyDescent="0.3">
      <c r="A603">
        <v>2000</v>
      </c>
      <c r="B603">
        <v>2</v>
      </c>
      <c r="C603" s="3">
        <v>2000.0833333339899</v>
      </c>
      <c r="D603" s="2">
        <v>26.750644999999999</v>
      </c>
      <c r="E603" s="3">
        <f>STANDARDIZE(D603,H$12,I$12)</f>
        <v>-0.33146854601959735</v>
      </c>
    </row>
    <row r="604" spans="1:5" x14ac:dyDescent="0.3">
      <c r="A604">
        <v>2000</v>
      </c>
      <c r="B604">
        <v>3</v>
      </c>
      <c r="C604" s="3">
        <v>2000.16666666732</v>
      </c>
      <c r="D604" s="2">
        <v>26.734048999999999</v>
      </c>
      <c r="E604" s="3">
        <f>STANDARDIZE(D604,H$11,I$11)</f>
        <v>-0.60624282249458872</v>
      </c>
    </row>
    <row r="605" spans="1:5" x14ac:dyDescent="0.3">
      <c r="A605">
        <v>2000</v>
      </c>
      <c r="B605">
        <v>4</v>
      </c>
      <c r="C605" s="3">
        <v>2000.2500000006501</v>
      </c>
      <c r="D605" s="2">
        <v>27.356756000000001</v>
      </c>
      <c r="E605" s="3">
        <f>STANDARDIZE(D605,H$10,I$10)</f>
        <v>-0.35300219850788656</v>
      </c>
    </row>
    <row r="606" spans="1:5" x14ac:dyDescent="0.3">
      <c r="A606">
        <v>2000</v>
      </c>
      <c r="B606">
        <v>5</v>
      </c>
      <c r="C606" s="3">
        <v>2000.3333333339799</v>
      </c>
      <c r="D606" s="2">
        <v>28.207857000000001</v>
      </c>
      <c r="E606" s="3">
        <f>STANDARDIZE(D606,H$9,I$9)</f>
        <v>-0.27229557194926546</v>
      </c>
    </row>
    <row r="607" spans="1:5" x14ac:dyDescent="0.3">
      <c r="A607">
        <v>2000</v>
      </c>
      <c r="B607">
        <v>6</v>
      </c>
      <c r="C607" s="3">
        <v>2000.41666666731</v>
      </c>
      <c r="D607" s="2">
        <v>28.437287999999999</v>
      </c>
      <c r="E607" s="3">
        <f>STANDARDIZE(D607,H$8,I$8)</f>
        <v>-0.56560001539801363</v>
      </c>
    </row>
    <row r="608" spans="1:5" x14ac:dyDescent="0.3">
      <c r="A608">
        <v>2000</v>
      </c>
      <c r="B608">
        <v>7</v>
      </c>
      <c r="C608" s="3">
        <v>2000.5000000006401</v>
      </c>
      <c r="D608" s="2">
        <v>28.283096</v>
      </c>
      <c r="E608" s="3">
        <f>STANDARDIZE(D608,H$7,I$7)</f>
        <v>-4.8936361395805698E-2</v>
      </c>
    </row>
    <row r="609" spans="1:5" x14ac:dyDescent="0.3">
      <c r="A609">
        <v>2000</v>
      </c>
      <c r="B609">
        <v>8</v>
      </c>
      <c r="C609" s="3">
        <v>2000.5833333339699</v>
      </c>
      <c r="D609" s="2">
        <v>28.584655999999999</v>
      </c>
      <c r="E609" s="3">
        <f>STANDARDIZE(D609,H$6,I$6)</f>
        <v>0.27034124679752902</v>
      </c>
    </row>
    <row r="610" spans="1:5" x14ac:dyDescent="0.3">
      <c r="A610">
        <v>2000</v>
      </c>
      <c r="B610">
        <v>9</v>
      </c>
      <c r="C610" s="3">
        <v>2000.6666666673</v>
      </c>
      <c r="D610" s="2">
        <v>28.852404</v>
      </c>
      <c r="E610" s="3">
        <f>STANDARDIZE(D610,H$5,I$5)</f>
        <v>9.9562130307849731E-2</v>
      </c>
    </row>
    <row r="611" spans="1:5" x14ac:dyDescent="0.3">
      <c r="A611">
        <v>2000</v>
      </c>
      <c r="B611">
        <v>10</v>
      </c>
      <c r="C611" s="3">
        <v>2000.7500000006301</v>
      </c>
      <c r="D611" s="2">
        <v>28.932037000000001</v>
      </c>
      <c r="E611" s="3">
        <f>STANDARDIZE(D611,H$4,I$4)</f>
        <v>2.1064506489947815E-2</v>
      </c>
    </row>
    <row r="612" spans="1:5" x14ac:dyDescent="0.3">
      <c r="A612">
        <v>2000</v>
      </c>
      <c r="B612">
        <v>11</v>
      </c>
      <c r="C612" s="3">
        <v>2000.8333333339599</v>
      </c>
      <c r="D612" s="2">
        <v>28.679812999999999</v>
      </c>
      <c r="E612" s="3">
        <f>STANDARDIZE(D612,H$3,I$3)</f>
        <v>1.46086477656119E-3</v>
      </c>
    </row>
    <row r="613" spans="1:5" x14ac:dyDescent="0.3">
      <c r="A613">
        <v>2000</v>
      </c>
      <c r="B613">
        <v>12</v>
      </c>
      <c r="C613" s="3">
        <v>2000.91666666729</v>
      </c>
      <c r="D613" s="2">
        <v>27.563030000000001</v>
      </c>
      <c r="E613" s="3">
        <f>STANDARDIZE(D613,H$2,I$2)</f>
        <v>-0.73454581836561572</v>
      </c>
    </row>
    <row r="614" spans="1:5" x14ac:dyDescent="0.3">
      <c r="A614">
        <v>2001</v>
      </c>
      <c r="B614">
        <v>1</v>
      </c>
      <c r="C614" s="3">
        <v>2001.00000000062</v>
      </c>
      <c r="D614" s="2">
        <v>26.886410000000001</v>
      </c>
      <c r="E614" s="3">
        <f>STANDARDIZE(D614,H$13,I$13)</f>
        <v>-0.58048599126624301</v>
      </c>
    </row>
    <row r="615" spans="1:5" x14ac:dyDescent="0.3">
      <c r="A615">
        <v>2001</v>
      </c>
      <c r="B615">
        <v>2</v>
      </c>
      <c r="C615" s="3">
        <v>2001.0833333339499</v>
      </c>
      <c r="D615" s="2">
        <v>26.538681</v>
      </c>
      <c r="E615" s="3">
        <f>STANDARDIZE(D615,H$12,I$12)</f>
        <v>-0.87500327345231821</v>
      </c>
    </row>
    <row r="616" spans="1:5" x14ac:dyDescent="0.3">
      <c r="A616">
        <v>2001</v>
      </c>
      <c r="B616">
        <v>3</v>
      </c>
      <c r="C616" s="3">
        <v>2001.16666666728</v>
      </c>
      <c r="D616" s="2">
        <v>26.661549999999998</v>
      </c>
      <c r="E616" s="3">
        <f>STANDARDIZE(D616,H$11,I$11)</f>
        <v>-0.78548212989566446</v>
      </c>
    </row>
    <row r="617" spans="1:5" x14ac:dyDescent="0.3">
      <c r="A617">
        <v>2001</v>
      </c>
      <c r="B617">
        <v>4</v>
      </c>
      <c r="C617" s="3">
        <v>2001.25000000061</v>
      </c>
      <c r="D617" s="2">
        <v>27.255444000000001</v>
      </c>
      <c r="E617" s="3">
        <f>STANDARDIZE(D617,H$10,I$10)</f>
        <v>-0.63986987624293634</v>
      </c>
    </row>
    <row r="618" spans="1:5" x14ac:dyDescent="0.3">
      <c r="A618">
        <v>2001</v>
      </c>
      <c r="B618">
        <v>5</v>
      </c>
      <c r="C618" s="3">
        <v>2001.3333333339399</v>
      </c>
      <c r="D618" s="2">
        <v>28.235503999999999</v>
      </c>
      <c r="E618" s="3">
        <f>STANDARDIZE(D618,H$9,I$9)</f>
        <v>-0.20432842343631247</v>
      </c>
    </row>
    <row r="619" spans="1:5" x14ac:dyDescent="0.3">
      <c r="A619">
        <v>2001</v>
      </c>
      <c r="B619">
        <v>6</v>
      </c>
      <c r="C619" s="3">
        <v>2001.41666666727</v>
      </c>
      <c r="D619" s="2">
        <v>28.822624000000001</v>
      </c>
      <c r="E619" s="3">
        <f>STANDARDIZE(D619,H$8,I$8)</f>
        <v>0.46708538486232343</v>
      </c>
    </row>
    <row r="620" spans="1:5" x14ac:dyDescent="0.3">
      <c r="A620">
        <v>2001</v>
      </c>
      <c r="B620">
        <v>7</v>
      </c>
      <c r="C620" s="3">
        <v>2001.5000000006</v>
      </c>
      <c r="D620" s="2">
        <v>28.398060000000001</v>
      </c>
      <c r="E620" s="3">
        <f>STANDARDIZE(D620,H$7,I$7)</f>
        <v>0.28377485682194525</v>
      </c>
    </row>
    <row r="621" spans="1:5" x14ac:dyDescent="0.3">
      <c r="A621">
        <v>2001</v>
      </c>
      <c r="B621">
        <v>8</v>
      </c>
      <c r="C621" s="3">
        <v>2001.5833333339301</v>
      </c>
      <c r="D621" s="2">
        <v>28.618646999999999</v>
      </c>
      <c r="E621" s="3">
        <f>STANDARDIZE(D621,H$6,I$6)</f>
        <v>0.37083119492473549</v>
      </c>
    </row>
    <row r="622" spans="1:5" x14ac:dyDescent="0.3">
      <c r="A622">
        <v>2001</v>
      </c>
      <c r="B622">
        <v>9</v>
      </c>
      <c r="C622" s="3">
        <v>2001.66666666726</v>
      </c>
      <c r="D622" s="2">
        <v>29.025096999999999</v>
      </c>
      <c r="E622" s="3">
        <f>STANDARDIZE(D622,H$5,I$5)</f>
        <v>0.61002275995926314</v>
      </c>
    </row>
    <row r="623" spans="1:5" x14ac:dyDescent="0.3">
      <c r="A623">
        <v>2001</v>
      </c>
      <c r="B623">
        <v>10</v>
      </c>
      <c r="C623" s="3">
        <v>2001.75000000059</v>
      </c>
      <c r="D623" s="2">
        <v>29.12182</v>
      </c>
      <c r="E623" s="3">
        <f>STANDARDIZE(D623,H$4,I$4)</f>
        <v>0.62224346653671558</v>
      </c>
    </row>
    <row r="624" spans="1:5" x14ac:dyDescent="0.3">
      <c r="A624">
        <v>2001</v>
      </c>
      <c r="B624">
        <v>11</v>
      </c>
      <c r="C624" s="3">
        <v>2001.8333333339201</v>
      </c>
      <c r="D624" s="2">
        <v>28.679912999999999</v>
      </c>
      <c r="E624" s="3">
        <f>STANDARDIZE(D624,H$3,I$3)</f>
        <v>1.77786979136698E-3</v>
      </c>
    </row>
    <row r="625" spans="1:5" x14ac:dyDescent="0.3">
      <c r="A625">
        <v>2001</v>
      </c>
      <c r="B625">
        <v>12</v>
      </c>
      <c r="C625" s="3">
        <v>2001.91666666725</v>
      </c>
      <c r="D625" s="2">
        <v>28.049526</v>
      </c>
      <c r="E625" s="3">
        <f>STANDARDIZE(D625,H$2,I$2)</f>
        <v>0.78777372330987194</v>
      </c>
    </row>
    <row r="626" spans="1:5" x14ac:dyDescent="0.3">
      <c r="A626">
        <v>2002</v>
      </c>
      <c r="B626">
        <v>1</v>
      </c>
      <c r="C626" s="3">
        <v>2002.00000000058</v>
      </c>
      <c r="D626" s="2">
        <v>27.337869999999999</v>
      </c>
      <c r="E626" s="3">
        <f>STANDARDIZE(D626,H$13,I$13)</f>
        <v>0.78322319723973755</v>
      </c>
    </row>
    <row r="627" spans="1:5" x14ac:dyDescent="0.3">
      <c r="A627">
        <v>2002</v>
      </c>
      <c r="B627">
        <v>2</v>
      </c>
      <c r="C627" s="3">
        <v>2002.0833333339101</v>
      </c>
      <c r="D627" s="2">
        <v>27.000133999999999</v>
      </c>
      <c r="E627" s="3">
        <f>STANDARDIZE(D627,H$12,I$12)</f>
        <v>0.30829073202980489</v>
      </c>
    </row>
    <row r="628" spans="1:5" x14ac:dyDescent="0.3">
      <c r="A628">
        <v>2002</v>
      </c>
      <c r="B628">
        <v>3</v>
      </c>
      <c r="C628" s="3">
        <v>2002.16666666724</v>
      </c>
      <c r="D628" s="2">
        <v>27.082336000000002</v>
      </c>
      <c r="E628" s="3">
        <f>STANDARDIZE(D628,H$11,I$11)</f>
        <v>0.2548272702901182</v>
      </c>
    </row>
    <row r="629" spans="1:5" x14ac:dyDescent="0.3">
      <c r="A629">
        <v>2002</v>
      </c>
      <c r="B629">
        <v>4</v>
      </c>
      <c r="C629" s="3">
        <v>2002.25000000057</v>
      </c>
      <c r="D629" s="2">
        <v>27.583283999999999</v>
      </c>
      <c r="E629" s="3">
        <f>STANDARDIZE(D629,H$10,I$10)</f>
        <v>0.28841798174681993</v>
      </c>
    </row>
    <row r="630" spans="1:5" x14ac:dyDescent="0.3">
      <c r="A630">
        <v>2002</v>
      </c>
      <c r="B630">
        <v>5</v>
      </c>
      <c r="C630" s="3">
        <v>2002.3333333339001</v>
      </c>
      <c r="D630" s="2">
        <v>28.155992999999999</v>
      </c>
      <c r="E630" s="3">
        <f>STANDARDIZE(D630,H$9,I$9)</f>
        <v>-0.39979758628992279</v>
      </c>
    </row>
    <row r="631" spans="1:5" x14ac:dyDescent="0.3">
      <c r="A631">
        <v>2002</v>
      </c>
      <c r="B631">
        <v>6</v>
      </c>
      <c r="C631" s="3">
        <v>2002.4166666672299</v>
      </c>
      <c r="D631" s="2">
        <v>28.497033999999999</v>
      </c>
      <c r="E631" s="3">
        <f>STANDARDIZE(D631,H$8,I$8)</f>
        <v>-0.40548307349807627</v>
      </c>
    </row>
    <row r="632" spans="1:5" x14ac:dyDescent="0.3">
      <c r="A632">
        <v>2002</v>
      </c>
      <c r="B632">
        <v>7</v>
      </c>
      <c r="C632" s="3">
        <v>2002.50000000056</v>
      </c>
      <c r="D632" s="2">
        <v>28.217649999999999</v>
      </c>
      <c r="E632" s="3">
        <f>STANDARDIZE(D632,H$7,I$7)</f>
        <v>-0.23834016073715877</v>
      </c>
    </row>
    <row r="633" spans="1:5" x14ac:dyDescent="0.3">
      <c r="A633">
        <v>2002</v>
      </c>
      <c r="B633">
        <v>8</v>
      </c>
      <c r="C633" s="3">
        <v>2002.5833333338901</v>
      </c>
      <c r="D633" s="2">
        <v>28.328240000000001</v>
      </c>
      <c r="E633" s="3">
        <f>STANDARDIZE(D633,H$6,I$6)</f>
        <v>-0.48771913798036298</v>
      </c>
    </row>
    <row r="634" spans="1:5" x14ac:dyDescent="0.3">
      <c r="A634">
        <v>2002</v>
      </c>
      <c r="B634">
        <v>9</v>
      </c>
      <c r="C634" s="3">
        <v>2002.6666666672199</v>
      </c>
      <c r="D634" s="2">
        <v>28.773917999999998</v>
      </c>
      <c r="E634" s="3">
        <f>STANDARDIZE(D634,H$5,I$5)</f>
        <v>-0.13243345132442208</v>
      </c>
    </row>
    <row r="635" spans="1:5" x14ac:dyDescent="0.3">
      <c r="A635">
        <v>2002</v>
      </c>
      <c r="B635">
        <v>10</v>
      </c>
      <c r="C635" s="3">
        <v>2002.75000000055</v>
      </c>
      <c r="D635" s="2">
        <v>29.102944999999998</v>
      </c>
      <c r="E635" s="3">
        <f>STANDARDIZE(D635,H$4,I$4)</f>
        <v>0.56245279576597418</v>
      </c>
    </row>
    <row r="636" spans="1:5" x14ac:dyDescent="0.3">
      <c r="A636">
        <v>2002</v>
      </c>
      <c r="B636">
        <v>11</v>
      </c>
      <c r="C636" s="3">
        <v>2002.8333333338801</v>
      </c>
      <c r="D636" s="2">
        <v>28.888596</v>
      </c>
      <c r="E636" s="3">
        <f>STANDARDIZE(D636,H$3,I$3)</f>
        <v>0.66331344484007737</v>
      </c>
    </row>
    <row r="637" spans="1:5" x14ac:dyDescent="0.3">
      <c r="A637">
        <v>2002</v>
      </c>
      <c r="B637">
        <v>12</v>
      </c>
      <c r="C637" s="3">
        <v>2002.9166666672099</v>
      </c>
      <c r="D637" s="2">
        <v>27.961327000000001</v>
      </c>
      <c r="E637" s="3">
        <f>STANDARDIZE(D637,H$2,I$2)</f>
        <v>0.51178571671529394</v>
      </c>
    </row>
    <row r="638" spans="1:5" x14ac:dyDescent="0.3">
      <c r="A638">
        <v>2003</v>
      </c>
      <c r="B638">
        <v>1</v>
      </c>
      <c r="C638" s="3">
        <v>2003.00000000054</v>
      </c>
      <c r="D638" s="2">
        <v>27.290151999999999</v>
      </c>
      <c r="E638" s="3">
        <f>STANDARDIZE(D638,H$13,I$13)</f>
        <v>0.63908312933310485</v>
      </c>
    </row>
    <row r="639" spans="1:5" x14ac:dyDescent="0.3">
      <c r="A639">
        <v>2003</v>
      </c>
      <c r="B639">
        <v>2</v>
      </c>
      <c r="C639" s="3">
        <v>2003.0833333338701</v>
      </c>
      <c r="D639" s="2">
        <v>27.115856000000001</v>
      </c>
      <c r="E639" s="3">
        <f>STANDARDIZE(D639,H$12,I$12)</f>
        <v>0.60503416831129953</v>
      </c>
    </row>
    <row r="640" spans="1:5" x14ac:dyDescent="0.3">
      <c r="A640">
        <v>2003</v>
      </c>
      <c r="B640">
        <v>3</v>
      </c>
      <c r="C640" s="3">
        <v>2003.1666666671999</v>
      </c>
      <c r="D640" s="2">
        <v>27.146273000000001</v>
      </c>
      <c r="E640" s="3">
        <f>STANDARDIZE(D640,H$11,I$11)</f>
        <v>0.41289874158354789</v>
      </c>
    </row>
    <row r="641" spans="1:5" x14ac:dyDescent="0.3">
      <c r="A641">
        <v>2003</v>
      </c>
      <c r="B641">
        <v>4</v>
      </c>
      <c r="C641" s="3">
        <v>2003.25000000053</v>
      </c>
      <c r="D641" s="2">
        <v>28.064848000000001</v>
      </c>
      <c r="E641" s="3">
        <f>STANDARDIZE(D641,H$10,I$10)</f>
        <v>1.6519795179992096</v>
      </c>
    </row>
    <row r="642" spans="1:5" x14ac:dyDescent="0.3">
      <c r="A642">
        <v>2003</v>
      </c>
      <c r="B642">
        <v>5</v>
      </c>
      <c r="C642" s="3">
        <v>2003.3333333338601</v>
      </c>
      <c r="D642" s="2">
        <v>28.372574</v>
      </c>
      <c r="E642" s="3">
        <f>STANDARDIZE(D642,H$9,I$9)</f>
        <v>0.13264329308523287</v>
      </c>
    </row>
    <row r="643" spans="1:5" x14ac:dyDescent="0.3">
      <c r="A643">
        <v>2003</v>
      </c>
      <c r="B643">
        <v>6</v>
      </c>
      <c r="C643" s="3">
        <v>2003.4166666671899</v>
      </c>
      <c r="D643" s="2">
        <v>28.6553</v>
      </c>
      <c r="E643" s="3">
        <f>STANDARDIZE(D643,H$8,I$8)</f>
        <v>1.8663612920017739E-2</v>
      </c>
    </row>
    <row r="644" spans="1:5" x14ac:dyDescent="0.3">
      <c r="A644">
        <v>2003</v>
      </c>
      <c r="B644">
        <v>7</v>
      </c>
      <c r="C644" s="3">
        <v>2003.50000000052</v>
      </c>
      <c r="D644" s="2">
        <v>28.433136000000001</v>
      </c>
      <c r="E644" s="3">
        <f>STANDARDIZE(D644,H$7,I$7)</f>
        <v>0.38528644906130555</v>
      </c>
    </row>
    <row r="645" spans="1:5" x14ac:dyDescent="0.3">
      <c r="A645">
        <v>2003</v>
      </c>
      <c r="B645">
        <v>8</v>
      </c>
      <c r="C645" s="3">
        <v>2003.5833333338501</v>
      </c>
      <c r="D645" s="2">
        <v>28.791232999999998</v>
      </c>
      <c r="E645" s="3">
        <f>STANDARDIZE(D645,H$6,I$6)</f>
        <v>0.88105914313107814</v>
      </c>
    </row>
    <row r="646" spans="1:5" x14ac:dyDescent="0.3">
      <c r="A646">
        <v>2003</v>
      </c>
      <c r="B646">
        <v>9</v>
      </c>
      <c r="C646" s="3">
        <v>2003.6666666671799</v>
      </c>
      <c r="D646" s="2">
        <v>29.224972000000001</v>
      </c>
      <c r="E646" s="3">
        <f>STANDARDIZE(D646,H$5,I$5)</f>
        <v>1.2008302527445993</v>
      </c>
    </row>
    <row r="647" spans="1:5" x14ac:dyDescent="0.3">
      <c r="A647">
        <v>2003</v>
      </c>
      <c r="B647">
        <v>10</v>
      </c>
      <c r="C647" s="3">
        <v>2003.75000000051</v>
      </c>
      <c r="D647" s="2">
        <v>29.477181999999999</v>
      </c>
      <c r="E647" s="3">
        <f>STANDARDIZE(D647,H$4,I$4)</f>
        <v>1.7479299484668194</v>
      </c>
    </row>
    <row r="648" spans="1:5" x14ac:dyDescent="0.3">
      <c r="A648">
        <v>2003</v>
      </c>
      <c r="B648">
        <v>11</v>
      </c>
      <c r="C648" s="3">
        <v>2003.8333333338401</v>
      </c>
      <c r="D648" s="2">
        <v>29.012756</v>
      </c>
      <c r="E648" s="3">
        <f>STANDARDIZE(D648,H$3,I$3)</f>
        <v>1.056906871223863</v>
      </c>
    </row>
    <row r="649" spans="1:5" x14ac:dyDescent="0.3">
      <c r="A649">
        <v>2003</v>
      </c>
      <c r="B649">
        <v>12</v>
      </c>
      <c r="C649" s="3">
        <v>2003.9166666671699</v>
      </c>
      <c r="D649" s="2">
        <v>28.002147999999998</v>
      </c>
      <c r="E649" s="3">
        <f>STANDARDIZE(D649,H$2,I$2)</f>
        <v>0.63952079780687843</v>
      </c>
    </row>
    <row r="650" spans="1:5" x14ac:dyDescent="0.3">
      <c r="A650">
        <v>2004</v>
      </c>
      <c r="B650">
        <v>1</v>
      </c>
      <c r="C650" s="3">
        <v>2004.0000000005</v>
      </c>
      <c r="D650" s="2">
        <v>27.271975999999999</v>
      </c>
      <c r="E650" s="3">
        <f>STANDARDIZE(D650,H$13,I$13)</f>
        <v>0.58417953164939995</v>
      </c>
    </row>
    <row r="651" spans="1:5" x14ac:dyDescent="0.3">
      <c r="A651">
        <v>2004</v>
      </c>
      <c r="B651">
        <v>2</v>
      </c>
      <c r="C651" s="3">
        <v>2004.0833333338301</v>
      </c>
      <c r="D651" s="2">
        <v>27.071808000000001</v>
      </c>
      <c r="E651" s="3">
        <f>STANDARDIZE(D651,H$12,I$12)</f>
        <v>0.49208282905578105</v>
      </c>
    </row>
    <row r="652" spans="1:5" x14ac:dyDescent="0.3">
      <c r="A652">
        <v>2004</v>
      </c>
      <c r="B652">
        <v>3</v>
      </c>
      <c r="C652" s="3">
        <v>2004.1666666671599</v>
      </c>
      <c r="D652" s="2">
        <v>27.052551000000001</v>
      </c>
      <c r="E652" s="3">
        <f>STANDARDIZE(D652,H$11,I$11)</f>
        <v>0.18118980258792824</v>
      </c>
    </row>
    <row r="653" spans="1:5" x14ac:dyDescent="0.3">
      <c r="A653">
        <v>2004</v>
      </c>
      <c r="B653">
        <v>4</v>
      </c>
      <c r="C653" s="3">
        <v>2004.25000000049</v>
      </c>
      <c r="D653" s="2">
        <v>27.874420000000001</v>
      </c>
      <c r="E653" s="3">
        <f>STANDARDIZE(D653,H$10,I$10)</f>
        <v>1.1127774675438811</v>
      </c>
    </row>
    <row r="654" spans="1:5" x14ac:dyDescent="0.3">
      <c r="A654">
        <v>2004</v>
      </c>
      <c r="B654">
        <v>5</v>
      </c>
      <c r="C654" s="3">
        <v>2004.3333333338201</v>
      </c>
      <c r="D654" s="2">
        <v>28.419525</v>
      </c>
      <c r="E654" s="3">
        <f>STANDARDIZE(D654,H$9,I$9)</f>
        <v>0.2480672302151877</v>
      </c>
    </row>
    <row r="655" spans="1:5" x14ac:dyDescent="0.3">
      <c r="A655">
        <v>2004</v>
      </c>
      <c r="B655">
        <v>6</v>
      </c>
      <c r="C655" s="3">
        <v>2004.4166666671499</v>
      </c>
      <c r="D655" s="2">
        <v>28.625893000000001</v>
      </c>
      <c r="E655" s="3">
        <f>STANDARDIZE(D655,H$8,I$8)</f>
        <v>-6.0145996266392533E-2</v>
      </c>
    </row>
    <row r="656" spans="1:5" x14ac:dyDescent="0.3">
      <c r="A656">
        <v>2004</v>
      </c>
      <c r="B656">
        <v>7</v>
      </c>
      <c r="C656" s="3">
        <v>2004.50000000048</v>
      </c>
      <c r="D656" s="2">
        <v>28.47953</v>
      </c>
      <c r="E656" s="3">
        <f>STANDARDIZE(D656,H$7,I$7)</f>
        <v>0.51955286513933052</v>
      </c>
    </row>
    <row r="657" spans="1:5" x14ac:dyDescent="0.3">
      <c r="A657">
        <v>2004</v>
      </c>
      <c r="B657">
        <v>8</v>
      </c>
      <c r="C657" s="3">
        <v>2004.5833333338101</v>
      </c>
      <c r="D657" s="2">
        <v>28.810718999999999</v>
      </c>
      <c r="E657" s="3">
        <f>STANDARDIZE(D657,H$6,I$6)</f>
        <v>0.9386669548814468</v>
      </c>
    </row>
    <row r="658" spans="1:5" x14ac:dyDescent="0.3">
      <c r="A658">
        <v>2004</v>
      </c>
      <c r="B658">
        <v>9</v>
      </c>
      <c r="C658" s="3">
        <v>2004.6666666671399</v>
      </c>
      <c r="D658" s="2">
        <v>29.209610000000001</v>
      </c>
      <c r="E658" s="3">
        <f>STANDARDIZE(D658,H$5,I$5)</f>
        <v>1.1554219490339401</v>
      </c>
    </row>
    <row r="659" spans="1:5" x14ac:dyDescent="0.3">
      <c r="A659">
        <v>2004</v>
      </c>
      <c r="B659">
        <v>10</v>
      </c>
      <c r="C659" s="3">
        <v>2004.75000000047</v>
      </c>
      <c r="D659" s="2">
        <v>29.338363999999999</v>
      </c>
      <c r="E659" s="3">
        <f>STANDARDIZE(D659,H$4,I$4)</f>
        <v>1.3081937187951775</v>
      </c>
    </row>
    <row r="660" spans="1:5" x14ac:dyDescent="0.3">
      <c r="A660">
        <v>2004</v>
      </c>
      <c r="B660">
        <v>11</v>
      </c>
      <c r="C660" s="3">
        <v>2004.8333333338001</v>
      </c>
      <c r="D660" s="2">
        <v>28.907586999999999</v>
      </c>
      <c r="E660" s="3">
        <f>STANDARDIZE(D660,H$3,I$3)</f>
        <v>0.72351586720198446</v>
      </c>
    </row>
    <row r="661" spans="1:5" x14ac:dyDescent="0.3">
      <c r="A661">
        <v>2004</v>
      </c>
      <c r="B661">
        <v>12</v>
      </c>
      <c r="C661" s="3">
        <v>2004.9166666671299</v>
      </c>
      <c r="D661" s="2">
        <v>28.138020999999998</v>
      </c>
      <c r="E661" s="3">
        <f>STANDARDIZE(D661,H$2,I$2)</f>
        <v>1.0646879586593299</v>
      </c>
    </row>
    <row r="662" spans="1:5" x14ac:dyDescent="0.3">
      <c r="A662">
        <v>2005</v>
      </c>
      <c r="B662">
        <v>1</v>
      </c>
      <c r="C662" s="3">
        <v>2005.00000000046</v>
      </c>
      <c r="D662" s="2">
        <v>27.331130999999999</v>
      </c>
      <c r="E662" s="3">
        <f>STANDARDIZE(D662,H$13,I$13)</f>
        <v>0.76286693927371318</v>
      </c>
    </row>
    <row r="663" spans="1:5" x14ac:dyDescent="0.3">
      <c r="A663">
        <v>2005</v>
      </c>
      <c r="B663">
        <v>2</v>
      </c>
      <c r="C663" s="3">
        <v>2005.0833333337901</v>
      </c>
      <c r="D663" s="2">
        <v>26.825703000000001</v>
      </c>
      <c r="E663" s="3">
        <f>STANDARDIZE(D663,H$12,I$12)</f>
        <v>-0.13899893055826137</v>
      </c>
    </row>
    <row r="664" spans="1:5" x14ac:dyDescent="0.3">
      <c r="A664">
        <v>2005</v>
      </c>
      <c r="B664">
        <v>3</v>
      </c>
      <c r="C664" s="3">
        <v>2005.1666666671199</v>
      </c>
      <c r="D664" s="2">
        <v>27.556049999999999</v>
      </c>
      <c r="E664" s="3">
        <f>STANDARDIZE(D664,H$11,I$11)</f>
        <v>1.4259905865591991</v>
      </c>
    </row>
    <row r="665" spans="1:5" x14ac:dyDescent="0.3">
      <c r="A665">
        <v>2005</v>
      </c>
      <c r="B665">
        <v>4</v>
      </c>
      <c r="C665" s="3">
        <v>2005.25000000045</v>
      </c>
      <c r="D665" s="2">
        <v>28.38344</v>
      </c>
      <c r="E665" s="3">
        <f>STANDARDIZE(D665,H$10,I$10)</f>
        <v>2.5540814129866205</v>
      </c>
    </row>
    <row r="666" spans="1:5" x14ac:dyDescent="0.3">
      <c r="A666">
        <v>2005</v>
      </c>
      <c r="B666">
        <v>5</v>
      </c>
      <c r="C666" s="3">
        <v>2005.33333333378</v>
      </c>
      <c r="D666" s="2">
        <v>29.238060000000001</v>
      </c>
      <c r="E666" s="3">
        <f>STANDARDIZE(D666,H$9,I$9)</f>
        <v>2.2603466785478692</v>
      </c>
    </row>
    <row r="667" spans="1:5" x14ac:dyDescent="0.3">
      <c r="A667">
        <v>2005</v>
      </c>
      <c r="B667">
        <v>6</v>
      </c>
      <c r="C667" s="3">
        <v>2005.4166666671099</v>
      </c>
      <c r="D667" s="2">
        <v>29.407322000000001</v>
      </c>
      <c r="E667" s="3">
        <f>STANDARDIZE(D667,H$8,I$8)</f>
        <v>2.0340531432898112</v>
      </c>
    </row>
    <row r="668" spans="1:5" x14ac:dyDescent="0.3">
      <c r="A668">
        <v>2005</v>
      </c>
      <c r="B668">
        <v>7</v>
      </c>
      <c r="C668" s="3">
        <v>2005.50000000044</v>
      </c>
      <c r="D668" s="2">
        <v>28.986820000000002</v>
      </c>
      <c r="E668" s="3">
        <f>STANDARDIZE(D668,H$7,I$7)</f>
        <v>1.9876739629584959</v>
      </c>
    </row>
    <row r="669" spans="1:5" x14ac:dyDescent="0.3">
      <c r="A669">
        <v>2005</v>
      </c>
      <c r="B669">
        <v>8</v>
      </c>
      <c r="C669" s="3">
        <v>2005.58333333377</v>
      </c>
      <c r="D669" s="2">
        <v>29.166789999999999</v>
      </c>
      <c r="E669" s="3">
        <f>STANDARDIZE(D669,H$6,I$6)</f>
        <v>1.9913443200546455</v>
      </c>
    </row>
    <row r="670" spans="1:5" x14ac:dyDescent="0.3">
      <c r="A670">
        <v>2005</v>
      </c>
      <c r="B670">
        <v>9</v>
      </c>
      <c r="C670" s="3">
        <v>2005.6666666670999</v>
      </c>
      <c r="D670" s="2">
        <v>29.377977000000001</v>
      </c>
      <c r="E670" s="3">
        <f>STANDARDIZE(D670,H$5,I$5)</f>
        <v>1.6530954206426332</v>
      </c>
    </row>
    <row r="671" spans="1:5" x14ac:dyDescent="0.3">
      <c r="A671">
        <v>2005</v>
      </c>
      <c r="B671">
        <v>10</v>
      </c>
      <c r="C671" s="3">
        <v>2005.75000000043</v>
      </c>
      <c r="D671" s="2">
        <v>29.280418000000001</v>
      </c>
      <c r="E671" s="3">
        <f>STANDARDIZE(D671,H$4,I$4)</f>
        <v>1.1246371514584359</v>
      </c>
    </row>
    <row r="672" spans="1:5" x14ac:dyDescent="0.3">
      <c r="A672">
        <v>2005</v>
      </c>
      <c r="B672">
        <v>11</v>
      </c>
      <c r="C672" s="3">
        <v>2005.83333333376</v>
      </c>
      <c r="D672" s="2">
        <v>28.921579999999999</v>
      </c>
      <c r="E672" s="3">
        <f>STANDARDIZE(D672,H$3,I$3)</f>
        <v>0.76787437892385968</v>
      </c>
    </row>
    <row r="673" spans="1:5" x14ac:dyDescent="0.3">
      <c r="A673">
        <v>2005</v>
      </c>
      <c r="B673">
        <v>12</v>
      </c>
      <c r="C673" s="3">
        <v>2005.9166666670901</v>
      </c>
      <c r="D673" s="2">
        <v>28.159420000000001</v>
      </c>
      <c r="E673" s="3">
        <f>STANDARDIZE(D673,H$2,I$2)</f>
        <v>1.1316486651652773</v>
      </c>
    </row>
    <row r="674" spans="1:5" x14ac:dyDescent="0.3">
      <c r="A674">
        <v>2006</v>
      </c>
      <c r="B674">
        <v>1</v>
      </c>
      <c r="C674" s="3">
        <v>2006.00000000042</v>
      </c>
      <c r="D674" s="2">
        <v>27.270935000000001</v>
      </c>
      <c r="E674" s="3">
        <f>STANDARDIZE(D674,H$13,I$13)</f>
        <v>0.58103501992027473</v>
      </c>
    </row>
    <row r="675" spans="1:5" x14ac:dyDescent="0.3">
      <c r="A675">
        <v>2006</v>
      </c>
      <c r="B675">
        <v>2</v>
      </c>
      <c r="C675" s="3">
        <v>2006.08333333375</v>
      </c>
      <c r="D675" s="2">
        <v>26.998588999999999</v>
      </c>
      <c r="E675" s="3">
        <f>STANDARDIZE(D675,H$12,I$12)</f>
        <v>0.30432892175124987</v>
      </c>
    </row>
    <row r="676" spans="1:5" x14ac:dyDescent="0.3">
      <c r="A676">
        <v>2006</v>
      </c>
      <c r="B676">
        <v>3</v>
      </c>
      <c r="C676" s="3">
        <v>2006.1666666670801</v>
      </c>
      <c r="D676" s="2">
        <v>27.057026</v>
      </c>
      <c r="E676" s="3">
        <f>STANDARDIZE(D676,H$11,I$11)</f>
        <v>0.19225334692122512</v>
      </c>
    </row>
    <row r="677" spans="1:5" x14ac:dyDescent="0.3">
      <c r="A677">
        <v>2006</v>
      </c>
      <c r="B677">
        <v>4</v>
      </c>
      <c r="C677" s="3">
        <v>2006.25000000041</v>
      </c>
      <c r="D677" s="2">
        <v>27.712506999999999</v>
      </c>
      <c r="E677" s="3">
        <f>STANDARDIZE(D677,H$10,I$10)</f>
        <v>0.65431641352149827</v>
      </c>
    </row>
    <row r="678" spans="1:5" x14ac:dyDescent="0.3">
      <c r="A678">
        <v>2006</v>
      </c>
      <c r="B678">
        <v>5</v>
      </c>
      <c r="C678" s="3">
        <v>2006.33333333374</v>
      </c>
      <c r="D678" s="2">
        <v>28.656092000000001</v>
      </c>
      <c r="E678" s="3">
        <f>STANDARDIZE(D678,H$9,I$9)</f>
        <v>0.82964152117857803</v>
      </c>
    </row>
    <row r="679" spans="1:5" x14ac:dyDescent="0.3">
      <c r="A679">
        <v>2006</v>
      </c>
      <c r="B679">
        <v>6</v>
      </c>
      <c r="C679" s="3">
        <v>2006.4166666670701</v>
      </c>
      <c r="D679" s="2">
        <v>29.124960000000002</v>
      </c>
      <c r="E679" s="3">
        <f>STANDARDIZE(D679,H$8,I$8)</f>
        <v>1.2773340332447942</v>
      </c>
    </row>
    <row r="680" spans="1:5" x14ac:dyDescent="0.3">
      <c r="A680">
        <v>2006</v>
      </c>
      <c r="B680">
        <v>7</v>
      </c>
      <c r="C680" s="3">
        <v>2006.5000000004</v>
      </c>
      <c r="D680" s="2">
        <v>28.700240999999998</v>
      </c>
      <c r="E680" s="3">
        <f>STANDARDIZE(D680,H$7,I$7)</f>
        <v>1.158300870463232</v>
      </c>
    </row>
    <row r="681" spans="1:5" x14ac:dyDescent="0.3">
      <c r="A681">
        <v>2006</v>
      </c>
      <c r="B681">
        <v>8</v>
      </c>
      <c r="C681" s="3">
        <v>2006.58333333373</v>
      </c>
      <c r="D681" s="2">
        <v>28.920438999999998</v>
      </c>
      <c r="E681" s="3">
        <f>STANDARDIZE(D681,H$6,I$6)</f>
        <v>1.263039792059433</v>
      </c>
    </row>
    <row r="682" spans="1:5" x14ac:dyDescent="0.3">
      <c r="A682">
        <v>2006</v>
      </c>
      <c r="B682">
        <v>9</v>
      </c>
      <c r="C682" s="3">
        <v>2006.6666666670601</v>
      </c>
      <c r="D682" s="2">
        <v>29.190449000000001</v>
      </c>
      <c r="E682" s="3">
        <f>STANDARDIZE(D682,H$5,I$5)</f>
        <v>1.0987842386186306</v>
      </c>
    </row>
    <row r="683" spans="1:5" x14ac:dyDescent="0.3">
      <c r="A683">
        <v>2006</v>
      </c>
      <c r="B683">
        <v>10</v>
      </c>
      <c r="C683" s="3">
        <v>2006.7500000003899</v>
      </c>
      <c r="D683" s="2">
        <v>29.268916999999998</v>
      </c>
      <c r="E683" s="3">
        <f>STANDARDIZE(D683,H$4,I$4)</f>
        <v>1.0882052306884011</v>
      </c>
    </row>
    <row r="684" spans="1:5" x14ac:dyDescent="0.3">
      <c r="A684">
        <v>2006</v>
      </c>
      <c r="B684">
        <v>11</v>
      </c>
      <c r="C684" s="3">
        <v>2006.83333333372</v>
      </c>
      <c r="D684" s="2">
        <v>29.271367999999999</v>
      </c>
      <c r="E684" s="3">
        <f>STANDARDIZE(D684,H$3,I$3)</f>
        <v>1.8767198801153211</v>
      </c>
    </row>
    <row r="685" spans="1:5" x14ac:dyDescent="0.3">
      <c r="A685">
        <v>2006</v>
      </c>
      <c r="B685">
        <v>12</v>
      </c>
      <c r="C685" s="3">
        <v>2006.9166666670501</v>
      </c>
      <c r="D685" s="2">
        <v>28.172557999999999</v>
      </c>
      <c r="E685" s="3">
        <f>STANDARDIZE(D685,H$2,I$2)</f>
        <v>1.1727594536168358</v>
      </c>
    </row>
    <row r="686" spans="1:5" x14ac:dyDescent="0.3">
      <c r="A686">
        <v>2007</v>
      </c>
      <c r="B686">
        <v>1</v>
      </c>
      <c r="C686" s="3">
        <v>2007.0000000003799</v>
      </c>
      <c r="D686" s="2">
        <v>27.232132</v>
      </c>
      <c r="E686" s="3">
        <f>STANDARDIZE(D686,H$13,I$13)</f>
        <v>0.46382417589954222</v>
      </c>
    </row>
    <row r="687" spans="1:5" x14ac:dyDescent="0.3">
      <c r="A687">
        <v>2007</v>
      </c>
      <c r="B687">
        <v>2</v>
      </c>
      <c r="C687" s="3">
        <v>2007.08333333371</v>
      </c>
      <c r="D687" s="2">
        <v>27.185345000000002</v>
      </c>
      <c r="E687" s="3">
        <f>STANDARDIZE(D687,H$12,I$12)</f>
        <v>0.7832233168203534</v>
      </c>
    </row>
    <row r="688" spans="1:5" x14ac:dyDescent="0.3">
      <c r="A688">
        <v>2007</v>
      </c>
      <c r="B688">
        <v>3</v>
      </c>
      <c r="C688" s="3">
        <v>2007.1666666670401</v>
      </c>
      <c r="D688" s="2">
        <v>27.194614000000001</v>
      </c>
      <c r="E688" s="3">
        <f>STANDARDIZE(D688,H$11,I$11)</f>
        <v>0.5324122156876796</v>
      </c>
    </row>
    <row r="689" spans="1:5" x14ac:dyDescent="0.3">
      <c r="A689">
        <v>2007</v>
      </c>
      <c r="B689">
        <v>4</v>
      </c>
      <c r="C689" s="3">
        <v>2007.2500000003699</v>
      </c>
      <c r="D689" s="2">
        <v>27.767769000000001</v>
      </c>
      <c r="E689" s="3">
        <f>STANDARDIZE(D689,H$10,I$10)</f>
        <v>0.81079226640166102</v>
      </c>
    </row>
    <row r="690" spans="1:5" x14ac:dyDescent="0.3">
      <c r="A690">
        <v>2007</v>
      </c>
      <c r="B690">
        <v>5</v>
      </c>
      <c r="C690" s="3">
        <v>2007.3333333337</v>
      </c>
      <c r="D690" s="2">
        <v>28.571280000000002</v>
      </c>
      <c r="E690" s="3">
        <f>STANDARDIZE(D690,H$9,I$9)</f>
        <v>0.62114042523034119</v>
      </c>
    </row>
    <row r="691" spans="1:5" x14ac:dyDescent="0.3">
      <c r="A691">
        <v>2007</v>
      </c>
      <c r="B691">
        <v>6</v>
      </c>
      <c r="C691" s="3">
        <v>2007.4166666670301</v>
      </c>
      <c r="D691" s="2">
        <v>28.711490000000001</v>
      </c>
      <c r="E691" s="3">
        <f>STANDARDIZE(D691,H$8,I$8)</f>
        <v>0.16925061398046592</v>
      </c>
    </row>
    <row r="692" spans="1:5" x14ac:dyDescent="0.3">
      <c r="A692">
        <v>2007</v>
      </c>
      <c r="B692">
        <v>7</v>
      </c>
      <c r="C692" s="3">
        <v>2007.5000000003599</v>
      </c>
      <c r="D692" s="2">
        <v>28.413506000000002</v>
      </c>
      <c r="E692" s="3">
        <f>STANDARDIZE(D692,H$7,I$7)</f>
        <v>0.32847630663746669</v>
      </c>
    </row>
    <row r="693" spans="1:5" x14ac:dyDescent="0.3">
      <c r="A693">
        <v>2007</v>
      </c>
      <c r="B693">
        <v>8</v>
      </c>
      <c r="C693" s="3">
        <v>2007.58333333369</v>
      </c>
      <c r="D693" s="2">
        <v>28.627700000000001</v>
      </c>
      <c r="E693" s="3">
        <f>STANDARDIZE(D693,H$6,I$6)</f>
        <v>0.39759520599812981</v>
      </c>
    </row>
    <row r="694" spans="1:5" x14ac:dyDescent="0.3">
      <c r="A694">
        <v>2007</v>
      </c>
      <c r="B694">
        <v>9</v>
      </c>
      <c r="C694" s="3">
        <v>2007.6666666670201</v>
      </c>
      <c r="D694" s="2">
        <v>29.03689</v>
      </c>
      <c r="E694" s="3">
        <f>STANDARDIZE(D694,H$5,I$5)</f>
        <v>0.64488151049043452</v>
      </c>
    </row>
    <row r="695" spans="1:5" x14ac:dyDescent="0.3">
      <c r="A695">
        <v>2007</v>
      </c>
      <c r="B695">
        <v>10</v>
      </c>
      <c r="C695" s="3">
        <v>2007.7500000003499</v>
      </c>
      <c r="D695" s="2">
        <v>29.111529999999998</v>
      </c>
      <c r="E695" s="3">
        <f>STANDARDIZE(D695,H$4,I$4)</f>
        <v>0.58964765184898249</v>
      </c>
    </row>
    <row r="696" spans="1:5" x14ac:dyDescent="0.3">
      <c r="A696">
        <v>2007</v>
      </c>
      <c r="B696">
        <v>11</v>
      </c>
      <c r="C696" s="3">
        <v>2007.83333333368</v>
      </c>
      <c r="D696" s="2">
        <v>28.80339</v>
      </c>
      <c r="E696" s="3">
        <f>STANDARDIZE(D696,H$3,I$3)</f>
        <v>0.39320615192402819</v>
      </c>
    </row>
    <row r="697" spans="1:5" x14ac:dyDescent="0.3">
      <c r="A697">
        <v>2007</v>
      </c>
      <c r="B697">
        <v>12</v>
      </c>
      <c r="C697" s="3">
        <v>2007.9166666670101</v>
      </c>
      <c r="D697" s="2">
        <v>27.852543000000001</v>
      </c>
      <c r="E697" s="3">
        <f>STANDARDIZE(D697,H$2,I$2)</f>
        <v>0.1713841326907046</v>
      </c>
    </row>
    <row r="698" spans="1:5" x14ac:dyDescent="0.3">
      <c r="A698">
        <v>2008</v>
      </c>
      <c r="B698">
        <v>1</v>
      </c>
      <c r="C698" s="3">
        <v>2008.0000000003399</v>
      </c>
      <c r="D698" s="2">
        <v>26.972602999999999</v>
      </c>
      <c r="E698" s="3">
        <f>STANDARDIZE(D698,H$13,I$13)</f>
        <v>-0.32012585729004595</v>
      </c>
    </row>
    <row r="699" spans="1:5" x14ac:dyDescent="0.3">
      <c r="A699">
        <v>2008</v>
      </c>
      <c r="B699">
        <v>2</v>
      </c>
      <c r="C699" s="3">
        <v>2008.08333333367</v>
      </c>
      <c r="D699" s="2">
        <v>26.865704000000001</v>
      </c>
      <c r="E699" s="3">
        <f>STANDARDIZE(D699,H$12,I$12)</f>
        <v>-3.6425226381908107E-2</v>
      </c>
    </row>
    <row r="700" spans="1:5" x14ac:dyDescent="0.3">
      <c r="A700">
        <v>2008</v>
      </c>
      <c r="B700">
        <v>3</v>
      </c>
      <c r="C700" s="3">
        <v>2008.1666666670001</v>
      </c>
      <c r="D700" s="2">
        <v>26.876124999999998</v>
      </c>
      <c r="E700" s="3">
        <f>STANDARDIZE(D700,H$11,I$11)</f>
        <v>-0.25498826948951364</v>
      </c>
    </row>
    <row r="701" spans="1:5" x14ac:dyDescent="0.3">
      <c r="A701">
        <v>2008</v>
      </c>
      <c r="B701">
        <v>4</v>
      </c>
      <c r="C701" s="3">
        <v>2008.2500000003299</v>
      </c>
      <c r="D701" s="2">
        <v>27.526384</v>
      </c>
      <c r="E701" s="3">
        <f>STANDARDIZE(D701,H$10,I$10)</f>
        <v>0.12730408740928845</v>
      </c>
    </row>
    <row r="702" spans="1:5" x14ac:dyDescent="0.3">
      <c r="A702">
        <v>2008</v>
      </c>
      <c r="B702">
        <v>5</v>
      </c>
      <c r="C702" s="3">
        <v>2008.33333333366</v>
      </c>
      <c r="D702" s="2">
        <v>28.076474999999999</v>
      </c>
      <c r="E702" s="3">
        <f>STANDARDIZE(D702,H$9,I$9)</f>
        <v>-0.59528395788370736</v>
      </c>
    </row>
    <row r="703" spans="1:5" x14ac:dyDescent="0.3">
      <c r="A703">
        <v>2008</v>
      </c>
      <c r="B703">
        <v>6</v>
      </c>
      <c r="C703" s="3">
        <v>2008.4166666669901</v>
      </c>
      <c r="D703" s="2">
        <v>28.670237</v>
      </c>
      <c r="E703" s="3">
        <f>STANDARDIZE(D703,H$8,I$8)</f>
        <v>5.8694188375434074E-2</v>
      </c>
    </row>
    <row r="704" spans="1:5" x14ac:dyDescent="0.3">
      <c r="A704">
        <v>2008</v>
      </c>
      <c r="B704">
        <v>7</v>
      </c>
      <c r="C704" s="3">
        <v>2008.5000000003199</v>
      </c>
      <c r="D704" s="2">
        <v>28.503761000000001</v>
      </c>
      <c r="E704" s="3">
        <f>STANDARDIZE(D704,H$7,I$7)</f>
        <v>0.58967851776653901</v>
      </c>
    </row>
    <row r="705" spans="1:5" x14ac:dyDescent="0.3">
      <c r="A705">
        <v>2008</v>
      </c>
      <c r="B705">
        <v>8</v>
      </c>
      <c r="C705" s="3">
        <v>2008.58333333365</v>
      </c>
      <c r="D705" s="2">
        <v>28.858027</v>
      </c>
      <c r="E705" s="3">
        <f>STANDARDIZE(D705,H$6,I$6)</f>
        <v>1.0785268726832751</v>
      </c>
    </row>
    <row r="706" spans="1:5" x14ac:dyDescent="0.3">
      <c r="A706">
        <v>2008</v>
      </c>
      <c r="B706">
        <v>9</v>
      </c>
      <c r="C706" s="3">
        <v>2008.6666666669801</v>
      </c>
      <c r="D706" s="2">
        <v>29.244125</v>
      </c>
      <c r="E706" s="3">
        <f>STANDARDIZE(D706,H$5,I$5)</f>
        <v>1.2574443160807696</v>
      </c>
    </row>
    <row r="707" spans="1:5" x14ac:dyDescent="0.3">
      <c r="A707">
        <v>2008</v>
      </c>
      <c r="B707">
        <v>10</v>
      </c>
      <c r="C707" s="3">
        <v>2008.7500000003099</v>
      </c>
      <c r="D707" s="2">
        <v>29.35286</v>
      </c>
      <c r="E707" s="3">
        <f>STANDARDIZE(D707,H$4,I$4)</f>
        <v>1.3541129539471075</v>
      </c>
    </row>
    <row r="708" spans="1:5" x14ac:dyDescent="0.3">
      <c r="A708">
        <v>2008</v>
      </c>
      <c r="B708">
        <v>11</v>
      </c>
      <c r="C708" s="3">
        <v>2008.83333333364</v>
      </c>
      <c r="D708" s="2">
        <v>28.880538999999999</v>
      </c>
      <c r="E708" s="3">
        <f>STANDARDIZE(D708,H$3,I$3)</f>
        <v>0.63777235079711259</v>
      </c>
    </row>
    <row r="709" spans="1:5" x14ac:dyDescent="0.3">
      <c r="A709">
        <v>2008</v>
      </c>
      <c r="B709">
        <v>12</v>
      </c>
      <c r="C709" s="3">
        <v>2008.9166666669701</v>
      </c>
      <c r="D709" s="2">
        <v>27.704483</v>
      </c>
      <c r="E709" s="3">
        <f>STANDARDIZE(D709,H$2,I$2)</f>
        <v>-0.29191799382313038</v>
      </c>
    </row>
    <row r="710" spans="1:5" x14ac:dyDescent="0.3">
      <c r="A710">
        <v>2009</v>
      </c>
      <c r="B710">
        <v>1</v>
      </c>
      <c r="C710" s="3">
        <v>2009.0000000002999</v>
      </c>
      <c r="D710" s="2">
        <v>27.034991999999999</v>
      </c>
      <c r="E710" s="3">
        <f>STANDARDIZE(D710,H$13,I$13)</f>
        <v>-0.13166962072047267</v>
      </c>
    </row>
    <row r="711" spans="1:5" x14ac:dyDescent="0.3">
      <c r="A711">
        <v>2009</v>
      </c>
      <c r="B711">
        <v>2</v>
      </c>
      <c r="C711" s="3">
        <v>2009.08333333363</v>
      </c>
      <c r="D711" s="2">
        <v>26.613071000000001</v>
      </c>
      <c r="E711" s="3">
        <f>STANDARDIZE(D711,H$12,I$12)</f>
        <v>-0.684246596027279</v>
      </c>
    </row>
    <row r="712" spans="1:5" x14ac:dyDescent="0.3">
      <c r="A712">
        <v>2009</v>
      </c>
      <c r="B712">
        <v>3</v>
      </c>
      <c r="C712" s="3">
        <v>2009.1666666669601</v>
      </c>
      <c r="D712" s="2">
        <v>26.465076</v>
      </c>
      <c r="E712" s="3">
        <f>STANDARDIZE(D712,H$11,I$11)</f>
        <v>-1.2712248805862727</v>
      </c>
    </row>
    <row r="713" spans="1:5" x14ac:dyDescent="0.3">
      <c r="A713">
        <v>2009</v>
      </c>
      <c r="B713">
        <v>4</v>
      </c>
      <c r="C713" s="3">
        <v>2009.2500000002899</v>
      </c>
      <c r="D713" s="2">
        <v>27.107899</v>
      </c>
      <c r="E713" s="3">
        <f>STANDARDIZE(D713,H$10,I$10)</f>
        <v>-1.0576475482997327</v>
      </c>
    </row>
    <row r="714" spans="1:5" x14ac:dyDescent="0.3">
      <c r="A714">
        <v>2009</v>
      </c>
      <c r="B714">
        <v>5</v>
      </c>
      <c r="C714" s="3">
        <v>2009.33333333362</v>
      </c>
      <c r="D714" s="2">
        <v>27.956102000000001</v>
      </c>
      <c r="E714" s="3">
        <f>STANDARDIZE(D714,H$9,I$9)</f>
        <v>-0.89120791230733487</v>
      </c>
    </row>
    <row r="715" spans="1:5" x14ac:dyDescent="0.3">
      <c r="A715">
        <v>2009</v>
      </c>
      <c r="B715">
        <v>6</v>
      </c>
      <c r="C715" s="3">
        <v>2009.4166666669501</v>
      </c>
      <c r="D715" s="2">
        <v>29.064436000000001</v>
      </c>
      <c r="E715" s="3">
        <f>STANDARDIZE(D715,H$8,I$8)</f>
        <v>1.1151320817911092</v>
      </c>
    </row>
    <row r="716" spans="1:5" x14ac:dyDescent="0.3">
      <c r="A716">
        <v>2009</v>
      </c>
      <c r="B716">
        <v>7</v>
      </c>
      <c r="C716" s="3">
        <v>2009.5000000002799</v>
      </c>
      <c r="D716" s="2">
        <v>28.544537999999999</v>
      </c>
      <c r="E716" s="3">
        <f>STANDARDIZE(D716,H$7,I$7)</f>
        <v>0.70768907189882979</v>
      </c>
    </row>
    <row r="717" spans="1:5" x14ac:dyDescent="0.3">
      <c r="A717">
        <v>2009</v>
      </c>
      <c r="B717">
        <v>8</v>
      </c>
      <c r="C717" s="3">
        <v>2009.58333333361</v>
      </c>
      <c r="D717" s="2">
        <v>28.690538</v>
      </c>
      <c r="E717" s="3">
        <f>STANDARDIZE(D717,H$6,I$6)</f>
        <v>0.58336753868670232</v>
      </c>
    </row>
    <row r="718" spans="1:5" x14ac:dyDescent="0.3">
      <c r="A718">
        <v>2009</v>
      </c>
      <c r="B718">
        <v>9</v>
      </c>
      <c r="C718" s="3">
        <v>2009.66666666694</v>
      </c>
      <c r="D718" s="2">
        <v>29.004158</v>
      </c>
      <c r="E718" s="3">
        <f>STANDARDIZE(D718,H$5,I$5)</f>
        <v>0.54812948620601176</v>
      </c>
    </row>
    <row r="719" spans="1:5" x14ac:dyDescent="0.3">
      <c r="A719">
        <v>2009</v>
      </c>
      <c r="B719">
        <v>10</v>
      </c>
      <c r="C719" s="3">
        <v>2009.7500000002699</v>
      </c>
      <c r="D719" s="2">
        <v>29.089919999999999</v>
      </c>
      <c r="E719" s="3">
        <f>STANDARDIZE(D719,H$4,I$4)</f>
        <v>0.52119327328709786</v>
      </c>
    </row>
    <row r="720" spans="1:5" x14ac:dyDescent="0.3">
      <c r="A720">
        <v>2009</v>
      </c>
      <c r="B720">
        <v>11</v>
      </c>
      <c r="C720" s="3">
        <v>2009.8333333336</v>
      </c>
      <c r="D720" s="2">
        <v>29.162089999999999</v>
      </c>
      <c r="E720" s="3">
        <f>STANDARDIZE(D720,H$3,I$3)</f>
        <v>1.5303031400350433</v>
      </c>
    </row>
    <row r="721" spans="1:5" x14ac:dyDescent="0.3">
      <c r="A721">
        <v>2009</v>
      </c>
      <c r="B721">
        <v>12</v>
      </c>
      <c r="C721" s="3">
        <v>2009.91666666693</v>
      </c>
      <c r="D721" s="2">
        <v>28.329805</v>
      </c>
      <c r="E721" s="3">
        <f>STANDARDIZE(D721,H$2,I$2)</f>
        <v>1.664809092195259</v>
      </c>
    </row>
    <row r="722" spans="1:5" x14ac:dyDescent="0.3">
      <c r="A722">
        <v>2010</v>
      </c>
      <c r="B722">
        <v>1</v>
      </c>
      <c r="C722" s="3">
        <v>2010.0000000002599</v>
      </c>
      <c r="D722" s="2">
        <v>27.593599999999999</v>
      </c>
      <c r="E722" s="3">
        <f>STANDARDIZE(D722,H$13,I$13)</f>
        <v>1.5556977260499005</v>
      </c>
    </row>
    <row r="723" spans="1:5" x14ac:dyDescent="0.3">
      <c r="A723">
        <v>2010</v>
      </c>
      <c r="B723">
        <v>2</v>
      </c>
      <c r="C723" s="3">
        <v>2010.08333333359</v>
      </c>
      <c r="D723" s="2">
        <v>27.98096</v>
      </c>
      <c r="E723" s="3">
        <f>STANDARDIZE(D723,H$12,I$12)</f>
        <v>2.8234017535661531</v>
      </c>
    </row>
    <row r="724" spans="1:5" x14ac:dyDescent="0.3">
      <c r="A724">
        <v>2010</v>
      </c>
      <c r="B724">
        <v>3</v>
      </c>
      <c r="C724" s="3">
        <v>2010.16666666692</v>
      </c>
      <c r="D724" s="2">
        <v>28.356617</v>
      </c>
      <c r="E724" s="3">
        <f>STANDARDIZE(D724,H$11,I$11)</f>
        <v>3.4052327086320009</v>
      </c>
    </row>
    <row r="725" spans="1:5" x14ac:dyDescent="0.3">
      <c r="A725">
        <v>2010</v>
      </c>
      <c r="B725">
        <v>4</v>
      </c>
      <c r="C725" s="3">
        <v>2010.2500000002501</v>
      </c>
      <c r="D725" s="2">
        <v>28.180336</v>
      </c>
      <c r="E725" s="3">
        <f>STANDARDIZE(D725,H$10,I$10)</f>
        <v>1.9789869244887188</v>
      </c>
    </row>
    <row r="726" spans="1:5" x14ac:dyDescent="0.3">
      <c r="A726">
        <v>2010</v>
      </c>
      <c r="B726">
        <v>5</v>
      </c>
      <c r="C726" s="3">
        <v>2010.33333333358</v>
      </c>
      <c r="D726" s="2">
        <v>29.356506</v>
      </c>
      <c r="E726" s="3">
        <f>STANDARDIZE(D726,H$9,I$9)</f>
        <v>2.5515333126407422</v>
      </c>
    </row>
    <row r="727" spans="1:5" x14ac:dyDescent="0.3">
      <c r="A727">
        <v>2010</v>
      </c>
      <c r="B727">
        <v>6</v>
      </c>
      <c r="C727" s="3">
        <v>2010.41666666691</v>
      </c>
      <c r="D727" s="2">
        <v>29.24973</v>
      </c>
      <c r="E727" s="3">
        <f>STANDARDIZE(D727,H$8,I$8)</f>
        <v>1.6117127504954001</v>
      </c>
    </row>
    <row r="728" spans="1:5" x14ac:dyDescent="0.3">
      <c r="A728">
        <v>2010</v>
      </c>
      <c r="B728">
        <v>7</v>
      </c>
      <c r="C728" s="3">
        <v>2010.5000000002401</v>
      </c>
      <c r="D728" s="2">
        <v>29.273273</v>
      </c>
      <c r="E728" s="3">
        <f>STANDARDIZE(D728,H$7,I$7)</f>
        <v>2.8166824055329394</v>
      </c>
    </row>
    <row r="729" spans="1:5" x14ac:dyDescent="0.3">
      <c r="A729">
        <v>2010</v>
      </c>
      <c r="B729">
        <v>8</v>
      </c>
      <c r="C729" s="3">
        <v>2010.58333333357</v>
      </c>
      <c r="D729" s="2">
        <v>29.337439</v>
      </c>
      <c r="E729" s="3">
        <f>STANDARDIZE(D729,H$6,I$6)</f>
        <v>2.4958457809695815</v>
      </c>
    </row>
    <row r="730" spans="1:5" x14ac:dyDescent="0.3">
      <c r="A730">
        <v>2010</v>
      </c>
      <c r="B730">
        <v>9</v>
      </c>
      <c r="C730" s="3">
        <v>2010.6666666669</v>
      </c>
      <c r="D730" s="2">
        <v>29.393719999999998</v>
      </c>
      <c r="E730" s="3">
        <f>STANDARDIZE(D730,H$5,I$5)</f>
        <v>1.6996299164971305</v>
      </c>
    </row>
    <row r="731" spans="1:5" x14ac:dyDescent="0.3">
      <c r="A731">
        <v>2010</v>
      </c>
      <c r="B731">
        <v>10</v>
      </c>
      <c r="C731" s="3">
        <v>2010.7500000002301</v>
      </c>
      <c r="D731" s="2">
        <v>29.50854</v>
      </c>
      <c r="E731" s="3">
        <f>STANDARDIZE(D731,H$4,I$4)</f>
        <v>1.8472632387464927</v>
      </c>
    </row>
    <row r="732" spans="1:5" x14ac:dyDescent="0.3">
      <c r="A732">
        <v>2010</v>
      </c>
      <c r="B732">
        <v>11</v>
      </c>
      <c r="C732" s="3">
        <v>2010.8333333335599</v>
      </c>
      <c r="D732" s="2">
        <v>29.055800000000001</v>
      </c>
      <c r="E732" s="3">
        <f>STANDARDIZE(D732,H$3,I$3)</f>
        <v>1.193358509797191</v>
      </c>
    </row>
    <row r="733" spans="1:5" x14ac:dyDescent="0.3">
      <c r="A733">
        <v>2010</v>
      </c>
      <c r="B733">
        <v>12</v>
      </c>
      <c r="C733" s="3">
        <v>2010.91666666689</v>
      </c>
      <c r="D733" s="2">
        <v>27.950785</v>
      </c>
      <c r="E733" s="3">
        <f>STANDARDIZE(D733,H$2,I$2)</f>
        <v>0.4787982047761527</v>
      </c>
    </row>
    <row r="734" spans="1:5" x14ac:dyDescent="0.3">
      <c r="A734">
        <v>2011</v>
      </c>
      <c r="B734">
        <v>1</v>
      </c>
      <c r="C734" s="3">
        <v>2011.0000000002201</v>
      </c>
      <c r="D734" s="2">
        <v>27.596831999999999</v>
      </c>
      <c r="E734" s="3">
        <f>STANDARDIZE(D734,H$13,I$13)</f>
        <v>1.5654605136661945</v>
      </c>
    </row>
    <row r="735" spans="1:5" x14ac:dyDescent="0.3">
      <c r="A735">
        <v>2011</v>
      </c>
      <c r="B735">
        <v>2</v>
      </c>
      <c r="C735" s="3">
        <v>2011.0833333335499</v>
      </c>
      <c r="D735" s="2">
        <v>27.516311999999999</v>
      </c>
      <c r="E735" s="3">
        <f>STANDARDIZE(D735,H$12,I$12)</f>
        <v>1.6319148782846846</v>
      </c>
    </row>
    <row r="736" spans="1:5" x14ac:dyDescent="0.3">
      <c r="A736">
        <v>2011</v>
      </c>
      <c r="B736">
        <v>3</v>
      </c>
      <c r="C736" s="3">
        <v>2011.16666666689</v>
      </c>
      <c r="D736" s="2">
        <v>27.348398</v>
      </c>
      <c r="E736" s="3">
        <f>STANDARDIZE(D736,H$11,I$11)</f>
        <v>0.91261246188923395</v>
      </c>
    </row>
    <row r="737" spans="1:5" x14ac:dyDescent="0.3">
      <c r="A737">
        <v>2011</v>
      </c>
      <c r="B737">
        <v>4</v>
      </c>
      <c r="C737" s="3">
        <v>2011.2500000002201</v>
      </c>
      <c r="D737" s="2">
        <v>27.722183000000001</v>
      </c>
      <c r="E737" s="3">
        <f>STANDARDIZE(D737,H$10,I$10)</f>
        <v>0.68171427014030994</v>
      </c>
    </row>
    <row r="738" spans="1:5" x14ac:dyDescent="0.3">
      <c r="A738">
        <v>2011</v>
      </c>
      <c r="B738">
        <v>5</v>
      </c>
      <c r="C738" s="3">
        <v>2011.3333333335499</v>
      </c>
      <c r="D738" s="2">
        <v>28.625941999999998</v>
      </c>
      <c r="E738" s="3">
        <f>STANDARDIZE(D738,H$9,I$9)</f>
        <v>0.75552101885768108</v>
      </c>
    </row>
    <row r="739" spans="1:5" x14ac:dyDescent="0.3">
      <c r="A739">
        <v>2011</v>
      </c>
      <c r="B739">
        <v>6</v>
      </c>
      <c r="C739" s="3">
        <v>2011.41666666688</v>
      </c>
      <c r="D739" s="2">
        <v>29.025691999999999</v>
      </c>
      <c r="E739" s="3">
        <f>STANDARDIZE(D739,H$8,I$8)</f>
        <v>1.0112996779988668</v>
      </c>
    </row>
    <row r="740" spans="1:5" x14ac:dyDescent="0.3">
      <c r="A740">
        <v>2011</v>
      </c>
      <c r="B740">
        <v>7</v>
      </c>
      <c r="C740" s="3">
        <v>2011.5000000002101</v>
      </c>
      <c r="D740" s="2">
        <v>28.574192</v>
      </c>
      <c r="E740" s="3">
        <f>STANDARDIZE(D740,H$7,I$7)</f>
        <v>0.7935091413556109</v>
      </c>
    </row>
    <row r="741" spans="1:5" x14ac:dyDescent="0.3">
      <c r="A741">
        <v>2011</v>
      </c>
      <c r="B741">
        <v>8</v>
      </c>
      <c r="C741" s="3">
        <v>2011.5833333335399</v>
      </c>
      <c r="D741" s="2">
        <v>28.852049000000001</v>
      </c>
      <c r="E741" s="3">
        <f>STANDARDIZE(D741,H$6,I$6)</f>
        <v>1.0608536971396214</v>
      </c>
    </row>
    <row r="742" spans="1:5" x14ac:dyDescent="0.3">
      <c r="A742">
        <v>2011</v>
      </c>
      <c r="B742">
        <v>9</v>
      </c>
      <c r="C742" s="3">
        <v>2011.66666666687</v>
      </c>
      <c r="D742" s="2">
        <v>29.176784999999999</v>
      </c>
      <c r="E742" s="3">
        <f>STANDARDIZE(D742,H$5,I$5)</f>
        <v>1.0583950274545533</v>
      </c>
    </row>
    <row r="743" spans="1:5" x14ac:dyDescent="0.3">
      <c r="A743">
        <v>2011</v>
      </c>
      <c r="B743">
        <v>10</v>
      </c>
      <c r="C743" s="3">
        <v>2011.7500000002001</v>
      </c>
      <c r="D743" s="2">
        <v>29.321407000000001</v>
      </c>
      <c r="E743" s="3">
        <f>STANDARDIZE(D743,H$4,I$4)</f>
        <v>1.2544787304900509</v>
      </c>
    </row>
    <row r="744" spans="1:5" x14ac:dyDescent="0.3">
      <c r="A744">
        <v>2011</v>
      </c>
      <c r="B744">
        <v>11</v>
      </c>
      <c r="C744" s="3">
        <v>2011.8333333335299</v>
      </c>
      <c r="D744" s="2">
        <v>29.308039999999998</v>
      </c>
      <c r="E744" s="3">
        <f>STANDARDIZE(D744,H$3,I$3)</f>
        <v>1.9929719591451693</v>
      </c>
    </row>
    <row r="745" spans="1:5" x14ac:dyDescent="0.3">
      <c r="A745">
        <v>2011</v>
      </c>
      <c r="B745">
        <v>12</v>
      </c>
      <c r="C745" s="3">
        <v>2011.91666666686</v>
      </c>
      <c r="D745" s="2">
        <v>28.073639</v>
      </c>
      <c r="E745" s="3">
        <f>STANDARDIZE(D745,H$2,I$2)</f>
        <v>0.86322694616971218</v>
      </c>
    </row>
    <row r="746" spans="1:5" x14ac:dyDescent="0.3">
      <c r="A746">
        <v>2012</v>
      </c>
      <c r="B746">
        <v>1</v>
      </c>
      <c r="C746" s="3">
        <v>2012.0000000001901</v>
      </c>
      <c r="D746" s="2">
        <v>27.202068000000001</v>
      </c>
      <c r="E746" s="3">
        <f>STANDARDIZE(D746,H$13,I$13)</f>
        <v>0.37301091881531939</v>
      </c>
    </row>
    <row r="747" spans="1:5" x14ac:dyDescent="0.3">
      <c r="A747">
        <v>2012</v>
      </c>
      <c r="B747">
        <v>2</v>
      </c>
      <c r="C747" s="3">
        <v>2012.0833333335199</v>
      </c>
      <c r="D747" s="2">
        <v>27.037662999999998</v>
      </c>
      <c r="E747" s="3">
        <f>STANDARDIZE(D747,H$12,I$12)</f>
        <v>0.40452553976046829</v>
      </c>
    </row>
    <row r="748" spans="1:5" x14ac:dyDescent="0.3">
      <c r="A748">
        <v>2012</v>
      </c>
      <c r="B748">
        <v>3</v>
      </c>
      <c r="C748" s="3">
        <v>2012.16666666685</v>
      </c>
      <c r="D748" s="2">
        <v>26.82704</v>
      </c>
      <c r="E748" s="3">
        <f>STANDARDIZE(D748,H$11,I$11)</f>
        <v>-0.3763411350984377</v>
      </c>
    </row>
    <row r="749" spans="1:5" x14ac:dyDescent="0.3">
      <c r="A749">
        <v>2012</v>
      </c>
      <c r="B749">
        <v>4</v>
      </c>
      <c r="C749" s="3">
        <v>2012.2500000001801</v>
      </c>
      <c r="D749" s="2">
        <v>27.742134</v>
      </c>
      <c r="E749" s="3">
        <f>STANDARDIZE(D749,H$10,I$10)</f>
        <v>0.73820606813552936</v>
      </c>
    </row>
    <row r="750" spans="1:5" x14ac:dyDescent="0.3">
      <c r="A750">
        <v>2012</v>
      </c>
      <c r="B750">
        <v>5</v>
      </c>
      <c r="C750" s="3">
        <v>2012.3333333335099</v>
      </c>
      <c r="D750" s="2">
        <v>28.609591999999999</v>
      </c>
      <c r="E750" s="3">
        <f>STANDARDIZE(D750,H$9,I$9)</f>
        <v>0.71532631859411544</v>
      </c>
    </row>
    <row r="751" spans="1:5" x14ac:dyDescent="0.3">
      <c r="A751">
        <v>2012</v>
      </c>
      <c r="B751">
        <v>6</v>
      </c>
      <c r="C751" s="3">
        <v>2012.41666666684</v>
      </c>
      <c r="D751" s="2">
        <v>28.727872999999999</v>
      </c>
      <c r="E751" s="3">
        <f>STANDARDIZE(D751,H$8,I$8)</f>
        <v>0.21315641284811004</v>
      </c>
    </row>
    <row r="752" spans="1:5" x14ac:dyDescent="0.3">
      <c r="A752">
        <v>2012</v>
      </c>
      <c r="B752">
        <v>7</v>
      </c>
      <c r="C752" s="3">
        <v>2012.5000000001701</v>
      </c>
      <c r="D752" s="2">
        <v>28.560043</v>
      </c>
      <c r="E752" s="3">
        <f>STANDARDIZE(D752,H$7,I$7)</f>
        <v>0.75256127048679244</v>
      </c>
    </row>
    <row r="753" spans="1:5" x14ac:dyDescent="0.3">
      <c r="A753">
        <v>2012</v>
      </c>
      <c r="B753">
        <v>8</v>
      </c>
      <c r="C753" s="3">
        <v>2012.5833333334999</v>
      </c>
      <c r="D753" s="2">
        <v>28.836069999999999</v>
      </c>
      <c r="E753" s="3">
        <f>STANDARDIZE(D753,H$6,I$6)</f>
        <v>1.0136138724470625</v>
      </c>
    </row>
    <row r="754" spans="1:5" x14ac:dyDescent="0.3">
      <c r="A754">
        <v>2012</v>
      </c>
      <c r="B754">
        <v>9</v>
      </c>
      <c r="C754" s="3">
        <v>2012.66666666683</v>
      </c>
      <c r="D754" s="2">
        <v>29.272096999999999</v>
      </c>
      <c r="E754" s="3">
        <f>STANDARDIZE(D754,H$5,I$5)</f>
        <v>1.340126328279345</v>
      </c>
    </row>
    <row r="755" spans="1:5" x14ac:dyDescent="0.3">
      <c r="A755">
        <v>2012</v>
      </c>
      <c r="B755">
        <v>10</v>
      </c>
      <c r="C755" s="3">
        <v>2012.7500000001601</v>
      </c>
      <c r="D755" s="2">
        <v>29.136683999999999</v>
      </c>
      <c r="E755" s="3">
        <f>STANDARDIZE(D755,H$4,I$4)</f>
        <v>0.66932842178631546</v>
      </c>
    </row>
    <row r="756" spans="1:5" x14ac:dyDescent="0.3">
      <c r="A756">
        <v>2012</v>
      </c>
      <c r="B756">
        <v>11</v>
      </c>
      <c r="C756" s="3">
        <v>2012.8333333334899</v>
      </c>
      <c r="D756" s="2">
        <v>29.116371000000001</v>
      </c>
      <c r="E756" s="3">
        <f>STANDARDIZE(D756,H$3,I$3)</f>
        <v>1.3853716173156521</v>
      </c>
    </row>
    <row r="757" spans="1:5" x14ac:dyDescent="0.3">
      <c r="A757">
        <v>2012</v>
      </c>
      <c r="B757">
        <v>12</v>
      </c>
      <c r="C757" s="3">
        <v>2012.91666666682</v>
      </c>
      <c r="D757" s="2">
        <v>28.103085</v>
      </c>
      <c r="E757" s="3">
        <f>STANDARDIZE(D757,H$2,I$2)</f>
        <v>0.95536793237345619</v>
      </c>
    </row>
    <row r="758" spans="1:5" x14ac:dyDescent="0.3">
      <c r="A758">
        <v>2013</v>
      </c>
      <c r="B758">
        <v>1</v>
      </c>
      <c r="C758" s="3">
        <v>2013.0000000001501</v>
      </c>
      <c r="D758" s="2">
        <v>27.197937</v>
      </c>
      <c r="E758" s="3">
        <f>STANDARDIZE(D758,H$13,I$13)</f>
        <v>0.36053255382679417</v>
      </c>
    </row>
    <row r="759" spans="1:5" x14ac:dyDescent="0.3">
      <c r="A759">
        <v>2013</v>
      </c>
      <c r="B759">
        <v>2</v>
      </c>
      <c r="C759" s="3">
        <v>2013.0833333334799</v>
      </c>
      <c r="D759" s="2">
        <v>27.305792</v>
      </c>
      <c r="E759" s="3">
        <f>STANDARDIZE(D759,H$12,I$12)</f>
        <v>1.0920829690022744</v>
      </c>
    </row>
    <row r="760" spans="1:5" x14ac:dyDescent="0.3">
      <c r="A760">
        <v>2013</v>
      </c>
      <c r="B760">
        <v>3</v>
      </c>
      <c r="C760" s="3">
        <v>2013.16666666681</v>
      </c>
      <c r="D760" s="2">
        <v>27.291796000000001</v>
      </c>
      <c r="E760" s="3">
        <f>STANDARDIZE(D760,H$11,I$11)</f>
        <v>0.77267531410077817</v>
      </c>
    </row>
    <row r="761" spans="1:5" x14ac:dyDescent="0.3">
      <c r="A761">
        <v>2013</v>
      </c>
      <c r="B761">
        <v>4</v>
      </c>
      <c r="C761" s="3">
        <v>2013.2500000001401</v>
      </c>
      <c r="D761" s="2">
        <v>27.87162</v>
      </c>
      <c r="E761" s="3">
        <f>STANDARDIZE(D761,H$10,I$10)</f>
        <v>1.1048491915483594</v>
      </c>
    </row>
    <row r="762" spans="1:5" x14ac:dyDescent="0.3">
      <c r="A762">
        <v>2013</v>
      </c>
      <c r="B762">
        <v>5</v>
      </c>
      <c r="C762" s="3">
        <v>2013.3333333334699</v>
      </c>
      <c r="D762" s="2">
        <v>28.13054</v>
      </c>
      <c r="E762" s="3">
        <f>STANDARDIZE(D762,H$9,I$9)</f>
        <v>-0.46237102395405366</v>
      </c>
    </row>
    <row r="763" spans="1:5" x14ac:dyDescent="0.3">
      <c r="A763">
        <v>2013</v>
      </c>
      <c r="B763">
        <v>6</v>
      </c>
      <c r="C763" s="3">
        <v>2013.4166666668</v>
      </c>
      <c r="D763" s="2">
        <v>28.711212</v>
      </c>
      <c r="E763" s="3">
        <f>STANDARDIZE(D763,H$8,I$8)</f>
        <v>0.16850558485971423</v>
      </c>
    </row>
    <row r="764" spans="1:5" x14ac:dyDescent="0.3">
      <c r="A764">
        <v>2013</v>
      </c>
      <c r="B764">
        <v>7</v>
      </c>
      <c r="C764" s="3">
        <v>2013.5000000001301</v>
      </c>
      <c r="D764" s="2">
        <v>28.520949999999999</v>
      </c>
      <c r="E764" s="3">
        <f>STANDARDIZE(D764,H$7,I$7)</f>
        <v>0.63942429148652391</v>
      </c>
    </row>
    <row r="765" spans="1:5" x14ac:dyDescent="0.3">
      <c r="A765">
        <v>2013</v>
      </c>
      <c r="B765">
        <v>8</v>
      </c>
      <c r="C765" s="3">
        <v>2013.5833333334599</v>
      </c>
      <c r="D765" s="2">
        <v>28.892918000000002</v>
      </c>
      <c r="E765" s="3">
        <f>STANDARDIZE(D765,H$6,I$6)</f>
        <v>1.1816775531606516</v>
      </c>
    </row>
    <row r="766" spans="1:5" x14ac:dyDescent="0.3">
      <c r="A766">
        <v>2013</v>
      </c>
      <c r="B766">
        <v>9</v>
      </c>
      <c r="C766" s="3">
        <v>2013.66666666679</v>
      </c>
      <c r="D766" s="2">
        <v>29.336845</v>
      </c>
      <c r="E766" s="3">
        <f>STANDARDIZE(D766,H$5,I$5)</f>
        <v>1.5315139632655386</v>
      </c>
    </row>
    <row r="767" spans="1:5" x14ac:dyDescent="0.3">
      <c r="A767">
        <v>2013</v>
      </c>
      <c r="B767">
        <v>10</v>
      </c>
      <c r="C767" s="3">
        <v>2013.7500000001201</v>
      </c>
      <c r="D767" s="2">
        <v>29.281445999999999</v>
      </c>
      <c r="E767" s="3">
        <f>STANDARDIZE(D767,H$4,I$4)</f>
        <v>1.1278935652095459</v>
      </c>
    </row>
    <row r="768" spans="1:5" x14ac:dyDescent="0.3">
      <c r="A768">
        <v>2013</v>
      </c>
      <c r="B768">
        <v>11</v>
      </c>
      <c r="C768" s="3">
        <v>2013.8333333334499</v>
      </c>
      <c r="D768" s="2">
        <v>29.361366</v>
      </c>
      <c r="E768" s="3">
        <f>STANDARDIZE(D768,H$3,I$3)</f>
        <v>2.1620180533409052</v>
      </c>
    </row>
    <row r="769" spans="1:5" x14ac:dyDescent="0.3">
      <c r="A769">
        <v>2013</v>
      </c>
      <c r="B769">
        <v>12</v>
      </c>
      <c r="C769" s="3">
        <v>2013.91666666678</v>
      </c>
      <c r="D769" s="2">
        <v>28.176974999999999</v>
      </c>
      <c r="E769" s="3">
        <f>STANDARDIZE(D769,H$2,I$2)</f>
        <v>1.1865809144625177</v>
      </c>
    </row>
    <row r="770" spans="1:5" x14ac:dyDescent="0.3">
      <c r="A770">
        <v>2014</v>
      </c>
      <c r="B770">
        <v>1</v>
      </c>
      <c r="C770" s="3">
        <v>2014</v>
      </c>
      <c r="D770" s="2">
        <v>27.474537000000002</v>
      </c>
      <c r="E770" s="3">
        <f>STANDARDIZE(D770,H$13,I$13)</f>
        <v>1.196048350443901</v>
      </c>
    </row>
    <row r="771" spans="1:5" x14ac:dyDescent="0.3">
      <c r="A771">
        <v>2014</v>
      </c>
      <c r="B771">
        <v>2</v>
      </c>
      <c r="C771" s="3">
        <v>2014.0833333333333</v>
      </c>
      <c r="D771" s="2">
        <v>27.098942000000001</v>
      </c>
      <c r="E771" s="3">
        <f>STANDARDIZE(D771,H$12,I$12)</f>
        <v>0.56166196180549177</v>
      </c>
    </row>
    <row r="772" spans="1:5" x14ac:dyDescent="0.3">
      <c r="A772">
        <v>2014</v>
      </c>
      <c r="B772">
        <v>3</v>
      </c>
      <c r="C772" s="3">
        <v>2014.1666666666665</v>
      </c>
      <c r="D772" s="2">
        <v>27.352672999999999</v>
      </c>
      <c r="E772" s="3">
        <f>STANDARDIZE(D772,H$11,I$11)</f>
        <v>0.92318154614059689</v>
      </c>
    </row>
    <row r="773" spans="1:5" x14ac:dyDescent="0.3">
      <c r="A773">
        <v>2014</v>
      </c>
      <c r="B773">
        <v>4</v>
      </c>
      <c r="C773" s="3">
        <v>2014.25</v>
      </c>
      <c r="D773" s="2">
        <v>27.790358000000001</v>
      </c>
      <c r="E773" s="3">
        <f>STANDARDIZE(D773,H$10,I$10)</f>
        <v>0.87475363299551989</v>
      </c>
    </row>
    <row r="774" spans="1:5" x14ac:dyDescent="0.3">
      <c r="A774">
        <v>2014</v>
      </c>
      <c r="B774">
        <v>5</v>
      </c>
      <c r="C774" s="3">
        <v>2014.3333333333333</v>
      </c>
      <c r="D774" s="2">
        <v>28.518550000000001</v>
      </c>
      <c r="E774" s="3">
        <f>STANDARDIZE(D774,H$9,I$9)</f>
        <v>0.49150944389101792</v>
      </c>
    </row>
    <row r="775" spans="1:5" x14ac:dyDescent="0.3">
      <c r="A775">
        <v>2014</v>
      </c>
      <c r="B775">
        <v>6</v>
      </c>
      <c r="C775" s="3">
        <v>2014.4166666666665</v>
      </c>
      <c r="D775" s="2">
        <v>28.557255000000001</v>
      </c>
      <c r="E775" s="3">
        <f>STANDARDIZE(D775,H$8,I$8)</f>
        <v>-0.24409315018678554</v>
      </c>
    </row>
    <row r="776" spans="1:5" x14ac:dyDescent="0.3">
      <c r="A776">
        <v>2014</v>
      </c>
      <c r="B776">
        <v>7</v>
      </c>
      <c r="C776" s="3">
        <v>2014.5</v>
      </c>
      <c r="D776" s="2">
        <v>28.297035000000001</v>
      </c>
      <c r="E776" s="3">
        <f>STANDARDIZE(D776,H$7,I$7)</f>
        <v>-8.5962403949932185E-3</v>
      </c>
    </row>
    <row r="777" spans="1:5" x14ac:dyDescent="0.3">
      <c r="A777">
        <v>2014</v>
      </c>
      <c r="B777">
        <v>8</v>
      </c>
      <c r="C777" s="3">
        <v>2014.5833333333333</v>
      </c>
      <c r="D777" s="2">
        <v>28.682107999999999</v>
      </c>
      <c r="E777" s="3">
        <f>STANDARDIZE(D777,H$6,I$6)</f>
        <v>0.55844534567348103</v>
      </c>
    </row>
    <row r="778" spans="1:5" x14ac:dyDescent="0.3">
      <c r="A778">
        <v>2014</v>
      </c>
      <c r="B778">
        <v>9</v>
      </c>
      <c r="C778" s="3">
        <v>2014.6666666666665</v>
      </c>
      <c r="D778" s="2">
        <v>29.139455999999999</v>
      </c>
      <c r="E778" s="3">
        <f>STANDARDIZE(D778,H$5,I$5)</f>
        <v>0.9480548003216781</v>
      </c>
    </row>
    <row r="779" spans="1:5" x14ac:dyDescent="0.3">
      <c r="A779">
        <v>2014</v>
      </c>
      <c r="B779">
        <v>10</v>
      </c>
      <c r="C779" s="3">
        <v>2014.75</v>
      </c>
      <c r="D779" s="2">
        <v>29.426392</v>
      </c>
      <c r="E779" s="3">
        <f>STANDARDIZE(D779,H$4,I$4)</f>
        <v>1.5870415686816168</v>
      </c>
    </row>
    <row r="780" spans="1:5" x14ac:dyDescent="0.3">
      <c r="A780">
        <v>2014</v>
      </c>
      <c r="B780">
        <v>11</v>
      </c>
      <c r="C780" s="3">
        <v>2014.8333333333333</v>
      </c>
      <c r="D780" s="2">
        <v>28.932227999999999</v>
      </c>
      <c r="E780" s="3">
        <f>STANDARDIZE(D780,H$3,I$3)</f>
        <v>0.80162907290045815</v>
      </c>
    </row>
    <row r="781" spans="1:5" x14ac:dyDescent="0.3">
      <c r="A781">
        <v>2014</v>
      </c>
      <c r="B781">
        <v>12</v>
      </c>
      <c r="C781" s="3">
        <v>2014.9166666666665</v>
      </c>
      <c r="D781" s="2">
        <v>28.251197999999999</v>
      </c>
      <c r="E781" s="3">
        <f>STANDARDIZE(D781,H$2,I$2)</f>
        <v>1.4188359039008271</v>
      </c>
    </row>
    <row r="782" spans="1:5" x14ac:dyDescent="0.3">
      <c r="A782">
        <v>2015</v>
      </c>
      <c r="B782">
        <v>1</v>
      </c>
      <c r="C782" s="3">
        <v>2014.9999999999998</v>
      </c>
      <c r="D782" s="2">
        <v>27.607154999999999</v>
      </c>
      <c r="E782" s="3">
        <f>STANDARDIZE(D782,H$13,I$13)</f>
        <v>1.5966428331473155</v>
      </c>
    </row>
    <row r="783" spans="1:5" x14ac:dyDescent="0.3">
      <c r="A783">
        <v>2015</v>
      </c>
      <c r="B783">
        <v>2</v>
      </c>
      <c r="C783" s="3">
        <v>2015.083333333333</v>
      </c>
      <c r="D783" s="2">
        <v>27.458083999999999</v>
      </c>
      <c r="E783" s="3">
        <f>STANDARDIZE(D783,H$12,I$12)</f>
        <v>1.4826020699353772</v>
      </c>
    </row>
    <row r="784" spans="1:5" x14ac:dyDescent="0.3">
      <c r="A784">
        <v>2015</v>
      </c>
      <c r="B784">
        <v>3</v>
      </c>
      <c r="C784" s="3">
        <v>2015.1666666666665</v>
      </c>
      <c r="D784" s="2">
        <v>27.113792</v>
      </c>
      <c r="E784" s="3">
        <f>STANDARDIZE(D784,H$11,I$11)</f>
        <v>0.33259595197687175</v>
      </c>
    </row>
    <row r="785" spans="1:5" x14ac:dyDescent="0.3">
      <c r="A785">
        <v>2015</v>
      </c>
      <c r="B785">
        <v>4</v>
      </c>
      <c r="C785" s="3">
        <v>2015.2499999999998</v>
      </c>
      <c r="D785" s="2">
        <v>27.440892999999999</v>
      </c>
      <c r="E785" s="3">
        <f>STANDARDIZE(D785,H$10,I$10)</f>
        <v>-0.11476599942393405</v>
      </c>
    </row>
    <row r="786" spans="1:5" x14ac:dyDescent="0.3">
      <c r="A786">
        <v>2015</v>
      </c>
      <c r="B786">
        <v>5</v>
      </c>
      <c r="C786" s="3">
        <v>2015.3333333333333</v>
      </c>
      <c r="D786" s="2">
        <v>28.284054000000001</v>
      </c>
      <c r="E786" s="3">
        <f>STANDARDIZE(D786,H$9,I$9)</f>
        <v>-8.4973518372318577E-2</v>
      </c>
    </row>
    <row r="787" spans="1:5" x14ac:dyDescent="0.3">
      <c r="A787">
        <v>2015</v>
      </c>
      <c r="B787">
        <v>6</v>
      </c>
      <c r="C787" s="3">
        <v>2015.4166666666665</v>
      </c>
      <c r="D787" s="2">
        <v>28.563735999999999</v>
      </c>
      <c r="E787" s="3">
        <f>STANDARDIZE(D787,H$8,I$8)</f>
        <v>-0.22672432381425764</v>
      </c>
    </row>
    <row r="788" spans="1:5" x14ac:dyDescent="0.3">
      <c r="A788">
        <v>2015</v>
      </c>
      <c r="B788">
        <v>7</v>
      </c>
      <c r="C788" s="3">
        <v>2015.4999999999998</v>
      </c>
      <c r="D788" s="2">
        <v>28.235472000000001</v>
      </c>
      <c r="E788" s="3">
        <f>STANDARDIZE(D788,H$7,I$7)</f>
        <v>-0.18676245527216498</v>
      </c>
    </row>
    <row r="789" spans="1:5" x14ac:dyDescent="0.3">
      <c r="A789">
        <v>2015</v>
      </c>
      <c r="B789">
        <v>8</v>
      </c>
      <c r="C789" s="3">
        <v>2015.5833333333333</v>
      </c>
      <c r="D789" s="2">
        <v>28.577988000000001</v>
      </c>
      <c r="E789" s="3">
        <f>STANDARDIZE(D789,H$6,I$6)</f>
        <v>0.25062817645208546</v>
      </c>
    </row>
    <row r="790" spans="1:5" x14ac:dyDescent="0.3">
      <c r="A790">
        <v>2015</v>
      </c>
      <c r="B790">
        <v>9</v>
      </c>
      <c r="C790" s="3">
        <v>2015.6666666666665</v>
      </c>
      <c r="D790" s="2">
        <v>29.478052000000002</v>
      </c>
      <c r="E790" s="3">
        <f>STANDARDIZE(D790,H$5,I$5)</f>
        <v>1.9489056012079469</v>
      </c>
    </row>
    <row r="791" spans="1:5" x14ac:dyDescent="0.3">
      <c r="A791">
        <v>2015</v>
      </c>
      <c r="B791">
        <v>10</v>
      </c>
      <c r="C791" s="3">
        <v>2015.7499999999998</v>
      </c>
      <c r="D791" s="2">
        <v>29.775919999999999</v>
      </c>
      <c r="E791" s="3">
        <f>STANDARDIZE(D791,H$4,I$4)</f>
        <v>2.6942475858023704</v>
      </c>
    </row>
    <row r="792" spans="1:5" x14ac:dyDescent="0.3">
      <c r="A792">
        <v>2015</v>
      </c>
      <c r="B792">
        <v>11</v>
      </c>
      <c r="C792" s="3">
        <v>2015.8333333333333</v>
      </c>
      <c r="D792" s="2">
        <v>29.053927999999999</v>
      </c>
      <c r="E792" s="3">
        <f>STANDARDIZE(D792,H$3,I$3)</f>
        <v>1.1874241759200055</v>
      </c>
    </row>
    <row r="793" spans="1:5" x14ac:dyDescent="0.3">
      <c r="A793">
        <v>2015</v>
      </c>
      <c r="B793">
        <v>12</v>
      </c>
      <c r="C793" s="3">
        <v>2015.9166666666665</v>
      </c>
      <c r="D793" s="2">
        <v>28.673012</v>
      </c>
      <c r="E793" s="3">
        <f>STANDARDIZE(D793,H$2,I$2)</f>
        <v>2.73875568772702</v>
      </c>
    </row>
  </sheetData>
  <autoFilter ref="A1:E1" xr:uid="{CBCED6E0-0CDD-46E3-B987-4612E3EB19E4}">
    <sortState xmlns:xlrd2="http://schemas.microsoft.com/office/spreadsheetml/2017/richdata2" ref="A2:E793">
      <sortCondition ref="C1"/>
    </sortState>
  </autoFilter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11D0-2E54-4A5D-91D5-784380AA463B}">
  <dimension ref="A1:N409"/>
  <sheetViews>
    <sheetView workbookViewId="0">
      <selection activeCell="L19" sqref="L19"/>
    </sheetView>
  </sheetViews>
  <sheetFormatPr baseColWidth="10" defaultRowHeight="14.4" x14ac:dyDescent="0.3"/>
  <cols>
    <col min="1" max="1" width="7.6640625" customWidth="1"/>
    <col min="2" max="2" width="6.77734375" customWidth="1"/>
    <col min="3" max="4" width="8" customWidth="1"/>
    <col min="5" max="5" width="6.88671875" customWidth="1"/>
    <col min="6" max="6" width="7.44140625" customWidth="1"/>
    <col min="8" max="8" width="8.5546875" customWidth="1"/>
    <col min="9" max="9" width="10.109375" customWidth="1"/>
    <col min="10" max="10" width="7.6640625" customWidth="1"/>
    <col min="12" max="12" width="8.5546875" customWidth="1"/>
    <col min="13" max="13" width="10.33203125" customWidth="1"/>
  </cols>
  <sheetData>
    <row r="1" spans="1:14" x14ac:dyDescent="0.3">
      <c r="A1" s="4" t="s">
        <v>34</v>
      </c>
      <c r="B1" s="4" t="s">
        <v>31</v>
      </c>
      <c r="C1" s="4" t="s">
        <v>33</v>
      </c>
      <c r="D1" s="25" t="s">
        <v>32</v>
      </c>
      <c r="E1" s="4" t="s">
        <v>98</v>
      </c>
      <c r="F1" s="4" t="s">
        <v>96</v>
      </c>
      <c r="H1" s="4" t="s">
        <v>13</v>
      </c>
      <c r="I1" s="4" t="s">
        <v>12</v>
      </c>
      <c r="J1" s="4" t="s">
        <v>99</v>
      </c>
      <c r="L1" s="4"/>
      <c r="M1" s="4"/>
      <c r="N1" s="4"/>
    </row>
    <row r="2" spans="1:14" x14ac:dyDescent="0.3">
      <c r="A2" s="3">
        <v>1982</v>
      </c>
      <c r="B2">
        <v>1982</v>
      </c>
      <c r="C2">
        <v>1</v>
      </c>
      <c r="D2" s="3">
        <v>27.403549999999999</v>
      </c>
      <c r="E2" s="3">
        <v>0.62565999999999999</v>
      </c>
      <c r="F2">
        <v>31</v>
      </c>
      <c r="H2">
        <v>2015</v>
      </c>
      <c r="I2" s="2">
        <f>AVERAGEIF(B$2:B$409,H2,D$2:D$409)</f>
        <v>28.768385833333337</v>
      </c>
      <c r="J2" s="3">
        <f t="array" ref="J2">_xlfn.STDEV.S(IF(B$2:B$409=H2,D$2:D$409))</f>
        <v>0.98066680243095439</v>
      </c>
    </row>
    <row r="3" spans="1:14" x14ac:dyDescent="0.3">
      <c r="A3" s="3">
        <v>1982.0833333333335</v>
      </c>
      <c r="B3">
        <v>1982</v>
      </c>
      <c r="C3">
        <v>2</v>
      </c>
      <c r="D3" s="3">
        <v>27.11036</v>
      </c>
      <c r="E3" s="3">
        <v>0.73777000000000004</v>
      </c>
      <c r="F3">
        <v>28</v>
      </c>
      <c r="H3">
        <v>2014</v>
      </c>
      <c r="I3" s="2">
        <f t="shared" ref="I3:I35" si="0">AVERAGEIF(B$2:B$409,H3,D$2:D$409)</f>
        <v>28.833462499999996</v>
      </c>
      <c r="J3" s="3">
        <f t="array" ref="J3">_xlfn.STDEV.S(IF(B$2:B$409=H3,D$2:D$409))</f>
        <v>0.82094131005068094</v>
      </c>
    </row>
    <row r="4" spans="1:14" x14ac:dyDescent="0.3">
      <c r="A4" s="3">
        <v>1982.1666666666667</v>
      </c>
      <c r="B4">
        <v>1982</v>
      </c>
      <c r="C4">
        <v>3</v>
      </c>
      <c r="D4" s="3">
        <v>26.464520000000004</v>
      </c>
      <c r="E4" s="3">
        <v>0.45331000000000005</v>
      </c>
      <c r="F4">
        <v>31</v>
      </c>
      <c r="H4">
        <v>2013</v>
      </c>
      <c r="I4" s="2">
        <f t="shared" si="0"/>
        <v>28.60724333333334</v>
      </c>
      <c r="J4" s="3">
        <f t="array" ref="J4">_xlfn.STDEV.S(IF(B$2:B$409=H4,D$2:D$409))</f>
        <v>0.90729613947991172</v>
      </c>
    </row>
    <row r="5" spans="1:14" x14ac:dyDescent="0.3">
      <c r="A5" s="3">
        <v>1982.25</v>
      </c>
      <c r="B5">
        <v>1982</v>
      </c>
      <c r="C5">
        <v>4</v>
      </c>
      <c r="D5" s="3">
        <v>26.918330000000001</v>
      </c>
      <c r="E5" s="3">
        <v>0.89883000000000002</v>
      </c>
      <c r="F5">
        <v>30</v>
      </c>
      <c r="H5">
        <v>2012</v>
      </c>
      <c r="I5" s="2">
        <f t="shared" si="0"/>
        <v>28.604507499999997</v>
      </c>
      <c r="J5" s="3">
        <f t="array" ref="J5">_xlfn.STDEV.S(IF(B$2:B$409=H5,D$2:D$409))</f>
        <v>1.0137049287111031</v>
      </c>
    </row>
    <row r="6" spans="1:14" x14ac:dyDescent="0.3">
      <c r="A6" s="3">
        <v>1982.3333333333335</v>
      </c>
      <c r="B6">
        <v>1982</v>
      </c>
      <c r="C6">
        <v>5</v>
      </c>
      <c r="D6" s="3">
        <v>28.611940000000001</v>
      </c>
      <c r="E6" s="3">
        <v>0.49270000000000003</v>
      </c>
      <c r="F6">
        <v>31</v>
      </c>
      <c r="H6">
        <v>2011</v>
      </c>
      <c r="I6" s="2">
        <f t="shared" si="0"/>
        <v>28.588824166666669</v>
      </c>
      <c r="J6" s="3">
        <f t="array" ref="J6">_xlfn.STDEV.S(IF(B$2:B$409=H6,D$2:D$409))</f>
        <v>0.9290679925549854</v>
      </c>
    </row>
    <row r="7" spans="1:14" x14ac:dyDescent="0.3">
      <c r="A7" s="3">
        <v>1982.4166666666667</v>
      </c>
      <c r="B7">
        <v>1982</v>
      </c>
      <c r="C7">
        <v>6</v>
      </c>
      <c r="D7" s="3">
        <v>29.462</v>
      </c>
      <c r="E7" s="3">
        <v>0.53522000000000003</v>
      </c>
      <c r="F7">
        <v>30</v>
      </c>
      <c r="H7">
        <v>2010</v>
      </c>
      <c r="I7" s="2">
        <f t="shared" si="0"/>
        <v>28.719230833333331</v>
      </c>
      <c r="J7" s="3">
        <f t="array" ref="J7">_xlfn.STDEV.S(IF(B$2:B$409=H7,D$2:D$409))</f>
        <v>0.78200543193252181</v>
      </c>
    </row>
    <row r="8" spans="1:14" x14ac:dyDescent="0.3">
      <c r="A8" s="3">
        <v>1982.5</v>
      </c>
      <c r="B8">
        <v>1982</v>
      </c>
      <c r="C8">
        <v>7</v>
      </c>
      <c r="D8" s="3">
        <v>28.684190000000001</v>
      </c>
      <c r="E8" s="3">
        <v>0.61717</v>
      </c>
      <c r="F8">
        <v>31</v>
      </c>
      <c r="H8">
        <v>2009</v>
      </c>
      <c r="I8" s="2">
        <f t="shared" si="0"/>
        <v>28.407064999999999</v>
      </c>
      <c r="J8" s="3">
        <f t="array" ref="J8">_xlfn.STDEV.S(IF(B$2:B$409=H8,D$2:D$409))</f>
        <v>1.0727649611041223</v>
      </c>
    </row>
    <row r="9" spans="1:14" x14ac:dyDescent="0.3">
      <c r="A9" s="3">
        <v>1982.5833333333335</v>
      </c>
      <c r="B9">
        <v>1982</v>
      </c>
      <c r="C9">
        <v>8</v>
      </c>
      <c r="D9" s="3">
        <v>28.84065</v>
      </c>
      <c r="E9" s="3">
        <v>0.75608999999999993</v>
      </c>
      <c r="F9">
        <v>31</v>
      </c>
      <c r="H9">
        <v>2008</v>
      </c>
      <c r="I9" s="2">
        <f t="shared" si="0"/>
        <v>28.428698333333333</v>
      </c>
      <c r="J9" s="3">
        <f t="array" ref="J9">_xlfn.STDEV.S(IF(B$2:B$409=H9,D$2:D$409))</f>
        <v>0.83624524414827317</v>
      </c>
    </row>
    <row r="10" spans="1:14" x14ac:dyDescent="0.3">
      <c r="A10" s="3">
        <v>1982.6666666666667</v>
      </c>
      <c r="B10">
        <v>1982</v>
      </c>
      <c r="C10">
        <v>9</v>
      </c>
      <c r="D10" s="3">
        <v>28.430329999999998</v>
      </c>
      <c r="E10" s="3">
        <v>0.65669</v>
      </c>
      <c r="F10">
        <v>30</v>
      </c>
      <c r="H10">
        <v>2007</v>
      </c>
      <c r="I10" s="2">
        <f t="shared" si="0"/>
        <v>28.678699166666672</v>
      </c>
      <c r="J10" s="3">
        <f t="array" ref="J10">_xlfn.STDEV.S(IF(B$2:B$409=H10,D$2:D$409))</f>
        <v>0.92159621524493451</v>
      </c>
    </row>
    <row r="11" spans="1:14" x14ac:dyDescent="0.3">
      <c r="A11" s="3">
        <v>1982.75</v>
      </c>
      <c r="B11">
        <v>1982</v>
      </c>
      <c r="C11">
        <v>10</v>
      </c>
      <c r="D11" s="3">
        <v>29.065810000000003</v>
      </c>
      <c r="E11" s="3">
        <v>0.41353000000000001</v>
      </c>
      <c r="F11">
        <v>31</v>
      </c>
      <c r="H11">
        <v>2006</v>
      </c>
      <c r="I11" s="2">
        <f t="shared" si="0"/>
        <v>28.705705000000005</v>
      </c>
      <c r="J11" s="3">
        <f t="array" ref="J11">_xlfn.STDEV.S(IF(B$2:B$409=H11,D$2:D$409))</f>
        <v>1.0461805458602087</v>
      </c>
    </row>
    <row r="12" spans="1:14" x14ac:dyDescent="0.3">
      <c r="A12" s="3">
        <v>1982.8333333333335</v>
      </c>
      <c r="B12">
        <v>1982</v>
      </c>
      <c r="C12">
        <v>11</v>
      </c>
      <c r="D12" s="3">
        <v>27.677330000000001</v>
      </c>
      <c r="E12" s="3">
        <v>0.73337999999999992</v>
      </c>
      <c r="F12">
        <v>30</v>
      </c>
      <c r="H12">
        <v>2005</v>
      </c>
      <c r="I12" s="2">
        <f t="shared" si="0"/>
        <v>28.695108333333334</v>
      </c>
      <c r="J12" s="3">
        <f t="array" ref="J12">_xlfn.STDEV.S(IF(B$2:B$409=H12,D$2:D$409))</f>
        <v>1.131757236013845</v>
      </c>
    </row>
    <row r="13" spans="1:14" x14ac:dyDescent="0.3">
      <c r="A13" s="3">
        <v>1982.9166666666667</v>
      </c>
      <c r="B13">
        <v>1982</v>
      </c>
      <c r="C13">
        <v>12</v>
      </c>
      <c r="D13" s="3">
        <v>27.094840000000001</v>
      </c>
      <c r="E13" s="3">
        <v>0.63659999999999994</v>
      </c>
      <c r="F13">
        <v>31</v>
      </c>
      <c r="H13">
        <v>2004</v>
      </c>
      <c r="I13" s="2">
        <f t="shared" si="0"/>
        <v>28.506439999999994</v>
      </c>
      <c r="J13" s="3">
        <f t="array" ref="J13">_xlfn.STDEV.S(IF(B$2:B$409=H13,D$2:D$409))</f>
        <v>0.88077094681049395</v>
      </c>
    </row>
    <row r="14" spans="1:14" x14ac:dyDescent="0.3">
      <c r="A14" s="3">
        <v>1983</v>
      </c>
      <c r="B14">
        <v>1983</v>
      </c>
      <c r="C14">
        <v>1</v>
      </c>
      <c r="D14" s="3">
        <v>27.19258</v>
      </c>
      <c r="E14" s="3">
        <v>0.45668999999999998</v>
      </c>
      <c r="F14">
        <v>31</v>
      </c>
      <c r="H14">
        <v>2003</v>
      </c>
      <c r="I14" s="2">
        <f t="shared" si="0"/>
        <v>28.741642499999998</v>
      </c>
      <c r="J14" s="3">
        <f t="array" ref="J14">_xlfn.STDEV.S(IF(B$2:B$409=H14,D$2:D$409))</f>
        <v>0.6874208709255859</v>
      </c>
    </row>
    <row r="15" spans="1:14" x14ac:dyDescent="0.3">
      <c r="A15" s="3">
        <v>1983.0833333333401</v>
      </c>
      <c r="B15">
        <v>1983</v>
      </c>
      <c r="C15">
        <v>2</v>
      </c>
      <c r="D15" s="3">
        <v>26.930710000000001</v>
      </c>
      <c r="E15" s="3">
        <v>0.40738999999999997</v>
      </c>
      <c r="F15">
        <v>28</v>
      </c>
      <c r="H15">
        <v>2002</v>
      </c>
      <c r="I15" s="2">
        <f t="shared" si="0"/>
        <v>28.683980833333333</v>
      </c>
      <c r="J15" s="3">
        <f t="array" ref="J15">_xlfn.STDEV.S(IF(B$2:B$409=H15,D$2:D$409))</f>
        <v>1.0381115892852433</v>
      </c>
    </row>
    <row r="16" spans="1:14" x14ac:dyDescent="0.3">
      <c r="A16" s="3">
        <v>1983.1666666666699</v>
      </c>
      <c r="B16">
        <v>1983</v>
      </c>
      <c r="C16">
        <v>3</v>
      </c>
      <c r="D16" s="3">
        <v>27.217739999999999</v>
      </c>
      <c r="E16" s="3">
        <v>0.62158000000000002</v>
      </c>
      <c r="F16">
        <v>31</v>
      </c>
      <c r="H16">
        <v>2001</v>
      </c>
      <c r="I16" s="2">
        <f t="shared" si="0"/>
        <v>28.291614166666665</v>
      </c>
      <c r="J16" s="3">
        <f t="array" ref="J16">_xlfn.STDEV.S(IF(B$2:B$409=H16,D$2:D$409))</f>
        <v>0.96054744948775128</v>
      </c>
    </row>
    <row r="17" spans="1:10" x14ac:dyDescent="0.3">
      <c r="A17" s="3">
        <v>1983.25</v>
      </c>
      <c r="B17">
        <v>1983</v>
      </c>
      <c r="C17">
        <v>4</v>
      </c>
      <c r="D17" s="3">
        <v>27.24033</v>
      </c>
      <c r="E17" s="3">
        <v>0.40521999999999997</v>
      </c>
      <c r="F17">
        <v>30</v>
      </c>
      <c r="H17">
        <v>2000</v>
      </c>
      <c r="I17" s="2">
        <f t="shared" si="0"/>
        <v>28.141743333333338</v>
      </c>
      <c r="J17" s="3">
        <f t="array" ref="J17">_xlfn.STDEV.S(IF(B$2:B$409=H17,D$2:D$409))</f>
        <v>1.1295843740978633</v>
      </c>
    </row>
    <row r="18" spans="1:10" x14ac:dyDescent="0.3">
      <c r="A18" s="3">
        <v>1983.3333333333401</v>
      </c>
      <c r="B18">
        <v>1983</v>
      </c>
      <c r="C18">
        <v>5</v>
      </c>
      <c r="D18" s="3">
        <v>27.987100000000002</v>
      </c>
      <c r="E18" s="3">
        <v>0.51722000000000001</v>
      </c>
      <c r="F18">
        <v>31</v>
      </c>
      <c r="H18">
        <v>1999</v>
      </c>
      <c r="I18" s="2">
        <f t="shared" si="0"/>
        <v>28.18556083333333</v>
      </c>
      <c r="J18" s="3">
        <f t="array" ref="J18">_xlfn.STDEV.S(IF(B$2:B$409=H18,D$2:D$409))</f>
        <v>0.87357684653860523</v>
      </c>
    </row>
    <row r="19" spans="1:10" x14ac:dyDescent="0.3">
      <c r="A19" s="3">
        <v>1983.4166666666699</v>
      </c>
      <c r="B19">
        <v>1983</v>
      </c>
      <c r="C19">
        <v>6</v>
      </c>
      <c r="D19" s="3">
        <v>29.68533</v>
      </c>
      <c r="E19" s="3">
        <v>0.57804</v>
      </c>
      <c r="F19">
        <v>30</v>
      </c>
      <c r="H19">
        <v>1998</v>
      </c>
      <c r="I19" s="2">
        <f t="shared" si="0"/>
        <v>28.783312500000005</v>
      </c>
      <c r="J19" s="3">
        <f t="array" ref="J19">_xlfn.STDEV.S(IF(B$2:B$409=H19,D$2:D$409))</f>
        <v>0.85190932396401009</v>
      </c>
    </row>
    <row r="20" spans="1:10" x14ac:dyDescent="0.3">
      <c r="A20" s="3">
        <v>1983.5</v>
      </c>
      <c r="B20">
        <v>1983</v>
      </c>
      <c r="C20">
        <v>7</v>
      </c>
      <c r="D20" s="3">
        <v>29.504189999999998</v>
      </c>
      <c r="E20" s="3">
        <v>0.70957999999999999</v>
      </c>
      <c r="F20">
        <v>31</v>
      </c>
      <c r="H20">
        <v>1997</v>
      </c>
      <c r="I20" s="2">
        <f t="shared" si="0"/>
        <v>28.375535000000003</v>
      </c>
      <c r="J20" s="3">
        <f t="array" ref="J20">_xlfn.STDEV.S(IF(B$2:B$409=H20,D$2:D$409))</f>
        <v>1.0723240562314773</v>
      </c>
    </row>
    <row r="21" spans="1:10" x14ac:dyDescent="0.3">
      <c r="A21" s="3">
        <v>1983.5833333333401</v>
      </c>
      <c r="B21">
        <v>1983</v>
      </c>
      <c r="C21">
        <v>8</v>
      </c>
      <c r="D21" s="3">
        <v>28.948060000000002</v>
      </c>
      <c r="E21" s="3">
        <v>0.70373000000000008</v>
      </c>
      <c r="F21">
        <v>31</v>
      </c>
      <c r="H21">
        <v>1996</v>
      </c>
      <c r="I21" s="2">
        <f t="shared" si="0"/>
        <v>28.273195833333336</v>
      </c>
      <c r="J21" s="3">
        <f t="array" ref="J21">_xlfn.STDEV.S(IF(B$2:B$409=H21,D$2:D$409))</f>
        <v>0.72706851862253641</v>
      </c>
    </row>
    <row r="22" spans="1:10" x14ac:dyDescent="0.3">
      <c r="A22" s="3">
        <v>1983.6666666666699</v>
      </c>
      <c r="B22">
        <v>1983</v>
      </c>
      <c r="C22">
        <v>9</v>
      </c>
      <c r="D22" s="3">
        <v>29.245000000000001</v>
      </c>
      <c r="E22" s="3">
        <v>0.69144000000000005</v>
      </c>
      <c r="F22">
        <v>30</v>
      </c>
      <c r="H22">
        <v>1995</v>
      </c>
      <c r="I22" s="2">
        <f t="shared" si="0"/>
        <v>28.62665500000001</v>
      </c>
      <c r="J22" s="3">
        <f t="array" ref="J22">_xlfn.STDEV.S(IF(B$2:B$409=H22,D$2:D$409))</f>
        <v>0.88762170319957168</v>
      </c>
    </row>
    <row r="23" spans="1:10" x14ac:dyDescent="0.3">
      <c r="A23" s="3">
        <v>1983.75</v>
      </c>
      <c r="B23">
        <v>1983</v>
      </c>
      <c r="C23">
        <v>10</v>
      </c>
      <c r="D23" s="3">
        <v>28.738389999999999</v>
      </c>
      <c r="E23" s="3">
        <v>0.42554999999999998</v>
      </c>
      <c r="F23">
        <v>31</v>
      </c>
      <c r="H23">
        <v>1994</v>
      </c>
      <c r="I23" s="2">
        <f t="shared" si="0"/>
        <v>28.088175833333334</v>
      </c>
      <c r="J23" s="3">
        <f t="array" ref="J23">_xlfn.STDEV.S(IF(B$2:B$409=H23,D$2:D$409))</f>
        <v>0.84180543472681701</v>
      </c>
    </row>
    <row r="24" spans="1:10" x14ac:dyDescent="0.3">
      <c r="A24" s="3">
        <v>1983.8333333333401</v>
      </c>
      <c r="B24">
        <v>1983</v>
      </c>
      <c r="C24">
        <v>11</v>
      </c>
      <c r="D24" s="3">
        <v>28.557669999999998</v>
      </c>
      <c r="E24" s="3">
        <v>0.37279000000000007</v>
      </c>
      <c r="F24">
        <v>30</v>
      </c>
      <c r="H24">
        <v>1993</v>
      </c>
      <c r="I24" s="2">
        <f t="shared" si="0"/>
        <v>28.364894166666662</v>
      </c>
      <c r="J24" s="3">
        <f t="array" ref="J24">_xlfn.STDEV.S(IF(B$2:B$409=H24,D$2:D$409))</f>
        <v>0.85588765017227764</v>
      </c>
    </row>
    <row r="25" spans="1:10" x14ac:dyDescent="0.3">
      <c r="A25" s="3">
        <v>1983.9166666666699</v>
      </c>
      <c r="B25">
        <v>1983</v>
      </c>
      <c r="C25">
        <v>12</v>
      </c>
      <c r="D25" s="3">
        <v>28.164839999999998</v>
      </c>
      <c r="E25" s="3">
        <v>0.89545000000000008</v>
      </c>
      <c r="F25">
        <v>31</v>
      </c>
      <c r="H25">
        <v>1992</v>
      </c>
      <c r="I25" s="2">
        <f t="shared" si="0"/>
        <v>27.904389166666665</v>
      </c>
      <c r="J25" s="3">
        <f t="array" ref="J25">_xlfn.STDEV.S(IF(B$2:B$409=H25,D$2:D$409))</f>
        <v>1.1197207055938583</v>
      </c>
    </row>
    <row r="26" spans="1:10" x14ac:dyDescent="0.3">
      <c r="A26" s="3">
        <v>1984</v>
      </c>
      <c r="B26">
        <v>1984</v>
      </c>
      <c r="C26">
        <v>1</v>
      </c>
      <c r="D26" s="3">
        <v>27.468389999999999</v>
      </c>
      <c r="E26" s="3">
        <v>0.39595999999999998</v>
      </c>
      <c r="F26">
        <v>31</v>
      </c>
      <c r="H26">
        <v>1991</v>
      </c>
      <c r="I26" s="2">
        <f t="shared" si="0"/>
        <v>28.066405000000003</v>
      </c>
      <c r="J26" s="3">
        <f t="array" ref="J26">_xlfn.STDEV.S(IF(B$2:B$409=H26,D$2:D$409))</f>
        <v>0.65273246286807129</v>
      </c>
    </row>
    <row r="27" spans="1:10" x14ac:dyDescent="0.3">
      <c r="A27" s="3">
        <v>1984.0833333333401</v>
      </c>
      <c r="B27">
        <v>1984</v>
      </c>
      <c r="C27">
        <v>2</v>
      </c>
      <c r="D27" s="3">
        <v>27.136210000000002</v>
      </c>
      <c r="E27" s="3">
        <v>0.43556</v>
      </c>
      <c r="F27">
        <v>29</v>
      </c>
      <c r="H27">
        <v>1990</v>
      </c>
      <c r="I27" s="2">
        <f t="shared" si="0"/>
        <v>27.989889166666668</v>
      </c>
      <c r="J27" s="3">
        <f t="array" ref="J27">_xlfn.STDEV.S(IF(B$2:B$409=H27,D$2:D$409))</f>
        <v>0.86394556768202901</v>
      </c>
    </row>
    <row r="28" spans="1:10" x14ac:dyDescent="0.3">
      <c r="A28" s="3">
        <v>1984.1666666666699</v>
      </c>
      <c r="B28">
        <v>1984</v>
      </c>
      <c r="C28">
        <v>3</v>
      </c>
      <c r="D28" s="3">
        <v>27.17</v>
      </c>
      <c r="E28" s="3">
        <v>0.43107999999999996</v>
      </c>
      <c r="F28">
        <v>31</v>
      </c>
      <c r="H28">
        <v>1989</v>
      </c>
      <c r="I28" s="2">
        <f t="shared" si="0"/>
        <v>27.80237</v>
      </c>
      <c r="J28" s="3">
        <f t="array" ref="J28">_xlfn.STDEV.S(IF(B$2:B$409=H28,D$2:D$409))</f>
        <v>0.83094964310830399</v>
      </c>
    </row>
    <row r="29" spans="1:10" x14ac:dyDescent="0.3">
      <c r="A29" s="3">
        <v>1984.25</v>
      </c>
      <c r="B29">
        <v>1984</v>
      </c>
      <c r="C29">
        <v>4</v>
      </c>
      <c r="D29" s="3">
        <v>26.870329999999999</v>
      </c>
      <c r="E29" s="3">
        <v>0.34679000000000004</v>
      </c>
      <c r="F29">
        <v>30</v>
      </c>
      <c r="H29">
        <v>1988</v>
      </c>
      <c r="I29" s="2">
        <f t="shared" si="0"/>
        <v>28.152905833333335</v>
      </c>
      <c r="J29" s="3">
        <f t="array" ref="J29">_xlfn.STDEV.S(IF(B$2:B$409=H29,D$2:D$409))</f>
        <v>0.77897592647431302</v>
      </c>
    </row>
    <row r="30" spans="1:10" x14ac:dyDescent="0.3">
      <c r="A30" s="3">
        <v>1984.3333333333401</v>
      </c>
      <c r="B30">
        <v>1984</v>
      </c>
      <c r="C30">
        <v>5</v>
      </c>
      <c r="D30" s="3">
        <v>27.683229999999998</v>
      </c>
      <c r="E30" s="3">
        <v>0.59886000000000006</v>
      </c>
      <c r="F30">
        <v>31</v>
      </c>
      <c r="H30">
        <v>1987</v>
      </c>
      <c r="I30" s="2">
        <f t="shared" si="0"/>
        <v>28.184588333333334</v>
      </c>
      <c r="J30" s="3">
        <f t="array" ref="J30">_xlfn.STDEV.S(IF(B$2:B$409=H30,D$2:D$409))</f>
        <v>0.87806687344036261</v>
      </c>
    </row>
    <row r="31" spans="1:10" x14ac:dyDescent="0.3">
      <c r="A31" s="3">
        <v>1984.4166666666699</v>
      </c>
      <c r="B31">
        <v>1984</v>
      </c>
      <c r="C31">
        <v>6</v>
      </c>
      <c r="D31" s="3">
        <v>28.608670000000004</v>
      </c>
      <c r="E31" s="3">
        <v>0.78950999999999993</v>
      </c>
      <c r="F31">
        <v>30</v>
      </c>
      <c r="H31">
        <v>1986</v>
      </c>
      <c r="I31" s="2">
        <f t="shared" si="0"/>
        <v>27.821433333333335</v>
      </c>
      <c r="J31" s="3">
        <f t="array" ref="J31">_xlfn.STDEV.S(IF(B$2:B$409=H31,D$2:D$409))</f>
        <v>0.9006380769849518</v>
      </c>
    </row>
    <row r="32" spans="1:10" x14ac:dyDescent="0.3">
      <c r="A32" s="3">
        <v>1984.5</v>
      </c>
      <c r="B32">
        <v>1984</v>
      </c>
      <c r="C32">
        <v>7</v>
      </c>
      <c r="D32" s="3">
        <v>28.650650000000002</v>
      </c>
      <c r="E32" s="3">
        <v>0.49542000000000003</v>
      </c>
      <c r="F32">
        <v>31</v>
      </c>
      <c r="H32">
        <v>1985</v>
      </c>
      <c r="I32" s="2">
        <f t="shared" si="0"/>
        <v>27.792742499999999</v>
      </c>
      <c r="J32" s="3">
        <f t="array" ref="J32">_xlfn.STDEV.S(IF(B$2:B$409=H32,D$2:D$409))</f>
        <v>1.0494900806679663</v>
      </c>
    </row>
    <row r="33" spans="1:10" x14ac:dyDescent="0.3">
      <c r="A33" s="3">
        <v>1984.5833333333401</v>
      </c>
      <c r="B33">
        <v>1984</v>
      </c>
      <c r="C33">
        <v>8</v>
      </c>
      <c r="D33" s="3">
        <v>28.732579999999999</v>
      </c>
      <c r="E33" s="3">
        <v>0.28306999999999999</v>
      </c>
      <c r="F33">
        <v>31</v>
      </c>
      <c r="H33">
        <v>1984</v>
      </c>
      <c r="I33" s="2">
        <f t="shared" si="0"/>
        <v>27.899868333333334</v>
      </c>
      <c r="J33" s="3">
        <f t="array" ref="J33">_xlfn.STDEV.S(IF(B$2:B$409=H33,D$2:D$409))</f>
        <v>0.8368878406207062</v>
      </c>
    </row>
    <row r="34" spans="1:10" x14ac:dyDescent="0.3">
      <c r="A34" s="3">
        <v>1984.6666666666699</v>
      </c>
      <c r="B34">
        <v>1984</v>
      </c>
      <c r="C34">
        <v>9</v>
      </c>
      <c r="D34" s="3">
        <v>28.65033</v>
      </c>
      <c r="E34" s="3">
        <v>0.42752000000000001</v>
      </c>
      <c r="F34">
        <v>30</v>
      </c>
      <c r="H34">
        <v>1983</v>
      </c>
      <c r="I34" s="2">
        <f t="shared" si="0"/>
        <v>28.284328333333331</v>
      </c>
      <c r="J34" s="3">
        <f t="array" ref="J34">_xlfn.STDEV.S(IF(B$2:B$409=H34,D$2:D$409))</f>
        <v>0.9746583526626913</v>
      </c>
    </row>
    <row r="35" spans="1:10" x14ac:dyDescent="0.3">
      <c r="A35" s="3">
        <v>1984.75000000001</v>
      </c>
      <c r="B35">
        <v>1984</v>
      </c>
      <c r="C35">
        <v>10</v>
      </c>
      <c r="D35" s="3">
        <v>28.957420000000003</v>
      </c>
      <c r="E35" s="3">
        <v>0.40450000000000003</v>
      </c>
      <c r="F35">
        <v>31</v>
      </c>
      <c r="H35">
        <v>1982</v>
      </c>
      <c r="I35" s="2">
        <f t="shared" si="0"/>
        <v>27.980320833333334</v>
      </c>
      <c r="J35" s="3">
        <f t="array" ref="J35">_xlfn.STDEV.S(IF(B$2:B$409=H35,D$2:D$409))</f>
        <v>0.9817221361136792</v>
      </c>
    </row>
    <row r="36" spans="1:10" x14ac:dyDescent="0.3">
      <c r="A36" s="3">
        <v>1984.8333333333401</v>
      </c>
      <c r="B36">
        <v>1984</v>
      </c>
      <c r="C36">
        <v>11</v>
      </c>
      <c r="D36" s="3">
        <v>28.278670000000002</v>
      </c>
      <c r="E36" s="3">
        <v>0.49310000000000004</v>
      </c>
      <c r="F36">
        <v>30</v>
      </c>
      <c r="I36" s="2"/>
    </row>
    <row r="37" spans="1:10" x14ac:dyDescent="0.3">
      <c r="A37" s="3">
        <v>1984.9166666666699</v>
      </c>
      <c r="B37">
        <v>1984</v>
      </c>
      <c r="C37">
        <v>12</v>
      </c>
      <c r="D37" s="3">
        <v>26.591940000000001</v>
      </c>
      <c r="E37" s="3">
        <v>0.98245000000000005</v>
      </c>
      <c r="F37">
        <v>31</v>
      </c>
    </row>
    <row r="38" spans="1:10" x14ac:dyDescent="0.3">
      <c r="A38" s="3">
        <v>1985.00000000001</v>
      </c>
      <c r="B38">
        <v>1985</v>
      </c>
      <c r="C38">
        <v>1</v>
      </c>
      <c r="D38" s="3">
        <v>26.451610000000002</v>
      </c>
      <c r="E38" s="3">
        <v>0.41025</v>
      </c>
      <c r="F38">
        <v>31</v>
      </c>
    </row>
    <row r="39" spans="1:10" x14ac:dyDescent="0.3">
      <c r="A39" s="3">
        <v>1985.0833333333401</v>
      </c>
      <c r="B39">
        <v>1985</v>
      </c>
      <c r="C39">
        <v>2</v>
      </c>
      <c r="D39" s="3">
        <v>26.975000000000001</v>
      </c>
      <c r="E39" s="3">
        <v>0.48224</v>
      </c>
      <c r="F39">
        <v>28</v>
      </c>
    </row>
    <row r="40" spans="1:10" x14ac:dyDescent="0.3">
      <c r="A40" s="3">
        <v>1985.1666666666699</v>
      </c>
      <c r="B40">
        <v>1985</v>
      </c>
      <c r="C40">
        <v>3</v>
      </c>
      <c r="D40" s="3">
        <v>26.16065</v>
      </c>
      <c r="E40" s="3">
        <v>0.31370999999999999</v>
      </c>
      <c r="F40">
        <v>31</v>
      </c>
    </row>
    <row r="41" spans="1:10" x14ac:dyDescent="0.3">
      <c r="A41" s="3">
        <v>1985.25000000001</v>
      </c>
      <c r="B41">
        <v>1985</v>
      </c>
      <c r="C41">
        <v>4</v>
      </c>
      <c r="D41" s="3">
        <v>26.564670000000003</v>
      </c>
      <c r="E41" s="3">
        <v>0.32951999999999998</v>
      </c>
      <c r="F41">
        <v>30</v>
      </c>
    </row>
    <row r="42" spans="1:10" x14ac:dyDescent="0.3">
      <c r="A42" s="3">
        <v>1985.3333333333401</v>
      </c>
      <c r="B42">
        <v>1985</v>
      </c>
      <c r="C42">
        <v>5</v>
      </c>
      <c r="D42" s="3">
        <v>28.078389999999999</v>
      </c>
      <c r="E42" s="3">
        <v>0.8385800000000001</v>
      </c>
      <c r="F42">
        <v>31</v>
      </c>
    </row>
    <row r="43" spans="1:10" x14ac:dyDescent="0.3">
      <c r="A43" s="3">
        <v>1985.4166666666699</v>
      </c>
      <c r="B43">
        <v>1985</v>
      </c>
      <c r="C43">
        <v>6</v>
      </c>
      <c r="D43" s="3">
        <v>28.651999999999997</v>
      </c>
      <c r="E43" s="3">
        <v>0.62902999999999998</v>
      </c>
      <c r="F43">
        <v>30</v>
      </c>
    </row>
    <row r="44" spans="1:10" x14ac:dyDescent="0.3">
      <c r="A44" s="3">
        <v>1985.50000000001</v>
      </c>
      <c r="B44">
        <v>1985</v>
      </c>
      <c r="C44">
        <v>7</v>
      </c>
      <c r="D44" s="3">
        <v>28.436770000000003</v>
      </c>
      <c r="E44" s="3">
        <v>0.87730000000000008</v>
      </c>
      <c r="F44">
        <v>31</v>
      </c>
    </row>
    <row r="45" spans="1:10" x14ac:dyDescent="0.3">
      <c r="A45" s="3">
        <v>1985.5833333333401</v>
      </c>
      <c r="B45">
        <v>1985</v>
      </c>
      <c r="C45">
        <v>8</v>
      </c>
      <c r="D45" s="3">
        <v>29.343870000000003</v>
      </c>
      <c r="E45" s="3">
        <v>0.52390000000000003</v>
      </c>
      <c r="F45">
        <v>31</v>
      </c>
    </row>
    <row r="46" spans="1:10" x14ac:dyDescent="0.3">
      <c r="A46" s="3">
        <v>1985.6666666666699</v>
      </c>
      <c r="B46">
        <v>1985</v>
      </c>
      <c r="C46">
        <v>9</v>
      </c>
      <c r="D46" s="3">
        <v>28.897330000000004</v>
      </c>
      <c r="E46" s="3">
        <v>0.50041000000000002</v>
      </c>
      <c r="F46">
        <v>30</v>
      </c>
    </row>
    <row r="47" spans="1:10" x14ac:dyDescent="0.3">
      <c r="A47" s="3">
        <v>1985.75000000001</v>
      </c>
      <c r="B47">
        <v>1985</v>
      </c>
      <c r="C47">
        <v>10</v>
      </c>
      <c r="D47" s="3">
        <v>28.548390000000001</v>
      </c>
      <c r="E47" s="3">
        <v>0.2732</v>
      </c>
      <c r="F47">
        <v>31</v>
      </c>
    </row>
    <row r="48" spans="1:10" x14ac:dyDescent="0.3">
      <c r="A48" s="3">
        <v>1985.8333333333401</v>
      </c>
      <c r="B48">
        <v>1985</v>
      </c>
      <c r="C48">
        <v>11</v>
      </c>
      <c r="D48" s="3">
        <v>27.820999999999998</v>
      </c>
      <c r="E48" s="3">
        <v>0.44912999999999997</v>
      </c>
      <c r="F48">
        <v>30</v>
      </c>
    </row>
    <row r="49" spans="1:6" x14ac:dyDescent="0.3">
      <c r="A49" s="3">
        <v>1985.9166666666699</v>
      </c>
      <c r="B49">
        <v>1985</v>
      </c>
      <c r="C49">
        <v>12</v>
      </c>
      <c r="D49" s="3">
        <v>27.58323</v>
      </c>
      <c r="E49" s="3">
        <v>0.50502000000000002</v>
      </c>
      <c r="F49">
        <v>31</v>
      </c>
    </row>
    <row r="50" spans="1:6" x14ac:dyDescent="0.3">
      <c r="A50" s="3">
        <v>1986.00000000001</v>
      </c>
      <c r="B50">
        <v>1986</v>
      </c>
      <c r="C50">
        <v>1</v>
      </c>
      <c r="D50" s="3">
        <v>27.07968</v>
      </c>
      <c r="E50" s="3">
        <v>0.51450000000000007</v>
      </c>
      <c r="F50">
        <v>31</v>
      </c>
    </row>
    <row r="51" spans="1:6" x14ac:dyDescent="0.3">
      <c r="A51" s="3">
        <v>1986.0833333333401</v>
      </c>
      <c r="B51">
        <v>1986</v>
      </c>
      <c r="C51">
        <v>2</v>
      </c>
      <c r="D51" s="3">
        <v>26.772860000000001</v>
      </c>
      <c r="E51" s="3">
        <v>0.29271000000000003</v>
      </c>
      <c r="F51">
        <v>28</v>
      </c>
    </row>
    <row r="52" spans="1:6" x14ac:dyDescent="0.3">
      <c r="A52" s="3">
        <v>1986.1666666666699</v>
      </c>
      <c r="B52">
        <v>1986</v>
      </c>
      <c r="C52">
        <v>3</v>
      </c>
      <c r="D52" s="3">
        <v>26.405479999999997</v>
      </c>
      <c r="E52" s="3">
        <v>0.46915000000000001</v>
      </c>
      <c r="F52">
        <v>31</v>
      </c>
    </row>
    <row r="53" spans="1:6" x14ac:dyDescent="0.3">
      <c r="A53" s="3">
        <v>1986.25000000001</v>
      </c>
      <c r="B53">
        <v>1986</v>
      </c>
      <c r="C53">
        <v>4</v>
      </c>
      <c r="D53" s="3">
        <v>26.807330000000004</v>
      </c>
      <c r="E53" s="3">
        <v>0.45938000000000001</v>
      </c>
      <c r="F53">
        <v>30</v>
      </c>
    </row>
    <row r="54" spans="1:6" x14ac:dyDescent="0.3">
      <c r="A54" s="3">
        <v>1986.3333333333401</v>
      </c>
      <c r="B54">
        <v>1986</v>
      </c>
      <c r="C54">
        <v>5</v>
      </c>
      <c r="D54" s="3">
        <v>27.58484</v>
      </c>
      <c r="E54" s="3">
        <v>0.72141000000000011</v>
      </c>
      <c r="F54">
        <v>31</v>
      </c>
    </row>
    <row r="55" spans="1:6" x14ac:dyDescent="0.3">
      <c r="A55" s="3">
        <v>1986.4166666666699</v>
      </c>
      <c r="B55">
        <v>1986</v>
      </c>
      <c r="C55">
        <v>6</v>
      </c>
      <c r="D55" s="3">
        <v>28.873670000000004</v>
      </c>
      <c r="E55" s="3">
        <v>0.50883</v>
      </c>
      <c r="F55">
        <v>30</v>
      </c>
    </row>
    <row r="56" spans="1:6" x14ac:dyDescent="0.3">
      <c r="A56" s="3">
        <v>1986.50000000001</v>
      </c>
      <c r="B56">
        <v>1986</v>
      </c>
      <c r="C56">
        <v>7</v>
      </c>
      <c r="D56" s="3">
        <v>29.16968</v>
      </c>
      <c r="E56" s="3">
        <v>0.41893000000000002</v>
      </c>
      <c r="F56">
        <v>31</v>
      </c>
    </row>
    <row r="57" spans="1:6" x14ac:dyDescent="0.3">
      <c r="A57" s="3">
        <v>1986.5833333333401</v>
      </c>
      <c r="B57">
        <v>1986</v>
      </c>
      <c r="C57">
        <v>8</v>
      </c>
      <c r="D57" s="3">
        <v>28.36645</v>
      </c>
      <c r="E57" s="3">
        <v>0.70334999999999992</v>
      </c>
      <c r="F57">
        <v>31</v>
      </c>
    </row>
    <row r="58" spans="1:6" x14ac:dyDescent="0.3">
      <c r="A58" s="3">
        <v>1986.6666666666799</v>
      </c>
      <c r="B58">
        <v>1986</v>
      </c>
      <c r="C58">
        <v>9</v>
      </c>
      <c r="D58" s="3">
        <v>28.389330000000001</v>
      </c>
      <c r="E58" s="3">
        <v>0.60229999999999995</v>
      </c>
      <c r="F58">
        <v>30</v>
      </c>
    </row>
    <row r="59" spans="1:6" x14ac:dyDescent="0.3">
      <c r="A59" s="3">
        <v>1986.75000000001</v>
      </c>
      <c r="B59">
        <v>1986</v>
      </c>
      <c r="C59">
        <v>10</v>
      </c>
      <c r="D59" s="3">
        <v>28.385160000000003</v>
      </c>
      <c r="E59" s="3">
        <v>0.63471</v>
      </c>
      <c r="F59">
        <v>31</v>
      </c>
    </row>
    <row r="60" spans="1:6" x14ac:dyDescent="0.3">
      <c r="A60" s="3">
        <v>1986.8333333333401</v>
      </c>
      <c r="B60">
        <v>1986</v>
      </c>
      <c r="C60">
        <v>11</v>
      </c>
      <c r="D60" s="3">
        <v>28.364329999999999</v>
      </c>
      <c r="E60" s="3">
        <v>0.43461</v>
      </c>
      <c r="F60">
        <v>30</v>
      </c>
    </row>
    <row r="61" spans="1:6" x14ac:dyDescent="0.3">
      <c r="A61" s="3">
        <v>1986.9166666666799</v>
      </c>
      <c r="B61">
        <v>1986</v>
      </c>
      <c r="C61">
        <v>12</v>
      </c>
      <c r="D61" s="3">
        <v>27.658390000000001</v>
      </c>
      <c r="E61" s="3">
        <v>0.35880000000000001</v>
      </c>
      <c r="F61">
        <v>31</v>
      </c>
    </row>
    <row r="62" spans="1:6" x14ac:dyDescent="0.3">
      <c r="A62" s="3">
        <v>1987.00000000001</v>
      </c>
      <c r="B62">
        <v>1987</v>
      </c>
      <c r="C62">
        <v>1</v>
      </c>
      <c r="D62" s="3">
        <v>27.444839999999999</v>
      </c>
      <c r="E62" s="3">
        <v>0.3175</v>
      </c>
      <c r="F62">
        <v>31</v>
      </c>
    </row>
    <row r="63" spans="1:6" x14ac:dyDescent="0.3">
      <c r="A63" s="3">
        <v>1987.0833333333401</v>
      </c>
      <c r="B63">
        <v>1987</v>
      </c>
      <c r="C63">
        <v>2</v>
      </c>
      <c r="D63" s="3">
        <v>27.110710000000001</v>
      </c>
      <c r="E63" s="3">
        <v>0.40667999999999999</v>
      </c>
      <c r="F63">
        <v>28</v>
      </c>
    </row>
    <row r="64" spans="1:6" x14ac:dyDescent="0.3">
      <c r="A64" s="3">
        <v>1987.1666666666799</v>
      </c>
      <c r="B64">
        <v>1987</v>
      </c>
      <c r="C64">
        <v>3</v>
      </c>
      <c r="D64" s="3">
        <v>26.788060000000002</v>
      </c>
      <c r="E64" s="3">
        <v>0.67831000000000008</v>
      </c>
      <c r="F64">
        <v>31</v>
      </c>
    </row>
    <row r="65" spans="1:6" x14ac:dyDescent="0.3">
      <c r="A65" s="3">
        <v>1987.25000000001</v>
      </c>
      <c r="B65">
        <v>1987</v>
      </c>
      <c r="C65">
        <v>4</v>
      </c>
      <c r="D65" s="3">
        <v>27.069330000000001</v>
      </c>
      <c r="E65" s="3">
        <v>0.69659000000000004</v>
      </c>
      <c r="F65">
        <v>30</v>
      </c>
    </row>
    <row r="66" spans="1:6" x14ac:dyDescent="0.3">
      <c r="A66" s="3">
        <v>1987.3333333333401</v>
      </c>
      <c r="B66">
        <v>1987</v>
      </c>
      <c r="C66">
        <v>5</v>
      </c>
      <c r="D66" s="3">
        <v>28.346770000000003</v>
      </c>
      <c r="E66" s="3">
        <v>0.35893000000000003</v>
      </c>
      <c r="F66">
        <v>31</v>
      </c>
    </row>
    <row r="67" spans="1:6" x14ac:dyDescent="0.3">
      <c r="A67" s="3">
        <v>1987.4166666666799</v>
      </c>
      <c r="B67">
        <v>1987</v>
      </c>
      <c r="C67">
        <v>6</v>
      </c>
      <c r="D67" s="3">
        <v>29.328000000000003</v>
      </c>
      <c r="E67" s="3">
        <v>0.32420000000000004</v>
      </c>
      <c r="F67">
        <v>30</v>
      </c>
    </row>
    <row r="68" spans="1:6" x14ac:dyDescent="0.3">
      <c r="A68" s="3">
        <v>1987.50000000001</v>
      </c>
      <c r="B68">
        <v>1987</v>
      </c>
      <c r="C68">
        <v>7</v>
      </c>
      <c r="D68" s="3">
        <v>29.2029</v>
      </c>
      <c r="E68" s="3">
        <v>0.49936000000000003</v>
      </c>
      <c r="F68">
        <v>31</v>
      </c>
    </row>
    <row r="69" spans="1:6" x14ac:dyDescent="0.3">
      <c r="A69" s="3">
        <v>1987.5833333333401</v>
      </c>
      <c r="B69">
        <v>1987</v>
      </c>
      <c r="C69">
        <v>8</v>
      </c>
      <c r="D69" s="3">
        <v>28.870970000000003</v>
      </c>
      <c r="E69" s="3">
        <v>0.57111000000000001</v>
      </c>
      <c r="F69">
        <v>31</v>
      </c>
    </row>
    <row r="70" spans="1:6" x14ac:dyDescent="0.3">
      <c r="A70" s="3">
        <v>1987.6666666666799</v>
      </c>
      <c r="B70">
        <v>1987</v>
      </c>
      <c r="C70">
        <v>9</v>
      </c>
      <c r="D70" s="3">
        <v>28.978670000000001</v>
      </c>
      <c r="E70" s="3">
        <v>0.50621000000000005</v>
      </c>
      <c r="F70">
        <v>30</v>
      </c>
    </row>
    <row r="71" spans="1:6" x14ac:dyDescent="0.3">
      <c r="A71" s="3">
        <v>1987.75000000001</v>
      </c>
      <c r="B71">
        <v>1987</v>
      </c>
      <c r="C71">
        <v>10</v>
      </c>
      <c r="D71" s="3">
        <v>28.382899999999999</v>
      </c>
      <c r="E71" s="3">
        <v>0.46316000000000002</v>
      </c>
      <c r="F71">
        <v>31</v>
      </c>
    </row>
    <row r="72" spans="1:6" x14ac:dyDescent="0.3">
      <c r="A72" s="3">
        <v>1987.8333333333401</v>
      </c>
      <c r="B72">
        <v>1987</v>
      </c>
      <c r="C72">
        <v>11</v>
      </c>
      <c r="D72" s="3">
        <v>28.239329999999999</v>
      </c>
      <c r="E72" s="3">
        <v>0.51524999999999999</v>
      </c>
      <c r="F72">
        <v>30</v>
      </c>
    </row>
    <row r="73" spans="1:6" x14ac:dyDescent="0.3">
      <c r="A73" s="3">
        <v>1987.9166666666799</v>
      </c>
      <c r="B73">
        <v>1987</v>
      </c>
      <c r="C73">
        <v>12</v>
      </c>
      <c r="D73" s="3">
        <v>28.452579999999998</v>
      </c>
      <c r="E73" s="3">
        <v>0.24225000000000002</v>
      </c>
      <c r="F73">
        <v>31</v>
      </c>
    </row>
    <row r="74" spans="1:6" x14ac:dyDescent="0.3">
      <c r="A74" s="3">
        <v>1988.00000000001</v>
      </c>
      <c r="B74">
        <v>1988</v>
      </c>
      <c r="C74">
        <v>1</v>
      </c>
      <c r="D74" s="3">
        <v>27.459029999999998</v>
      </c>
      <c r="E74" s="3">
        <v>0.47674</v>
      </c>
      <c r="F74">
        <v>31</v>
      </c>
    </row>
    <row r="75" spans="1:6" x14ac:dyDescent="0.3">
      <c r="A75" s="3">
        <v>1988.0833333333401</v>
      </c>
      <c r="B75">
        <v>1988</v>
      </c>
      <c r="C75">
        <v>2</v>
      </c>
      <c r="D75" s="3">
        <v>27.501720000000002</v>
      </c>
      <c r="E75" s="3">
        <v>0.26501000000000002</v>
      </c>
      <c r="F75">
        <v>29</v>
      </c>
    </row>
    <row r="76" spans="1:6" x14ac:dyDescent="0.3">
      <c r="A76" s="3">
        <v>1988.1666666666799</v>
      </c>
      <c r="B76">
        <v>1988</v>
      </c>
      <c r="C76">
        <v>3</v>
      </c>
      <c r="D76" s="3">
        <v>26.990650000000002</v>
      </c>
      <c r="E76" s="3">
        <v>0.37279000000000007</v>
      </c>
      <c r="F76">
        <v>31</v>
      </c>
    </row>
    <row r="77" spans="1:6" x14ac:dyDescent="0.3">
      <c r="A77" s="3">
        <v>1988.25000000001</v>
      </c>
      <c r="B77">
        <v>1988</v>
      </c>
      <c r="C77">
        <v>4</v>
      </c>
      <c r="D77" s="3">
        <v>26.979670000000002</v>
      </c>
      <c r="E77" s="3">
        <v>0.45094000000000001</v>
      </c>
      <c r="F77">
        <v>30</v>
      </c>
    </row>
    <row r="78" spans="1:6" x14ac:dyDescent="0.3">
      <c r="A78" s="3">
        <v>1988.3333333333401</v>
      </c>
      <c r="B78">
        <v>1988</v>
      </c>
      <c r="C78">
        <v>5</v>
      </c>
      <c r="D78" s="3">
        <v>28.648389999999999</v>
      </c>
      <c r="E78" s="3">
        <v>0.69043999999999994</v>
      </c>
      <c r="F78">
        <v>31</v>
      </c>
    </row>
    <row r="79" spans="1:6" x14ac:dyDescent="0.3">
      <c r="A79" s="3">
        <v>1988.4166666666799</v>
      </c>
      <c r="B79">
        <v>1988</v>
      </c>
      <c r="C79">
        <v>6</v>
      </c>
      <c r="D79" s="3">
        <v>29.097669999999997</v>
      </c>
      <c r="E79" s="3">
        <v>0.39656999999999998</v>
      </c>
      <c r="F79">
        <v>30</v>
      </c>
    </row>
    <row r="80" spans="1:6" x14ac:dyDescent="0.3">
      <c r="A80" s="3">
        <v>1988.50000000001</v>
      </c>
      <c r="B80">
        <v>1988</v>
      </c>
      <c r="C80">
        <v>7</v>
      </c>
      <c r="D80" s="3">
        <v>29.012260000000001</v>
      </c>
      <c r="E80" s="3">
        <v>0.45826</v>
      </c>
      <c r="F80">
        <v>31</v>
      </c>
    </row>
    <row r="81" spans="1:6" x14ac:dyDescent="0.3">
      <c r="A81" s="3">
        <v>1988.5833333333501</v>
      </c>
      <c r="B81">
        <v>1988</v>
      </c>
      <c r="C81">
        <v>8</v>
      </c>
      <c r="D81" s="3">
        <v>28.827100000000002</v>
      </c>
      <c r="E81" s="3">
        <v>0.19112999999999999</v>
      </c>
      <c r="F81">
        <v>31</v>
      </c>
    </row>
    <row r="82" spans="1:6" x14ac:dyDescent="0.3">
      <c r="A82" s="3">
        <v>1988.6666666666799</v>
      </c>
      <c r="B82">
        <v>1988</v>
      </c>
      <c r="C82">
        <v>9</v>
      </c>
      <c r="D82" s="3">
        <v>28.878670000000003</v>
      </c>
      <c r="E82" s="3">
        <v>0.43191000000000002</v>
      </c>
      <c r="F82">
        <v>30</v>
      </c>
    </row>
    <row r="83" spans="1:6" x14ac:dyDescent="0.3">
      <c r="A83" s="3">
        <v>1988.75000000001</v>
      </c>
      <c r="B83">
        <v>1988</v>
      </c>
      <c r="C83">
        <v>10</v>
      </c>
      <c r="D83" s="3">
        <v>28.341940000000001</v>
      </c>
      <c r="E83" s="3">
        <v>0.4244</v>
      </c>
      <c r="F83">
        <v>31</v>
      </c>
    </row>
    <row r="84" spans="1:6" x14ac:dyDescent="0.3">
      <c r="A84" s="3">
        <v>1988.8333333333501</v>
      </c>
      <c r="B84">
        <v>1988</v>
      </c>
      <c r="C84">
        <v>11</v>
      </c>
      <c r="D84" s="3">
        <v>28.30067</v>
      </c>
      <c r="E84" s="3">
        <v>0.42607</v>
      </c>
      <c r="F84">
        <v>30</v>
      </c>
    </row>
    <row r="85" spans="1:6" x14ac:dyDescent="0.3">
      <c r="A85" s="3">
        <v>1988.9166666666799</v>
      </c>
      <c r="B85">
        <v>1988</v>
      </c>
      <c r="C85">
        <v>12</v>
      </c>
      <c r="D85" s="3">
        <v>27.7971</v>
      </c>
      <c r="E85" s="3">
        <v>0.71177999999999997</v>
      </c>
      <c r="F85">
        <v>31</v>
      </c>
    </row>
    <row r="86" spans="1:6" x14ac:dyDescent="0.3">
      <c r="A86" s="3">
        <v>1989.00000000001</v>
      </c>
      <c r="B86">
        <v>1989</v>
      </c>
      <c r="C86">
        <v>1</v>
      </c>
      <c r="D86" s="3">
        <v>27.260970000000004</v>
      </c>
      <c r="E86" s="3">
        <v>0.34236</v>
      </c>
      <c r="F86">
        <v>31</v>
      </c>
    </row>
    <row r="87" spans="1:6" x14ac:dyDescent="0.3">
      <c r="A87" s="3">
        <v>1989.0833333333501</v>
      </c>
      <c r="B87">
        <v>1989</v>
      </c>
      <c r="C87">
        <v>2</v>
      </c>
      <c r="D87" s="3">
        <v>26.775360000000003</v>
      </c>
      <c r="E87" s="3">
        <v>0.23814000000000002</v>
      </c>
      <c r="F87">
        <v>28</v>
      </c>
    </row>
    <row r="88" spans="1:6" x14ac:dyDescent="0.3">
      <c r="A88" s="3">
        <v>1989.1666666666799</v>
      </c>
      <c r="B88">
        <v>1989</v>
      </c>
      <c r="C88">
        <v>3</v>
      </c>
      <c r="D88" s="3">
        <v>26.644189999999998</v>
      </c>
      <c r="E88" s="3">
        <v>0.2999</v>
      </c>
      <c r="F88">
        <v>31</v>
      </c>
    </row>
    <row r="89" spans="1:6" x14ac:dyDescent="0.3">
      <c r="A89" s="3">
        <v>1989.25000000001</v>
      </c>
      <c r="B89">
        <v>1989</v>
      </c>
      <c r="C89">
        <v>4</v>
      </c>
      <c r="D89" s="3">
        <v>26.436999999999998</v>
      </c>
      <c r="E89" s="3">
        <v>0.44186000000000003</v>
      </c>
      <c r="F89">
        <v>30</v>
      </c>
    </row>
    <row r="90" spans="1:6" x14ac:dyDescent="0.3">
      <c r="A90" s="3">
        <v>1989.3333333333501</v>
      </c>
      <c r="B90">
        <v>1989</v>
      </c>
      <c r="C90">
        <v>5</v>
      </c>
      <c r="D90" s="3">
        <v>27.638710000000003</v>
      </c>
      <c r="E90" s="3">
        <v>0.7127</v>
      </c>
      <c r="F90">
        <v>31</v>
      </c>
    </row>
    <row r="91" spans="1:6" x14ac:dyDescent="0.3">
      <c r="A91" s="3">
        <v>1989.4166666666799</v>
      </c>
      <c r="B91">
        <v>1989</v>
      </c>
      <c r="C91">
        <v>6</v>
      </c>
      <c r="D91" s="3">
        <v>28.437669999999997</v>
      </c>
      <c r="E91" s="3">
        <v>0.54308000000000001</v>
      </c>
      <c r="F91">
        <v>30</v>
      </c>
    </row>
    <row r="92" spans="1:6" x14ac:dyDescent="0.3">
      <c r="A92" s="3">
        <v>1989.50000000001</v>
      </c>
      <c r="B92">
        <v>1989</v>
      </c>
      <c r="C92">
        <v>7</v>
      </c>
      <c r="D92" s="3">
        <v>28.520320000000002</v>
      </c>
      <c r="E92" s="3">
        <v>0.59845999999999999</v>
      </c>
      <c r="F92">
        <v>31</v>
      </c>
    </row>
    <row r="93" spans="1:6" x14ac:dyDescent="0.3">
      <c r="A93" s="3">
        <v>1989.5833333333501</v>
      </c>
      <c r="B93">
        <v>1989</v>
      </c>
      <c r="C93">
        <v>8</v>
      </c>
      <c r="D93" s="3">
        <v>28.608710000000002</v>
      </c>
      <c r="E93" s="3">
        <v>0.49990000000000001</v>
      </c>
      <c r="F93">
        <v>31</v>
      </c>
    </row>
    <row r="94" spans="1:6" x14ac:dyDescent="0.3">
      <c r="A94" s="3">
        <v>1989.6666666666799</v>
      </c>
      <c r="B94">
        <v>1989</v>
      </c>
      <c r="C94">
        <v>9</v>
      </c>
      <c r="D94" s="3">
        <v>28.722669999999997</v>
      </c>
      <c r="E94" s="3">
        <v>0.72644999999999993</v>
      </c>
      <c r="F94">
        <v>30</v>
      </c>
    </row>
    <row r="95" spans="1:6" x14ac:dyDescent="0.3">
      <c r="A95" s="3">
        <v>1989.75000000001</v>
      </c>
      <c r="B95">
        <v>1989</v>
      </c>
      <c r="C95">
        <v>10</v>
      </c>
      <c r="D95" s="3">
        <v>28.3629</v>
      </c>
      <c r="E95" s="3">
        <v>0.45582</v>
      </c>
      <c r="F95">
        <v>31</v>
      </c>
    </row>
    <row r="96" spans="1:6" x14ac:dyDescent="0.3">
      <c r="A96" s="3">
        <v>1989.8333333333501</v>
      </c>
      <c r="B96">
        <v>1989</v>
      </c>
      <c r="C96">
        <v>11</v>
      </c>
      <c r="D96" s="3">
        <v>28.328330000000001</v>
      </c>
      <c r="E96" s="3">
        <v>0.5151</v>
      </c>
      <c r="F96">
        <v>30</v>
      </c>
    </row>
    <row r="97" spans="1:6" x14ac:dyDescent="0.3">
      <c r="A97" s="3">
        <v>1989.9166666666799</v>
      </c>
      <c r="B97">
        <v>1989</v>
      </c>
      <c r="C97">
        <v>12</v>
      </c>
      <c r="D97" s="3">
        <v>27.89161</v>
      </c>
      <c r="E97" s="3">
        <v>0.47243000000000002</v>
      </c>
      <c r="F97">
        <v>31</v>
      </c>
    </row>
    <row r="98" spans="1:6" x14ac:dyDescent="0.3">
      <c r="A98" s="3">
        <v>1990.00000000001</v>
      </c>
      <c r="B98">
        <v>1990</v>
      </c>
      <c r="C98">
        <v>1</v>
      </c>
      <c r="D98" s="3">
        <v>27.5229</v>
      </c>
      <c r="E98" s="3">
        <v>0.18518000000000001</v>
      </c>
      <c r="F98">
        <v>31</v>
      </c>
    </row>
    <row r="99" spans="1:6" x14ac:dyDescent="0.3">
      <c r="A99" s="3">
        <v>1990.0833333333501</v>
      </c>
      <c r="B99">
        <v>1990</v>
      </c>
      <c r="C99">
        <v>2</v>
      </c>
      <c r="D99" s="3">
        <v>26.846430000000002</v>
      </c>
      <c r="E99" s="3">
        <v>0.28632000000000002</v>
      </c>
      <c r="F99">
        <v>28</v>
      </c>
    </row>
    <row r="100" spans="1:6" x14ac:dyDescent="0.3">
      <c r="A100" s="3">
        <v>1990.1666666666799</v>
      </c>
      <c r="B100">
        <v>1990</v>
      </c>
      <c r="C100">
        <v>3</v>
      </c>
      <c r="D100" s="3">
        <v>26.558710000000001</v>
      </c>
      <c r="E100" s="3">
        <v>0.51084000000000007</v>
      </c>
      <c r="F100">
        <v>31</v>
      </c>
    </row>
    <row r="101" spans="1:6" x14ac:dyDescent="0.3">
      <c r="A101" s="3">
        <v>1990.25000000002</v>
      </c>
      <c r="B101">
        <v>1990</v>
      </c>
      <c r="C101">
        <v>4</v>
      </c>
      <c r="D101" s="3">
        <v>26.707330000000002</v>
      </c>
      <c r="E101" s="3">
        <v>0.33384999999999998</v>
      </c>
      <c r="F101">
        <v>30</v>
      </c>
    </row>
    <row r="102" spans="1:6" x14ac:dyDescent="0.3">
      <c r="A102" s="3">
        <v>1990.3333333333501</v>
      </c>
      <c r="B102">
        <v>1990</v>
      </c>
      <c r="C102">
        <v>5</v>
      </c>
      <c r="D102" s="3">
        <v>28.190650000000002</v>
      </c>
      <c r="E102" s="3">
        <v>0.62018000000000006</v>
      </c>
      <c r="F102">
        <v>31</v>
      </c>
    </row>
    <row r="103" spans="1:6" x14ac:dyDescent="0.3">
      <c r="A103" s="3">
        <v>1990.4166666666799</v>
      </c>
      <c r="B103">
        <v>1990</v>
      </c>
      <c r="C103">
        <v>6</v>
      </c>
      <c r="D103" s="3">
        <v>29.07133</v>
      </c>
      <c r="E103" s="3">
        <v>0.52310000000000001</v>
      </c>
      <c r="F103">
        <v>30</v>
      </c>
    </row>
    <row r="104" spans="1:6" x14ac:dyDescent="0.3">
      <c r="A104" s="3">
        <v>1990.50000000002</v>
      </c>
      <c r="B104">
        <v>1990</v>
      </c>
      <c r="C104">
        <v>7</v>
      </c>
      <c r="D104" s="3">
        <v>28.485479999999999</v>
      </c>
      <c r="E104" s="3">
        <v>0.38502000000000003</v>
      </c>
      <c r="F104">
        <v>31</v>
      </c>
    </row>
    <row r="105" spans="1:6" x14ac:dyDescent="0.3">
      <c r="A105" s="3">
        <v>1990.5833333333501</v>
      </c>
      <c r="B105">
        <v>1990</v>
      </c>
      <c r="C105">
        <v>8</v>
      </c>
      <c r="D105" s="3">
        <v>28.739350000000002</v>
      </c>
      <c r="E105" s="3">
        <v>0.46287</v>
      </c>
      <c r="F105">
        <v>31</v>
      </c>
    </row>
    <row r="106" spans="1:6" x14ac:dyDescent="0.3">
      <c r="A106" s="3">
        <v>1990.6666666666799</v>
      </c>
      <c r="B106">
        <v>1990</v>
      </c>
      <c r="C106">
        <v>9</v>
      </c>
      <c r="D106" s="3">
        <v>28.493670000000002</v>
      </c>
      <c r="E106" s="3">
        <v>0.40793999999999997</v>
      </c>
      <c r="F106">
        <v>30</v>
      </c>
    </row>
    <row r="107" spans="1:6" x14ac:dyDescent="0.3">
      <c r="A107" s="3">
        <v>1990.75000000002</v>
      </c>
      <c r="B107">
        <v>1990</v>
      </c>
      <c r="C107">
        <v>10</v>
      </c>
      <c r="D107" s="3">
        <v>28.713229999999999</v>
      </c>
      <c r="E107" s="3">
        <v>0.45030999999999999</v>
      </c>
      <c r="F107">
        <v>31</v>
      </c>
    </row>
    <row r="108" spans="1:6" x14ac:dyDescent="0.3">
      <c r="A108" s="3">
        <v>1990.8333333333501</v>
      </c>
      <c r="B108">
        <v>1990</v>
      </c>
      <c r="C108">
        <v>11</v>
      </c>
      <c r="D108" s="3">
        <v>28.407330000000002</v>
      </c>
      <c r="E108" s="3">
        <v>0.56132000000000004</v>
      </c>
      <c r="F108">
        <v>30</v>
      </c>
    </row>
    <row r="109" spans="1:6" x14ac:dyDescent="0.3">
      <c r="A109" s="3">
        <v>1990.9166666666799</v>
      </c>
      <c r="B109">
        <v>1990</v>
      </c>
      <c r="C109">
        <v>12</v>
      </c>
      <c r="D109" s="3">
        <v>28.14226</v>
      </c>
      <c r="E109" s="3">
        <v>0.41436999999999996</v>
      </c>
      <c r="F109">
        <v>31</v>
      </c>
    </row>
    <row r="110" spans="1:6" x14ac:dyDescent="0.3">
      <c r="A110" s="3">
        <v>1991.00000000002</v>
      </c>
      <c r="B110">
        <v>1991</v>
      </c>
      <c r="C110">
        <v>1</v>
      </c>
      <c r="D110" s="3">
        <v>27.55903</v>
      </c>
      <c r="E110" s="3">
        <v>0.43271999999999999</v>
      </c>
      <c r="F110">
        <v>31</v>
      </c>
    </row>
    <row r="111" spans="1:6" x14ac:dyDescent="0.3">
      <c r="A111" s="3">
        <v>1991.0833333333501</v>
      </c>
      <c r="B111">
        <v>1991</v>
      </c>
      <c r="C111">
        <v>2</v>
      </c>
      <c r="D111" s="3">
        <v>27.11964</v>
      </c>
      <c r="E111" s="3">
        <v>0.53878000000000004</v>
      </c>
      <c r="F111">
        <v>28</v>
      </c>
    </row>
    <row r="112" spans="1:6" x14ac:dyDescent="0.3">
      <c r="A112" s="3">
        <v>1991.1666666666799</v>
      </c>
      <c r="B112">
        <v>1991</v>
      </c>
      <c r="C112">
        <v>3</v>
      </c>
      <c r="D112" s="3">
        <v>27.212900000000001</v>
      </c>
      <c r="E112" s="3">
        <v>0.43734000000000001</v>
      </c>
      <c r="F112">
        <v>31</v>
      </c>
    </row>
    <row r="113" spans="1:6" x14ac:dyDescent="0.3">
      <c r="A113" s="3">
        <v>1991.25000000002</v>
      </c>
      <c r="B113">
        <v>1991</v>
      </c>
      <c r="C113">
        <v>4</v>
      </c>
      <c r="D113" s="3">
        <v>27.521000000000001</v>
      </c>
      <c r="E113" s="3">
        <v>0.48031000000000001</v>
      </c>
      <c r="F113">
        <v>30</v>
      </c>
    </row>
    <row r="114" spans="1:6" x14ac:dyDescent="0.3">
      <c r="A114" s="3">
        <v>1991.3333333333501</v>
      </c>
      <c r="B114">
        <v>1991</v>
      </c>
      <c r="C114">
        <v>5</v>
      </c>
      <c r="D114" s="3">
        <v>27.992260000000002</v>
      </c>
      <c r="E114" s="3">
        <v>0.41362000000000004</v>
      </c>
      <c r="F114">
        <v>31</v>
      </c>
    </row>
    <row r="115" spans="1:6" x14ac:dyDescent="0.3">
      <c r="A115" s="3">
        <v>1991.4166666666799</v>
      </c>
      <c r="B115">
        <v>1991</v>
      </c>
      <c r="C115">
        <v>6</v>
      </c>
      <c r="D115" s="3">
        <v>28.338670000000004</v>
      </c>
      <c r="E115" s="3">
        <v>0.28870000000000001</v>
      </c>
      <c r="F115">
        <v>30</v>
      </c>
    </row>
    <row r="116" spans="1:6" x14ac:dyDescent="0.3">
      <c r="A116" s="3">
        <v>1991.50000000002</v>
      </c>
      <c r="B116">
        <v>1991</v>
      </c>
      <c r="C116">
        <v>7</v>
      </c>
      <c r="D116" s="3">
        <v>28.76258</v>
      </c>
      <c r="E116" s="3">
        <v>0.54291</v>
      </c>
      <c r="F116">
        <v>31</v>
      </c>
    </row>
    <row r="117" spans="1:6" x14ac:dyDescent="0.3">
      <c r="A117" s="3">
        <v>1991.5833333333501</v>
      </c>
      <c r="B117">
        <v>1991</v>
      </c>
      <c r="C117">
        <v>8</v>
      </c>
      <c r="D117" s="3">
        <v>28.761939999999999</v>
      </c>
      <c r="E117" s="3">
        <v>0.47619</v>
      </c>
      <c r="F117">
        <v>31</v>
      </c>
    </row>
    <row r="118" spans="1:6" x14ac:dyDescent="0.3">
      <c r="A118" s="3">
        <v>1991.6666666666799</v>
      </c>
      <c r="B118">
        <v>1991</v>
      </c>
      <c r="C118">
        <v>9</v>
      </c>
      <c r="D118" s="3">
        <v>28.623330000000003</v>
      </c>
      <c r="E118" s="3">
        <v>0.27424999999999999</v>
      </c>
      <c r="F118">
        <v>30</v>
      </c>
    </row>
    <row r="119" spans="1:6" x14ac:dyDescent="0.3">
      <c r="A119" s="3">
        <v>1991.75000000002</v>
      </c>
      <c r="B119">
        <v>1991</v>
      </c>
      <c r="C119">
        <v>10</v>
      </c>
      <c r="D119" s="3">
        <v>28.935479999999998</v>
      </c>
      <c r="E119" s="3">
        <v>0.27568000000000004</v>
      </c>
      <c r="F119">
        <v>31</v>
      </c>
    </row>
    <row r="120" spans="1:6" x14ac:dyDescent="0.3">
      <c r="A120" s="3">
        <v>1991.8333333333501</v>
      </c>
      <c r="B120">
        <v>1991</v>
      </c>
      <c r="C120">
        <v>11</v>
      </c>
      <c r="D120" s="3">
        <v>28.420999999999999</v>
      </c>
      <c r="E120" s="3">
        <v>0.49350000000000005</v>
      </c>
      <c r="F120">
        <v>30</v>
      </c>
    </row>
    <row r="121" spans="1:6" x14ac:dyDescent="0.3">
      <c r="A121" s="3">
        <v>1991.9166666666799</v>
      </c>
      <c r="B121">
        <v>1991</v>
      </c>
      <c r="C121">
        <v>12</v>
      </c>
      <c r="D121" s="3">
        <v>27.549029999999998</v>
      </c>
      <c r="E121" s="3">
        <v>1.0541800000000001</v>
      </c>
      <c r="F121">
        <v>31</v>
      </c>
    </row>
    <row r="122" spans="1:6" x14ac:dyDescent="0.3">
      <c r="A122" s="3">
        <v>1992.00000000002</v>
      </c>
      <c r="B122">
        <v>1992</v>
      </c>
      <c r="C122">
        <v>1</v>
      </c>
      <c r="D122" s="3">
        <v>26.542899999999999</v>
      </c>
      <c r="E122" s="3">
        <v>0.40649000000000002</v>
      </c>
      <c r="F122">
        <v>31</v>
      </c>
    </row>
    <row r="123" spans="1:6" x14ac:dyDescent="0.3">
      <c r="A123" s="3">
        <v>1992.0833333333501</v>
      </c>
      <c r="B123">
        <v>1992</v>
      </c>
      <c r="C123">
        <v>2</v>
      </c>
      <c r="D123" s="3">
        <v>26.565859999999997</v>
      </c>
      <c r="E123" s="3">
        <v>0.44384000000000001</v>
      </c>
      <c r="F123">
        <v>29</v>
      </c>
    </row>
    <row r="124" spans="1:6" x14ac:dyDescent="0.3">
      <c r="A124" s="3">
        <v>1992.1666666666899</v>
      </c>
      <c r="B124">
        <v>1992</v>
      </c>
      <c r="C124">
        <v>3</v>
      </c>
      <c r="D124" s="3">
        <v>26.053229999999999</v>
      </c>
      <c r="E124" s="3">
        <v>0.35039999999999999</v>
      </c>
      <c r="F124">
        <v>31</v>
      </c>
    </row>
    <row r="125" spans="1:6" x14ac:dyDescent="0.3">
      <c r="A125" s="3">
        <v>1992.25000000002</v>
      </c>
      <c r="B125">
        <v>1992</v>
      </c>
      <c r="C125">
        <v>4</v>
      </c>
      <c r="D125" s="3">
        <v>27.181000000000001</v>
      </c>
      <c r="E125" s="3">
        <v>0.43067</v>
      </c>
      <c r="F125">
        <v>30</v>
      </c>
    </row>
    <row r="126" spans="1:6" x14ac:dyDescent="0.3">
      <c r="A126" s="3">
        <v>1992.3333333333501</v>
      </c>
      <c r="B126">
        <v>1992</v>
      </c>
      <c r="C126">
        <v>5</v>
      </c>
      <c r="D126" s="3">
        <v>27.697100000000002</v>
      </c>
      <c r="E126" s="3">
        <v>0.65617000000000003</v>
      </c>
      <c r="F126">
        <v>31</v>
      </c>
    </row>
    <row r="127" spans="1:6" x14ac:dyDescent="0.3">
      <c r="A127" s="3">
        <v>1992.4166666666899</v>
      </c>
      <c r="B127">
        <v>1992</v>
      </c>
      <c r="C127">
        <v>6</v>
      </c>
      <c r="D127" s="3">
        <v>29.483000000000004</v>
      </c>
      <c r="E127" s="3">
        <v>0.7583700000000001</v>
      </c>
      <c r="F127">
        <v>30</v>
      </c>
    </row>
    <row r="128" spans="1:6" x14ac:dyDescent="0.3">
      <c r="A128" s="3">
        <v>1992.50000000002</v>
      </c>
      <c r="B128">
        <v>1992</v>
      </c>
      <c r="C128">
        <v>7</v>
      </c>
      <c r="D128" s="3">
        <v>29.156129999999997</v>
      </c>
      <c r="E128" s="3">
        <v>0.63078000000000001</v>
      </c>
      <c r="F128">
        <v>31</v>
      </c>
    </row>
    <row r="129" spans="1:6" x14ac:dyDescent="0.3">
      <c r="A129" s="3">
        <v>1992.5833333333501</v>
      </c>
      <c r="B129">
        <v>1992</v>
      </c>
      <c r="C129">
        <v>8</v>
      </c>
      <c r="D129" s="3">
        <v>28.817740000000001</v>
      </c>
      <c r="E129" s="3">
        <v>0.33388000000000001</v>
      </c>
      <c r="F129">
        <v>31</v>
      </c>
    </row>
    <row r="130" spans="1:6" x14ac:dyDescent="0.3">
      <c r="A130" s="3">
        <v>1992.6666666666899</v>
      </c>
      <c r="B130">
        <v>1992</v>
      </c>
      <c r="C130">
        <v>9</v>
      </c>
      <c r="D130" s="3">
        <v>28.773670000000003</v>
      </c>
      <c r="E130" s="3">
        <v>0.43481999999999998</v>
      </c>
      <c r="F130">
        <v>30</v>
      </c>
    </row>
    <row r="131" spans="1:6" x14ac:dyDescent="0.3">
      <c r="A131" s="3">
        <v>1992.75000000002</v>
      </c>
      <c r="B131">
        <v>1992</v>
      </c>
      <c r="C131">
        <v>10</v>
      </c>
      <c r="D131" s="3">
        <v>28.604189999999999</v>
      </c>
      <c r="E131" s="3">
        <v>0.35722000000000004</v>
      </c>
      <c r="F131">
        <v>31</v>
      </c>
    </row>
    <row r="132" spans="1:6" x14ac:dyDescent="0.3">
      <c r="A132" s="3">
        <v>1992.8333333333501</v>
      </c>
      <c r="B132">
        <v>1992</v>
      </c>
      <c r="C132">
        <v>11</v>
      </c>
      <c r="D132" s="3">
        <v>28.003330000000002</v>
      </c>
      <c r="E132" s="3">
        <v>0.35226000000000002</v>
      </c>
      <c r="F132">
        <v>30</v>
      </c>
    </row>
    <row r="133" spans="1:6" x14ac:dyDescent="0.3">
      <c r="A133" s="3">
        <v>1992.9166666666899</v>
      </c>
      <c r="B133">
        <v>1992</v>
      </c>
      <c r="C133">
        <v>12</v>
      </c>
      <c r="D133" s="3">
        <v>27.974520000000002</v>
      </c>
      <c r="E133" s="3">
        <v>0.64302999999999999</v>
      </c>
      <c r="F133">
        <v>31</v>
      </c>
    </row>
    <row r="134" spans="1:6" x14ac:dyDescent="0.3">
      <c r="A134" s="3">
        <v>1993.00000000002</v>
      </c>
      <c r="B134">
        <v>1993</v>
      </c>
      <c r="C134">
        <v>1</v>
      </c>
      <c r="D134" s="3">
        <v>27.663870000000003</v>
      </c>
      <c r="E134" s="3">
        <v>0.38579000000000002</v>
      </c>
      <c r="F134">
        <v>31</v>
      </c>
    </row>
    <row r="135" spans="1:6" x14ac:dyDescent="0.3">
      <c r="A135" s="3">
        <v>1993.0833333333501</v>
      </c>
      <c r="B135">
        <v>1993</v>
      </c>
      <c r="C135">
        <v>2</v>
      </c>
      <c r="D135" s="3">
        <v>26.991790000000002</v>
      </c>
      <c r="E135" s="3">
        <v>0.39002000000000003</v>
      </c>
      <c r="F135">
        <v>28</v>
      </c>
    </row>
    <row r="136" spans="1:6" x14ac:dyDescent="0.3">
      <c r="A136" s="3">
        <v>1993.1666666666899</v>
      </c>
      <c r="B136">
        <v>1993</v>
      </c>
      <c r="C136">
        <v>3</v>
      </c>
      <c r="D136" s="3">
        <v>27.30613</v>
      </c>
      <c r="E136" s="3">
        <v>0.34509000000000001</v>
      </c>
      <c r="F136">
        <v>31</v>
      </c>
    </row>
    <row r="137" spans="1:6" x14ac:dyDescent="0.3">
      <c r="A137" s="3">
        <v>1993.25000000002</v>
      </c>
      <c r="B137">
        <v>1993</v>
      </c>
      <c r="C137">
        <v>4</v>
      </c>
      <c r="D137" s="3">
        <v>27.44267</v>
      </c>
      <c r="E137" s="3">
        <v>0.68322000000000005</v>
      </c>
      <c r="F137">
        <v>30</v>
      </c>
    </row>
    <row r="138" spans="1:6" x14ac:dyDescent="0.3">
      <c r="A138" s="3">
        <v>1993.3333333333501</v>
      </c>
      <c r="B138">
        <v>1993</v>
      </c>
      <c r="C138">
        <v>5</v>
      </c>
      <c r="D138" s="3">
        <v>28.87161</v>
      </c>
      <c r="E138" s="3">
        <v>0.60472000000000004</v>
      </c>
      <c r="F138">
        <v>31</v>
      </c>
    </row>
    <row r="139" spans="1:6" x14ac:dyDescent="0.3">
      <c r="A139" s="3">
        <v>1993.4166666666899</v>
      </c>
      <c r="B139">
        <v>1993</v>
      </c>
      <c r="C139">
        <v>6</v>
      </c>
      <c r="D139" s="3">
        <v>29.524329999999999</v>
      </c>
      <c r="E139" s="3">
        <v>0.40164</v>
      </c>
      <c r="F139">
        <v>30</v>
      </c>
    </row>
    <row r="140" spans="1:6" x14ac:dyDescent="0.3">
      <c r="A140" s="3">
        <v>1993.50000000002</v>
      </c>
      <c r="B140">
        <v>1993</v>
      </c>
      <c r="C140">
        <v>7</v>
      </c>
      <c r="D140" s="3">
        <v>29.45</v>
      </c>
      <c r="E140" s="3">
        <v>0.40765000000000001</v>
      </c>
      <c r="F140">
        <v>31</v>
      </c>
    </row>
    <row r="141" spans="1:6" x14ac:dyDescent="0.3">
      <c r="A141" s="3">
        <v>1993.5833333333501</v>
      </c>
      <c r="B141">
        <v>1993</v>
      </c>
      <c r="C141">
        <v>8</v>
      </c>
      <c r="D141" s="3">
        <v>29.194189999999999</v>
      </c>
      <c r="E141" s="3">
        <v>0.48635</v>
      </c>
      <c r="F141">
        <v>31</v>
      </c>
    </row>
    <row r="142" spans="1:6" x14ac:dyDescent="0.3">
      <c r="A142" s="3">
        <v>1993.6666666666899</v>
      </c>
      <c r="B142">
        <v>1993</v>
      </c>
      <c r="C142">
        <v>9</v>
      </c>
      <c r="D142" s="3">
        <v>28.497</v>
      </c>
      <c r="E142" s="3">
        <v>0.31368000000000001</v>
      </c>
      <c r="F142">
        <v>30</v>
      </c>
    </row>
    <row r="143" spans="1:6" x14ac:dyDescent="0.3">
      <c r="A143" s="3">
        <v>1993.75000000002</v>
      </c>
      <c r="B143">
        <v>1993</v>
      </c>
      <c r="C143">
        <v>10</v>
      </c>
      <c r="D143" s="3">
        <v>28.778390000000002</v>
      </c>
      <c r="E143" s="3">
        <v>0.42043999999999998</v>
      </c>
      <c r="F143">
        <v>31</v>
      </c>
    </row>
    <row r="144" spans="1:6" x14ac:dyDescent="0.3">
      <c r="A144" s="3">
        <v>1993.8333333333501</v>
      </c>
      <c r="B144">
        <v>1993</v>
      </c>
      <c r="C144">
        <v>11</v>
      </c>
      <c r="D144" s="3">
        <v>28.491329999999998</v>
      </c>
      <c r="E144" s="3">
        <v>0.30921999999999999</v>
      </c>
      <c r="F144">
        <v>30</v>
      </c>
    </row>
    <row r="145" spans="1:6" x14ac:dyDescent="0.3">
      <c r="A145" s="3">
        <v>1993.9166666666899</v>
      </c>
      <c r="B145">
        <v>1993</v>
      </c>
      <c r="C145">
        <v>12</v>
      </c>
      <c r="D145" s="3">
        <v>28.167420000000003</v>
      </c>
      <c r="E145" s="3">
        <v>0.18643000000000001</v>
      </c>
      <c r="F145">
        <v>31</v>
      </c>
    </row>
    <row r="146" spans="1:6" x14ac:dyDescent="0.3">
      <c r="A146" s="3">
        <v>1994.00000000002</v>
      </c>
      <c r="B146">
        <v>1994</v>
      </c>
      <c r="C146">
        <v>1</v>
      </c>
      <c r="D146" s="3">
        <v>27.640970000000003</v>
      </c>
      <c r="E146" s="3">
        <v>0.37186000000000002</v>
      </c>
      <c r="F146">
        <v>31</v>
      </c>
    </row>
    <row r="147" spans="1:6" x14ac:dyDescent="0.3">
      <c r="A147" s="3">
        <v>1994.0833333333601</v>
      </c>
      <c r="B147">
        <v>1994</v>
      </c>
      <c r="C147">
        <v>2</v>
      </c>
      <c r="D147" s="3">
        <v>26.85</v>
      </c>
      <c r="E147" s="3">
        <v>0.44414000000000003</v>
      </c>
      <c r="F147">
        <v>28</v>
      </c>
    </row>
    <row r="148" spans="1:6" x14ac:dyDescent="0.3">
      <c r="A148" s="3">
        <v>1994.1666666666899</v>
      </c>
      <c r="B148">
        <v>1994</v>
      </c>
      <c r="C148">
        <v>3</v>
      </c>
      <c r="D148" s="3">
        <v>26.632260000000002</v>
      </c>
      <c r="E148" s="3">
        <v>0.38601000000000002</v>
      </c>
      <c r="F148">
        <v>31</v>
      </c>
    </row>
    <row r="149" spans="1:6" x14ac:dyDescent="0.3">
      <c r="A149" s="3">
        <v>1994.25000000002</v>
      </c>
      <c r="B149">
        <v>1994</v>
      </c>
      <c r="C149">
        <v>4</v>
      </c>
      <c r="D149" s="3">
        <v>27.125</v>
      </c>
      <c r="E149" s="3">
        <v>0.66322999999999999</v>
      </c>
      <c r="F149">
        <v>30</v>
      </c>
    </row>
    <row r="150" spans="1:6" x14ac:dyDescent="0.3">
      <c r="A150" s="3">
        <v>1994.3333333333601</v>
      </c>
      <c r="B150">
        <v>1994</v>
      </c>
      <c r="C150">
        <v>5</v>
      </c>
      <c r="D150" s="3">
        <v>28.236129999999999</v>
      </c>
      <c r="E150" s="3">
        <v>0.58767999999999998</v>
      </c>
      <c r="F150">
        <v>31</v>
      </c>
    </row>
    <row r="151" spans="1:6" x14ac:dyDescent="0.3">
      <c r="A151" s="3">
        <v>1994.4166666666899</v>
      </c>
      <c r="B151">
        <v>1994</v>
      </c>
      <c r="C151">
        <v>6</v>
      </c>
      <c r="D151" s="3">
        <v>28.766999999999999</v>
      </c>
      <c r="E151" s="3">
        <v>0.46411000000000002</v>
      </c>
      <c r="F151">
        <v>30</v>
      </c>
    </row>
    <row r="152" spans="1:6" x14ac:dyDescent="0.3">
      <c r="A152" s="3">
        <v>1994.50000000002</v>
      </c>
      <c r="B152">
        <v>1994</v>
      </c>
      <c r="C152">
        <v>7</v>
      </c>
      <c r="D152" s="3">
        <v>28.987420000000004</v>
      </c>
      <c r="E152" s="3">
        <v>0.41854999999999998</v>
      </c>
      <c r="F152">
        <v>31</v>
      </c>
    </row>
    <row r="153" spans="1:6" x14ac:dyDescent="0.3">
      <c r="A153" s="3">
        <v>1994.5833333333601</v>
      </c>
      <c r="B153">
        <v>1994</v>
      </c>
      <c r="C153">
        <v>8</v>
      </c>
      <c r="D153" s="3">
        <v>29.002579999999998</v>
      </c>
      <c r="E153" s="3">
        <v>0.38356000000000001</v>
      </c>
      <c r="F153">
        <v>31</v>
      </c>
    </row>
    <row r="154" spans="1:6" x14ac:dyDescent="0.3">
      <c r="A154" s="3">
        <v>1994.6666666666899</v>
      </c>
      <c r="B154">
        <v>1994</v>
      </c>
      <c r="C154">
        <v>9</v>
      </c>
      <c r="D154" s="3">
        <v>28.774329999999999</v>
      </c>
      <c r="E154" s="3">
        <v>0.59615000000000007</v>
      </c>
      <c r="F154">
        <v>30</v>
      </c>
    </row>
    <row r="155" spans="1:6" x14ac:dyDescent="0.3">
      <c r="A155" s="3">
        <v>1994.75000000002</v>
      </c>
      <c r="B155">
        <v>1994</v>
      </c>
      <c r="C155">
        <v>10</v>
      </c>
      <c r="D155" s="3">
        <v>28.615160000000003</v>
      </c>
      <c r="E155" s="3">
        <v>0.28100000000000003</v>
      </c>
      <c r="F155">
        <v>31</v>
      </c>
    </row>
    <row r="156" spans="1:6" x14ac:dyDescent="0.3">
      <c r="A156" s="3">
        <v>1994.8333333333601</v>
      </c>
      <c r="B156">
        <v>1994</v>
      </c>
      <c r="C156">
        <v>11</v>
      </c>
      <c r="D156" s="3">
        <v>28.445</v>
      </c>
      <c r="E156" s="3">
        <v>0.36784</v>
      </c>
      <c r="F156">
        <v>30</v>
      </c>
    </row>
    <row r="157" spans="1:6" x14ac:dyDescent="0.3">
      <c r="A157" s="3">
        <v>1994.9166666666899</v>
      </c>
      <c r="B157">
        <v>1994</v>
      </c>
      <c r="C157">
        <v>12</v>
      </c>
      <c r="D157" s="3">
        <v>27.98226</v>
      </c>
      <c r="E157" s="3">
        <v>0.50546000000000002</v>
      </c>
      <c r="F157">
        <v>31</v>
      </c>
    </row>
    <row r="158" spans="1:6" x14ac:dyDescent="0.3">
      <c r="A158" s="3">
        <v>1995.00000000002</v>
      </c>
      <c r="B158">
        <v>1995</v>
      </c>
      <c r="C158">
        <v>1</v>
      </c>
      <c r="D158" s="3">
        <v>27.728390000000001</v>
      </c>
      <c r="E158" s="3">
        <v>0.24388000000000001</v>
      </c>
      <c r="F158">
        <v>31</v>
      </c>
    </row>
    <row r="159" spans="1:6" x14ac:dyDescent="0.3">
      <c r="A159" s="3">
        <v>1995.0833333333601</v>
      </c>
      <c r="B159">
        <v>1995</v>
      </c>
      <c r="C159">
        <v>2</v>
      </c>
      <c r="D159" s="3">
        <v>27.11964</v>
      </c>
      <c r="E159" s="3">
        <v>0.34164</v>
      </c>
      <c r="F159">
        <v>28</v>
      </c>
    </row>
    <row r="160" spans="1:6" x14ac:dyDescent="0.3">
      <c r="A160" s="3">
        <v>1995.1666666666899</v>
      </c>
      <c r="B160">
        <v>1995</v>
      </c>
      <c r="C160">
        <v>3</v>
      </c>
      <c r="D160" s="3">
        <v>27.349350000000001</v>
      </c>
      <c r="E160" s="3">
        <v>0.44496000000000002</v>
      </c>
      <c r="F160">
        <v>31</v>
      </c>
    </row>
    <row r="161" spans="1:6" x14ac:dyDescent="0.3">
      <c r="A161" s="3">
        <v>1995.25000000002</v>
      </c>
      <c r="B161">
        <v>1995</v>
      </c>
      <c r="C161">
        <v>4</v>
      </c>
      <c r="D161" s="3">
        <v>27.800329999999999</v>
      </c>
      <c r="E161" s="3">
        <v>0.44630999999999998</v>
      </c>
      <c r="F161">
        <v>30</v>
      </c>
    </row>
    <row r="162" spans="1:6" x14ac:dyDescent="0.3">
      <c r="A162" s="3">
        <v>1995.3333333333601</v>
      </c>
      <c r="B162">
        <v>1995</v>
      </c>
      <c r="C162">
        <v>5</v>
      </c>
      <c r="D162" s="3">
        <v>29.055810000000001</v>
      </c>
      <c r="E162" s="3">
        <v>0.63503999999999994</v>
      </c>
      <c r="F162">
        <v>31</v>
      </c>
    </row>
    <row r="163" spans="1:6" x14ac:dyDescent="0.3">
      <c r="A163" s="3">
        <v>1995.4166666666899</v>
      </c>
      <c r="B163">
        <v>1995</v>
      </c>
      <c r="C163">
        <v>6</v>
      </c>
      <c r="D163" s="3">
        <v>29.480329999999999</v>
      </c>
      <c r="E163" s="3">
        <v>0.70385000000000009</v>
      </c>
      <c r="F163">
        <v>30</v>
      </c>
    </row>
    <row r="164" spans="1:6" x14ac:dyDescent="0.3">
      <c r="A164" s="3">
        <v>1995.50000000002</v>
      </c>
      <c r="B164">
        <v>1995</v>
      </c>
      <c r="C164">
        <v>7</v>
      </c>
      <c r="D164" s="3">
        <v>29.769029999999997</v>
      </c>
      <c r="E164" s="3">
        <v>0.69141999999999992</v>
      </c>
      <c r="F164">
        <v>31</v>
      </c>
    </row>
    <row r="165" spans="1:6" x14ac:dyDescent="0.3">
      <c r="A165" s="3">
        <v>1995.5833333333601</v>
      </c>
      <c r="B165">
        <v>1995</v>
      </c>
      <c r="C165">
        <v>8</v>
      </c>
      <c r="D165" s="3">
        <v>29.150650000000002</v>
      </c>
      <c r="E165" s="3">
        <v>0.44711000000000001</v>
      </c>
      <c r="F165">
        <v>31</v>
      </c>
    </row>
    <row r="166" spans="1:6" x14ac:dyDescent="0.3">
      <c r="A166" s="3">
        <v>1995.6666666666899</v>
      </c>
      <c r="B166">
        <v>1995</v>
      </c>
      <c r="C166">
        <v>9</v>
      </c>
      <c r="D166" s="3">
        <v>29.053000000000001</v>
      </c>
      <c r="E166" s="3">
        <v>0.76025999999999994</v>
      </c>
      <c r="F166">
        <v>30</v>
      </c>
    </row>
    <row r="167" spans="1:6" x14ac:dyDescent="0.3">
      <c r="A167" s="3">
        <v>1995.75000000003</v>
      </c>
      <c r="B167">
        <v>1995</v>
      </c>
      <c r="C167">
        <v>10</v>
      </c>
      <c r="D167" s="3">
        <v>28.94323</v>
      </c>
      <c r="E167" s="3">
        <v>0.52270000000000005</v>
      </c>
      <c r="F167">
        <v>31</v>
      </c>
    </row>
    <row r="168" spans="1:6" x14ac:dyDescent="0.3">
      <c r="A168" s="3">
        <v>1995.8333333333601</v>
      </c>
      <c r="B168">
        <v>1995</v>
      </c>
      <c r="C168">
        <v>11</v>
      </c>
      <c r="D168" s="3">
        <v>29.323330000000002</v>
      </c>
      <c r="E168" s="3">
        <v>0.41411000000000003</v>
      </c>
      <c r="F168">
        <v>30</v>
      </c>
    </row>
    <row r="169" spans="1:6" x14ac:dyDescent="0.3">
      <c r="A169" s="3">
        <v>1995.9166666666899</v>
      </c>
      <c r="B169">
        <v>1995</v>
      </c>
      <c r="C169">
        <v>12</v>
      </c>
      <c r="D169" s="3">
        <v>28.746770000000001</v>
      </c>
      <c r="E169" s="3">
        <v>0.38969000000000004</v>
      </c>
      <c r="F169">
        <v>31</v>
      </c>
    </row>
    <row r="170" spans="1:6" x14ac:dyDescent="0.3">
      <c r="A170" s="3">
        <v>1996.00000000003</v>
      </c>
      <c r="B170">
        <v>1996</v>
      </c>
      <c r="C170">
        <v>1</v>
      </c>
      <c r="D170" s="3">
        <v>28.14</v>
      </c>
      <c r="E170" s="3">
        <v>0.55713999999999997</v>
      </c>
      <c r="F170">
        <v>31</v>
      </c>
    </row>
    <row r="171" spans="1:6" x14ac:dyDescent="0.3">
      <c r="A171" s="3">
        <v>1996.0833333333601</v>
      </c>
      <c r="B171">
        <v>1996</v>
      </c>
      <c r="C171">
        <v>2</v>
      </c>
      <c r="D171" s="3">
        <v>27.3569</v>
      </c>
      <c r="E171" s="3">
        <v>0.28452000000000005</v>
      </c>
      <c r="F171">
        <v>29</v>
      </c>
    </row>
    <row r="172" spans="1:6" x14ac:dyDescent="0.3">
      <c r="A172" s="3">
        <v>1996.1666666666899</v>
      </c>
      <c r="B172">
        <v>1996</v>
      </c>
      <c r="C172">
        <v>3</v>
      </c>
      <c r="D172" s="3">
        <v>27.173550000000002</v>
      </c>
      <c r="E172" s="3">
        <v>0.45337000000000005</v>
      </c>
      <c r="F172">
        <v>31</v>
      </c>
    </row>
    <row r="173" spans="1:6" x14ac:dyDescent="0.3">
      <c r="A173" s="3">
        <v>1996.25000000003</v>
      </c>
      <c r="B173">
        <v>1996</v>
      </c>
      <c r="C173">
        <v>4</v>
      </c>
      <c r="D173" s="3">
        <v>27.180669999999999</v>
      </c>
      <c r="E173" s="3">
        <v>0.33707000000000004</v>
      </c>
      <c r="F173">
        <v>30</v>
      </c>
    </row>
    <row r="174" spans="1:6" x14ac:dyDescent="0.3">
      <c r="A174" s="3">
        <v>1996.3333333333601</v>
      </c>
      <c r="B174">
        <v>1996</v>
      </c>
      <c r="C174">
        <v>5</v>
      </c>
      <c r="D174" s="3">
        <v>28.7271</v>
      </c>
      <c r="E174" s="3">
        <v>0.45582</v>
      </c>
      <c r="F174">
        <v>31</v>
      </c>
    </row>
    <row r="175" spans="1:6" x14ac:dyDescent="0.3">
      <c r="A175" s="3">
        <v>1996.4166666666899</v>
      </c>
      <c r="B175">
        <v>1996</v>
      </c>
      <c r="C175">
        <v>6</v>
      </c>
      <c r="D175" s="3">
        <v>28.75</v>
      </c>
      <c r="E175" s="3">
        <v>0.44612000000000002</v>
      </c>
      <c r="F175">
        <v>30</v>
      </c>
    </row>
    <row r="176" spans="1:6" x14ac:dyDescent="0.3">
      <c r="A176" s="3">
        <v>1996.50000000003</v>
      </c>
      <c r="B176">
        <v>1996</v>
      </c>
      <c r="C176">
        <v>7</v>
      </c>
      <c r="D176" s="3">
        <v>28.91065</v>
      </c>
      <c r="E176" s="3">
        <v>0.66793999999999998</v>
      </c>
      <c r="F176">
        <v>31</v>
      </c>
    </row>
    <row r="177" spans="1:6" x14ac:dyDescent="0.3">
      <c r="A177" s="3">
        <v>1996.5833333333601</v>
      </c>
      <c r="B177">
        <v>1996</v>
      </c>
      <c r="C177">
        <v>8</v>
      </c>
      <c r="D177" s="3">
        <v>29.132260000000002</v>
      </c>
      <c r="E177" s="3">
        <v>0.36531999999999998</v>
      </c>
      <c r="F177">
        <v>31</v>
      </c>
    </row>
    <row r="178" spans="1:6" x14ac:dyDescent="0.3">
      <c r="A178" s="3">
        <v>1996.6666666666899</v>
      </c>
      <c r="B178">
        <v>1996</v>
      </c>
      <c r="C178">
        <v>9</v>
      </c>
      <c r="D178" s="3">
        <v>29.022669999999998</v>
      </c>
      <c r="E178" s="3">
        <v>0.42820000000000003</v>
      </c>
      <c r="F178">
        <v>30</v>
      </c>
    </row>
    <row r="179" spans="1:6" x14ac:dyDescent="0.3">
      <c r="A179" s="3">
        <v>1996.75000000003</v>
      </c>
      <c r="B179">
        <v>1996</v>
      </c>
      <c r="C179">
        <v>10</v>
      </c>
      <c r="D179" s="3">
        <v>28.423870000000001</v>
      </c>
      <c r="E179" s="3">
        <v>0.87548000000000004</v>
      </c>
      <c r="F179">
        <v>31</v>
      </c>
    </row>
    <row r="180" spans="1:6" x14ac:dyDescent="0.3">
      <c r="A180" s="3">
        <v>1996.8333333333601</v>
      </c>
      <c r="B180">
        <v>1996</v>
      </c>
      <c r="C180">
        <v>11</v>
      </c>
      <c r="D180" s="3">
        <v>28.671329999999998</v>
      </c>
      <c r="E180" s="3">
        <v>0.57028000000000001</v>
      </c>
      <c r="F180">
        <v>30</v>
      </c>
    </row>
    <row r="181" spans="1:6" x14ac:dyDescent="0.3">
      <c r="A181" s="3">
        <v>1996.9166666666899</v>
      </c>
      <c r="B181">
        <v>1996</v>
      </c>
      <c r="C181">
        <v>12</v>
      </c>
      <c r="D181" s="3">
        <v>27.789349999999999</v>
      </c>
      <c r="E181" s="3">
        <v>0.38792000000000004</v>
      </c>
      <c r="F181">
        <v>31</v>
      </c>
    </row>
    <row r="182" spans="1:6" x14ac:dyDescent="0.3">
      <c r="A182" s="3">
        <v>1997.00000000003</v>
      </c>
      <c r="B182">
        <v>1997</v>
      </c>
      <c r="C182">
        <v>1</v>
      </c>
      <c r="D182" s="3">
        <v>26.929029999999997</v>
      </c>
      <c r="E182" s="3">
        <v>0.61216999999999999</v>
      </c>
      <c r="F182">
        <v>31</v>
      </c>
    </row>
    <row r="183" spans="1:6" x14ac:dyDescent="0.3">
      <c r="A183" s="3">
        <v>1997.0833333333601</v>
      </c>
      <c r="B183">
        <v>1997</v>
      </c>
      <c r="C183">
        <v>2</v>
      </c>
      <c r="D183" s="3">
        <v>27.389290000000003</v>
      </c>
      <c r="E183" s="3">
        <v>0.30864999999999998</v>
      </c>
      <c r="F183">
        <v>28</v>
      </c>
    </row>
    <row r="184" spans="1:6" x14ac:dyDescent="0.3">
      <c r="A184" s="3">
        <v>1997.1666666666899</v>
      </c>
      <c r="B184">
        <v>1997</v>
      </c>
      <c r="C184">
        <v>3</v>
      </c>
      <c r="D184" s="3">
        <v>27.02516</v>
      </c>
      <c r="E184" s="3">
        <v>0.31723000000000001</v>
      </c>
      <c r="F184">
        <v>31</v>
      </c>
    </row>
    <row r="185" spans="1:6" x14ac:dyDescent="0.3">
      <c r="A185" s="3">
        <v>1997.25000000003</v>
      </c>
      <c r="B185">
        <v>1997</v>
      </c>
      <c r="C185">
        <v>4</v>
      </c>
      <c r="D185" s="3">
        <v>27.13167</v>
      </c>
      <c r="E185" s="3">
        <v>0.72963999999999996</v>
      </c>
      <c r="F185">
        <v>30</v>
      </c>
    </row>
    <row r="186" spans="1:6" x14ac:dyDescent="0.3">
      <c r="A186" s="3">
        <v>1997.3333333333601</v>
      </c>
      <c r="B186">
        <v>1997</v>
      </c>
      <c r="C186">
        <v>5</v>
      </c>
      <c r="D186" s="3">
        <v>27.676130000000001</v>
      </c>
      <c r="E186" s="3">
        <v>0.51995000000000002</v>
      </c>
      <c r="F186">
        <v>31</v>
      </c>
    </row>
    <row r="187" spans="1:6" x14ac:dyDescent="0.3">
      <c r="A187" s="3">
        <v>1997.4166666666899</v>
      </c>
      <c r="B187">
        <v>1997</v>
      </c>
      <c r="C187">
        <v>6</v>
      </c>
      <c r="D187" s="3">
        <v>29.333000000000002</v>
      </c>
      <c r="E187" s="3">
        <v>0.42369000000000001</v>
      </c>
      <c r="F187">
        <v>30</v>
      </c>
    </row>
    <row r="188" spans="1:6" x14ac:dyDescent="0.3">
      <c r="A188" s="3">
        <v>1997.50000000003</v>
      </c>
      <c r="B188">
        <v>1997</v>
      </c>
      <c r="C188">
        <v>7</v>
      </c>
      <c r="D188" s="3">
        <v>29.433229999999998</v>
      </c>
      <c r="E188" s="3">
        <v>0.46409</v>
      </c>
      <c r="F188">
        <v>31</v>
      </c>
    </row>
    <row r="189" spans="1:6" x14ac:dyDescent="0.3">
      <c r="A189" s="3">
        <v>1997.5833333333601</v>
      </c>
      <c r="B189">
        <v>1997</v>
      </c>
      <c r="C189">
        <v>8</v>
      </c>
      <c r="D189" s="3">
        <v>29.715160000000001</v>
      </c>
      <c r="E189" s="3">
        <v>0.63934000000000002</v>
      </c>
      <c r="F189">
        <v>31</v>
      </c>
    </row>
    <row r="190" spans="1:6" x14ac:dyDescent="0.3">
      <c r="A190" s="3">
        <v>1997.6666666666999</v>
      </c>
      <c r="B190">
        <v>1997</v>
      </c>
      <c r="C190">
        <v>9</v>
      </c>
      <c r="D190" s="3">
        <v>29.473330000000001</v>
      </c>
      <c r="E190" s="3">
        <v>0.77951999999999999</v>
      </c>
      <c r="F190">
        <v>30</v>
      </c>
    </row>
    <row r="191" spans="1:6" x14ac:dyDescent="0.3">
      <c r="A191" s="3">
        <v>1997.75000000003</v>
      </c>
      <c r="B191">
        <v>1997</v>
      </c>
      <c r="C191">
        <v>10</v>
      </c>
      <c r="D191" s="3">
        <v>28.865810000000003</v>
      </c>
      <c r="E191" s="3">
        <v>0.31045</v>
      </c>
      <c r="F191">
        <v>31</v>
      </c>
    </row>
    <row r="192" spans="1:6" x14ac:dyDescent="0.3">
      <c r="A192" s="3">
        <v>1997.8333333333601</v>
      </c>
      <c r="B192">
        <v>1997</v>
      </c>
      <c r="C192">
        <v>11</v>
      </c>
      <c r="D192" s="3">
        <v>29.033000000000001</v>
      </c>
      <c r="E192" s="3">
        <v>0.40771000000000002</v>
      </c>
      <c r="F192">
        <v>30</v>
      </c>
    </row>
    <row r="193" spans="1:6" x14ac:dyDescent="0.3">
      <c r="A193" s="3">
        <v>1997.9166666666999</v>
      </c>
      <c r="B193">
        <v>1997</v>
      </c>
      <c r="C193">
        <v>12</v>
      </c>
      <c r="D193" s="3">
        <v>28.501609999999999</v>
      </c>
      <c r="E193" s="3">
        <v>0.57830999999999999</v>
      </c>
      <c r="F193">
        <v>31</v>
      </c>
    </row>
    <row r="194" spans="1:6" x14ac:dyDescent="0.3">
      <c r="A194" s="3">
        <v>1998.00000000003</v>
      </c>
      <c r="B194">
        <v>1998</v>
      </c>
      <c r="C194">
        <v>1</v>
      </c>
      <c r="D194" s="3">
        <v>27.707740000000001</v>
      </c>
      <c r="E194" s="3">
        <v>0.36957000000000001</v>
      </c>
      <c r="F194">
        <v>31</v>
      </c>
    </row>
    <row r="195" spans="1:6" x14ac:dyDescent="0.3">
      <c r="A195" s="3">
        <v>1998.0833333333601</v>
      </c>
      <c r="B195">
        <v>1998</v>
      </c>
      <c r="C195">
        <v>2</v>
      </c>
      <c r="D195" s="3">
        <v>27.88964</v>
      </c>
      <c r="E195" s="3">
        <v>0.50370000000000004</v>
      </c>
      <c r="F195">
        <v>28</v>
      </c>
    </row>
    <row r="196" spans="1:6" x14ac:dyDescent="0.3">
      <c r="A196" s="3">
        <v>1998.1666666666999</v>
      </c>
      <c r="B196">
        <v>1998</v>
      </c>
      <c r="C196">
        <v>3</v>
      </c>
      <c r="D196" s="3">
        <v>27.680320000000002</v>
      </c>
      <c r="E196" s="3">
        <v>0.46884999999999999</v>
      </c>
      <c r="F196">
        <v>31</v>
      </c>
    </row>
    <row r="197" spans="1:6" x14ac:dyDescent="0.3">
      <c r="A197" s="3">
        <v>1998.25000000003</v>
      </c>
      <c r="B197">
        <v>1998</v>
      </c>
      <c r="C197">
        <v>4</v>
      </c>
      <c r="D197" s="3">
        <v>27.617330000000003</v>
      </c>
      <c r="E197" s="3">
        <v>0.51393999999999995</v>
      </c>
      <c r="F197">
        <v>30</v>
      </c>
    </row>
    <row r="198" spans="1:6" x14ac:dyDescent="0.3">
      <c r="A198" s="3">
        <v>1998.3333333333601</v>
      </c>
      <c r="B198">
        <v>1998</v>
      </c>
      <c r="C198">
        <v>5</v>
      </c>
      <c r="D198" s="3">
        <v>28.992260000000002</v>
      </c>
      <c r="E198" s="3">
        <v>0.48582000000000003</v>
      </c>
      <c r="F198">
        <v>31</v>
      </c>
    </row>
    <row r="199" spans="1:6" x14ac:dyDescent="0.3">
      <c r="A199" s="3">
        <v>1998.4166666666999</v>
      </c>
      <c r="B199">
        <v>1998</v>
      </c>
      <c r="C199">
        <v>6</v>
      </c>
      <c r="D199" s="3">
        <v>29.61833</v>
      </c>
      <c r="E199" s="3">
        <v>0.57582</v>
      </c>
      <c r="F199">
        <v>30</v>
      </c>
    </row>
    <row r="200" spans="1:6" x14ac:dyDescent="0.3">
      <c r="A200" s="3">
        <v>1998.50000000003</v>
      </c>
      <c r="B200">
        <v>1998</v>
      </c>
      <c r="C200">
        <v>7</v>
      </c>
      <c r="D200" s="3">
        <v>29.452579999999998</v>
      </c>
      <c r="E200" s="3">
        <v>0.61109999999999998</v>
      </c>
      <c r="F200">
        <v>31</v>
      </c>
    </row>
    <row r="201" spans="1:6" x14ac:dyDescent="0.3">
      <c r="A201" s="3">
        <v>1998.5833333333601</v>
      </c>
      <c r="B201">
        <v>1998</v>
      </c>
      <c r="C201">
        <v>8</v>
      </c>
      <c r="D201" s="3">
        <v>29.287420000000001</v>
      </c>
      <c r="E201" s="3">
        <v>0.78322000000000003</v>
      </c>
      <c r="F201">
        <v>31</v>
      </c>
    </row>
    <row r="202" spans="1:6" x14ac:dyDescent="0.3">
      <c r="A202" s="3">
        <v>1998.6666666666999</v>
      </c>
      <c r="B202">
        <v>1998</v>
      </c>
      <c r="C202">
        <v>9</v>
      </c>
      <c r="D202" s="3">
        <v>29.984999999999999</v>
      </c>
      <c r="E202" s="3">
        <v>0.45640999999999998</v>
      </c>
      <c r="F202">
        <v>30</v>
      </c>
    </row>
    <row r="203" spans="1:6" x14ac:dyDescent="0.3">
      <c r="A203" s="3">
        <v>1998.75000000003</v>
      </c>
      <c r="B203">
        <v>1998</v>
      </c>
      <c r="C203">
        <v>10</v>
      </c>
      <c r="D203" s="3">
        <v>29.405479999999997</v>
      </c>
      <c r="E203" s="3">
        <v>0.70852000000000004</v>
      </c>
      <c r="F203">
        <v>31</v>
      </c>
    </row>
    <row r="204" spans="1:6" x14ac:dyDescent="0.3">
      <c r="A204" s="3">
        <v>1998.8333333333601</v>
      </c>
      <c r="B204">
        <v>1998</v>
      </c>
      <c r="C204">
        <v>11</v>
      </c>
      <c r="D204" s="3">
        <v>29.163000000000004</v>
      </c>
      <c r="E204" s="3">
        <v>0.50220999999999993</v>
      </c>
      <c r="F204">
        <v>30</v>
      </c>
    </row>
    <row r="205" spans="1:6" x14ac:dyDescent="0.3">
      <c r="A205" s="3">
        <v>1998.9166666666999</v>
      </c>
      <c r="B205">
        <v>1998</v>
      </c>
      <c r="C205">
        <v>12</v>
      </c>
      <c r="D205" s="3">
        <v>28.600650000000002</v>
      </c>
      <c r="E205" s="3">
        <v>0.28920000000000001</v>
      </c>
      <c r="F205">
        <v>31</v>
      </c>
    </row>
    <row r="206" spans="1:6" x14ac:dyDescent="0.3">
      <c r="A206" s="3">
        <v>1999.00000000003</v>
      </c>
      <c r="B206">
        <v>1999</v>
      </c>
      <c r="C206">
        <v>1</v>
      </c>
      <c r="D206" s="3">
        <v>27.866770000000002</v>
      </c>
      <c r="E206" s="3">
        <v>0.42960999999999999</v>
      </c>
      <c r="F206">
        <v>31</v>
      </c>
    </row>
    <row r="207" spans="1:6" x14ac:dyDescent="0.3">
      <c r="A207" s="3">
        <v>1999.0833333333601</v>
      </c>
      <c r="B207">
        <v>1999</v>
      </c>
      <c r="C207">
        <v>2</v>
      </c>
      <c r="D207" s="3">
        <v>26.692139999999998</v>
      </c>
      <c r="E207" s="3">
        <v>0.47892000000000001</v>
      </c>
      <c r="F207">
        <v>28</v>
      </c>
    </row>
    <row r="208" spans="1:6" x14ac:dyDescent="0.3">
      <c r="A208" s="3">
        <v>1999.1666666666999</v>
      </c>
      <c r="B208">
        <v>1999</v>
      </c>
      <c r="C208">
        <v>3</v>
      </c>
      <c r="D208" s="3">
        <v>26.981290000000001</v>
      </c>
      <c r="E208" s="3">
        <v>0.36415999999999998</v>
      </c>
      <c r="F208">
        <v>31</v>
      </c>
    </row>
    <row r="209" spans="1:6" x14ac:dyDescent="0.3">
      <c r="A209" s="3">
        <v>1999.25000000003</v>
      </c>
      <c r="B209">
        <v>1999</v>
      </c>
      <c r="C209">
        <v>4</v>
      </c>
      <c r="D209" s="3">
        <v>27.199670000000001</v>
      </c>
      <c r="E209" s="3">
        <v>0.58017000000000007</v>
      </c>
      <c r="F209">
        <v>30</v>
      </c>
    </row>
    <row r="210" spans="1:6" x14ac:dyDescent="0.3">
      <c r="A210" s="3">
        <v>1999.3333333333601</v>
      </c>
      <c r="B210">
        <v>1999</v>
      </c>
      <c r="C210">
        <v>5</v>
      </c>
      <c r="D210" s="3">
        <v>28.258710000000001</v>
      </c>
      <c r="E210" s="3">
        <v>0.83971000000000007</v>
      </c>
      <c r="F210">
        <v>31</v>
      </c>
    </row>
    <row r="211" spans="1:6" x14ac:dyDescent="0.3">
      <c r="A211" s="3">
        <v>1999.4166666666999</v>
      </c>
      <c r="B211">
        <v>1999</v>
      </c>
      <c r="C211">
        <v>6</v>
      </c>
      <c r="D211" s="3">
        <v>28.849670000000003</v>
      </c>
      <c r="E211" s="3">
        <v>0.46433999999999997</v>
      </c>
      <c r="F211">
        <v>30</v>
      </c>
    </row>
    <row r="212" spans="1:6" x14ac:dyDescent="0.3">
      <c r="A212" s="3">
        <v>1999.50000000003</v>
      </c>
      <c r="B212">
        <v>1999</v>
      </c>
      <c r="C212">
        <v>7</v>
      </c>
      <c r="D212" s="3">
        <v>29.394839999999999</v>
      </c>
      <c r="E212" s="3">
        <v>0.75831999999999999</v>
      </c>
      <c r="F212">
        <v>31</v>
      </c>
    </row>
    <row r="213" spans="1:6" x14ac:dyDescent="0.3">
      <c r="A213" s="3">
        <v>1999.5833333333701</v>
      </c>
      <c r="B213">
        <v>1999</v>
      </c>
      <c r="C213">
        <v>8</v>
      </c>
      <c r="D213" s="3">
        <v>28.920320000000004</v>
      </c>
      <c r="E213" s="3">
        <v>0.52817999999999998</v>
      </c>
      <c r="F213">
        <v>31</v>
      </c>
    </row>
    <row r="214" spans="1:6" x14ac:dyDescent="0.3">
      <c r="A214" s="3">
        <v>1999.6666666666999</v>
      </c>
      <c r="B214">
        <v>1999</v>
      </c>
      <c r="C214">
        <v>9</v>
      </c>
      <c r="D214" s="3">
        <v>29.006329999999998</v>
      </c>
      <c r="E214" s="3">
        <v>0.73864999999999992</v>
      </c>
      <c r="F214">
        <v>30</v>
      </c>
    </row>
    <row r="215" spans="1:6" x14ac:dyDescent="0.3">
      <c r="A215" s="3">
        <v>1999.75000000003</v>
      </c>
      <c r="B215">
        <v>1999</v>
      </c>
      <c r="C215">
        <v>10</v>
      </c>
      <c r="D215" s="3">
        <v>28.821290000000001</v>
      </c>
      <c r="E215" s="3">
        <v>0.74514999999999998</v>
      </c>
      <c r="F215">
        <v>31</v>
      </c>
    </row>
    <row r="216" spans="1:6" x14ac:dyDescent="0.3">
      <c r="A216" s="3">
        <v>1999.8333333333701</v>
      </c>
      <c r="B216">
        <v>1999</v>
      </c>
      <c r="C216">
        <v>11</v>
      </c>
      <c r="D216" s="3">
        <v>28.34667</v>
      </c>
      <c r="E216" s="3">
        <v>0.44512000000000002</v>
      </c>
      <c r="F216">
        <v>30</v>
      </c>
    </row>
    <row r="217" spans="1:6" x14ac:dyDescent="0.3">
      <c r="A217" s="3">
        <v>1999.9166666666999</v>
      </c>
      <c r="B217">
        <v>1999</v>
      </c>
      <c r="C217">
        <v>12</v>
      </c>
      <c r="D217" s="3">
        <v>27.889029999999998</v>
      </c>
      <c r="E217" s="3">
        <v>0.48371999999999998</v>
      </c>
      <c r="F217">
        <v>31</v>
      </c>
    </row>
    <row r="218" spans="1:6" x14ac:dyDescent="0.3">
      <c r="A218" s="3">
        <v>2000.00000000003</v>
      </c>
      <c r="B218">
        <v>2000</v>
      </c>
      <c r="C218">
        <v>1</v>
      </c>
      <c r="D218" s="3">
        <v>27.12161</v>
      </c>
      <c r="E218" s="3">
        <v>0.45915</v>
      </c>
      <c r="F218">
        <v>31</v>
      </c>
    </row>
    <row r="219" spans="1:6" x14ac:dyDescent="0.3">
      <c r="A219" s="3">
        <v>2000.0833333333701</v>
      </c>
      <c r="B219">
        <v>2000</v>
      </c>
      <c r="C219">
        <v>2</v>
      </c>
      <c r="D219" s="3">
        <v>26.571380000000001</v>
      </c>
      <c r="E219" s="3">
        <v>0.48942000000000002</v>
      </c>
      <c r="F219">
        <v>29</v>
      </c>
    </row>
    <row r="220" spans="1:6" x14ac:dyDescent="0.3">
      <c r="A220" s="3">
        <v>2000.1666666666999</v>
      </c>
      <c r="B220">
        <v>2000</v>
      </c>
      <c r="C220">
        <v>3</v>
      </c>
      <c r="D220" s="3">
        <v>26.27355</v>
      </c>
      <c r="E220" s="3">
        <v>0.29483000000000004</v>
      </c>
      <c r="F220">
        <v>31</v>
      </c>
    </row>
    <row r="221" spans="1:6" x14ac:dyDescent="0.3">
      <c r="A221" s="3">
        <v>2000.25000000003</v>
      </c>
      <c r="B221">
        <v>2000</v>
      </c>
      <c r="C221">
        <v>4</v>
      </c>
      <c r="D221" s="3">
        <v>26.758330000000001</v>
      </c>
      <c r="E221" s="3">
        <v>0.20730000000000001</v>
      </c>
      <c r="F221">
        <v>30</v>
      </c>
    </row>
    <row r="222" spans="1:6" x14ac:dyDescent="0.3">
      <c r="A222" s="3">
        <v>2000.3333333333701</v>
      </c>
      <c r="B222">
        <v>2000</v>
      </c>
      <c r="C222">
        <v>5</v>
      </c>
      <c r="D222" s="3">
        <v>28.116129999999998</v>
      </c>
      <c r="E222" s="3">
        <v>0.79471000000000003</v>
      </c>
      <c r="F222">
        <v>31</v>
      </c>
    </row>
    <row r="223" spans="1:6" x14ac:dyDescent="0.3">
      <c r="A223" s="3">
        <v>2000.4166666666999</v>
      </c>
      <c r="B223">
        <v>2000</v>
      </c>
      <c r="C223">
        <v>6</v>
      </c>
      <c r="D223" s="3">
        <v>28.980329999999999</v>
      </c>
      <c r="E223" s="3">
        <v>0.60402</v>
      </c>
      <c r="F223">
        <v>30</v>
      </c>
    </row>
    <row r="224" spans="1:6" x14ac:dyDescent="0.3">
      <c r="A224" s="3">
        <v>2000.50000000003</v>
      </c>
      <c r="B224">
        <v>2000</v>
      </c>
      <c r="C224">
        <v>7</v>
      </c>
      <c r="D224" s="3">
        <v>28.981290000000001</v>
      </c>
      <c r="E224" s="3">
        <v>0.55445999999999995</v>
      </c>
      <c r="F224">
        <v>31</v>
      </c>
    </row>
    <row r="225" spans="1:6" x14ac:dyDescent="0.3">
      <c r="A225" s="3">
        <v>2000.5833333333701</v>
      </c>
      <c r="B225">
        <v>2000</v>
      </c>
      <c r="C225">
        <v>8</v>
      </c>
      <c r="D225" s="3">
        <v>29.140320000000003</v>
      </c>
      <c r="E225" s="3">
        <v>0.51210999999999995</v>
      </c>
      <c r="F225">
        <v>31</v>
      </c>
    </row>
    <row r="226" spans="1:6" x14ac:dyDescent="0.3">
      <c r="A226" s="3">
        <v>2000.6666666666999</v>
      </c>
      <c r="B226">
        <v>2000</v>
      </c>
      <c r="C226">
        <v>9</v>
      </c>
      <c r="D226" s="3">
        <v>28.878330000000002</v>
      </c>
      <c r="E226" s="3">
        <v>0.43718000000000007</v>
      </c>
      <c r="F226">
        <v>30</v>
      </c>
    </row>
    <row r="227" spans="1:6" x14ac:dyDescent="0.3">
      <c r="A227" s="3">
        <v>2000.75000000003</v>
      </c>
      <c r="B227">
        <v>2000</v>
      </c>
      <c r="C227">
        <v>10</v>
      </c>
      <c r="D227" s="3">
        <v>29.294840000000001</v>
      </c>
      <c r="E227" s="3">
        <v>0.38168000000000002</v>
      </c>
      <c r="F227">
        <v>31</v>
      </c>
    </row>
    <row r="228" spans="1:6" x14ac:dyDescent="0.3">
      <c r="A228" s="3">
        <v>2000.8333333333701</v>
      </c>
      <c r="B228">
        <v>2000</v>
      </c>
      <c r="C228">
        <v>11</v>
      </c>
      <c r="D228" s="3">
        <v>28.799000000000003</v>
      </c>
      <c r="E228" s="3">
        <v>0.56756000000000006</v>
      </c>
      <c r="F228">
        <v>30</v>
      </c>
    </row>
    <row r="229" spans="1:6" x14ac:dyDescent="0.3">
      <c r="A229" s="3">
        <v>2000.9166666666999</v>
      </c>
      <c r="B229">
        <v>2000</v>
      </c>
      <c r="C229">
        <v>12</v>
      </c>
      <c r="D229" s="3">
        <v>28.785810000000001</v>
      </c>
      <c r="E229" s="3">
        <v>0.40279000000000004</v>
      </c>
      <c r="F229">
        <v>31</v>
      </c>
    </row>
    <row r="230" spans="1:6" x14ac:dyDescent="0.3">
      <c r="A230" s="3">
        <v>2001.00000000003</v>
      </c>
      <c r="B230">
        <v>2001</v>
      </c>
      <c r="C230">
        <v>1</v>
      </c>
      <c r="D230" s="3">
        <v>27.597420000000003</v>
      </c>
      <c r="E230" s="3">
        <v>0.37433</v>
      </c>
      <c r="F230">
        <v>31</v>
      </c>
    </row>
    <row r="231" spans="1:6" x14ac:dyDescent="0.3">
      <c r="A231" s="3">
        <v>2001.0833333333701</v>
      </c>
      <c r="B231">
        <v>2001</v>
      </c>
      <c r="C231">
        <v>2</v>
      </c>
      <c r="D231" s="3">
        <v>27.283930000000002</v>
      </c>
      <c r="E231" s="3">
        <v>0.47465000000000002</v>
      </c>
      <c r="F231">
        <v>28</v>
      </c>
    </row>
    <row r="232" spans="1:6" x14ac:dyDescent="0.3">
      <c r="A232" s="3">
        <v>2001.1666666666999</v>
      </c>
      <c r="B232">
        <v>2001</v>
      </c>
      <c r="C232">
        <v>3</v>
      </c>
      <c r="D232" s="3">
        <v>26.807739999999999</v>
      </c>
      <c r="E232" s="3">
        <v>0.39634000000000003</v>
      </c>
      <c r="F232">
        <v>31</v>
      </c>
    </row>
    <row r="233" spans="1:6" x14ac:dyDescent="0.3">
      <c r="A233" s="3">
        <v>2001.25000000004</v>
      </c>
      <c r="B233">
        <v>2001</v>
      </c>
      <c r="C233">
        <v>4</v>
      </c>
      <c r="D233" s="3">
        <v>26.955000000000002</v>
      </c>
      <c r="E233" s="3">
        <v>0.30909999999999999</v>
      </c>
      <c r="F233">
        <v>30</v>
      </c>
    </row>
    <row r="234" spans="1:6" x14ac:dyDescent="0.3">
      <c r="A234" s="3">
        <v>2001.3333333333701</v>
      </c>
      <c r="B234">
        <v>2001</v>
      </c>
      <c r="C234">
        <v>5</v>
      </c>
      <c r="D234" s="3">
        <v>27.831939999999999</v>
      </c>
      <c r="E234" s="3">
        <v>0.61373</v>
      </c>
      <c r="F234">
        <v>31</v>
      </c>
    </row>
    <row r="235" spans="1:6" x14ac:dyDescent="0.3">
      <c r="A235" s="3">
        <v>2001.4166666666999</v>
      </c>
      <c r="B235">
        <v>2001</v>
      </c>
      <c r="C235">
        <v>6</v>
      </c>
      <c r="D235" s="3">
        <v>28.934670000000001</v>
      </c>
      <c r="E235" s="3">
        <v>0.45548000000000005</v>
      </c>
      <c r="F235">
        <v>30</v>
      </c>
    </row>
    <row r="236" spans="1:6" x14ac:dyDescent="0.3">
      <c r="A236" s="3">
        <v>2001.50000000004</v>
      </c>
      <c r="B236">
        <v>2001</v>
      </c>
      <c r="C236">
        <v>7</v>
      </c>
      <c r="D236" s="3">
        <v>29.26323</v>
      </c>
      <c r="E236" s="3">
        <v>0.45844000000000001</v>
      </c>
      <c r="F236">
        <v>31</v>
      </c>
    </row>
    <row r="237" spans="1:6" x14ac:dyDescent="0.3">
      <c r="A237" s="3">
        <v>2001.5833333333701</v>
      </c>
      <c r="B237">
        <v>2001</v>
      </c>
      <c r="C237">
        <v>8</v>
      </c>
      <c r="D237" s="3">
        <v>29.46613</v>
      </c>
      <c r="E237" s="3">
        <v>0.48970999999999998</v>
      </c>
      <c r="F237">
        <v>31</v>
      </c>
    </row>
    <row r="238" spans="1:6" x14ac:dyDescent="0.3">
      <c r="A238" s="3">
        <v>2001.6666666666999</v>
      </c>
      <c r="B238">
        <v>2001</v>
      </c>
      <c r="C238">
        <v>9</v>
      </c>
      <c r="D238" s="3">
        <v>29.146329999999999</v>
      </c>
      <c r="E238" s="3">
        <v>0.53815000000000002</v>
      </c>
      <c r="F238">
        <v>30</v>
      </c>
    </row>
    <row r="239" spans="1:6" x14ac:dyDescent="0.3">
      <c r="A239" s="3">
        <v>2001.75000000004</v>
      </c>
      <c r="B239">
        <v>2001</v>
      </c>
      <c r="C239">
        <v>10</v>
      </c>
      <c r="D239" s="3">
        <v>29.194520000000004</v>
      </c>
      <c r="E239" s="3">
        <v>0.47366000000000003</v>
      </c>
      <c r="F239">
        <v>31</v>
      </c>
    </row>
    <row r="240" spans="1:6" x14ac:dyDescent="0.3">
      <c r="A240" s="3">
        <v>2001.8333333333701</v>
      </c>
      <c r="B240">
        <v>2001</v>
      </c>
      <c r="C240">
        <v>11</v>
      </c>
      <c r="D240" s="3">
        <v>28.702330000000003</v>
      </c>
      <c r="E240" s="3">
        <v>0.34511000000000003</v>
      </c>
      <c r="F240">
        <v>30</v>
      </c>
    </row>
    <row r="241" spans="1:6" x14ac:dyDescent="0.3">
      <c r="A241" s="3">
        <v>2001.9166666666999</v>
      </c>
      <c r="B241">
        <v>2001</v>
      </c>
      <c r="C241">
        <v>12</v>
      </c>
      <c r="D241" s="3">
        <v>28.316129999999998</v>
      </c>
      <c r="E241" s="3">
        <v>0.37042999999999998</v>
      </c>
      <c r="F241">
        <v>31</v>
      </c>
    </row>
    <row r="242" spans="1:6" x14ac:dyDescent="0.3">
      <c r="A242" s="3">
        <v>2002.00000000004</v>
      </c>
      <c r="B242">
        <v>2002</v>
      </c>
      <c r="C242">
        <v>1</v>
      </c>
      <c r="D242" s="3">
        <v>28.316129999999998</v>
      </c>
      <c r="E242" s="3">
        <v>0.40669</v>
      </c>
      <c r="F242">
        <v>31</v>
      </c>
    </row>
    <row r="243" spans="1:6" x14ac:dyDescent="0.3">
      <c r="A243" s="3">
        <v>2002.0833333333701</v>
      </c>
      <c r="B243">
        <v>2002</v>
      </c>
      <c r="C243">
        <v>2</v>
      </c>
      <c r="D243" s="3">
        <v>27.417860000000001</v>
      </c>
      <c r="E243" s="3">
        <v>0.38573999999999997</v>
      </c>
      <c r="F243">
        <v>28</v>
      </c>
    </row>
    <row r="244" spans="1:6" x14ac:dyDescent="0.3">
      <c r="A244" s="3">
        <v>2002.1666666666999</v>
      </c>
      <c r="B244">
        <v>2002</v>
      </c>
      <c r="C244">
        <v>3</v>
      </c>
      <c r="D244" s="3">
        <v>27.080000000000002</v>
      </c>
      <c r="E244" s="3">
        <v>0.29364999999999997</v>
      </c>
      <c r="F244">
        <v>31</v>
      </c>
    </row>
    <row r="245" spans="1:6" x14ac:dyDescent="0.3">
      <c r="A245" s="3">
        <v>2002.25000000004</v>
      </c>
      <c r="B245">
        <v>2002</v>
      </c>
      <c r="C245">
        <v>4</v>
      </c>
      <c r="D245" s="3">
        <v>27.09667</v>
      </c>
      <c r="E245" s="3">
        <v>0.43701999999999996</v>
      </c>
      <c r="F245">
        <v>30</v>
      </c>
    </row>
    <row r="246" spans="1:6" x14ac:dyDescent="0.3">
      <c r="A246" s="3">
        <v>2002.3333333333701</v>
      </c>
      <c r="B246">
        <v>2002</v>
      </c>
      <c r="C246">
        <v>5</v>
      </c>
      <c r="D246" s="3">
        <v>28.209350000000001</v>
      </c>
      <c r="E246" s="3">
        <v>0.53197000000000005</v>
      </c>
      <c r="F246">
        <v>31</v>
      </c>
    </row>
    <row r="247" spans="1:6" x14ac:dyDescent="0.3">
      <c r="A247" s="3">
        <v>2002.4166666666999</v>
      </c>
      <c r="B247">
        <v>2002</v>
      </c>
      <c r="C247">
        <v>6</v>
      </c>
      <c r="D247" s="3">
        <v>29.452330000000003</v>
      </c>
      <c r="E247" s="3">
        <v>0.62026999999999999</v>
      </c>
      <c r="F247">
        <v>30</v>
      </c>
    </row>
    <row r="248" spans="1:6" x14ac:dyDescent="0.3">
      <c r="A248" s="3">
        <v>2002.50000000004</v>
      </c>
      <c r="B248">
        <v>2002</v>
      </c>
      <c r="C248">
        <v>7</v>
      </c>
      <c r="D248" s="3">
        <v>29.257100000000001</v>
      </c>
      <c r="E248" s="3">
        <v>0.33859</v>
      </c>
      <c r="F248">
        <v>31</v>
      </c>
    </row>
    <row r="249" spans="1:6" x14ac:dyDescent="0.3">
      <c r="A249" s="3">
        <v>2002.5833333333701</v>
      </c>
      <c r="B249">
        <v>2002</v>
      </c>
      <c r="C249">
        <v>8</v>
      </c>
      <c r="D249" s="3">
        <v>29.824520000000003</v>
      </c>
      <c r="E249" s="3">
        <v>0.49246000000000001</v>
      </c>
      <c r="F249">
        <v>31</v>
      </c>
    </row>
    <row r="250" spans="1:6" x14ac:dyDescent="0.3">
      <c r="A250" s="3">
        <v>2002.6666666666999</v>
      </c>
      <c r="B250">
        <v>2002</v>
      </c>
      <c r="C250">
        <v>9</v>
      </c>
      <c r="D250" s="3">
        <v>29.675329999999999</v>
      </c>
      <c r="E250" s="3">
        <v>0.38128000000000001</v>
      </c>
      <c r="F250">
        <v>30</v>
      </c>
    </row>
    <row r="251" spans="1:6" x14ac:dyDescent="0.3">
      <c r="A251" s="3">
        <v>2002.75000000004</v>
      </c>
      <c r="B251">
        <v>2002</v>
      </c>
      <c r="C251">
        <v>10</v>
      </c>
      <c r="D251" s="3">
        <v>29.699680000000001</v>
      </c>
      <c r="E251" s="3">
        <v>0.55308000000000002</v>
      </c>
      <c r="F251">
        <v>31</v>
      </c>
    </row>
    <row r="252" spans="1:6" x14ac:dyDescent="0.3">
      <c r="A252" s="3">
        <v>2002.8333333333701</v>
      </c>
      <c r="B252">
        <v>2002</v>
      </c>
      <c r="C252">
        <v>11</v>
      </c>
      <c r="D252" s="3">
        <v>29.432669999999998</v>
      </c>
      <c r="E252" s="3">
        <v>0.48720000000000002</v>
      </c>
      <c r="F252">
        <v>30</v>
      </c>
    </row>
    <row r="253" spans="1:6" x14ac:dyDescent="0.3">
      <c r="A253" s="3">
        <v>2002.9166666666999</v>
      </c>
      <c r="B253">
        <v>2002</v>
      </c>
      <c r="C253">
        <v>12</v>
      </c>
      <c r="D253" s="3">
        <v>28.746129999999997</v>
      </c>
      <c r="E253" s="3">
        <v>0.31796000000000002</v>
      </c>
      <c r="F253">
        <v>31</v>
      </c>
    </row>
    <row r="254" spans="1:6" x14ac:dyDescent="0.3">
      <c r="A254" s="3">
        <v>2003.00000000004</v>
      </c>
      <c r="B254">
        <v>2003</v>
      </c>
      <c r="C254">
        <v>1</v>
      </c>
      <c r="D254" s="3">
        <v>28.12968</v>
      </c>
      <c r="E254" s="3">
        <v>0.56864999999999999</v>
      </c>
      <c r="F254">
        <v>31</v>
      </c>
    </row>
    <row r="255" spans="1:6" x14ac:dyDescent="0.3">
      <c r="A255" s="3">
        <v>2003.0833333333701</v>
      </c>
      <c r="B255">
        <v>2003</v>
      </c>
      <c r="C255">
        <v>2</v>
      </c>
      <c r="D255" s="3">
        <v>27.695</v>
      </c>
      <c r="E255" s="3">
        <v>0.2545</v>
      </c>
      <c r="F255">
        <v>28</v>
      </c>
    </row>
    <row r="256" spans="1:6" x14ac:dyDescent="0.3">
      <c r="A256" s="3">
        <v>2003.1666666667099</v>
      </c>
      <c r="B256">
        <v>2003</v>
      </c>
      <c r="C256">
        <v>3</v>
      </c>
      <c r="D256" s="3">
        <v>27.895160000000001</v>
      </c>
      <c r="E256" s="3">
        <v>0.48898000000000003</v>
      </c>
      <c r="F256">
        <v>31</v>
      </c>
    </row>
    <row r="257" spans="1:6" x14ac:dyDescent="0.3">
      <c r="A257" s="3">
        <v>2003.25000000004</v>
      </c>
      <c r="B257">
        <v>2003</v>
      </c>
      <c r="C257">
        <v>4</v>
      </c>
      <c r="D257" s="3">
        <v>27.790670000000002</v>
      </c>
      <c r="E257" s="3">
        <v>0.48293000000000003</v>
      </c>
      <c r="F257">
        <v>30</v>
      </c>
    </row>
    <row r="258" spans="1:6" x14ac:dyDescent="0.3">
      <c r="A258" s="3">
        <v>2003.3333333333701</v>
      </c>
      <c r="B258">
        <v>2003</v>
      </c>
      <c r="C258">
        <v>5</v>
      </c>
      <c r="D258" s="3">
        <v>29.209350000000001</v>
      </c>
      <c r="E258" s="3">
        <v>0.43339</v>
      </c>
      <c r="F258">
        <v>31</v>
      </c>
    </row>
    <row r="259" spans="1:6" x14ac:dyDescent="0.3">
      <c r="A259" s="3">
        <v>2003.4166666667099</v>
      </c>
      <c r="B259">
        <v>2003</v>
      </c>
      <c r="C259">
        <v>6</v>
      </c>
      <c r="D259" s="3">
        <v>29.17</v>
      </c>
      <c r="E259" s="3">
        <v>0.35228000000000004</v>
      </c>
      <c r="F259">
        <v>30</v>
      </c>
    </row>
    <row r="260" spans="1:6" x14ac:dyDescent="0.3">
      <c r="A260" s="3">
        <v>2003.50000000004</v>
      </c>
      <c r="B260">
        <v>2003</v>
      </c>
      <c r="C260">
        <v>7</v>
      </c>
      <c r="D260" s="3">
        <v>29.45129</v>
      </c>
      <c r="E260" s="3">
        <v>0.36130000000000001</v>
      </c>
      <c r="F260">
        <v>31</v>
      </c>
    </row>
    <row r="261" spans="1:6" x14ac:dyDescent="0.3">
      <c r="A261" s="3">
        <v>2003.5833333333701</v>
      </c>
      <c r="B261">
        <v>2003</v>
      </c>
      <c r="C261">
        <v>8</v>
      </c>
      <c r="D261" s="3">
        <v>29.183870000000002</v>
      </c>
      <c r="E261" s="3">
        <v>0.58155000000000001</v>
      </c>
      <c r="F261">
        <v>31</v>
      </c>
    </row>
    <row r="262" spans="1:6" x14ac:dyDescent="0.3">
      <c r="A262" s="3">
        <v>2003.6666666667099</v>
      </c>
      <c r="B262">
        <v>2003</v>
      </c>
      <c r="C262">
        <v>9</v>
      </c>
      <c r="D262" s="3">
        <v>28.846329999999998</v>
      </c>
      <c r="E262" s="3">
        <v>0.77776000000000001</v>
      </c>
      <c r="F262">
        <v>30</v>
      </c>
    </row>
    <row r="263" spans="1:6" x14ac:dyDescent="0.3">
      <c r="A263" s="3">
        <v>2003.75000000004</v>
      </c>
      <c r="B263">
        <v>2003</v>
      </c>
      <c r="C263">
        <v>10</v>
      </c>
      <c r="D263" s="3">
        <v>29.334520000000001</v>
      </c>
      <c r="E263" s="3">
        <v>0.41720000000000002</v>
      </c>
      <c r="F263">
        <v>31</v>
      </c>
    </row>
    <row r="264" spans="1:6" x14ac:dyDescent="0.3">
      <c r="A264" s="3">
        <v>2003.8333333333701</v>
      </c>
      <c r="B264">
        <v>2003</v>
      </c>
      <c r="C264">
        <v>11</v>
      </c>
      <c r="D264" s="3">
        <v>29.539000000000001</v>
      </c>
      <c r="E264" s="3">
        <v>0.24347000000000002</v>
      </c>
      <c r="F264">
        <v>30</v>
      </c>
    </row>
    <row r="265" spans="1:6" x14ac:dyDescent="0.3">
      <c r="A265" s="3">
        <v>2003.9166666667099</v>
      </c>
      <c r="B265">
        <v>2003</v>
      </c>
      <c r="C265">
        <v>12</v>
      </c>
      <c r="D265" s="3">
        <v>28.65484</v>
      </c>
      <c r="E265" s="3">
        <v>0.48037999999999997</v>
      </c>
      <c r="F265">
        <v>31</v>
      </c>
    </row>
    <row r="266" spans="1:6" x14ac:dyDescent="0.3">
      <c r="A266" s="3">
        <v>2004.00000000004</v>
      </c>
      <c r="B266">
        <v>2004</v>
      </c>
      <c r="C266">
        <v>1</v>
      </c>
      <c r="D266" s="3">
        <v>27.456770000000002</v>
      </c>
      <c r="E266" s="3">
        <v>0.46033000000000002</v>
      </c>
      <c r="F266">
        <v>31</v>
      </c>
    </row>
    <row r="267" spans="1:6" x14ac:dyDescent="0.3">
      <c r="A267" s="3">
        <v>2004.0833333333701</v>
      </c>
      <c r="B267">
        <v>2004</v>
      </c>
      <c r="C267">
        <v>2</v>
      </c>
      <c r="D267" s="3">
        <v>27.897240000000004</v>
      </c>
      <c r="E267" s="3">
        <v>0.31202999999999997</v>
      </c>
      <c r="F267">
        <v>29</v>
      </c>
    </row>
    <row r="268" spans="1:6" x14ac:dyDescent="0.3">
      <c r="A268" s="3">
        <v>2004.1666666667099</v>
      </c>
      <c r="B268">
        <v>2004</v>
      </c>
      <c r="C268">
        <v>3</v>
      </c>
      <c r="D268" s="3">
        <v>27.159679999999998</v>
      </c>
      <c r="E268" s="3">
        <v>0.30086000000000002</v>
      </c>
      <c r="F268">
        <v>31</v>
      </c>
    </row>
    <row r="269" spans="1:6" x14ac:dyDescent="0.3">
      <c r="A269" s="3">
        <v>2004.25000000004</v>
      </c>
      <c r="B269">
        <v>2004</v>
      </c>
      <c r="C269">
        <v>4</v>
      </c>
      <c r="D269" s="3">
        <v>27.443670000000001</v>
      </c>
      <c r="E269" s="3">
        <v>0.62081000000000008</v>
      </c>
      <c r="F269">
        <v>30</v>
      </c>
    </row>
    <row r="270" spans="1:6" x14ac:dyDescent="0.3">
      <c r="A270" s="3">
        <v>2004.3333333333701</v>
      </c>
      <c r="B270">
        <v>2004</v>
      </c>
      <c r="C270">
        <v>5</v>
      </c>
      <c r="D270" s="3">
        <v>28.600970000000004</v>
      </c>
      <c r="E270" s="3">
        <v>0.45591000000000004</v>
      </c>
      <c r="F270">
        <v>31</v>
      </c>
    </row>
    <row r="271" spans="1:6" x14ac:dyDescent="0.3">
      <c r="A271" s="3">
        <v>2004.4166666667099</v>
      </c>
      <c r="B271">
        <v>2004</v>
      </c>
      <c r="C271">
        <v>6</v>
      </c>
      <c r="D271" s="3">
        <v>29.703670000000002</v>
      </c>
      <c r="E271" s="3">
        <v>0.62863000000000002</v>
      </c>
      <c r="F271">
        <v>30</v>
      </c>
    </row>
    <row r="272" spans="1:6" x14ac:dyDescent="0.3">
      <c r="A272" s="3">
        <v>2004.50000000004</v>
      </c>
      <c r="B272">
        <v>2004</v>
      </c>
      <c r="C272">
        <v>7</v>
      </c>
      <c r="D272" s="3">
        <v>29.043229999999998</v>
      </c>
      <c r="E272" s="3">
        <v>0.43786999999999998</v>
      </c>
      <c r="F272">
        <v>31</v>
      </c>
    </row>
    <row r="273" spans="1:6" x14ac:dyDescent="0.3">
      <c r="A273" s="3">
        <v>2004.5833333333701</v>
      </c>
      <c r="B273">
        <v>2004</v>
      </c>
      <c r="C273">
        <v>8</v>
      </c>
      <c r="D273" s="3">
        <v>29.491289999999999</v>
      </c>
      <c r="E273" s="3">
        <v>0.43011000000000005</v>
      </c>
      <c r="F273">
        <v>31</v>
      </c>
    </row>
    <row r="274" spans="1:6" x14ac:dyDescent="0.3">
      <c r="A274" s="3">
        <v>2004.6666666667099</v>
      </c>
      <c r="B274">
        <v>2004</v>
      </c>
      <c r="C274">
        <v>9</v>
      </c>
      <c r="D274" s="3">
        <v>28.99933</v>
      </c>
      <c r="E274" s="3">
        <v>0.50163000000000002</v>
      </c>
      <c r="F274">
        <v>30</v>
      </c>
    </row>
    <row r="275" spans="1:6" x14ac:dyDescent="0.3">
      <c r="A275" s="3">
        <v>2004.75000000004</v>
      </c>
      <c r="B275">
        <v>2004</v>
      </c>
      <c r="C275">
        <v>10</v>
      </c>
      <c r="D275" s="3">
        <v>29.426449999999999</v>
      </c>
      <c r="E275" s="3">
        <v>0.34133000000000002</v>
      </c>
      <c r="F275">
        <v>31</v>
      </c>
    </row>
    <row r="276" spans="1:6" x14ac:dyDescent="0.3">
      <c r="A276" s="3">
        <v>2004.8333333333701</v>
      </c>
      <c r="B276">
        <v>2004</v>
      </c>
      <c r="C276">
        <v>11</v>
      </c>
      <c r="D276" s="3">
        <v>28.82433</v>
      </c>
      <c r="E276" s="3">
        <v>0.28705999999999998</v>
      </c>
      <c r="F276">
        <v>30</v>
      </c>
    </row>
    <row r="277" spans="1:6" x14ac:dyDescent="0.3">
      <c r="A277" s="3">
        <v>2004.9166666667099</v>
      </c>
      <c r="B277">
        <v>2004</v>
      </c>
      <c r="C277">
        <v>12</v>
      </c>
      <c r="D277" s="3">
        <v>28.030650000000001</v>
      </c>
      <c r="E277" s="3">
        <v>0.37402999999999997</v>
      </c>
      <c r="F277">
        <v>31</v>
      </c>
    </row>
    <row r="278" spans="1:6" x14ac:dyDescent="0.3">
      <c r="A278" s="3">
        <v>2005.00000000004</v>
      </c>
      <c r="B278">
        <v>2005</v>
      </c>
      <c r="C278">
        <v>1</v>
      </c>
      <c r="D278" s="3">
        <v>27.398710000000001</v>
      </c>
      <c r="E278" s="3">
        <v>0.47667999999999999</v>
      </c>
      <c r="F278">
        <v>31</v>
      </c>
    </row>
    <row r="279" spans="1:6" x14ac:dyDescent="0.3">
      <c r="A279" s="3">
        <v>2005.0833333333801</v>
      </c>
      <c r="B279">
        <v>2005</v>
      </c>
      <c r="C279">
        <v>2</v>
      </c>
      <c r="D279" s="3">
        <v>26.418209999999998</v>
      </c>
      <c r="E279" s="3">
        <v>0.40887000000000001</v>
      </c>
      <c r="F279">
        <v>28</v>
      </c>
    </row>
    <row r="280" spans="1:6" x14ac:dyDescent="0.3">
      <c r="A280" s="3">
        <v>2005.1666666667099</v>
      </c>
      <c r="B280">
        <v>2005</v>
      </c>
      <c r="C280">
        <v>3</v>
      </c>
      <c r="D280" s="3">
        <v>27.599350000000001</v>
      </c>
      <c r="E280" s="3">
        <v>0.35316999999999998</v>
      </c>
      <c r="F280">
        <v>31</v>
      </c>
    </row>
    <row r="281" spans="1:6" x14ac:dyDescent="0.3">
      <c r="A281" s="3">
        <v>2005.25000000004</v>
      </c>
      <c r="B281">
        <v>2005</v>
      </c>
      <c r="C281">
        <v>4</v>
      </c>
      <c r="D281" s="3">
        <v>28.11167</v>
      </c>
      <c r="E281" s="3">
        <v>0.52784999999999993</v>
      </c>
      <c r="F281">
        <v>30</v>
      </c>
    </row>
    <row r="282" spans="1:6" x14ac:dyDescent="0.3">
      <c r="A282" s="3">
        <v>2005.3333333333801</v>
      </c>
      <c r="B282">
        <v>2005</v>
      </c>
      <c r="C282">
        <v>5</v>
      </c>
      <c r="D282" s="3">
        <v>28.905160000000002</v>
      </c>
      <c r="E282" s="3">
        <v>0.48796</v>
      </c>
      <c r="F282">
        <v>31</v>
      </c>
    </row>
    <row r="283" spans="1:6" x14ac:dyDescent="0.3">
      <c r="A283" s="3">
        <v>2005.4166666667099</v>
      </c>
      <c r="B283">
        <v>2005</v>
      </c>
      <c r="C283">
        <v>6</v>
      </c>
      <c r="D283" s="3">
        <v>29.960999999999999</v>
      </c>
      <c r="E283" s="3">
        <v>0.54318</v>
      </c>
      <c r="F283">
        <v>30</v>
      </c>
    </row>
    <row r="284" spans="1:6" x14ac:dyDescent="0.3">
      <c r="A284" s="3">
        <v>2005.50000000004</v>
      </c>
      <c r="B284">
        <v>2005</v>
      </c>
      <c r="C284">
        <v>7</v>
      </c>
      <c r="D284" s="3">
        <v>30.216450000000002</v>
      </c>
      <c r="E284" s="3">
        <v>0.43310999999999999</v>
      </c>
      <c r="F284">
        <v>31</v>
      </c>
    </row>
    <row r="285" spans="1:6" x14ac:dyDescent="0.3">
      <c r="A285" s="3">
        <v>2005.5833333333801</v>
      </c>
      <c r="B285">
        <v>2005</v>
      </c>
      <c r="C285">
        <v>8</v>
      </c>
      <c r="D285" s="3">
        <v>29.512900000000002</v>
      </c>
      <c r="E285" s="3">
        <v>0.57970999999999995</v>
      </c>
      <c r="F285">
        <v>31</v>
      </c>
    </row>
    <row r="286" spans="1:6" x14ac:dyDescent="0.3">
      <c r="A286" s="3">
        <v>2005.6666666667099</v>
      </c>
      <c r="B286">
        <v>2005</v>
      </c>
      <c r="C286">
        <v>9</v>
      </c>
      <c r="D286" s="3">
        <v>29.627330000000001</v>
      </c>
      <c r="E286" s="3">
        <v>0.58067999999999997</v>
      </c>
      <c r="F286">
        <v>30</v>
      </c>
    </row>
    <row r="287" spans="1:6" x14ac:dyDescent="0.3">
      <c r="A287" s="3">
        <v>2005.75000000004</v>
      </c>
      <c r="B287">
        <v>2005</v>
      </c>
      <c r="C287">
        <v>10</v>
      </c>
      <c r="D287" s="3">
        <v>29.050320000000003</v>
      </c>
      <c r="E287" s="3">
        <v>0.48714000000000002</v>
      </c>
      <c r="F287">
        <v>31</v>
      </c>
    </row>
    <row r="288" spans="1:6" x14ac:dyDescent="0.3">
      <c r="A288" s="3">
        <v>2005.8333333333801</v>
      </c>
      <c r="B288">
        <v>2005</v>
      </c>
      <c r="C288">
        <v>11</v>
      </c>
      <c r="D288" s="3">
        <v>28.616329999999998</v>
      </c>
      <c r="E288" s="3">
        <v>0.64080000000000004</v>
      </c>
      <c r="F288">
        <v>30</v>
      </c>
    </row>
    <row r="289" spans="1:6" x14ac:dyDescent="0.3">
      <c r="A289" s="3">
        <v>2005.9166666667099</v>
      </c>
      <c r="B289">
        <v>2005</v>
      </c>
      <c r="C289">
        <v>12</v>
      </c>
      <c r="D289" s="3">
        <v>28.923870000000001</v>
      </c>
      <c r="E289" s="3">
        <v>0.23834</v>
      </c>
      <c r="F289">
        <v>31</v>
      </c>
    </row>
    <row r="290" spans="1:6" x14ac:dyDescent="0.3">
      <c r="A290" s="3">
        <v>2006.00000000004</v>
      </c>
      <c r="B290">
        <v>2006</v>
      </c>
      <c r="C290">
        <v>1</v>
      </c>
      <c r="D290" s="3">
        <v>27.674189999999999</v>
      </c>
      <c r="E290" s="3">
        <v>0.49763000000000002</v>
      </c>
      <c r="F290">
        <v>31</v>
      </c>
    </row>
    <row r="291" spans="1:6" x14ac:dyDescent="0.3">
      <c r="A291" s="3">
        <v>2006.0833333333801</v>
      </c>
      <c r="B291">
        <v>2006</v>
      </c>
      <c r="C291">
        <v>2</v>
      </c>
      <c r="D291" s="3">
        <v>27.45786</v>
      </c>
      <c r="E291" s="3">
        <v>0.47639999999999999</v>
      </c>
      <c r="F291">
        <v>28</v>
      </c>
    </row>
    <row r="292" spans="1:6" x14ac:dyDescent="0.3">
      <c r="A292" s="3">
        <v>2006.1666666667099</v>
      </c>
      <c r="B292">
        <v>2006</v>
      </c>
      <c r="C292">
        <v>3</v>
      </c>
      <c r="D292" s="3">
        <v>26.948060000000002</v>
      </c>
      <c r="E292" s="3">
        <v>0.31204000000000004</v>
      </c>
      <c r="F292">
        <v>31</v>
      </c>
    </row>
    <row r="293" spans="1:6" x14ac:dyDescent="0.3">
      <c r="A293" s="3">
        <v>2006.25000000004</v>
      </c>
      <c r="B293">
        <v>2006</v>
      </c>
      <c r="C293">
        <v>4</v>
      </c>
      <c r="D293" s="3">
        <v>27.619</v>
      </c>
      <c r="E293" s="3">
        <v>0.66781999999999997</v>
      </c>
      <c r="F293">
        <v>30</v>
      </c>
    </row>
    <row r="294" spans="1:6" x14ac:dyDescent="0.3">
      <c r="A294" s="3">
        <v>2006.3333333333801</v>
      </c>
      <c r="B294">
        <v>2006</v>
      </c>
      <c r="C294">
        <v>5</v>
      </c>
      <c r="D294" s="3">
        <v>28.828389999999999</v>
      </c>
      <c r="E294" s="3">
        <v>0.71947000000000005</v>
      </c>
      <c r="F294">
        <v>31</v>
      </c>
    </row>
    <row r="295" spans="1:6" x14ac:dyDescent="0.3">
      <c r="A295" s="3">
        <v>2006.4166666667099</v>
      </c>
      <c r="B295">
        <v>2006</v>
      </c>
      <c r="C295">
        <v>6</v>
      </c>
      <c r="D295" s="3">
        <v>29.783000000000001</v>
      </c>
      <c r="E295" s="3">
        <v>0.45613999999999999</v>
      </c>
      <c r="F295">
        <v>30</v>
      </c>
    </row>
    <row r="296" spans="1:6" x14ac:dyDescent="0.3">
      <c r="A296" s="3">
        <v>2006.50000000004</v>
      </c>
      <c r="B296">
        <v>2006</v>
      </c>
      <c r="C296">
        <v>7</v>
      </c>
      <c r="D296" s="3">
        <v>29.843870000000003</v>
      </c>
      <c r="E296" s="3">
        <v>0.55449999999999999</v>
      </c>
      <c r="F296">
        <v>31</v>
      </c>
    </row>
    <row r="297" spans="1:6" x14ac:dyDescent="0.3">
      <c r="A297" s="3">
        <v>2006.5833333333801</v>
      </c>
      <c r="B297">
        <v>2006</v>
      </c>
      <c r="C297">
        <v>8</v>
      </c>
      <c r="D297" s="3">
        <v>29.722899999999999</v>
      </c>
      <c r="E297" s="3">
        <v>0.35622999999999999</v>
      </c>
      <c r="F297">
        <v>31</v>
      </c>
    </row>
    <row r="298" spans="1:6" x14ac:dyDescent="0.3">
      <c r="A298" s="3">
        <v>2006.6666666667099</v>
      </c>
      <c r="B298">
        <v>2006</v>
      </c>
      <c r="C298">
        <v>9</v>
      </c>
      <c r="D298" s="3">
        <v>29.523000000000003</v>
      </c>
      <c r="E298" s="3">
        <v>0.46118000000000003</v>
      </c>
      <c r="F298">
        <v>30</v>
      </c>
    </row>
    <row r="299" spans="1:6" x14ac:dyDescent="0.3">
      <c r="A299" s="3">
        <v>2006.75000000005</v>
      </c>
      <c r="B299">
        <v>2006</v>
      </c>
      <c r="C299">
        <v>10</v>
      </c>
      <c r="D299" s="3">
        <v>29.621289999999998</v>
      </c>
      <c r="E299" s="3">
        <v>0.71326999999999996</v>
      </c>
      <c r="F299">
        <v>31</v>
      </c>
    </row>
    <row r="300" spans="1:6" x14ac:dyDescent="0.3">
      <c r="A300" s="3">
        <v>2006.8333333333801</v>
      </c>
      <c r="B300">
        <v>2006</v>
      </c>
      <c r="C300">
        <v>11</v>
      </c>
      <c r="D300" s="3">
        <v>28.983670000000004</v>
      </c>
      <c r="E300" s="3">
        <v>0.37978000000000001</v>
      </c>
      <c r="F300">
        <v>30</v>
      </c>
    </row>
    <row r="301" spans="1:6" x14ac:dyDescent="0.3">
      <c r="A301" s="3">
        <v>2006.9166666667099</v>
      </c>
      <c r="B301">
        <v>2006</v>
      </c>
      <c r="C301">
        <v>12</v>
      </c>
      <c r="D301" s="3">
        <v>28.463229999999999</v>
      </c>
      <c r="E301" s="3">
        <v>0.35404000000000002</v>
      </c>
      <c r="F301">
        <v>31</v>
      </c>
    </row>
    <row r="302" spans="1:6" x14ac:dyDescent="0.3">
      <c r="A302" s="3">
        <v>2007.00000000005</v>
      </c>
      <c r="B302">
        <v>2007</v>
      </c>
      <c r="C302">
        <v>1</v>
      </c>
      <c r="D302" s="3">
        <v>27.667100000000001</v>
      </c>
      <c r="E302" s="3">
        <v>0.36664999999999998</v>
      </c>
      <c r="F302">
        <v>31</v>
      </c>
    </row>
    <row r="303" spans="1:6" x14ac:dyDescent="0.3">
      <c r="A303" s="3">
        <v>2007.0833333333801</v>
      </c>
      <c r="B303">
        <v>2007</v>
      </c>
      <c r="C303">
        <v>2</v>
      </c>
      <c r="D303" s="3">
        <v>27.591790000000003</v>
      </c>
      <c r="E303" s="3">
        <v>0.21126999999999999</v>
      </c>
      <c r="F303">
        <v>28</v>
      </c>
    </row>
    <row r="304" spans="1:6" x14ac:dyDescent="0.3">
      <c r="A304" s="3">
        <v>2007.1666666667099</v>
      </c>
      <c r="B304">
        <v>2007</v>
      </c>
      <c r="C304">
        <v>3</v>
      </c>
      <c r="D304" s="3">
        <v>27.208390000000001</v>
      </c>
      <c r="E304" s="3">
        <v>0.71894000000000002</v>
      </c>
      <c r="F304">
        <v>31</v>
      </c>
    </row>
    <row r="305" spans="1:6" x14ac:dyDescent="0.3">
      <c r="A305" s="3">
        <v>2007.25000000005</v>
      </c>
      <c r="B305">
        <v>2007</v>
      </c>
      <c r="C305">
        <v>4</v>
      </c>
      <c r="D305" s="3">
        <v>27.874670000000002</v>
      </c>
      <c r="E305" s="3">
        <v>0.39000999999999997</v>
      </c>
      <c r="F305">
        <v>30</v>
      </c>
    </row>
    <row r="306" spans="1:6" x14ac:dyDescent="0.3">
      <c r="A306" s="3">
        <v>2007.3333333333801</v>
      </c>
      <c r="B306">
        <v>2007</v>
      </c>
      <c r="C306">
        <v>5</v>
      </c>
      <c r="D306" s="3">
        <v>28.675160000000002</v>
      </c>
      <c r="E306" s="3">
        <v>0.35933999999999999</v>
      </c>
      <c r="F306">
        <v>31</v>
      </c>
    </row>
    <row r="307" spans="1:6" x14ac:dyDescent="0.3">
      <c r="A307" s="3">
        <v>2007.4166666667099</v>
      </c>
      <c r="B307">
        <v>2007</v>
      </c>
      <c r="C307">
        <v>6</v>
      </c>
      <c r="D307" s="3">
        <v>29.878000000000004</v>
      </c>
      <c r="E307" s="3">
        <v>0.41444999999999999</v>
      </c>
      <c r="F307">
        <v>30</v>
      </c>
    </row>
    <row r="308" spans="1:6" x14ac:dyDescent="0.3">
      <c r="A308" s="3">
        <v>2007.50000000005</v>
      </c>
      <c r="B308">
        <v>2007</v>
      </c>
      <c r="C308">
        <v>7</v>
      </c>
      <c r="D308" s="3">
        <v>29.65419</v>
      </c>
      <c r="E308" s="3">
        <v>0.77378000000000002</v>
      </c>
      <c r="F308">
        <v>31</v>
      </c>
    </row>
    <row r="309" spans="1:6" x14ac:dyDescent="0.3">
      <c r="A309" s="3">
        <v>2007.5833333333801</v>
      </c>
      <c r="B309">
        <v>2007</v>
      </c>
      <c r="C309">
        <v>8</v>
      </c>
      <c r="D309" s="3">
        <v>29.443870000000004</v>
      </c>
      <c r="E309" s="3">
        <v>0.32188000000000005</v>
      </c>
      <c r="F309">
        <v>31</v>
      </c>
    </row>
    <row r="310" spans="1:6" x14ac:dyDescent="0.3">
      <c r="A310" s="3">
        <v>2007.6666666667099</v>
      </c>
      <c r="B310">
        <v>2007</v>
      </c>
      <c r="C310">
        <v>9</v>
      </c>
      <c r="D310" s="3">
        <v>29.493670000000002</v>
      </c>
      <c r="E310" s="3">
        <v>0.22694</v>
      </c>
      <c r="F310">
        <v>30</v>
      </c>
    </row>
    <row r="311" spans="1:6" x14ac:dyDescent="0.3">
      <c r="A311" s="3">
        <v>2007.75000000005</v>
      </c>
      <c r="B311">
        <v>2007</v>
      </c>
      <c r="C311">
        <v>10</v>
      </c>
      <c r="D311" s="3">
        <v>29.455479999999998</v>
      </c>
      <c r="E311" s="3">
        <v>0.30332000000000003</v>
      </c>
      <c r="F311">
        <v>31</v>
      </c>
    </row>
    <row r="312" spans="1:6" x14ac:dyDescent="0.3">
      <c r="A312" s="3">
        <v>2007.8333333333801</v>
      </c>
      <c r="B312">
        <v>2007</v>
      </c>
      <c r="C312">
        <v>11</v>
      </c>
      <c r="D312" s="3">
        <v>28.794330000000002</v>
      </c>
      <c r="E312" s="3">
        <v>0.40332999999999997</v>
      </c>
      <c r="F312">
        <v>30</v>
      </c>
    </row>
    <row r="313" spans="1:6" x14ac:dyDescent="0.3">
      <c r="A313" s="3">
        <v>2007.9166666667099</v>
      </c>
      <c r="B313">
        <v>2007</v>
      </c>
      <c r="C313">
        <v>12</v>
      </c>
      <c r="D313" s="3">
        <v>28.40774</v>
      </c>
      <c r="E313" s="3">
        <v>0.24306999999999998</v>
      </c>
      <c r="F313">
        <v>31</v>
      </c>
    </row>
    <row r="314" spans="1:6" x14ac:dyDescent="0.3">
      <c r="A314" s="3">
        <v>2008.00000000005</v>
      </c>
      <c r="B314">
        <v>2008</v>
      </c>
      <c r="C314">
        <v>1</v>
      </c>
      <c r="D314" s="3">
        <v>27.65645</v>
      </c>
      <c r="E314" s="3">
        <v>0.30915999999999999</v>
      </c>
      <c r="F314">
        <v>31</v>
      </c>
    </row>
    <row r="315" spans="1:6" x14ac:dyDescent="0.3">
      <c r="A315" s="3">
        <v>2008.0833333333801</v>
      </c>
      <c r="B315">
        <v>2008</v>
      </c>
      <c r="C315">
        <v>2</v>
      </c>
      <c r="D315" s="3">
        <v>27.456550000000004</v>
      </c>
      <c r="E315" s="3">
        <v>0.30770000000000003</v>
      </c>
      <c r="F315">
        <v>29</v>
      </c>
    </row>
    <row r="316" spans="1:6" x14ac:dyDescent="0.3">
      <c r="A316" s="3">
        <v>2008.1666666667099</v>
      </c>
      <c r="B316">
        <v>2008</v>
      </c>
      <c r="C316">
        <v>3</v>
      </c>
      <c r="D316" s="3">
        <v>27.29806</v>
      </c>
      <c r="E316" s="3">
        <v>0.33756999999999998</v>
      </c>
      <c r="F316">
        <v>31</v>
      </c>
    </row>
    <row r="317" spans="1:6" x14ac:dyDescent="0.3">
      <c r="A317" s="3">
        <v>2008.25000000005</v>
      </c>
      <c r="B317">
        <v>2008</v>
      </c>
      <c r="C317">
        <v>4</v>
      </c>
      <c r="D317" s="3">
        <v>27.452330000000003</v>
      </c>
      <c r="E317" s="3">
        <v>0.30570000000000003</v>
      </c>
      <c r="F317">
        <v>30</v>
      </c>
    </row>
    <row r="318" spans="1:6" x14ac:dyDescent="0.3">
      <c r="A318" s="3">
        <v>2008.3333333333801</v>
      </c>
      <c r="B318">
        <v>2008</v>
      </c>
      <c r="C318">
        <v>5</v>
      </c>
      <c r="D318" s="3">
        <v>28.344189999999998</v>
      </c>
      <c r="E318" s="3">
        <v>0.45953000000000005</v>
      </c>
      <c r="F318">
        <v>31</v>
      </c>
    </row>
    <row r="319" spans="1:6" x14ac:dyDescent="0.3">
      <c r="A319" s="3">
        <v>2008.4166666667099</v>
      </c>
      <c r="B319">
        <v>2008</v>
      </c>
      <c r="C319">
        <v>6</v>
      </c>
      <c r="D319" s="3">
        <v>29.249670000000002</v>
      </c>
      <c r="E319" s="3">
        <v>0.28920000000000001</v>
      </c>
      <c r="F319">
        <v>30</v>
      </c>
    </row>
    <row r="320" spans="1:6" x14ac:dyDescent="0.3">
      <c r="A320" s="3">
        <v>2008.50000000005</v>
      </c>
      <c r="B320">
        <v>2008</v>
      </c>
      <c r="C320">
        <v>7</v>
      </c>
      <c r="D320" s="3">
        <v>28.916129999999999</v>
      </c>
      <c r="E320" s="3">
        <v>0.49914999999999998</v>
      </c>
      <c r="F320">
        <v>31</v>
      </c>
    </row>
    <row r="321" spans="1:6" x14ac:dyDescent="0.3">
      <c r="A321" s="3">
        <v>2008.5833333333801</v>
      </c>
      <c r="B321">
        <v>2008</v>
      </c>
      <c r="C321">
        <v>8</v>
      </c>
      <c r="D321" s="3">
        <v>28.858710000000002</v>
      </c>
      <c r="E321" s="3">
        <v>0.52466000000000002</v>
      </c>
      <c r="F321">
        <v>31</v>
      </c>
    </row>
    <row r="322" spans="1:6" x14ac:dyDescent="0.3">
      <c r="A322" s="3">
        <v>2008.6666666667199</v>
      </c>
      <c r="B322">
        <v>2008</v>
      </c>
      <c r="C322">
        <v>9</v>
      </c>
      <c r="D322" s="3">
        <v>29.620999999999999</v>
      </c>
      <c r="E322" s="3">
        <v>0.43271999999999999</v>
      </c>
      <c r="F322">
        <v>30</v>
      </c>
    </row>
    <row r="323" spans="1:6" x14ac:dyDescent="0.3">
      <c r="A323" s="3">
        <v>2008.75000000005</v>
      </c>
      <c r="B323">
        <v>2008</v>
      </c>
      <c r="C323">
        <v>10</v>
      </c>
      <c r="D323" s="3">
        <v>29.482579999999999</v>
      </c>
      <c r="E323" s="3">
        <v>0.18608</v>
      </c>
      <c r="F323">
        <v>31</v>
      </c>
    </row>
    <row r="324" spans="1:6" x14ac:dyDescent="0.3">
      <c r="A324" s="3">
        <v>2008.8333333333801</v>
      </c>
      <c r="B324">
        <v>2008</v>
      </c>
      <c r="C324">
        <v>11</v>
      </c>
      <c r="D324" s="3">
        <v>28.78</v>
      </c>
      <c r="E324" s="3">
        <v>0.40232999999999997</v>
      </c>
      <c r="F324">
        <v>30</v>
      </c>
    </row>
    <row r="325" spans="1:6" x14ac:dyDescent="0.3">
      <c r="A325" s="3">
        <v>2008.9166666667199</v>
      </c>
      <c r="B325">
        <v>2008</v>
      </c>
      <c r="C325">
        <v>12</v>
      </c>
      <c r="D325" s="3">
        <v>28.02871</v>
      </c>
      <c r="E325" s="3">
        <v>0.29365999999999998</v>
      </c>
      <c r="F325">
        <v>31</v>
      </c>
    </row>
    <row r="326" spans="1:6" x14ac:dyDescent="0.3">
      <c r="A326" s="3">
        <v>2009.00000000005</v>
      </c>
      <c r="B326">
        <v>2009</v>
      </c>
      <c r="C326">
        <v>1</v>
      </c>
      <c r="D326" s="3">
        <v>27.34</v>
      </c>
      <c r="E326" s="3">
        <v>0.53373999999999999</v>
      </c>
      <c r="F326">
        <v>31</v>
      </c>
    </row>
    <row r="327" spans="1:6" x14ac:dyDescent="0.3">
      <c r="A327" s="3">
        <v>2009.0833333333801</v>
      </c>
      <c r="B327">
        <v>2009</v>
      </c>
      <c r="C327">
        <v>2</v>
      </c>
      <c r="D327" s="3">
        <v>26.97786</v>
      </c>
      <c r="E327" s="3">
        <v>0.29002</v>
      </c>
      <c r="F327">
        <v>28</v>
      </c>
    </row>
    <row r="328" spans="1:6" x14ac:dyDescent="0.3">
      <c r="A328" s="3">
        <v>2009.1666666667199</v>
      </c>
      <c r="B328">
        <v>2009</v>
      </c>
      <c r="C328">
        <v>3</v>
      </c>
      <c r="D328" s="3">
        <v>26.524190000000001</v>
      </c>
      <c r="E328" s="3">
        <v>0.37378</v>
      </c>
      <c r="F328">
        <v>31</v>
      </c>
    </row>
    <row r="329" spans="1:6" x14ac:dyDescent="0.3">
      <c r="A329" s="3">
        <v>2009.25000000005</v>
      </c>
      <c r="B329">
        <v>2009</v>
      </c>
      <c r="C329">
        <v>4</v>
      </c>
      <c r="D329" s="3">
        <v>27.281669999999998</v>
      </c>
      <c r="E329" s="3">
        <v>0.36386000000000002</v>
      </c>
      <c r="F329">
        <v>30</v>
      </c>
    </row>
    <row r="330" spans="1:6" x14ac:dyDescent="0.3">
      <c r="A330" s="3">
        <v>2009.3333333333801</v>
      </c>
      <c r="B330">
        <v>2009</v>
      </c>
      <c r="C330">
        <v>5</v>
      </c>
      <c r="D330" s="3">
        <v>28.395479999999999</v>
      </c>
      <c r="E330" s="3">
        <v>0.70084999999999997</v>
      </c>
      <c r="F330">
        <v>31</v>
      </c>
    </row>
    <row r="331" spans="1:6" x14ac:dyDescent="0.3">
      <c r="A331" s="3">
        <v>2009.4166666667199</v>
      </c>
      <c r="B331">
        <v>2009</v>
      </c>
      <c r="C331">
        <v>6</v>
      </c>
      <c r="D331" s="3">
        <v>29.089670000000002</v>
      </c>
      <c r="E331" s="3">
        <v>0.28882999999999998</v>
      </c>
      <c r="F331">
        <v>30</v>
      </c>
    </row>
    <row r="332" spans="1:6" x14ac:dyDescent="0.3">
      <c r="A332" s="3">
        <v>2009.50000000005</v>
      </c>
      <c r="B332">
        <v>2009</v>
      </c>
      <c r="C332">
        <v>7</v>
      </c>
      <c r="D332" s="3">
        <v>29.324520000000003</v>
      </c>
      <c r="E332" s="3">
        <v>0.54124000000000005</v>
      </c>
      <c r="F332">
        <v>31</v>
      </c>
    </row>
    <row r="333" spans="1:6" x14ac:dyDescent="0.3">
      <c r="A333" s="3">
        <v>2009.5833333333801</v>
      </c>
      <c r="B333">
        <v>2009</v>
      </c>
      <c r="C333">
        <v>8</v>
      </c>
      <c r="D333" s="3">
        <v>28.926449999999999</v>
      </c>
      <c r="E333" s="3">
        <v>0.53481999999999996</v>
      </c>
      <c r="F333">
        <v>31</v>
      </c>
    </row>
    <row r="334" spans="1:6" x14ac:dyDescent="0.3">
      <c r="A334" s="3">
        <v>2009.6666666667199</v>
      </c>
      <c r="B334">
        <v>2009</v>
      </c>
      <c r="C334">
        <v>9</v>
      </c>
      <c r="D334" s="3">
        <v>29.493670000000002</v>
      </c>
      <c r="E334" s="3">
        <v>0.39404000000000006</v>
      </c>
      <c r="F334">
        <v>30</v>
      </c>
    </row>
    <row r="335" spans="1:6" x14ac:dyDescent="0.3">
      <c r="A335" s="3">
        <v>2009.75000000005</v>
      </c>
      <c r="B335">
        <v>2009</v>
      </c>
      <c r="C335">
        <v>10</v>
      </c>
      <c r="D335" s="3">
        <v>29.434840000000001</v>
      </c>
      <c r="E335" s="3">
        <v>0.23492000000000002</v>
      </c>
      <c r="F335">
        <v>31</v>
      </c>
    </row>
    <row r="336" spans="1:6" x14ac:dyDescent="0.3">
      <c r="A336" s="3">
        <v>2009.8333333333801</v>
      </c>
      <c r="B336">
        <v>2009</v>
      </c>
      <c r="C336">
        <v>11</v>
      </c>
      <c r="D336" s="3">
        <v>29.169330000000002</v>
      </c>
      <c r="E336" s="3">
        <v>0.19283999999999998</v>
      </c>
      <c r="F336">
        <v>30</v>
      </c>
    </row>
    <row r="337" spans="1:6" x14ac:dyDescent="0.3">
      <c r="A337" s="3">
        <v>2009.9166666667199</v>
      </c>
      <c r="B337">
        <v>2009</v>
      </c>
      <c r="C337">
        <v>12</v>
      </c>
      <c r="D337" s="3">
        <v>28.927099999999999</v>
      </c>
      <c r="E337" s="3">
        <v>0.50095000000000001</v>
      </c>
      <c r="F337">
        <v>31</v>
      </c>
    </row>
    <row r="338" spans="1:6" x14ac:dyDescent="0.3">
      <c r="A338" s="3">
        <v>2010.00000000005</v>
      </c>
      <c r="B338">
        <v>2010</v>
      </c>
      <c r="C338">
        <v>1</v>
      </c>
      <c r="D338" s="3">
        <v>27.983229999999999</v>
      </c>
      <c r="E338" s="3">
        <v>0.24861000000000003</v>
      </c>
      <c r="F338">
        <v>31</v>
      </c>
    </row>
    <row r="339" spans="1:6" x14ac:dyDescent="0.3">
      <c r="A339" s="3">
        <v>2010.0833333333801</v>
      </c>
      <c r="B339">
        <v>2010</v>
      </c>
      <c r="C339">
        <v>2</v>
      </c>
      <c r="D339" s="3">
        <v>27.513570000000001</v>
      </c>
      <c r="E339" s="3">
        <v>0.38027</v>
      </c>
      <c r="F339">
        <v>28</v>
      </c>
    </row>
    <row r="340" spans="1:6" x14ac:dyDescent="0.3">
      <c r="A340" s="3">
        <v>2010.1666666667199</v>
      </c>
      <c r="B340">
        <v>2010</v>
      </c>
      <c r="C340">
        <v>3</v>
      </c>
      <c r="D340" s="3">
        <v>27.656129999999997</v>
      </c>
      <c r="E340" s="3">
        <v>0.41458</v>
      </c>
      <c r="F340">
        <v>31</v>
      </c>
    </row>
    <row r="341" spans="1:6" x14ac:dyDescent="0.3">
      <c r="A341" s="3">
        <v>2010.25000000005</v>
      </c>
      <c r="B341">
        <v>2010</v>
      </c>
      <c r="C341">
        <v>4</v>
      </c>
      <c r="D341" s="3">
        <v>28.217330000000004</v>
      </c>
      <c r="E341" s="3">
        <v>0.47431000000000001</v>
      </c>
      <c r="F341">
        <v>30</v>
      </c>
    </row>
    <row r="342" spans="1:6" x14ac:dyDescent="0.3">
      <c r="A342" s="3">
        <v>2010.3333333333801</v>
      </c>
      <c r="B342">
        <v>2010</v>
      </c>
      <c r="C342">
        <v>5</v>
      </c>
      <c r="D342" s="3">
        <v>29.364190000000001</v>
      </c>
      <c r="E342" s="3">
        <v>0.57591999999999999</v>
      </c>
      <c r="F342">
        <v>31</v>
      </c>
    </row>
    <row r="343" spans="1:6" x14ac:dyDescent="0.3">
      <c r="A343" s="3">
        <v>2010.4166666667199</v>
      </c>
      <c r="B343">
        <v>2010</v>
      </c>
      <c r="C343">
        <v>6</v>
      </c>
      <c r="D343" s="3">
        <v>29.39067</v>
      </c>
      <c r="E343" s="3">
        <v>0.53378999999999999</v>
      </c>
      <c r="F343">
        <v>30</v>
      </c>
    </row>
    <row r="344" spans="1:6" x14ac:dyDescent="0.3">
      <c r="A344" s="3">
        <v>2010.50000000005</v>
      </c>
      <c r="B344">
        <v>2010</v>
      </c>
      <c r="C344">
        <v>7</v>
      </c>
      <c r="D344" s="3">
        <v>29.61065</v>
      </c>
      <c r="E344" s="3">
        <v>0.30408000000000002</v>
      </c>
      <c r="F344">
        <v>31</v>
      </c>
    </row>
    <row r="345" spans="1:6" x14ac:dyDescent="0.3">
      <c r="A345" s="3">
        <v>2010.5833333333901</v>
      </c>
      <c r="B345">
        <v>2010</v>
      </c>
      <c r="C345">
        <v>8</v>
      </c>
      <c r="D345" s="3">
        <v>29.46903</v>
      </c>
      <c r="E345" s="3">
        <v>0.35518</v>
      </c>
      <c r="F345">
        <v>31</v>
      </c>
    </row>
    <row r="346" spans="1:6" x14ac:dyDescent="0.3">
      <c r="A346" s="3">
        <v>2010.6666666667199</v>
      </c>
      <c r="B346">
        <v>2010</v>
      </c>
      <c r="C346">
        <v>9</v>
      </c>
      <c r="D346" s="3">
        <v>29.397330000000004</v>
      </c>
      <c r="E346" s="3">
        <v>0.32813000000000003</v>
      </c>
      <c r="F346">
        <v>30</v>
      </c>
    </row>
    <row r="347" spans="1:6" x14ac:dyDescent="0.3">
      <c r="A347" s="3">
        <v>2010.75000000005</v>
      </c>
      <c r="B347">
        <v>2010</v>
      </c>
      <c r="C347">
        <v>10</v>
      </c>
      <c r="D347" s="3">
        <v>29.29</v>
      </c>
      <c r="E347" s="3">
        <v>0.18862999999999999</v>
      </c>
      <c r="F347">
        <v>31</v>
      </c>
    </row>
    <row r="348" spans="1:6" x14ac:dyDescent="0.3">
      <c r="A348" s="3">
        <v>2010.8333333333901</v>
      </c>
      <c r="B348">
        <v>2010</v>
      </c>
      <c r="C348">
        <v>11</v>
      </c>
      <c r="D348" s="3">
        <v>28.587669999999999</v>
      </c>
      <c r="E348" s="3">
        <v>0.23205999999999999</v>
      </c>
      <c r="F348">
        <v>30</v>
      </c>
    </row>
    <row r="349" spans="1:6" x14ac:dyDescent="0.3">
      <c r="A349" s="3">
        <v>2010.9166666667199</v>
      </c>
      <c r="B349">
        <v>2010</v>
      </c>
      <c r="C349">
        <v>12</v>
      </c>
      <c r="D349" s="3">
        <v>28.150970000000001</v>
      </c>
      <c r="E349" s="3">
        <v>0.37457999999999997</v>
      </c>
      <c r="F349">
        <v>31</v>
      </c>
    </row>
    <row r="350" spans="1:6" x14ac:dyDescent="0.3">
      <c r="A350" s="3">
        <v>2011.00000000005</v>
      </c>
      <c r="B350">
        <v>2011</v>
      </c>
      <c r="C350">
        <v>1</v>
      </c>
      <c r="D350" s="3">
        <v>27.818710000000003</v>
      </c>
      <c r="E350" s="3">
        <v>0.44288</v>
      </c>
      <c r="F350">
        <v>31</v>
      </c>
    </row>
    <row r="351" spans="1:6" x14ac:dyDescent="0.3">
      <c r="A351" s="3">
        <v>2011.0833333333901</v>
      </c>
      <c r="B351">
        <v>2011</v>
      </c>
      <c r="C351">
        <v>2</v>
      </c>
      <c r="D351" s="3">
        <v>27.613569999999999</v>
      </c>
      <c r="E351" s="3">
        <v>0.43164000000000002</v>
      </c>
      <c r="F351">
        <v>28</v>
      </c>
    </row>
    <row r="352" spans="1:6" x14ac:dyDescent="0.3">
      <c r="A352" s="3">
        <v>2011.1666666667199</v>
      </c>
      <c r="B352">
        <v>2011</v>
      </c>
      <c r="C352">
        <v>3</v>
      </c>
      <c r="D352" s="3">
        <v>27.00581</v>
      </c>
      <c r="E352" s="3">
        <v>0.48729999999999996</v>
      </c>
      <c r="F352">
        <v>31</v>
      </c>
    </row>
    <row r="353" spans="1:6" x14ac:dyDescent="0.3">
      <c r="A353" s="3">
        <v>2011.25000000005</v>
      </c>
      <c r="B353">
        <v>2011</v>
      </c>
      <c r="C353">
        <v>4</v>
      </c>
      <c r="D353" s="3">
        <v>27.503330000000002</v>
      </c>
      <c r="E353" s="3">
        <v>0.42918000000000001</v>
      </c>
      <c r="F353">
        <v>30</v>
      </c>
    </row>
    <row r="354" spans="1:6" x14ac:dyDescent="0.3">
      <c r="A354" s="3">
        <v>2011.3333333333901</v>
      </c>
      <c r="B354">
        <v>2011</v>
      </c>
      <c r="C354">
        <v>5</v>
      </c>
      <c r="D354" s="3">
        <v>28.154520000000002</v>
      </c>
      <c r="E354" s="3">
        <v>0.60963999999999996</v>
      </c>
      <c r="F354">
        <v>31</v>
      </c>
    </row>
    <row r="355" spans="1:6" x14ac:dyDescent="0.3">
      <c r="A355" s="3">
        <v>2011.4166666667199</v>
      </c>
      <c r="B355">
        <v>2011</v>
      </c>
      <c r="C355">
        <v>6</v>
      </c>
      <c r="D355" s="3">
        <v>29.321999999999999</v>
      </c>
      <c r="E355" s="3">
        <v>0.45744000000000001</v>
      </c>
      <c r="F355">
        <v>30</v>
      </c>
    </row>
    <row r="356" spans="1:6" x14ac:dyDescent="0.3">
      <c r="A356" s="3">
        <v>2011.50000000005</v>
      </c>
      <c r="B356">
        <v>2011</v>
      </c>
      <c r="C356">
        <v>7</v>
      </c>
      <c r="D356" s="3">
        <v>29.525479999999998</v>
      </c>
      <c r="E356" s="3">
        <v>0.43253999999999998</v>
      </c>
      <c r="F356">
        <v>31</v>
      </c>
    </row>
    <row r="357" spans="1:6" x14ac:dyDescent="0.3">
      <c r="A357" s="3">
        <v>2011.5833333333901</v>
      </c>
      <c r="B357">
        <v>2011</v>
      </c>
      <c r="C357">
        <v>8</v>
      </c>
      <c r="D357" s="3">
        <v>29.548390000000001</v>
      </c>
      <c r="E357" s="3">
        <v>0.32060000000000005</v>
      </c>
      <c r="F357">
        <v>31</v>
      </c>
    </row>
    <row r="358" spans="1:6" x14ac:dyDescent="0.3">
      <c r="A358" s="3">
        <v>2011.6666666667199</v>
      </c>
      <c r="B358">
        <v>2011</v>
      </c>
      <c r="C358">
        <v>9</v>
      </c>
      <c r="D358" s="3">
        <v>29.592669999999998</v>
      </c>
      <c r="E358" s="3">
        <v>0.27745000000000003</v>
      </c>
      <c r="F358">
        <v>30</v>
      </c>
    </row>
    <row r="359" spans="1:6" x14ac:dyDescent="0.3">
      <c r="A359" s="3">
        <v>2011.75000000005</v>
      </c>
      <c r="B359">
        <v>2011</v>
      </c>
      <c r="C359">
        <v>10</v>
      </c>
      <c r="D359" s="3">
        <v>29.14161</v>
      </c>
      <c r="E359" s="3">
        <v>0.50112000000000001</v>
      </c>
      <c r="F359">
        <v>31</v>
      </c>
    </row>
    <row r="360" spans="1:6" x14ac:dyDescent="0.3">
      <c r="A360" s="3">
        <v>2011.8333333333901</v>
      </c>
      <c r="B360">
        <v>2011</v>
      </c>
      <c r="C360">
        <v>11</v>
      </c>
      <c r="D360" s="3">
        <v>29.243670000000002</v>
      </c>
      <c r="E360" s="3">
        <v>0.32316000000000006</v>
      </c>
      <c r="F360">
        <v>30</v>
      </c>
    </row>
    <row r="361" spans="1:6" x14ac:dyDescent="0.3">
      <c r="A361" s="3">
        <v>2011.9166666667199</v>
      </c>
      <c r="B361">
        <v>2011</v>
      </c>
      <c r="C361">
        <v>12</v>
      </c>
      <c r="D361" s="3">
        <v>28.596129999999999</v>
      </c>
      <c r="E361" s="3">
        <v>0.19697000000000001</v>
      </c>
      <c r="F361">
        <v>31</v>
      </c>
    </row>
    <row r="362" spans="1:6" x14ac:dyDescent="0.3">
      <c r="A362" s="3">
        <v>2012.00000000005</v>
      </c>
      <c r="B362">
        <v>2012</v>
      </c>
      <c r="C362">
        <v>1</v>
      </c>
      <c r="D362" s="3">
        <v>27.77129</v>
      </c>
      <c r="E362" s="3">
        <v>0.37148000000000003</v>
      </c>
      <c r="F362">
        <v>31</v>
      </c>
    </row>
    <row r="363" spans="1:6" x14ac:dyDescent="0.3">
      <c r="A363" s="3">
        <v>2012.0833333333901</v>
      </c>
      <c r="B363">
        <v>2012</v>
      </c>
      <c r="C363">
        <v>2</v>
      </c>
      <c r="D363" s="3">
        <v>27.163789999999999</v>
      </c>
      <c r="E363" s="3">
        <v>0.27379999999999999</v>
      </c>
      <c r="F363">
        <v>29</v>
      </c>
    </row>
    <row r="364" spans="1:6" x14ac:dyDescent="0.3">
      <c r="A364" s="3">
        <v>2012.1666666667199</v>
      </c>
      <c r="B364">
        <v>2012</v>
      </c>
      <c r="C364">
        <v>3</v>
      </c>
      <c r="D364" s="3">
        <v>26.66</v>
      </c>
      <c r="E364" s="3">
        <v>0.36973999999999996</v>
      </c>
      <c r="F364">
        <v>31</v>
      </c>
    </row>
    <row r="365" spans="1:6" x14ac:dyDescent="0.3">
      <c r="A365" s="3">
        <v>2012.25000000006</v>
      </c>
      <c r="B365">
        <v>2012</v>
      </c>
      <c r="C365">
        <v>4</v>
      </c>
      <c r="D365" s="3">
        <v>27.758330000000001</v>
      </c>
      <c r="E365" s="3">
        <v>0.74611000000000005</v>
      </c>
      <c r="F365">
        <v>30</v>
      </c>
    </row>
    <row r="366" spans="1:6" x14ac:dyDescent="0.3">
      <c r="A366" s="3">
        <v>2012.3333333333901</v>
      </c>
      <c r="B366">
        <v>2012</v>
      </c>
      <c r="C366">
        <v>5</v>
      </c>
      <c r="D366" s="3">
        <v>29.112260000000003</v>
      </c>
      <c r="E366" s="3">
        <v>0.56076000000000004</v>
      </c>
      <c r="F366">
        <v>31</v>
      </c>
    </row>
    <row r="367" spans="1:6" x14ac:dyDescent="0.3">
      <c r="A367" s="3">
        <v>2012.4166666667199</v>
      </c>
      <c r="B367">
        <v>2012</v>
      </c>
      <c r="C367">
        <v>6</v>
      </c>
      <c r="D367" s="3">
        <v>29.60933</v>
      </c>
      <c r="E367" s="3">
        <v>0.32273000000000002</v>
      </c>
      <c r="F367">
        <v>30</v>
      </c>
    </row>
    <row r="368" spans="1:6" x14ac:dyDescent="0.3">
      <c r="A368" s="3">
        <v>2012.50000000006</v>
      </c>
      <c r="B368">
        <v>2012</v>
      </c>
      <c r="C368">
        <v>7</v>
      </c>
      <c r="D368" s="3">
        <v>29.67484</v>
      </c>
      <c r="E368" s="3">
        <v>0.26341999999999999</v>
      </c>
      <c r="F368">
        <v>31</v>
      </c>
    </row>
    <row r="369" spans="1:6" x14ac:dyDescent="0.3">
      <c r="A369" s="3">
        <v>2012.5833333333901</v>
      </c>
      <c r="B369">
        <v>2012</v>
      </c>
      <c r="C369">
        <v>8</v>
      </c>
      <c r="D369" s="3">
        <v>29.277420000000003</v>
      </c>
      <c r="E369" s="3">
        <v>0.54372999999999994</v>
      </c>
      <c r="F369">
        <v>31</v>
      </c>
    </row>
    <row r="370" spans="1:6" x14ac:dyDescent="0.3">
      <c r="A370" s="3">
        <v>2012.6666666667199</v>
      </c>
      <c r="B370">
        <v>2012</v>
      </c>
      <c r="C370">
        <v>9</v>
      </c>
      <c r="D370" s="3">
        <v>29.515000000000001</v>
      </c>
      <c r="E370" s="3">
        <v>0.26241999999999999</v>
      </c>
      <c r="F370">
        <v>30</v>
      </c>
    </row>
    <row r="371" spans="1:6" x14ac:dyDescent="0.3">
      <c r="A371" s="3">
        <v>2012.75000000006</v>
      </c>
      <c r="B371">
        <v>2012</v>
      </c>
      <c r="C371">
        <v>10</v>
      </c>
      <c r="D371" s="3">
        <v>29.09806</v>
      </c>
      <c r="E371" s="3">
        <v>0.40706000000000003</v>
      </c>
      <c r="F371">
        <v>31</v>
      </c>
    </row>
    <row r="372" spans="1:6" x14ac:dyDescent="0.3">
      <c r="A372" s="3">
        <v>2012.8333333333901</v>
      </c>
      <c r="B372">
        <v>2012</v>
      </c>
      <c r="C372">
        <v>11</v>
      </c>
      <c r="D372" s="3">
        <v>28.89667</v>
      </c>
      <c r="E372" s="3">
        <v>0.3669</v>
      </c>
      <c r="F372">
        <v>30</v>
      </c>
    </row>
    <row r="373" spans="1:6" x14ac:dyDescent="0.3">
      <c r="A373" s="3">
        <v>2012.9166666667199</v>
      </c>
      <c r="B373">
        <v>2012</v>
      </c>
      <c r="C373">
        <v>12</v>
      </c>
      <c r="D373" s="3">
        <v>28.717100000000002</v>
      </c>
      <c r="E373" s="3">
        <v>0.22849</v>
      </c>
      <c r="F373">
        <v>31</v>
      </c>
    </row>
    <row r="374" spans="1:6" x14ac:dyDescent="0.3">
      <c r="A374" s="3">
        <v>2013.00000000006</v>
      </c>
      <c r="B374">
        <v>2013</v>
      </c>
      <c r="C374">
        <v>1</v>
      </c>
      <c r="D374" s="3">
        <v>27.780970000000003</v>
      </c>
      <c r="E374" s="3">
        <v>0.61978999999999995</v>
      </c>
      <c r="F374">
        <v>31</v>
      </c>
    </row>
    <row r="375" spans="1:6" x14ac:dyDescent="0.3">
      <c r="A375" s="3">
        <v>2013.0833333333901</v>
      </c>
      <c r="B375">
        <v>2013</v>
      </c>
      <c r="C375">
        <v>2</v>
      </c>
      <c r="D375" s="3">
        <v>27.364640000000001</v>
      </c>
      <c r="E375" s="3">
        <v>0.41224</v>
      </c>
      <c r="F375">
        <v>28</v>
      </c>
    </row>
    <row r="376" spans="1:6" x14ac:dyDescent="0.3">
      <c r="A376" s="3">
        <v>2013.1666666667199</v>
      </c>
      <c r="B376">
        <v>2013</v>
      </c>
      <c r="C376">
        <v>3</v>
      </c>
      <c r="D376" s="3">
        <v>26.964839999999999</v>
      </c>
      <c r="E376" s="3">
        <v>0.35726999999999998</v>
      </c>
      <c r="F376">
        <v>31</v>
      </c>
    </row>
    <row r="377" spans="1:6" x14ac:dyDescent="0.3">
      <c r="A377" s="3">
        <v>2013.25000000006</v>
      </c>
      <c r="B377">
        <v>2013</v>
      </c>
      <c r="C377">
        <v>4</v>
      </c>
      <c r="D377" s="3">
        <v>27.684670000000001</v>
      </c>
      <c r="E377" s="3">
        <v>0.26523000000000002</v>
      </c>
      <c r="F377">
        <v>30</v>
      </c>
    </row>
    <row r="378" spans="1:6" x14ac:dyDescent="0.3">
      <c r="A378" s="3">
        <v>2013.3333333333901</v>
      </c>
      <c r="B378">
        <v>2013</v>
      </c>
      <c r="C378">
        <v>5</v>
      </c>
      <c r="D378" s="3">
        <v>28.571940000000001</v>
      </c>
      <c r="E378" s="3">
        <v>0.39304000000000006</v>
      </c>
      <c r="F378">
        <v>31</v>
      </c>
    </row>
    <row r="379" spans="1:6" x14ac:dyDescent="0.3">
      <c r="A379" s="3">
        <v>2013.4166666667199</v>
      </c>
      <c r="B379">
        <v>2013</v>
      </c>
      <c r="C379">
        <v>6</v>
      </c>
      <c r="D379" s="3">
        <v>29.308330000000002</v>
      </c>
      <c r="E379" s="3">
        <v>0.44182000000000005</v>
      </c>
      <c r="F379">
        <v>30</v>
      </c>
    </row>
    <row r="380" spans="1:6" x14ac:dyDescent="0.3">
      <c r="A380" s="3">
        <v>2013.50000000006</v>
      </c>
      <c r="B380">
        <v>2013</v>
      </c>
      <c r="C380">
        <v>7</v>
      </c>
      <c r="D380" s="3">
        <v>29.378710000000002</v>
      </c>
      <c r="E380" s="3">
        <v>0.37942999999999999</v>
      </c>
      <c r="F380">
        <v>31</v>
      </c>
    </row>
    <row r="381" spans="1:6" x14ac:dyDescent="0.3">
      <c r="A381" s="3">
        <v>2013.5833333333901</v>
      </c>
      <c r="B381">
        <v>2013</v>
      </c>
      <c r="C381">
        <v>8</v>
      </c>
      <c r="D381" s="3">
        <v>29.070650000000001</v>
      </c>
      <c r="E381" s="3">
        <v>0.44026000000000004</v>
      </c>
      <c r="F381">
        <v>31</v>
      </c>
    </row>
    <row r="382" spans="1:6" x14ac:dyDescent="0.3">
      <c r="A382" s="3">
        <v>2013.6666666667199</v>
      </c>
      <c r="B382">
        <v>2013</v>
      </c>
      <c r="C382">
        <v>9</v>
      </c>
      <c r="D382" s="3">
        <v>29.357330000000001</v>
      </c>
      <c r="E382" s="3">
        <v>0.68364999999999998</v>
      </c>
      <c r="F382">
        <v>30</v>
      </c>
    </row>
    <row r="383" spans="1:6" x14ac:dyDescent="0.3">
      <c r="A383" s="3">
        <v>2013.75000000006</v>
      </c>
      <c r="B383">
        <v>2013</v>
      </c>
      <c r="C383">
        <v>10</v>
      </c>
      <c r="D383" s="3">
        <v>29.426770000000001</v>
      </c>
      <c r="E383" s="3">
        <v>0.21571000000000001</v>
      </c>
      <c r="F383">
        <v>31</v>
      </c>
    </row>
    <row r="384" spans="1:6" x14ac:dyDescent="0.3">
      <c r="A384" s="3">
        <v>2013.8333333333901</v>
      </c>
      <c r="B384">
        <v>2013</v>
      </c>
      <c r="C384">
        <v>11</v>
      </c>
      <c r="D384" s="3">
        <v>29.370329999999999</v>
      </c>
      <c r="E384" s="3">
        <v>0.17244000000000001</v>
      </c>
      <c r="F384">
        <v>30</v>
      </c>
    </row>
    <row r="385" spans="1:6" x14ac:dyDescent="0.3">
      <c r="A385" s="3">
        <v>2013.9166666667199</v>
      </c>
      <c r="B385">
        <v>2013</v>
      </c>
      <c r="C385">
        <v>12</v>
      </c>
      <c r="D385" s="3">
        <v>29.007739999999998</v>
      </c>
      <c r="E385" s="3">
        <v>0.41177999999999998</v>
      </c>
      <c r="F385">
        <v>31</v>
      </c>
    </row>
    <row r="386" spans="1:6" x14ac:dyDescent="0.3">
      <c r="A386" s="3">
        <v>2014.00000000006</v>
      </c>
      <c r="B386">
        <v>2014</v>
      </c>
      <c r="C386">
        <v>1</v>
      </c>
      <c r="D386" s="3">
        <v>28.302900000000001</v>
      </c>
      <c r="E386" s="3">
        <v>0.46008000000000004</v>
      </c>
      <c r="F386">
        <v>31</v>
      </c>
    </row>
    <row r="387" spans="1:6" x14ac:dyDescent="0.3">
      <c r="A387" s="3">
        <v>2014.0833333333901</v>
      </c>
      <c r="B387">
        <v>2014</v>
      </c>
      <c r="C387">
        <v>2</v>
      </c>
      <c r="D387" s="3">
        <v>27.95393</v>
      </c>
      <c r="E387" s="3">
        <v>0.44843000000000005</v>
      </c>
      <c r="F387">
        <v>28</v>
      </c>
    </row>
    <row r="388" spans="1:6" x14ac:dyDescent="0.3">
      <c r="A388" s="3">
        <v>2014.16666666673</v>
      </c>
      <c r="B388">
        <v>2014</v>
      </c>
      <c r="C388">
        <v>3</v>
      </c>
      <c r="D388" s="3">
        <v>27.39161</v>
      </c>
      <c r="E388" s="3">
        <v>0.30406</v>
      </c>
      <c r="F388">
        <v>31</v>
      </c>
    </row>
    <row r="389" spans="1:6" x14ac:dyDescent="0.3">
      <c r="A389" s="3">
        <v>2014.25000000006</v>
      </c>
      <c r="B389">
        <v>2014</v>
      </c>
      <c r="C389">
        <v>4</v>
      </c>
      <c r="D389" s="3">
        <v>27.952669999999998</v>
      </c>
      <c r="E389" s="3">
        <v>0.63734999999999997</v>
      </c>
      <c r="F389">
        <v>30</v>
      </c>
    </row>
    <row r="390" spans="1:6" x14ac:dyDescent="0.3">
      <c r="A390" s="3">
        <v>2014.3333333333901</v>
      </c>
      <c r="B390">
        <v>2014</v>
      </c>
      <c r="C390">
        <v>5</v>
      </c>
      <c r="D390" s="3">
        <v>28.68516</v>
      </c>
      <c r="E390" s="3">
        <v>0.43877000000000005</v>
      </c>
      <c r="F390">
        <v>31</v>
      </c>
    </row>
    <row r="391" spans="1:6" x14ac:dyDescent="0.3">
      <c r="A391" s="3">
        <v>2014.41666666673</v>
      </c>
      <c r="B391">
        <v>2014</v>
      </c>
      <c r="C391">
        <v>6</v>
      </c>
      <c r="D391" s="3">
        <v>29.630670000000002</v>
      </c>
      <c r="E391" s="3">
        <v>0.40409999999999996</v>
      </c>
      <c r="F391">
        <v>30</v>
      </c>
    </row>
    <row r="392" spans="1:6" x14ac:dyDescent="0.3">
      <c r="A392" s="3">
        <v>2014.50000000006</v>
      </c>
      <c r="B392">
        <v>2014</v>
      </c>
      <c r="C392">
        <v>7</v>
      </c>
      <c r="D392" s="3">
        <v>29.605810000000002</v>
      </c>
      <c r="E392" s="3">
        <v>0.30324000000000001</v>
      </c>
      <c r="F392">
        <v>31</v>
      </c>
    </row>
    <row r="393" spans="1:6" x14ac:dyDescent="0.3">
      <c r="A393" s="3">
        <v>2014.5833333333901</v>
      </c>
      <c r="B393">
        <v>2014</v>
      </c>
      <c r="C393">
        <v>8</v>
      </c>
      <c r="D393" s="3">
        <v>29.653870000000001</v>
      </c>
      <c r="E393" s="3">
        <v>0.28459000000000001</v>
      </c>
      <c r="F393">
        <v>31</v>
      </c>
    </row>
    <row r="394" spans="1:6" x14ac:dyDescent="0.3">
      <c r="A394" s="3">
        <v>2014.66666666673</v>
      </c>
      <c r="B394">
        <v>2014</v>
      </c>
      <c r="C394">
        <v>9</v>
      </c>
      <c r="D394" s="3">
        <v>29.64067</v>
      </c>
      <c r="E394" s="3">
        <v>0.37167</v>
      </c>
      <c r="F394">
        <v>30</v>
      </c>
    </row>
    <row r="395" spans="1:6" x14ac:dyDescent="0.3">
      <c r="A395" s="3">
        <v>2014.75000000006</v>
      </c>
      <c r="B395">
        <v>2014</v>
      </c>
      <c r="C395">
        <v>10</v>
      </c>
      <c r="D395" s="3">
        <v>29.491610000000001</v>
      </c>
      <c r="E395" s="3">
        <v>0.23576</v>
      </c>
      <c r="F395">
        <v>31</v>
      </c>
    </row>
    <row r="396" spans="1:6" x14ac:dyDescent="0.3">
      <c r="A396" s="3">
        <v>2014.8333333333901</v>
      </c>
      <c r="B396">
        <v>2014</v>
      </c>
      <c r="C396">
        <v>11</v>
      </c>
      <c r="D396" s="3">
        <v>29.341999999999999</v>
      </c>
      <c r="E396" s="3">
        <v>0.32329000000000002</v>
      </c>
      <c r="F396">
        <v>30</v>
      </c>
    </row>
    <row r="397" spans="1:6" x14ac:dyDescent="0.3">
      <c r="A397" s="3">
        <v>2014.91666666673</v>
      </c>
      <c r="B397">
        <v>2014</v>
      </c>
      <c r="C397">
        <v>12</v>
      </c>
      <c r="D397" s="3">
        <v>28.350650000000002</v>
      </c>
      <c r="E397" s="3">
        <v>0.28121000000000002</v>
      </c>
      <c r="F397">
        <v>31</v>
      </c>
    </row>
    <row r="398" spans="1:6" x14ac:dyDescent="0.3">
      <c r="A398" s="3">
        <v>2015.00000000006</v>
      </c>
      <c r="B398">
        <v>2015</v>
      </c>
      <c r="C398">
        <v>1</v>
      </c>
      <c r="D398" s="3">
        <v>27.557420000000004</v>
      </c>
      <c r="E398" s="3">
        <v>0.35665000000000002</v>
      </c>
      <c r="F398">
        <v>31</v>
      </c>
    </row>
    <row r="399" spans="1:6" x14ac:dyDescent="0.3">
      <c r="A399" s="3">
        <v>2015.0833333333901</v>
      </c>
      <c r="B399">
        <v>2015</v>
      </c>
      <c r="C399">
        <v>2</v>
      </c>
      <c r="D399" s="3">
        <v>27.454640000000001</v>
      </c>
      <c r="E399" s="3">
        <v>0.22280000000000003</v>
      </c>
      <c r="F399">
        <v>28</v>
      </c>
    </row>
    <row r="400" spans="1:6" x14ac:dyDescent="0.3">
      <c r="A400" s="3">
        <v>2015.16666666673</v>
      </c>
      <c r="B400">
        <v>2015</v>
      </c>
      <c r="C400">
        <v>3</v>
      </c>
      <c r="D400" s="3">
        <v>27.29194</v>
      </c>
      <c r="E400" s="3">
        <v>0.39848999999999996</v>
      </c>
      <c r="F400">
        <v>31</v>
      </c>
    </row>
    <row r="401" spans="1:6" x14ac:dyDescent="0.3">
      <c r="A401" s="3">
        <v>2015.25000000006</v>
      </c>
      <c r="B401">
        <v>2015</v>
      </c>
      <c r="C401">
        <v>4</v>
      </c>
      <c r="D401" s="3">
        <v>27.776669999999999</v>
      </c>
      <c r="E401" s="3">
        <v>0.41604000000000002</v>
      </c>
      <c r="F401">
        <v>30</v>
      </c>
    </row>
    <row r="402" spans="1:6" x14ac:dyDescent="0.3">
      <c r="A402" s="3">
        <v>2015.3333333333901</v>
      </c>
      <c r="B402">
        <v>2015</v>
      </c>
      <c r="C402">
        <v>5</v>
      </c>
      <c r="D402" s="3">
        <v>28.577739999999999</v>
      </c>
      <c r="E402" s="3">
        <v>0.40737000000000001</v>
      </c>
      <c r="F402">
        <v>31</v>
      </c>
    </row>
    <row r="403" spans="1:6" x14ac:dyDescent="0.3">
      <c r="A403" s="3">
        <v>2015.41666666673</v>
      </c>
      <c r="B403">
        <v>2015</v>
      </c>
      <c r="C403">
        <v>6</v>
      </c>
      <c r="D403" s="3">
        <v>29.378000000000004</v>
      </c>
      <c r="E403" s="3">
        <v>0.34372999999999998</v>
      </c>
      <c r="F403">
        <v>30</v>
      </c>
    </row>
    <row r="404" spans="1:6" x14ac:dyDescent="0.3">
      <c r="A404" s="3">
        <v>2015.50000000006</v>
      </c>
      <c r="B404">
        <v>2015</v>
      </c>
      <c r="C404">
        <v>7</v>
      </c>
      <c r="D404" s="3">
        <v>29.20806</v>
      </c>
      <c r="E404" s="3">
        <v>0.36552000000000001</v>
      </c>
      <c r="F404">
        <v>31</v>
      </c>
    </row>
    <row r="405" spans="1:6" x14ac:dyDescent="0.3">
      <c r="A405" s="3">
        <v>2015.5833333333901</v>
      </c>
      <c r="B405">
        <v>2015</v>
      </c>
      <c r="C405">
        <v>8</v>
      </c>
      <c r="D405" s="3">
        <v>29.217420000000004</v>
      </c>
      <c r="E405" s="3">
        <v>0.39748</v>
      </c>
      <c r="F405">
        <v>31</v>
      </c>
    </row>
    <row r="406" spans="1:6" x14ac:dyDescent="0.3">
      <c r="A406" s="3">
        <v>2015.66666666673</v>
      </c>
      <c r="B406">
        <v>2015</v>
      </c>
      <c r="C406">
        <v>9</v>
      </c>
      <c r="D406" s="3">
        <v>29.779670000000003</v>
      </c>
      <c r="E406" s="3">
        <v>0.35603000000000001</v>
      </c>
      <c r="F406">
        <v>30</v>
      </c>
    </row>
    <row r="407" spans="1:6" x14ac:dyDescent="0.3">
      <c r="A407" s="3">
        <v>2015.75000000006</v>
      </c>
      <c r="B407">
        <v>2015</v>
      </c>
      <c r="C407">
        <v>10</v>
      </c>
      <c r="D407" s="3">
        <v>29.756770000000003</v>
      </c>
      <c r="E407" s="3">
        <v>0.39656999999999998</v>
      </c>
      <c r="F407">
        <v>31</v>
      </c>
    </row>
    <row r="408" spans="1:6" x14ac:dyDescent="0.3">
      <c r="A408" s="3">
        <v>2015.8333333333901</v>
      </c>
      <c r="B408">
        <v>2015</v>
      </c>
      <c r="C408">
        <v>11</v>
      </c>
      <c r="D408" s="3">
        <v>29.611329999999999</v>
      </c>
      <c r="E408" s="3">
        <v>0.28245999999999999</v>
      </c>
      <c r="F408">
        <v>30</v>
      </c>
    </row>
    <row r="409" spans="1:6" x14ac:dyDescent="0.3">
      <c r="A409" s="3">
        <v>2015.91666666673</v>
      </c>
      <c r="B409">
        <v>2015</v>
      </c>
      <c r="C409">
        <v>12</v>
      </c>
      <c r="D409" s="3">
        <v>29.610970000000002</v>
      </c>
      <c r="E409" s="3">
        <v>0.44957999999999998</v>
      </c>
      <c r="F409">
        <v>31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7D03-FE74-4A03-8840-5AAF05BC7DAC}">
  <dimension ref="A1:E45"/>
  <sheetViews>
    <sheetView zoomScale="85" zoomScaleNormal="85" workbookViewId="0">
      <selection activeCell="M18" sqref="M18"/>
    </sheetView>
  </sheetViews>
  <sheetFormatPr baseColWidth="10" defaultColWidth="11.44140625" defaultRowHeight="14.4" x14ac:dyDescent="0.3"/>
  <sheetData>
    <row r="1" spans="1:5" x14ac:dyDescent="0.3">
      <c r="A1" s="18" t="s">
        <v>95</v>
      </c>
    </row>
    <row r="2" spans="1:5" ht="18" x14ac:dyDescent="0.35">
      <c r="A2" s="14" t="s">
        <v>126</v>
      </c>
    </row>
    <row r="3" spans="1:5" ht="18" x14ac:dyDescent="0.35">
      <c r="A3" s="14" t="s">
        <v>92</v>
      </c>
    </row>
    <row r="4" spans="1:5" ht="18.600000000000001" thickBot="1" x14ac:dyDescent="0.4">
      <c r="A4" s="13" t="s">
        <v>91</v>
      </c>
    </row>
    <row r="5" spans="1:5" ht="23.4" thickBot="1" x14ac:dyDescent="0.35">
      <c r="A5" s="12" t="s">
        <v>90</v>
      </c>
      <c r="B5" s="12" t="s">
        <v>89</v>
      </c>
      <c r="C5" s="12" t="s">
        <v>88</v>
      </c>
      <c r="D5" s="12" t="s">
        <v>87</v>
      </c>
      <c r="E5" s="17" t="s">
        <v>94</v>
      </c>
    </row>
    <row r="6" spans="1:5" ht="15" thickBot="1" x14ac:dyDescent="0.35">
      <c r="A6" s="11">
        <v>30.55</v>
      </c>
      <c r="B6" s="11">
        <v>0.35360000000000003</v>
      </c>
      <c r="C6" s="11" t="s">
        <v>86</v>
      </c>
      <c r="D6" s="11">
        <v>2</v>
      </c>
      <c r="E6" s="3">
        <v>1996.2499999981501</v>
      </c>
    </row>
    <row r="7" spans="1:5" ht="15" thickBot="1" x14ac:dyDescent="0.35">
      <c r="A7" s="10">
        <v>32.35</v>
      </c>
      <c r="B7" s="10">
        <v>2.1920000000000002</v>
      </c>
      <c r="C7" s="10" t="s">
        <v>85</v>
      </c>
      <c r="D7" s="10">
        <v>2</v>
      </c>
      <c r="E7" s="3">
        <v>1996.4999999982299</v>
      </c>
    </row>
    <row r="8" spans="1:5" ht="15" thickBot="1" x14ac:dyDescent="0.35">
      <c r="A8" s="11">
        <v>29.3</v>
      </c>
      <c r="B8" s="11">
        <v>0</v>
      </c>
      <c r="C8" s="11" t="s">
        <v>84</v>
      </c>
      <c r="D8" s="11">
        <v>1</v>
      </c>
      <c r="E8" s="3">
        <v>1996.6666666649501</v>
      </c>
    </row>
    <row r="9" spans="1:5" ht="15" thickBot="1" x14ac:dyDescent="0.35">
      <c r="A9" s="10">
        <v>30.1</v>
      </c>
      <c r="B9" s="10">
        <v>0</v>
      </c>
      <c r="C9" s="10" t="s">
        <v>83</v>
      </c>
      <c r="D9" s="10">
        <v>1</v>
      </c>
      <c r="E9" s="3">
        <v>1996.7499999983099</v>
      </c>
    </row>
    <row r="10" spans="1:5" ht="15" thickBot="1" x14ac:dyDescent="0.35">
      <c r="A10" s="11">
        <v>29</v>
      </c>
      <c r="B10" s="11">
        <v>0</v>
      </c>
      <c r="C10" s="11" t="s">
        <v>82</v>
      </c>
      <c r="D10" s="11">
        <v>1</v>
      </c>
      <c r="E10" s="3">
        <v>1997.0833333317501</v>
      </c>
    </row>
    <row r="11" spans="1:5" ht="15" thickBot="1" x14ac:dyDescent="0.35">
      <c r="A11" s="10">
        <v>27</v>
      </c>
      <c r="B11" s="10">
        <v>0</v>
      </c>
      <c r="C11" s="10" t="s">
        <v>81</v>
      </c>
      <c r="D11" s="10">
        <v>1</v>
      </c>
      <c r="E11" s="3">
        <v>1997.24999999848</v>
      </c>
    </row>
    <row r="12" spans="1:5" ht="15" thickBot="1" x14ac:dyDescent="0.35">
      <c r="A12" s="11">
        <v>31</v>
      </c>
      <c r="B12" s="11">
        <v>0</v>
      </c>
      <c r="C12" s="11" t="s">
        <v>80</v>
      </c>
      <c r="D12" s="11">
        <v>1</v>
      </c>
      <c r="E12" s="3">
        <v>1997.4166666652</v>
      </c>
    </row>
    <row r="13" spans="1:5" ht="15" thickBot="1" x14ac:dyDescent="0.35">
      <c r="A13" s="10">
        <v>32.299999999999997</v>
      </c>
      <c r="B13" s="10">
        <v>0</v>
      </c>
      <c r="C13" s="10" t="s">
        <v>79</v>
      </c>
      <c r="D13" s="10">
        <v>1</v>
      </c>
      <c r="E13" s="3">
        <v>1997.7499999986401</v>
      </c>
    </row>
    <row r="14" spans="1:5" ht="15" thickBot="1" x14ac:dyDescent="0.35">
      <c r="A14" s="11">
        <v>29</v>
      </c>
      <c r="B14" s="11">
        <v>0</v>
      </c>
      <c r="C14" s="11" t="s">
        <v>78</v>
      </c>
      <c r="D14" s="11">
        <v>1</v>
      </c>
      <c r="E14" s="3">
        <v>2000.0833333333101</v>
      </c>
    </row>
    <row r="15" spans="1:5" ht="15" thickBot="1" x14ac:dyDescent="0.35">
      <c r="A15" s="10">
        <v>29.5</v>
      </c>
      <c r="B15" s="10">
        <v>0</v>
      </c>
      <c r="C15" s="10" t="s">
        <v>77</v>
      </c>
      <c r="D15" s="10">
        <v>1</v>
      </c>
      <c r="E15" s="3">
        <v>2001.3333333333101</v>
      </c>
    </row>
    <row r="16" spans="1:5" ht="15" thickBot="1" x14ac:dyDescent="0.35">
      <c r="A16" s="11">
        <v>29.7</v>
      </c>
      <c r="B16" s="11">
        <v>0</v>
      </c>
      <c r="C16" s="11" t="s">
        <v>76</v>
      </c>
      <c r="D16" s="11">
        <v>1</v>
      </c>
      <c r="E16" s="3">
        <v>2001.6666666666399</v>
      </c>
    </row>
    <row r="17" spans="1:5" ht="15" thickBot="1" x14ac:dyDescent="0.35">
      <c r="A17" s="10">
        <v>30.1</v>
      </c>
      <c r="B17" s="10">
        <v>0</v>
      </c>
      <c r="C17" s="10" t="s">
        <v>75</v>
      </c>
      <c r="D17" s="10">
        <v>1</v>
      </c>
      <c r="E17" s="3">
        <v>2001.74999999998</v>
      </c>
    </row>
    <row r="18" spans="1:5" ht="15" thickBot="1" x14ac:dyDescent="0.35">
      <c r="A18" s="11">
        <v>30</v>
      </c>
      <c r="B18" s="11">
        <v>0</v>
      </c>
      <c r="C18" s="11" t="s">
        <v>74</v>
      </c>
      <c r="D18" s="11">
        <v>1</v>
      </c>
      <c r="E18" s="3">
        <v>2002.24999999998</v>
      </c>
    </row>
    <row r="19" spans="1:5" ht="15" thickBot="1" x14ac:dyDescent="0.35">
      <c r="A19" s="10">
        <v>30.2</v>
      </c>
      <c r="B19" s="10">
        <v>0</v>
      </c>
      <c r="C19" s="10" t="s">
        <v>73</v>
      </c>
      <c r="D19" s="10">
        <v>1</v>
      </c>
      <c r="E19" s="3">
        <v>2002.74999999998</v>
      </c>
    </row>
    <row r="20" spans="1:5" ht="15" thickBot="1" x14ac:dyDescent="0.35">
      <c r="A20" s="11">
        <v>30.2</v>
      </c>
      <c r="B20" s="11">
        <v>0</v>
      </c>
      <c r="C20" s="11" t="s">
        <v>72</v>
      </c>
      <c r="D20" s="11">
        <v>1</v>
      </c>
      <c r="E20" s="3">
        <v>2003.49999999998</v>
      </c>
    </row>
    <row r="21" spans="1:5" ht="15" thickBot="1" x14ac:dyDescent="0.35">
      <c r="A21" s="10">
        <v>30.2</v>
      </c>
      <c r="B21" s="10">
        <v>0</v>
      </c>
      <c r="C21" s="10" t="s">
        <v>71</v>
      </c>
      <c r="D21" s="10">
        <v>1</v>
      </c>
      <c r="E21" s="3">
        <v>2003.74999999998</v>
      </c>
    </row>
    <row r="22" spans="1:5" ht="15" thickBot="1" x14ac:dyDescent="0.35">
      <c r="A22" s="11">
        <v>29.5</v>
      </c>
      <c r="B22" s="11">
        <v>0</v>
      </c>
      <c r="C22" s="11" t="s">
        <v>70</v>
      </c>
      <c r="D22" s="11">
        <v>1</v>
      </c>
      <c r="E22" s="3">
        <v>2004.49999999998</v>
      </c>
    </row>
    <row r="23" spans="1:5" ht="15" thickBot="1" x14ac:dyDescent="0.35">
      <c r="A23" s="10">
        <v>29.1</v>
      </c>
      <c r="B23" s="10">
        <v>0</v>
      </c>
      <c r="C23" s="10" t="s">
        <v>69</v>
      </c>
      <c r="D23" s="10">
        <v>1</v>
      </c>
      <c r="E23" s="3">
        <v>2004.6666666666499</v>
      </c>
    </row>
    <row r="24" spans="1:5" ht="15" thickBot="1" x14ac:dyDescent="0.35">
      <c r="A24" s="11">
        <v>28.7</v>
      </c>
      <c r="B24" s="11">
        <v>0</v>
      </c>
      <c r="C24" s="11" t="s">
        <v>68</v>
      </c>
      <c r="D24" s="11">
        <v>1</v>
      </c>
      <c r="E24" s="3">
        <v>2004.74999999998</v>
      </c>
    </row>
    <row r="25" spans="1:5" ht="15" thickBot="1" x14ac:dyDescent="0.35">
      <c r="A25" s="10">
        <v>28.5</v>
      </c>
      <c r="B25" s="10">
        <v>0</v>
      </c>
      <c r="C25" s="10" t="s">
        <v>67</v>
      </c>
      <c r="D25" s="10">
        <v>1</v>
      </c>
      <c r="E25" s="3">
        <v>2006.8333333333201</v>
      </c>
    </row>
    <row r="26" spans="1:5" ht="15" thickBot="1" x14ac:dyDescent="0.35">
      <c r="A26" s="11">
        <v>29.8</v>
      </c>
      <c r="B26" s="11">
        <v>0</v>
      </c>
      <c r="C26" s="11" t="s">
        <v>66</v>
      </c>
      <c r="D26" s="11">
        <v>1</v>
      </c>
      <c r="E26" s="3">
        <v>2007.1666666666499</v>
      </c>
    </row>
    <row r="27" spans="1:5" ht="15" thickBot="1" x14ac:dyDescent="0.35">
      <c r="A27" s="10">
        <v>30.4</v>
      </c>
      <c r="B27" s="10">
        <v>0</v>
      </c>
      <c r="C27" s="10" t="s">
        <v>65</v>
      </c>
      <c r="D27" s="10">
        <v>1</v>
      </c>
      <c r="E27" s="3">
        <v>2007.8333333333201</v>
      </c>
    </row>
    <row r="28" spans="1:5" ht="15" thickBot="1" x14ac:dyDescent="0.35">
      <c r="A28" s="11">
        <v>30.2</v>
      </c>
      <c r="B28" s="11">
        <v>0</v>
      </c>
      <c r="C28" s="11" t="s">
        <v>64</v>
      </c>
      <c r="D28" s="11">
        <v>1</v>
      </c>
      <c r="E28" s="3">
        <v>2008.1666666666499</v>
      </c>
    </row>
    <row r="29" spans="1:5" ht="15" thickBot="1" x14ac:dyDescent="0.35">
      <c r="A29" s="10">
        <v>31</v>
      </c>
      <c r="B29" s="10">
        <v>0</v>
      </c>
      <c r="C29" s="10" t="s">
        <v>63</v>
      </c>
      <c r="D29" s="10">
        <v>1</v>
      </c>
      <c r="E29" s="3">
        <v>2009.24999999999</v>
      </c>
    </row>
    <row r="30" spans="1:5" ht="15" thickBot="1" x14ac:dyDescent="0.35">
      <c r="A30" s="11">
        <v>31</v>
      </c>
      <c r="B30" s="11">
        <v>0</v>
      </c>
      <c r="C30" s="11" t="s">
        <v>62</v>
      </c>
      <c r="D30" s="11">
        <v>1</v>
      </c>
      <c r="E30" s="3">
        <v>2009.5833333333201</v>
      </c>
    </row>
    <row r="31" spans="1:5" ht="15" thickBot="1" x14ac:dyDescent="0.35">
      <c r="A31" s="10">
        <v>30.7</v>
      </c>
      <c r="B31" s="10">
        <v>0</v>
      </c>
      <c r="C31" s="10" t="s">
        <v>61</v>
      </c>
      <c r="D31" s="10">
        <v>1</v>
      </c>
      <c r="E31" s="3">
        <v>2010.24999999999</v>
      </c>
    </row>
    <row r="32" spans="1:5" ht="15" thickBot="1" x14ac:dyDescent="0.35">
      <c r="A32" s="11">
        <v>30</v>
      </c>
      <c r="B32" s="11">
        <v>0</v>
      </c>
      <c r="C32" s="11" t="s">
        <v>60</v>
      </c>
      <c r="D32" s="11">
        <v>1</v>
      </c>
      <c r="E32" s="3">
        <v>2010.4166666666599</v>
      </c>
    </row>
    <row r="33" spans="1:5" ht="15" thickBot="1" x14ac:dyDescent="0.35">
      <c r="A33" s="10">
        <v>29.2</v>
      </c>
      <c r="B33" s="10">
        <v>0</v>
      </c>
      <c r="C33" s="10" t="s">
        <v>59</v>
      </c>
      <c r="D33" s="10">
        <v>1</v>
      </c>
      <c r="E33" s="3">
        <v>2010.6666666666599</v>
      </c>
    </row>
    <row r="34" spans="1:5" ht="15" thickBot="1" x14ac:dyDescent="0.35">
      <c r="A34" s="11">
        <v>28.8</v>
      </c>
      <c r="B34" s="11">
        <v>0</v>
      </c>
      <c r="C34" s="11" t="s">
        <v>58</v>
      </c>
      <c r="D34" s="11">
        <v>1</v>
      </c>
      <c r="E34" s="3">
        <v>2010.8333333333301</v>
      </c>
    </row>
    <row r="35" spans="1:5" ht="15" thickBot="1" x14ac:dyDescent="0.35">
      <c r="A35" s="10">
        <v>30.3</v>
      </c>
      <c r="B35" s="10">
        <v>0</v>
      </c>
      <c r="C35" s="10" t="s">
        <v>57</v>
      </c>
      <c r="D35" s="10">
        <v>1</v>
      </c>
      <c r="E35" s="3">
        <v>2011.3333333333301</v>
      </c>
    </row>
    <row r="36" spans="1:5" ht="15" thickBot="1" x14ac:dyDescent="0.35">
      <c r="A36" s="11">
        <v>30.3</v>
      </c>
      <c r="B36" s="11">
        <v>0</v>
      </c>
      <c r="C36" s="11" t="s">
        <v>56</v>
      </c>
      <c r="D36" s="11">
        <v>1</v>
      </c>
      <c r="E36" s="3">
        <v>2011.4166666666599</v>
      </c>
    </row>
    <row r="37" spans="1:5" ht="15" thickBot="1" x14ac:dyDescent="0.35">
      <c r="A37" s="10">
        <v>29.4</v>
      </c>
      <c r="B37" s="10">
        <v>0.70709999999999995</v>
      </c>
      <c r="C37" s="10" t="s">
        <v>55</v>
      </c>
      <c r="D37" s="10">
        <v>2</v>
      </c>
      <c r="E37" s="3">
        <v>2011.8333333333301</v>
      </c>
    </row>
    <row r="38" spans="1:5" ht="15" thickBot="1" x14ac:dyDescent="0.35">
      <c r="A38" s="11">
        <v>30</v>
      </c>
      <c r="B38" s="11">
        <v>0</v>
      </c>
      <c r="C38" s="11" t="s">
        <v>54</v>
      </c>
      <c r="D38" s="11">
        <v>1</v>
      </c>
      <c r="E38" s="3">
        <v>2012.1666666666599</v>
      </c>
    </row>
    <row r="39" spans="1:5" ht="15" thickBot="1" x14ac:dyDescent="0.35">
      <c r="A39" s="10">
        <v>30.9</v>
      </c>
      <c r="B39" s="10">
        <v>0</v>
      </c>
      <c r="C39" s="10" t="s">
        <v>53</v>
      </c>
      <c r="D39" s="10">
        <v>1</v>
      </c>
      <c r="E39" s="3">
        <v>2012.5833333333301</v>
      </c>
    </row>
    <row r="40" spans="1:5" ht="15" thickBot="1" x14ac:dyDescent="0.35">
      <c r="A40" s="11">
        <v>31</v>
      </c>
      <c r="B40" s="11">
        <v>0</v>
      </c>
      <c r="C40" s="11" t="s">
        <v>52</v>
      </c>
      <c r="D40" s="11">
        <v>1</v>
      </c>
      <c r="E40" s="3">
        <v>2013.1666666666599</v>
      </c>
    </row>
    <row r="41" spans="1:5" ht="15" thickBot="1" x14ac:dyDescent="0.35">
      <c r="A41" s="10">
        <v>31</v>
      </c>
      <c r="B41" s="10">
        <v>0</v>
      </c>
      <c r="C41" s="10" t="s">
        <v>51</v>
      </c>
      <c r="D41" s="10">
        <v>1</v>
      </c>
      <c r="E41" s="3">
        <v>2013.3333333333301</v>
      </c>
    </row>
    <row r="42" spans="1:5" ht="15" thickBot="1" x14ac:dyDescent="0.35">
      <c r="A42" s="11">
        <v>30.2</v>
      </c>
      <c r="B42" s="11">
        <v>0</v>
      </c>
      <c r="C42" s="11" t="s">
        <v>50</v>
      </c>
      <c r="D42" s="11">
        <v>1</v>
      </c>
      <c r="E42" s="3">
        <v>2013.8333333333301</v>
      </c>
    </row>
    <row r="43" spans="1:5" ht="15" thickBot="1" x14ac:dyDescent="0.35">
      <c r="A43" s="10">
        <v>29.4</v>
      </c>
      <c r="B43" s="10">
        <v>0</v>
      </c>
      <c r="C43" s="10" t="s">
        <v>49</v>
      </c>
      <c r="D43" s="10">
        <v>1</v>
      </c>
      <c r="E43" s="3">
        <v>2014.1666666666599</v>
      </c>
    </row>
    <row r="44" spans="1:5" ht="15" thickBot="1" x14ac:dyDescent="0.35">
      <c r="A44" s="11">
        <v>29.7</v>
      </c>
      <c r="B44" s="11">
        <v>0</v>
      </c>
      <c r="C44" s="11" t="s">
        <v>48</v>
      </c>
      <c r="D44" s="11">
        <v>1</v>
      </c>
      <c r="E44" s="3">
        <v>2014.9166666666599</v>
      </c>
    </row>
    <row r="45" spans="1:5" ht="15" thickBot="1" x14ac:dyDescent="0.35">
      <c r="A45" s="10">
        <v>31</v>
      </c>
      <c r="B45" s="10">
        <v>0</v>
      </c>
      <c r="C45" s="10" t="s">
        <v>47</v>
      </c>
      <c r="D45" s="10">
        <v>1</v>
      </c>
      <c r="E45" s="3">
        <v>2015.1666666666599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210E-2001-43D4-85EF-889AD9BD6F67}">
  <dimension ref="H20"/>
  <sheetViews>
    <sheetView workbookViewId="0">
      <selection activeCell="J21" sqref="J21"/>
    </sheetView>
  </sheetViews>
  <sheetFormatPr baseColWidth="10" defaultRowHeight="14.4" x14ac:dyDescent="0.3"/>
  <sheetData>
    <row r="20" spans="8:8" x14ac:dyDescent="0.3">
      <c r="H20" s="29" t="s">
        <v>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Table</vt:lpstr>
      <vt:lpstr>Temp-aire</vt:lpstr>
      <vt:lpstr>MODIS_Aqua</vt:lpstr>
      <vt:lpstr>MODIS_Terra</vt:lpstr>
      <vt:lpstr>AVHRR</vt:lpstr>
      <vt:lpstr>HadISST1</vt:lpstr>
      <vt:lpstr>OISST</vt:lpstr>
      <vt:lpstr>INVEMAR</vt:lpstr>
      <vt:lpstr>Correlaciones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 LIZCANO SANDOVAL</dc:creator>
  <cp:lastModifiedBy>LUIS DAVID LIZCANO SANDOVAL</cp:lastModifiedBy>
  <dcterms:created xsi:type="dcterms:W3CDTF">2025-11-21T13:17:39Z</dcterms:created>
  <dcterms:modified xsi:type="dcterms:W3CDTF">2025-11-28T00:33:09Z</dcterms:modified>
</cp:coreProperties>
</file>