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E:\GDrive\Academicos\Articulos\Pendientes\Varadero growth rates\Envdata_raw\"/>
    </mc:Choice>
  </mc:AlternateContent>
  <xr:revisionPtr revIDLastSave="0" documentId="13_ncr:1_{4B7CF4D1-9CE8-4543-97D2-490B533B21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nthly" sheetId="31" r:id="rId1"/>
    <sheet name="Annual" sheetId="2" r:id="rId2"/>
    <sheet name="Climatology" sheetId="32" r:id="rId3"/>
    <sheet name="Pruebas de tendencia de Mann-K2" sheetId="14" state="hidden" r:id="rId4"/>
    <sheet name="Pruebas de tendencia de Mann-K3" sheetId="16" state="hidden" r:id="rId5"/>
    <sheet name="Pruebas de tendencia de Mann-K4" sheetId="18" state="hidden" r:id="rId6"/>
    <sheet name="Pruebas de tendencia de Mann-K5" sheetId="20" state="hidden" r:id="rId7"/>
    <sheet name="Pruebas de tendencia de Mann-K6" sheetId="22" state="hidden" r:id="rId8"/>
    <sheet name="Pruebas de tendencia de Mann-K7" sheetId="24" state="hidden" r:id="rId9"/>
    <sheet name="Pruebas de tendencia de Mann-K8" sheetId="26" state="hidden" r:id="rId10"/>
    <sheet name="Pruebas de tendencia de Mann-K9" sheetId="28" state="hidden" r:id="rId11"/>
    <sheet name="Pruebas de tendencia de Mann-K1" sheetId="12" state="hidden" r:id="rId12"/>
  </sheets>
  <definedNames>
    <definedName name="_xlnm._FilterDatabase" localSheetId="1">Annual!$A$1:$F$1</definedName>
    <definedName name="_xlnm._FilterDatabase" localSheetId="0" hidden="1">Monthly!$A$1:$I$1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56" i="31" l="1"/>
  <c r="I457" i="31"/>
  <c r="I458" i="31"/>
  <c r="I459" i="31"/>
  <c r="I460" i="31"/>
  <c r="I461" i="31"/>
  <c r="I462" i="31"/>
  <c r="I463" i="31"/>
  <c r="I464" i="31"/>
  <c r="I465" i="31"/>
  <c r="I466" i="31"/>
  <c r="I467" i="31"/>
  <c r="I468" i="31"/>
  <c r="I469" i="31"/>
  <c r="I470" i="31"/>
  <c r="I471" i="31"/>
  <c r="I472" i="31"/>
  <c r="I473" i="31"/>
  <c r="I474" i="31"/>
  <c r="I475" i="31"/>
  <c r="I476" i="31"/>
  <c r="I477" i="31"/>
  <c r="I478" i="31"/>
  <c r="I479" i="31"/>
  <c r="I480" i="31"/>
  <c r="I481" i="31"/>
  <c r="I482" i="31"/>
  <c r="I483" i="31"/>
  <c r="I484" i="31"/>
  <c r="I485" i="31"/>
  <c r="I486" i="31"/>
  <c r="I487" i="31"/>
  <c r="I488" i="31"/>
  <c r="I489" i="31"/>
  <c r="I490" i="31"/>
  <c r="I491" i="31"/>
  <c r="I492" i="31"/>
  <c r="I493" i="31"/>
  <c r="I494" i="31"/>
  <c r="I495" i="31"/>
  <c r="I496" i="31"/>
  <c r="I497" i="31"/>
  <c r="I498" i="31"/>
  <c r="I499" i="31"/>
  <c r="I500" i="31"/>
  <c r="I501" i="31"/>
  <c r="I502" i="31"/>
  <c r="I503" i="31"/>
  <c r="I504" i="31"/>
  <c r="I505" i="31"/>
  <c r="I506" i="31"/>
  <c r="I507" i="31"/>
  <c r="I508" i="31"/>
  <c r="I509" i="31"/>
  <c r="I510" i="31"/>
  <c r="I511" i="31"/>
  <c r="I512" i="31"/>
  <c r="I513" i="31"/>
  <c r="I514" i="31"/>
  <c r="I515" i="31"/>
  <c r="I516" i="31"/>
  <c r="I517" i="31"/>
  <c r="I518" i="31"/>
  <c r="I519" i="31"/>
  <c r="I520" i="31"/>
  <c r="I521" i="31"/>
  <c r="I522" i="31"/>
  <c r="I523" i="31"/>
  <c r="I524" i="31"/>
  <c r="I525" i="31"/>
  <c r="I526" i="31"/>
  <c r="I527" i="31"/>
  <c r="I528" i="31"/>
  <c r="I529" i="31"/>
  <c r="I530" i="31"/>
  <c r="I531" i="31"/>
  <c r="I532" i="31"/>
  <c r="I533" i="31"/>
  <c r="I534" i="31"/>
  <c r="I535" i="31"/>
  <c r="I536" i="31"/>
  <c r="I537" i="31"/>
  <c r="I538" i="31"/>
  <c r="I539" i="31"/>
  <c r="I540" i="31"/>
  <c r="I541" i="31"/>
  <c r="I542" i="31"/>
  <c r="I543" i="31"/>
  <c r="I544" i="31"/>
  <c r="I545" i="31"/>
  <c r="I546" i="31"/>
  <c r="I547" i="31"/>
  <c r="I548" i="31"/>
  <c r="I549" i="31"/>
  <c r="I550" i="31"/>
  <c r="I551" i="31"/>
  <c r="I552" i="31"/>
  <c r="I553" i="31"/>
  <c r="I554" i="31"/>
  <c r="I555" i="31"/>
  <c r="I556" i="31"/>
  <c r="I557" i="31"/>
  <c r="I558" i="31"/>
  <c r="I559" i="31"/>
  <c r="I560" i="31"/>
  <c r="I561" i="31"/>
  <c r="I562" i="31"/>
  <c r="I563" i="31"/>
  <c r="I564" i="31"/>
  <c r="I565" i="31"/>
  <c r="I566" i="31"/>
  <c r="I567" i="31"/>
  <c r="I568" i="31"/>
  <c r="I569" i="31"/>
  <c r="I570" i="31"/>
  <c r="I571" i="31"/>
  <c r="I572" i="31"/>
  <c r="I573" i="31"/>
  <c r="I574" i="31"/>
  <c r="I575" i="31"/>
  <c r="I576" i="31"/>
  <c r="I577" i="31"/>
  <c r="I578" i="31"/>
  <c r="I579" i="31"/>
  <c r="I580" i="31"/>
  <c r="I581" i="31"/>
  <c r="I582" i="31"/>
  <c r="I583" i="31"/>
  <c r="I584" i="31"/>
  <c r="I585" i="31"/>
  <c r="I586" i="31"/>
  <c r="I587" i="31"/>
  <c r="I588" i="31"/>
  <c r="I589" i="31"/>
  <c r="I590" i="31"/>
  <c r="I591" i="31"/>
  <c r="I592" i="31"/>
  <c r="I593" i="31"/>
  <c r="I594" i="31"/>
  <c r="I595" i="31"/>
  <c r="I596" i="31"/>
  <c r="I597" i="31"/>
  <c r="I598" i="31"/>
  <c r="I599" i="31"/>
  <c r="I600" i="31"/>
  <c r="I601" i="31"/>
  <c r="I602" i="31"/>
  <c r="I603" i="31"/>
  <c r="I604" i="31"/>
  <c r="I605" i="31"/>
  <c r="I606" i="31"/>
  <c r="I607" i="31"/>
  <c r="I608" i="31"/>
  <c r="I609" i="31"/>
  <c r="I610" i="31"/>
  <c r="I611" i="31"/>
  <c r="I612" i="31"/>
  <c r="I613" i="31"/>
  <c r="I614" i="31"/>
  <c r="I615" i="31"/>
  <c r="I616" i="31"/>
  <c r="I617" i="31"/>
  <c r="I618" i="31"/>
  <c r="I619" i="31"/>
  <c r="I620" i="31"/>
  <c r="I621" i="31"/>
  <c r="I622" i="31"/>
  <c r="I623" i="31"/>
  <c r="I624" i="31"/>
  <c r="I625" i="31"/>
  <c r="I626" i="31"/>
  <c r="I627" i="31"/>
  <c r="I628" i="31"/>
  <c r="I629" i="31"/>
  <c r="I630" i="31"/>
  <c r="I631" i="31"/>
  <c r="I632" i="31"/>
  <c r="I633" i="31"/>
  <c r="I634" i="31"/>
  <c r="I635" i="31"/>
  <c r="I636" i="31"/>
  <c r="I637" i="31"/>
  <c r="I638" i="31"/>
  <c r="I639" i="31"/>
  <c r="I640" i="31"/>
  <c r="I641" i="31"/>
  <c r="I642" i="31"/>
  <c r="I643" i="31"/>
  <c r="I644" i="31"/>
  <c r="I645" i="31"/>
  <c r="I646" i="31"/>
  <c r="I647" i="31"/>
  <c r="I648" i="31"/>
  <c r="I649" i="31"/>
  <c r="I650" i="31"/>
  <c r="I651" i="31"/>
  <c r="I652" i="31"/>
  <c r="I653" i="31"/>
  <c r="I654" i="31"/>
  <c r="I655" i="31"/>
  <c r="I656" i="31"/>
  <c r="I657" i="31"/>
  <c r="I658" i="31"/>
  <c r="I659" i="31"/>
  <c r="I660" i="31"/>
  <c r="I661" i="31"/>
  <c r="I662" i="31"/>
  <c r="I663" i="31"/>
  <c r="I664" i="31"/>
  <c r="I665" i="31"/>
  <c r="I666" i="31"/>
  <c r="I667" i="31"/>
  <c r="I668" i="31"/>
  <c r="I669" i="31"/>
  <c r="I670" i="31"/>
  <c r="I671" i="31"/>
  <c r="I672" i="31"/>
  <c r="I673" i="31"/>
  <c r="I674" i="31"/>
  <c r="I675" i="31"/>
  <c r="I676" i="31"/>
  <c r="I677" i="31"/>
  <c r="I678" i="31"/>
  <c r="I679" i="31"/>
  <c r="I680" i="31"/>
  <c r="I681" i="31"/>
  <c r="I682" i="31"/>
  <c r="I683" i="31"/>
  <c r="I684" i="31"/>
  <c r="I685" i="31"/>
  <c r="I686" i="31"/>
  <c r="I687" i="31"/>
  <c r="I688" i="31"/>
  <c r="I689" i="31"/>
  <c r="I690" i="31"/>
  <c r="I691" i="31"/>
  <c r="I692" i="31"/>
  <c r="I693" i="31"/>
  <c r="I694" i="31"/>
  <c r="I695" i="31"/>
  <c r="I696" i="31"/>
  <c r="I697" i="31"/>
  <c r="I698" i="31"/>
  <c r="I699" i="31"/>
  <c r="I700" i="31"/>
  <c r="I701" i="31"/>
  <c r="I702" i="31"/>
  <c r="I703" i="31"/>
  <c r="I704" i="31"/>
  <c r="I705" i="31"/>
  <c r="I706" i="31"/>
  <c r="I707" i="31"/>
  <c r="I708" i="31"/>
  <c r="I709" i="31"/>
  <c r="I712" i="31"/>
  <c r="I713" i="31"/>
  <c r="I714" i="31"/>
  <c r="I715" i="31"/>
  <c r="I716" i="31"/>
  <c r="I717" i="31"/>
  <c r="I718" i="31"/>
  <c r="I719" i="31"/>
  <c r="I720" i="31"/>
  <c r="I721" i="31"/>
  <c r="I724" i="31"/>
  <c r="I725" i="31"/>
  <c r="I726" i="31"/>
  <c r="I727" i="31"/>
  <c r="I728" i="31"/>
  <c r="I729" i="31"/>
  <c r="I730" i="31"/>
  <c r="I731" i="31"/>
  <c r="I732" i="31"/>
  <c r="I733" i="31"/>
  <c r="I734" i="31"/>
  <c r="I735" i="31"/>
  <c r="I736" i="31"/>
  <c r="I737" i="31"/>
  <c r="I738" i="31"/>
  <c r="I739" i="31"/>
  <c r="I740" i="31"/>
  <c r="I741" i="31"/>
  <c r="I742" i="31"/>
  <c r="I743" i="31"/>
  <c r="I744" i="31"/>
  <c r="I745" i="31"/>
  <c r="I746" i="31"/>
  <c r="I747" i="31"/>
  <c r="I748" i="31"/>
  <c r="I749" i="31"/>
  <c r="I750" i="31"/>
  <c r="I751" i="31"/>
  <c r="I752" i="31"/>
  <c r="I753" i="31"/>
  <c r="I754" i="31"/>
  <c r="I755" i="31"/>
  <c r="I756" i="31"/>
  <c r="I757" i="31"/>
  <c r="I758" i="31"/>
  <c r="I759" i="31"/>
  <c r="I760" i="31"/>
  <c r="I761" i="31"/>
  <c r="I762" i="31"/>
  <c r="I763" i="31"/>
  <c r="I764" i="31"/>
  <c r="I765" i="31"/>
  <c r="I766" i="31"/>
  <c r="I767" i="31"/>
  <c r="I768" i="31"/>
  <c r="I769" i="31"/>
  <c r="I770" i="31"/>
  <c r="I771" i="31"/>
  <c r="I772" i="31"/>
  <c r="I773" i="31"/>
  <c r="I774" i="31"/>
  <c r="I775" i="31"/>
  <c r="I776" i="31"/>
  <c r="I777" i="31"/>
  <c r="I778" i="31"/>
  <c r="I779" i="31"/>
  <c r="I780" i="31"/>
  <c r="I781" i="31"/>
  <c r="I782" i="31"/>
  <c r="I783" i="31"/>
  <c r="I784" i="31"/>
  <c r="I785" i="31"/>
  <c r="I786" i="31"/>
  <c r="I787" i="31"/>
  <c r="I788" i="31"/>
  <c r="I789" i="31"/>
  <c r="I790" i="31"/>
  <c r="I791" i="31"/>
  <c r="I792" i="31"/>
  <c r="I793" i="31"/>
  <c r="I794" i="31"/>
  <c r="I795" i="31"/>
  <c r="I796" i="31"/>
  <c r="I797" i="31"/>
  <c r="I798" i="31"/>
  <c r="I799" i="31"/>
  <c r="I800" i="31"/>
  <c r="I801" i="31"/>
  <c r="I802" i="31"/>
  <c r="I803" i="31"/>
  <c r="I804" i="31"/>
  <c r="I805" i="31"/>
  <c r="I806" i="31"/>
  <c r="I807" i="31"/>
  <c r="I808" i="31"/>
  <c r="I809" i="31"/>
  <c r="I810" i="31"/>
  <c r="I811" i="31"/>
  <c r="I812" i="31"/>
  <c r="I813" i="31"/>
  <c r="I814" i="31"/>
  <c r="I816" i="31"/>
  <c r="I817" i="31"/>
  <c r="I818" i="31"/>
  <c r="I819" i="31"/>
  <c r="I820" i="31"/>
  <c r="I821" i="31"/>
  <c r="I822" i="31"/>
  <c r="I823" i="31"/>
  <c r="I824" i="31"/>
  <c r="I825" i="31"/>
  <c r="I826" i="31"/>
  <c r="I827" i="31"/>
  <c r="I828" i="31"/>
  <c r="I829" i="31"/>
  <c r="I830" i="31"/>
  <c r="I831" i="31"/>
  <c r="I832" i="31"/>
  <c r="I833" i="31"/>
  <c r="I834" i="31"/>
  <c r="I835" i="31"/>
  <c r="I836" i="31"/>
  <c r="I837" i="31"/>
  <c r="I838" i="31"/>
  <c r="I839" i="31"/>
  <c r="I840" i="31"/>
  <c r="I841" i="31"/>
  <c r="I842" i="31"/>
  <c r="I843" i="31"/>
  <c r="I844" i="31"/>
  <c r="I845" i="31"/>
  <c r="I846" i="31"/>
  <c r="I847" i="31"/>
  <c r="I848" i="31"/>
  <c r="I849" i="31"/>
  <c r="I853" i="31"/>
  <c r="I854" i="31"/>
  <c r="I855" i="31"/>
  <c r="I856" i="31"/>
  <c r="I857" i="31"/>
  <c r="I858" i="31"/>
  <c r="I859" i="31"/>
  <c r="I860" i="31"/>
  <c r="I861" i="31"/>
  <c r="I862" i="31"/>
  <c r="I865" i="31"/>
  <c r="I866" i="31"/>
  <c r="I867" i="31"/>
  <c r="I868" i="31"/>
  <c r="I869" i="31"/>
  <c r="I870" i="31"/>
  <c r="I871" i="31"/>
  <c r="I872" i="31"/>
  <c r="I873" i="31"/>
  <c r="I874" i="31"/>
  <c r="I875" i="31"/>
  <c r="I876" i="31"/>
  <c r="I877" i="31"/>
  <c r="I878" i="31"/>
  <c r="I879" i="31"/>
  <c r="I880" i="31"/>
  <c r="I881" i="31"/>
  <c r="I882" i="31"/>
  <c r="I883" i="31"/>
  <c r="I884" i="31"/>
  <c r="I885" i="31"/>
  <c r="I886" i="31"/>
  <c r="I887" i="31"/>
  <c r="I888" i="31"/>
  <c r="I889" i="31"/>
  <c r="I890" i="31"/>
  <c r="I891" i="31"/>
  <c r="I892" i="31"/>
  <c r="I893" i="31"/>
  <c r="I894" i="31"/>
  <c r="I895" i="31"/>
  <c r="I896" i="31"/>
  <c r="I897" i="31"/>
  <c r="I898" i="31"/>
  <c r="I899" i="31"/>
  <c r="I900" i="31"/>
  <c r="I901" i="31"/>
  <c r="I443" i="31"/>
  <c r="I444" i="31"/>
  <c r="I445" i="31"/>
  <c r="I446" i="31"/>
  <c r="I447" i="31"/>
  <c r="I448" i="31"/>
  <c r="I449" i="31"/>
  <c r="I450" i="31"/>
  <c r="I451" i="31"/>
  <c r="I452" i="31"/>
  <c r="I453" i="31"/>
  <c r="I454" i="31"/>
  <c r="I455" i="31"/>
  <c r="I434" i="31"/>
  <c r="I435" i="31"/>
  <c r="I436" i="31"/>
  <c r="I437" i="31"/>
  <c r="I438" i="31"/>
  <c r="I439" i="31"/>
  <c r="I440" i="31"/>
  <c r="I441" i="31"/>
  <c r="I442" i="31"/>
  <c r="I422" i="31"/>
  <c r="I423" i="31"/>
  <c r="I424" i="31"/>
  <c r="I425" i="31"/>
  <c r="I426" i="31"/>
  <c r="I427" i="31"/>
  <c r="I428" i="31"/>
  <c r="I429" i="31"/>
  <c r="I430" i="31"/>
  <c r="I431" i="31"/>
  <c r="I432" i="31"/>
  <c r="I433" i="31"/>
  <c r="I46" i="31"/>
  <c r="I47" i="31"/>
  <c r="I48" i="31"/>
  <c r="I49" i="31"/>
  <c r="I50" i="31"/>
  <c r="I51" i="31"/>
  <c r="I52" i="31"/>
  <c r="I53" i="31"/>
  <c r="I54" i="31"/>
  <c r="I55" i="31"/>
  <c r="I56" i="31"/>
  <c r="I57" i="31"/>
  <c r="I58" i="31"/>
  <c r="I59" i="31"/>
  <c r="I60" i="31"/>
  <c r="I61" i="31"/>
  <c r="I62" i="31"/>
  <c r="I63" i="31"/>
  <c r="I64" i="31"/>
  <c r="I65" i="31"/>
  <c r="I66" i="31"/>
  <c r="I67" i="31"/>
  <c r="I68" i="31"/>
  <c r="I69" i="31"/>
  <c r="I70" i="31"/>
  <c r="I71" i="31"/>
  <c r="I72" i="31"/>
  <c r="I73" i="31"/>
  <c r="I74" i="31"/>
  <c r="I75" i="31"/>
  <c r="I76" i="31"/>
  <c r="I77" i="31"/>
  <c r="I78" i="31"/>
  <c r="I79" i="31"/>
  <c r="I80" i="31"/>
  <c r="I81" i="31"/>
  <c r="I82" i="31"/>
  <c r="I83" i="31"/>
  <c r="I84" i="31"/>
  <c r="I85" i="31"/>
  <c r="I86" i="31"/>
  <c r="I87" i="31"/>
  <c r="I88" i="31"/>
  <c r="I89" i="31"/>
  <c r="I90" i="31"/>
  <c r="I91" i="31"/>
  <c r="I92" i="31"/>
  <c r="I93" i="31"/>
  <c r="I94" i="31"/>
  <c r="I95" i="31"/>
  <c r="I96" i="31"/>
  <c r="I97" i="31"/>
  <c r="I98" i="31"/>
  <c r="I99" i="31"/>
  <c r="I100" i="31"/>
  <c r="I101" i="31"/>
  <c r="I102" i="31"/>
  <c r="I103" i="31"/>
  <c r="I104" i="31"/>
  <c r="I105" i="31"/>
  <c r="I106" i="31"/>
  <c r="I107" i="31"/>
  <c r="I109" i="31"/>
  <c r="I110" i="31"/>
  <c r="I111" i="31"/>
  <c r="I112" i="31"/>
  <c r="I113" i="31"/>
  <c r="I114" i="31"/>
  <c r="I115" i="31"/>
  <c r="I116" i="31"/>
  <c r="I117" i="31"/>
  <c r="I118" i="31"/>
  <c r="I119" i="31"/>
  <c r="I120" i="31"/>
  <c r="I121" i="31"/>
  <c r="I122" i="31"/>
  <c r="I123" i="31"/>
  <c r="I124" i="31"/>
  <c r="I125" i="31"/>
  <c r="I126" i="31"/>
  <c r="I127" i="31"/>
  <c r="I128" i="31"/>
  <c r="I129" i="31"/>
  <c r="I130" i="31"/>
  <c r="I131" i="31"/>
  <c r="I132" i="31"/>
  <c r="I133" i="31"/>
  <c r="I134" i="31"/>
  <c r="I135" i="31"/>
  <c r="I136" i="31"/>
  <c r="I137" i="31"/>
  <c r="I138" i="31"/>
  <c r="I139" i="31"/>
  <c r="I140" i="31"/>
  <c r="I141" i="31"/>
  <c r="I142" i="31"/>
  <c r="I143" i="31"/>
  <c r="I144" i="31"/>
  <c r="I145" i="31"/>
  <c r="I146" i="31"/>
  <c r="I147" i="31"/>
  <c r="I148" i="31"/>
  <c r="I149" i="31"/>
  <c r="I150" i="31"/>
  <c r="I151" i="31"/>
  <c r="I152" i="31"/>
  <c r="I153" i="31"/>
  <c r="I155" i="31"/>
  <c r="I156" i="31"/>
  <c r="I157" i="31"/>
  <c r="I158" i="31"/>
  <c r="I159" i="31"/>
  <c r="I160" i="31"/>
  <c r="I161" i="31"/>
  <c r="I162" i="31"/>
  <c r="I163" i="31"/>
  <c r="I164" i="31"/>
  <c r="I165" i="31"/>
  <c r="I166" i="31"/>
  <c r="I167" i="31"/>
  <c r="I168" i="31"/>
  <c r="I169" i="31"/>
  <c r="I170" i="31"/>
  <c r="I171" i="31"/>
  <c r="I172" i="31"/>
  <c r="I173" i="31"/>
  <c r="I174" i="31"/>
  <c r="I175" i="31"/>
  <c r="I176" i="31"/>
  <c r="I177" i="31"/>
  <c r="I178" i="31"/>
  <c r="I179" i="31"/>
  <c r="I180" i="31"/>
  <c r="I181" i="31"/>
  <c r="I182" i="31"/>
  <c r="I183" i="31"/>
  <c r="I184" i="31"/>
  <c r="I185" i="31"/>
  <c r="I186" i="31"/>
  <c r="I187" i="31"/>
  <c r="I188" i="31"/>
  <c r="I189" i="31"/>
  <c r="I190" i="31"/>
  <c r="I191" i="31"/>
  <c r="I192" i="31"/>
  <c r="I193" i="31"/>
  <c r="I194" i="31"/>
  <c r="I195" i="31"/>
  <c r="I196" i="31"/>
  <c r="I197" i="31"/>
  <c r="I198" i="31"/>
  <c r="I199" i="31"/>
  <c r="I200" i="31"/>
  <c r="I201" i="31"/>
  <c r="I202" i="31"/>
  <c r="I203" i="31"/>
  <c r="I204" i="31"/>
  <c r="I205" i="31"/>
  <c r="I206" i="31"/>
  <c r="I207" i="31"/>
  <c r="I208" i="31"/>
  <c r="I209" i="31"/>
  <c r="I210" i="31"/>
  <c r="I211" i="31"/>
  <c r="I212" i="31"/>
  <c r="I213" i="31"/>
  <c r="I214" i="31"/>
  <c r="I215" i="31"/>
  <c r="I216" i="31"/>
  <c r="I217" i="31"/>
  <c r="I218" i="31"/>
  <c r="I219" i="31"/>
  <c r="I220" i="31"/>
  <c r="I221" i="31"/>
  <c r="I222" i="31"/>
  <c r="I223" i="31"/>
  <c r="I224" i="31"/>
  <c r="I225" i="31"/>
  <c r="I226" i="31"/>
  <c r="I227" i="31"/>
  <c r="I228" i="31"/>
  <c r="I229" i="31"/>
  <c r="I230" i="31"/>
  <c r="I231" i="31"/>
  <c r="I232" i="31"/>
  <c r="I233" i="31"/>
  <c r="I234" i="31"/>
  <c r="I235" i="31"/>
  <c r="I236" i="31"/>
  <c r="I237" i="31"/>
  <c r="I238" i="31"/>
  <c r="I239" i="31"/>
  <c r="I240" i="31"/>
  <c r="I241" i="31"/>
  <c r="I242" i="31"/>
  <c r="I243" i="31"/>
  <c r="I244" i="31"/>
  <c r="I245" i="31"/>
  <c r="I246" i="31"/>
  <c r="I247" i="31"/>
  <c r="I248" i="31"/>
  <c r="I249" i="31"/>
  <c r="I250" i="31"/>
  <c r="I251" i="31"/>
  <c r="I252" i="31"/>
  <c r="I253" i="31"/>
  <c r="I254" i="31"/>
  <c r="I255" i="31"/>
  <c r="I256" i="31"/>
  <c r="I257" i="31"/>
  <c r="I258" i="31"/>
  <c r="I259" i="31"/>
  <c r="I260" i="31"/>
  <c r="I261" i="31"/>
  <c r="I262" i="31"/>
  <c r="I263" i="31"/>
  <c r="I264" i="31"/>
  <c r="I265" i="31"/>
  <c r="I266" i="31"/>
  <c r="I267" i="31"/>
  <c r="I268" i="31"/>
  <c r="I269" i="31"/>
  <c r="I270" i="31"/>
  <c r="I271" i="31"/>
  <c r="I272" i="31"/>
  <c r="I273" i="31"/>
  <c r="I274" i="31"/>
  <c r="I275" i="31"/>
  <c r="I276" i="31"/>
  <c r="I277" i="31"/>
  <c r="I278" i="31"/>
  <c r="I279" i="31"/>
  <c r="I280" i="31"/>
  <c r="I281" i="31"/>
  <c r="I282" i="31"/>
  <c r="I283" i="31"/>
  <c r="I284" i="31"/>
  <c r="I285" i="31"/>
  <c r="I286" i="31"/>
  <c r="I287" i="31"/>
  <c r="I288" i="31"/>
  <c r="I289" i="31"/>
  <c r="I290" i="31"/>
  <c r="I291" i="31"/>
  <c r="I292" i="31"/>
  <c r="I293" i="31"/>
  <c r="I294" i="31"/>
  <c r="I295" i="31"/>
  <c r="I296" i="31"/>
  <c r="I297" i="31"/>
  <c r="I298" i="31"/>
  <c r="I299" i="31"/>
  <c r="I300" i="31"/>
  <c r="I301" i="31"/>
  <c r="I302" i="31"/>
  <c r="I303" i="31"/>
  <c r="I304" i="31"/>
  <c r="I305" i="31"/>
  <c r="I306" i="31"/>
  <c r="I307" i="31"/>
  <c r="I308" i="31"/>
  <c r="I309" i="31"/>
  <c r="I310" i="31"/>
  <c r="I311" i="31"/>
  <c r="I312" i="31"/>
  <c r="I313" i="31"/>
  <c r="I314" i="31"/>
  <c r="I315" i="31"/>
  <c r="I316" i="31"/>
  <c r="I317" i="31"/>
  <c r="I318" i="31"/>
  <c r="I319" i="31"/>
  <c r="I320" i="31"/>
  <c r="I321" i="31"/>
  <c r="I322" i="31"/>
  <c r="I323" i="31"/>
  <c r="I324" i="31"/>
  <c r="I325" i="31"/>
  <c r="I326" i="31"/>
  <c r="I327" i="31"/>
  <c r="I328" i="31"/>
  <c r="I329" i="31"/>
  <c r="I330" i="31"/>
  <c r="I331" i="31"/>
  <c r="I332" i="31"/>
  <c r="I333" i="31"/>
  <c r="I334" i="31"/>
  <c r="I335" i="31"/>
  <c r="I336" i="31"/>
  <c r="I337" i="31"/>
  <c r="I338" i="31"/>
  <c r="I339" i="31"/>
  <c r="I340" i="31"/>
  <c r="I341" i="31"/>
  <c r="I342" i="31"/>
  <c r="I343" i="31"/>
  <c r="I344" i="31"/>
  <c r="I345" i="31"/>
  <c r="I346" i="31"/>
  <c r="I347" i="31"/>
  <c r="I348" i="31"/>
  <c r="I349" i="31"/>
  <c r="I350" i="31"/>
  <c r="I351" i="31"/>
  <c r="I352" i="31"/>
  <c r="I353" i="31"/>
  <c r="I354" i="31"/>
  <c r="I355" i="31"/>
  <c r="I356" i="31"/>
  <c r="I357" i="31"/>
  <c r="I358" i="31"/>
  <c r="I359" i="31"/>
  <c r="I360" i="31"/>
  <c r="I361" i="31"/>
  <c r="I362" i="31"/>
  <c r="I363" i="31"/>
  <c r="I364" i="31"/>
  <c r="I365" i="31"/>
  <c r="I366" i="31"/>
  <c r="I367" i="31"/>
  <c r="I368" i="31"/>
  <c r="I369" i="31"/>
  <c r="I370" i="31"/>
  <c r="I371" i="31"/>
  <c r="I372" i="31"/>
  <c r="I373" i="31"/>
  <c r="I374" i="31"/>
  <c r="I375" i="31"/>
  <c r="I376" i="31"/>
  <c r="I377" i="31"/>
  <c r="I378" i="31"/>
  <c r="I379" i="31"/>
  <c r="I380" i="31"/>
  <c r="I381" i="31"/>
  <c r="I382" i="31"/>
  <c r="I383" i="31"/>
  <c r="I384" i="31"/>
  <c r="I385" i="31"/>
  <c r="I386" i="31"/>
  <c r="I387" i="31"/>
  <c r="I388" i="31"/>
  <c r="I389" i="31"/>
  <c r="I390" i="31"/>
  <c r="I391" i="31"/>
  <c r="I392" i="31"/>
  <c r="I393" i="31"/>
  <c r="I394" i="31"/>
  <c r="I395" i="31"/>
  <c r="I396" i="31"/>
  <c r="I397" i="31"/>
  <c r="I398" i="31"/>
  <c r="I399" i="31"/>
  <c r="I400" i="31"/>
  <c r="I401" i="31"/>
  <c r="I402" i="31"/>
  <c r="I403" i="31"/>
  <c r="I404" i="31"/>
  <c r="I405" i="31"/>
  <c r="I406" i="31"/>
  <c r="I407" i="31"/>
  <c r="I408" i="31"/>
  <c r="I409" i="31"/>
  <c r="I410" i="31"/>
  <c r="I411" i="31"/>
  <c r="I412" i="31"/>
  <c r="I413" i="31"/>
  <c r="I414" i="31"/>
  <c r="I415" i="31"/>
  <c r="I416" i="31"/>
  <c r="I417" i="31"/>
  <c r="I418" i="31"/>
  <c r="I419" i="31"/>
  <c r="I420" i="31"/>
  <c r="I421" i="31"/>
  <c r="I33" i="31"/>
  <c r="I34" i="31"/>
  <c r="I35" i="31"/>
  <c r="I36" i="31"/>
  <c r="I37" i="31"/>
  <c r="I38" i="31"/>
  <c r="I39" i="31"/>
  <c r="I40" i="31"/>
  <c r="I41" i="31"/>
  <c r="I42" i="31"/>
  <c r="I43" i="31"/>
  <c r="I44" i="31"/>
  <c r="I45" i="31"/>
  <c r="I8" i="31"/>
  <c r="I9" i="31"/>
  <c r="I10" i="31"/>
  <c r="I11" i="31"/>
  <c r="I12" i="31"/>
  <c r="I13" i="31"/>
  <c r="I14" i="31"/>
  <c r="I15" i="31"/>
  <c r="I16" i="31"/>
  <c r="I17" i="31"/>
  <c r="I18" i="31"/>
  <c r="I19" i="31"/>
  <c r="I20" i="31"/>
  <c r="I21" i="31"/>
  <c r="I22" i="31"/>
  <c r="I23" i="31"/>
  <c r="I24" i="31"/>
  <c r="I25" i="31"/>
  <c r="I26" i="31"/>
  <c r="I27" i="31"/>
  <c r="I28" i="31"/>
  <c r="I29" i="31"/>
  <c r="I30" i="31"/>
  <c r="I31" i="31"/>
  <c r="I32" i="31"/>
  <c r="I3" i="31"/>
  <c r="I4" i="31"/>
  <c r="I5" i="31"/>
  <c r="I6" i="31"/>
  <c r="I7" i="31"/>
  <c r="I2" i="31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37" i="2"/>
  <c r="F423" i="31"/>
  <c r="F424" i="31"/>
  <c r="F425" i="31"/>
  <c r="F426" i="31"/>
  <c r="F427" i="31"/>
  <c r="F428" i="31"/>
  <c r="F429" i="31"/>
  <c r="F430" i="31"/>
  <c r="F431" i="31"/>
  <c r="F432" i="31"/>
  <c r="F433" i="31"/>
  <c r="F434" i="31"/>
  <c r="F435" i="31"/>
  <c r="F436" i="31"/>
  <c r="F437" i="31"/>
  <c r="F438" i="31"/>
  <c r="F439" i="31"/>
  <c r="F440" i="31"/>
  <c r="F441" i="31"/>
  <c r="F442" i="31"/>
  <c r="F443" i="31"/>
  <c r="F444" i="31"/>
  <c r="F445" i="31"/>
  <c r="F446" i="31"/>
  <c r="F447" i="31"/>
  <c r="F448" i="31"/>
  <c r="F449" i="31"/>
  <c r="F450" i="31"/>
  <c r="F451" i="31"/>
  <c r="F452" i="31"/>
  <c r="F453" i="31"/>
  <c r="F454" i="31"/>
  <c r="F455" i="31"/>
  <c r="F456" i="31"/>
  <c r="F457" i="31"/>
  <c r="F458" i="31"/>
  <c r="F459" i="31"/>
  <c r="F460" i="31"/>
  <c r="F461" i="31"/>
  <c r="F462" i="31"/>
  <c r="F463" i="31"/>
  <c r="F464" i="31"/>
  <c r="F465" i="31"/>
  <c r="F466" i="31"/>
  <c r="F467" i="31"/>
  <c r="F468" i="31"/>
  <c r="F469" i="31"/>
  <c r="F470" i="31"/>
  <c r="F471" i="31"/>
  <c r="F472" i="31"/>
  <c r="F473" i="31"/>
  <c r="F474" i="31"/>
  <c r="F475" i="31"/>
  <c r="F476" i="31"/>
  <c r="F477" i="31"/>
  <c r="F478" i="31"/>
  <c r="F479" i="31"/>
  <c r="F480" i="31"/>
  <c r="F481" i="31"/>
  <c r="F482" i="31"/>
  <c r="F483" i="31"/>
  <c r="F484" i="31"/>
  <c r="F485" i="31"/>
  <c r="F486" i="31"/>
  <c r="F487" i="31"/>
  <c r="F488" i="31"/>
  <c r="F489" i="31"/>
  <c r="F490" i="31"/>
  <c r="F491" i="31"/>
  <c r="F492" i="31"/>
  <c r="F493" i="31"/>
  <c r="F494" i="31"/>
  <c r="F495" i="31"/>
  <c r="F496" i="31"/>
  <c r="F497" i="31"/>
  <c r="F498" i="31"/>
  <c r="F499" i="31"/>
  <c r="F500" i="31"/>
  <c r="F501" i="31"/>
  <c r="F502" i="31"/>
  <c r="F503" i="31"/>
  <c r="F504" i="31"/>
  <c r="F505" i="31"/>
  <c r="F506" i="31"/>
  <c r="F507" i="31"/>
  <c r="F508" i="31"/>
  <c r="F509" i="31"/>
  <c r="F510" i="31"/>
  <c r="F511" i="31"/>
  <c r="F512" i="31"/>
  <c r="F513" i="31"/>
  <c r="F514" i="31"/>
  <c r="F515" i="31"/>
  <c r="F516" i="31"/>
  <c r="F517" i="31"/>
  <c r="F518" i="31"/>
  <c r="F519" i="31"/>
  <c r="F520" i="31"/>
  <c r="F521" i="31"/>
  <c r="F522" i="31"/>
  <c r="F523" i="31"/>
  <c r="F524" i="31"/>
  <c r="F525" i="31"/>
  <c r="F526" i="31"/>
  <c r="F527" i="31"/>
  <c r="F528" i="31"/>
  <c r="F529" i="31"/>
  <c r="F530" i="31"/>
  <c r="F531" i="31"/>
  <c r="F532" i="31"/>
  <c r="F533" i="31"/>
  <c r="F534" i="31"/>
  <c r="F535" i="31"/>
  <c r="F536" i="31"/>
  <c r="F537" i="31"/>
  <c r="F538" i="31"/>
  <c r="F539" i="31"/>
  <c r="F540" i="31"/>
  <c r="F541" i="31"/>
  <c r="F542" i="31"/>
  <c r="F543" i="31"/>
  <c r="F544" i="31"/>
  <c r="F545" i="31"/>
  <c r="F546" i="31"/>
  <c r="F547" i="31"/>
  <c r="F548" i="31"/>
  <c r="F549" i="31"/>
  <c r="F550" i="31"/>
  <c r="F551" i="31"/>
  <c r="F552" i="31"/>
  <c r="F553" i="31"/>
  <c r="F554" i="31"/>
  <c r="F555" i="31"/>
  <c r="F556" i="31"/>
  <c r="F557" i="31"/>
  <c r="F558" i="31"/>
  <c r="F559" i="31"/>
  <c r="F560" i="31"/>
  <c r="F561" i="31"/>
  <c r="F562" i="31"/>
  <c r="F563" i="31"/>
  <c r="F564" i="31"/>
  <c r="F565" i="31"/>
  <c r="F566" i="31"/>
  <c r="F567" i="31"/>
  <c r="F568" i="31"/>
  <c r="F569" i="31"/>
  <c r="F570" i="31"/>
  <c r="F571" i="31"/>
  <c r="F572" i="31"/>
  <c r="F573" i="31"/>
  <c r="F574" i="31"/>
  <c r="F575" i="31"/>
  <c r="F576" i="31"/>
  <c r="F577" i="31"/>
  <c r="F578" i="31"/>
  <c r="F579" i="31"/>
  <c r="F580" i="31"/>
  <c r="F581" i="31"/>
  <c r="F582" i="31"/>
  <c r="F583" i="31"/>
  <c r="F584" i="31"/>
  <c r="F585" i="31"/>
  <c r="F586" i="31"/>
  <c r="F587" i="31"/>
  <c r="F588" i="31"/>
  <c r="F589" i="31"/>
  <c r="F590" i="31"/>
  <c r="F591" i="31"/>
  <c r="F592" i="31"/>
  <c r="F593" i="31"/>
  <c r="F594" i="31"/>
  <c r="F595" i="31"/>
  <c r="F596" i="31"/>
  <c r="F597" i="31"/>
  <c r="F598" i="31"/>
  <c r="F599" i="31"/>
  <c r="F600" i="31"/>
  <c r="F601" i="31"/>
  <c r="F602" i="31"/>
  <c r="F603" i="31"/>
  <c r="F604" i="31"/>
  <c r="F605" i="31"/>
  <c r="F606" i="31"/>
  <c r="F607" i="31"/>
  <c r="F608" i="31"/>
  <c r="F609" i="31"/>
  <c r="F610" i="31"/>
  <c r="F611" i="31"/>
  <c r="F612" i="31"/>
  <c r="F613" i="31"/>
  <c r="F614" i="31"/>
  <c r="F615" i="31"/>
  <c r="F616" i="31"/>
  <c r="F617" i="31"/>
  <c r="F618" i="31"/>
  <c r="F619" i="31"/>
  <c r="F620" i="31"/>
  <c r="F621" i="31"/>
  <c r="F622" i="31"/>
  <c r="F623" i="31"/>
  <c r="F624" i="31"/>
  <c r="F625" i="31"/>
  <c r="F626" i="31"/>
  <c r="F627" i="31"/>
  <c r="F628" i="31"/>
  <c r="F629" i="31"/>
  <c r="F630" i="31"/>
  <c r="F631" i="31"/>
  <c r="F632" i="31"/>
  <c r="F633" i="31"/>
  <c r="F634" i="31"/>
  <c r="F635" i="31"/>
  <c r="F636" i="31"/>
  <c r="F637" i="31"/>
  <c r="F638" i="31"/>
  <c r="F639" i="31"/>
  <c r="F640" i="31"/>
  <c r="F641" i="31"/>
  <c r="F642" i="31"/>
  <c r="F643" i="31"/>
  <c r="F644" i="31"/>
  <c r="F645" i="31"/>
  <c r="F646" i="31"/>
  <c r="F647" i="31"/>
  <c r="F648" i="31"/>
  <c r="F649" i="31"/>
  <c r="F650" i="31"/>
  <c r="F651" i="31"/>
  <c r="F652" i="31"/>
  <c r="F653" i="31"/>
  <c r="F654" i="31"/>
  <c r="F655" i="31"/>
  <c r="F656" i="31"/>
  <c r="F657" i="31"/>
  <c r="F658" i="31"/>
  <c r="F659" i="31"/>
  <c r="F660" i="31"/>
  <c r="F661" i="31"/>
  <c r="F662" i="31"/>
  <c r="F663" i="31"/>
  <c r="F664" i="31"/>
  <c r="F665" i="31"/>
  <c r="F666" i="31"/>
  <c r="F667" i="31"/>
  <c r="F668" i="31"/>
  <c r="F669" i="31"/>
  <c r="F670" i="31"/>
  <c r="F671" i="31"/>
  <c r="F672" i="31"/>
  <c r="F673" i="31"/>
  <c r="F674" i="31"/>
  <c r="F675" i="31"/>
  <c r="F676" i="31"/>
  <c r="F677" i="31"/>
  <c r="F678" i="31"/>
  <c r="F679" i="31"/>
  <c r="F680" i="31"/>
  <c r="F681" i="31"/>
  <c r="F682" i="31"/>
  <c r="F683" i="31"/>
  <c r="F684" i="31"/>
  <c r="F685" i="31"/>
  <c r="F686" i="31"/>
  <c r="F687" i="31"/>
  <c r="F688" i="31"/>
  <c r="F689" i="31"/>
  <c r="F690" i="31"/>
  <c r="F691" i="31"/>
  <c r="F692" i="31"/>
  <c r="F693" i="31"/>
  <c r="F694" i="31"/>
  <c r="F695" i="31"/>
  <c r="F696" i="31"/>
  <c r="F697" i="31"/>
  <c r="F698" i="31"/>
  <c r="F699" i="31"/>
  <c r="F700" i="31"/>
  <c r="F701" i="31"/>
  <c r="F702" i="31"/>
  <c r="F703" i="31"/>
  <c r="F704" i="31"/>
  <c r="F705" i="31"/>
  <c r="F706" i="31"/>
  <c r="F707" i="31"/>
  <c r="F708" i="31"/>
  <c r="F709" i="31"/>
  <c r="F712" i="31"/>
  <c r="F713" i="31"/>
  <c r="F714" i="31"/>
  <c r="F715" i="31"/>
  <c r="F716" i="31"/>
  <c r="F717" i="31"/>
  <c r="F718" i="31"/>
  <c r="F719" i="31"/>
  <c r="F720" i="31"/>
  <c r="F721" i="31"/>
  <c r="F724" i="31"/>
  <c r="F725" i="31"/>
  <c r="F726" i="31"/>
  <c r="F727" i="31"/>
  <c r="F728" i="31"/>
  <c r="F729" i="31"/>
  <c r="F730" i="31"/>
  <c r="F731" i="31"/>
  <c r="F732" i="31"/>
  <c r="F733" i="31"/>
  <c r="F734" i="31"/>
  <c r="F735" i="31"/>
  <c r="F736" i="31"/>
  <c r="F737" i="31"/>
  <c r="F738" i="31"/>
  <c r="F739" i="31"/>
  <c r="F740" i="31"/>
  <c r="F741" i="31"/>
  <c r="F742" i="31"/>
  <c r="F743" i="31"/>
  <c r="F744" i="31"/>
  <c r="F745" i="31"/>
  <c r="F746" i="31"/>
  <c r="F747" i="31"/>
  <c r="F748" i="31"/>
  <c r="F749" i="31"/>
  <c r="F750" i="31"/>
  <c r="F751" i="31"/>
  <c r="F752" i="31"/>
  <c r="F753" i="31"/>
  <c r="F754" i="31"/>
  <c r="F755" i="31"/>
  <c r="F756" i="31"/>
  <c r="F757" i="31"/>
  <c r="F758" i="31"/>
  <c r="F759" i="31"/>
  <c r="F760" i="31"/>
  <c r="F761" i="31"/>
  <c r="F762" i="31"/>
  <c r="F763" i="31"/>
  <c r="F764" i="31"/>
  <c r="F765" i="31"/>
  <c r="F766" i="31"/>
  <c r="F767" i="31"/>
  <c r="F768" i="31"/>
  <c r="F769" i="31"/>
  <c r="F770" i="31"/>
  <c r="F771" i="31"/>
  <c r="F772" i="31"/>
  <c r="F773" i="31"/>
  <c r="F774" i="31"/>
  <c r="F775" i="31"/>
  <c r="F776" i="31"/>
  <c r="F777" i="31"/>
  <c r="F778" i="31"/>
  <c r="F779" i="31"/>
  <c r="F780" i="31"/>
  <c r="F781" i="31"/>
  <c r="F782" i="31"/>
  <c r="F783" i="31"/>
  <c r="F784" i="31"/>
  <c r="F785" i="31"/>
  <c r="F786" i="31"/>
  <c r="F787" i="31"/>
  <c r="F788" i="31"/>
  <c r="F789" i="31"/>
  <c r="F790" i="31"/>
  <c r="F791" i="31"/>
  <c r="F792" i="31"/>
  <c r="F793" i="31"/>
  <c r="F794" i="31"/>
  <c r="F795" i="31"/>
  <c r="F796" i="31"/>
  <c r="F797" i="31"/>
  <c r="F798" i="31"/>
  <c r="F799" i="31"/>
  <c r="F800" i="31"/>
  <c r="F801" i="31"/>
  <c r="F802" i="31"/>
  <c r="F803" i="31"/>
  <c r="F804" i="31"/>
  <c r="F805" i="31"/>
  <c r="F806" i="31"/>
  <c r="F807" i="31"/>
  <c r="F808" i="31"/>
  <c r="F809" i="31"/>
  <c r="F810" i="31"/>
  <c r="F811" i="31"/>
  <c r="F812" i="31"/>
  <c r="F813" i="31"/>
  <c r="F814" i="31"/>
  <c r="F816" i="31"/>
  <c r="F817" i="31"/>
  <c r="F818" i="31"/>
  <c r="F819" i="31"/>
  <c r="F820" i="31"/>
  <c r="F821" i="31"/>
  <c r="F822" i="31"/>
  <c r="F823" i="31"/>
  <c r="F824" i="31"/>
  <c r="F825" i="31"/>
  <c r="F826" i="31"/>
  <c r="F827" i="31"/>
  <c r="F828" i="31"/>
  <c r="F829" i="31"/>
  <c r="F830" i="31"/>
  <c r="F831" i="31"/>
  <c r="F832" i="31"/>
  <c r="F833" i="31"/>
  <c r="F834" i="31"/>
  <c r="F835" i="31"/>
  <c r="F836" i="31"/>
  <c r="F837" i="31"/>
  <c r="F838" i="31"/>
  <c r="F839" i="31"/>
  <c r="F840" i="31"/>
  <c r="F841" i="31"/>
  <c r="F842" i="31"/>
  <c r="F843" i="31"/>
  <c r="F844" i="31"/>
  <c r="F845" i="31"/>
  <c r="F846" i="31"/>
  <c r="F847" i="31"/>
  <c r="F848" i="31"/>
  <c r="F849" i="31"/>
  <c r="F853" i="31"/>
  <c r="F854" i="31"/>
  <c r="F855" i="31"/>
  <c r="F856" i="31"/>
  <c r="F857" i="31"/>
  <c r="F858" i="31"/>
  <c r="F859" i="31"/>
  <c r="F860" i="31"/>
  <c r="F861" i="31"/>
  <c r="F862" i="31"/>
  <c r="F865" i="31"/>
  <c r="F866" i="31"/>
  <c r="F867" i="31"/>
  <c r="F868" i="31"/>
  <c r="F869" i="31"/>
  <c r="F870" i="31"/>
  <c r="F871" i="31"/>
  <c r="F872" i="31"/>
  <c r="F873" i="31"/>
  <c r="F874" i="31"/>
  <c r="F875" i="31"/>
  <c r="F876" i="31"/>
  <c r="F877" i="31"/>
  <c r="F878" i="31"/>
  <c r="F879" i="31"/>
  <c r="F880" i="31"/>
  <c r="F881" i="31"/>
  <c r="F882" i="31"/>
  <c r="F883" i="31"/>
  <c r="F884" i="31"/>
  <c r="F885" i="31"/>
  <c r="F886" i="31"/>
  <c r="F887" i="31"/>
  <c r="F888" i="31"/>
  <c r="F889" i="31"/>
  <c r="F890" i="31"/>
  <c r="F891" i="31"/>
  <c r="F892" i="31"/>
  <c r="F893" i="31"/>
  <c r="F894" i="31"/>
  <c r="F895" i="31"/>
  <c r="F896" i="31"/>
  <c r="F897" i="31"/>
  <c r="F898" i="31"/>
  <c r="F899" i="31"/>
  <c r="F900" i="31"/>
  <c r="F901" i="31"/>
  <c r="F422" i="31"/>
  <c r="H2" i="2" l="1"/>
  <c r="G3" i="32"/>
  <c r="G4" i="32"/>
  <c r="G5" i="32"/>
  <c r="G6" i="32"/>
  <c r="G7" i="32"/>
  <c r="G8" i="32"/>
  <c r="G9" i="32"/>
  <c r="G10" i="32"/>
  <c r="G11" i="32"/>
  <c r="G12" i="32"/>
  <c r="G13" i="32"/>
  <c r="G2" i="32"/>
  <c r="F3" i="32"/>
  <c r="F4" i="32"/>
  <c r="F5" i="32"/>
  <c r="F6" i="32"/>
  <c r="F7" i="32"/>
  <c r="F8" i="32"/>
  <c r="F9" i="32"/>
  <c r="F10" i="32"/>
  <c r="F11" i="32"/>
  <c r="F12" i="32"/>
  <c r="F13" i="32"/>
  <c r="F2" i="32"/>
  <c r="G14" i="31" l="1"/>
  <c r="G15" i="31"/>
  <c r="G16" i="31"/>
  <c r="G17" i="31"/>
  <c r="G18" i="31"/>
  <c r="G19" i="31"/>
  <c r="G20" i="31"/>
  <c r="G21" i="31"/>
  <c r="G22" i="31"/>
  <c r="G23" i="31"/>
  <c r="G24" i="31"/>
  <c r="G25" i="31"/>
  <c r="G26" i="31"/>
  <c r="G27" i="31"/>
  <c r="G28" i="31"/>
  <c r="G29" i="31"/>
  <c r="G30" i="31"/>
  <c r="G31" i="31"/>
  <c r="G32" i="31"/>
  <c r="G33" i="31"/>
  <c r="G34" i="31"/>
  <c r="G35" i="31"/>
  <c r="G36" i="31"/>
  <c r="G37" i="31"/>
  <c r="G38" i="31"/>
  <c r="G39" i="31"/>
  <c r="G40" i="31"/>
  <c r="G41" i="31"/>
  <c r="G42" i="31"/>
  <c r="G43" i="31"/>
  <c r="G44" i="31"/>
  <c r="G45" i="31"/>
  <c r="G46" i="31"/>
  <c r="G47" i="31"/>
  <c r="G48" i="31"/>
  <c r="G49" i="31"/>
  <c r="G50" i="31"/>
  <c r="G51" i="31"/>
  <c r="G52" i="31"/>
  <c r="G53" i="31"/>
  <c r="G54" i="31"/>
  <c r="G55" i="31"/>
  <c r="G56" i="31"/>
  <c r="G57" i="31"/>
  <c r="G58" i="31"/>
  <c r="G59" i="31"/>
  <c r="G60" i="31"/>
  <c r="G61" i="31"/>
  <c r="G62" i="31"/>
  <c r="G63" i="31"/>
  <c r="G64" i="31"/>
  <c r="G65" i="31"/>
  <c r="G66" i="31"/>
  <c r="G67" i="31"/>
  <c r="G68" i="31"/>
  <c r="G69" i="31"/>
  <c r="G70" i="31"/>
  <c r="G71" i="31"/>
  <c r="G72" i="31"/>
  <c r="G73" i="31"/>
  <c r="G74" i="31"/>
  <c r="G75" i="31"/>
  <c r="G76" i="31"/>
  <c r="G77" i="31"/>
  <c r="G78" i="31"/>
  <c r="G79" i="31"/>
  <c r="G80" i="31"/>
  <c r="G81" i="31"/>
  <c r="G82" i="31"/>
  <c r="G83" i="31"/>
  <c r="G84" i="31"/>
  <c r="G85" i="31"/>
  <c r="G86" i="31"/>
  <c r="G87" i="31"/>
  <c r="G88" i="31"/>
  <c r="G89" i="31"/>
  <c r="G90" i="31"/>
  <c r="G91" i="31"/>
  <c r="G92" i="31"/>
  <c r="G93" i="31"/>
  <c r="G94" i="31"/>
  <c r="G95" i="31"/>
  <c r="G96" i="31"/>
  <c r="G97" i="31"/>
  <c r="G98" i="31"/>
  <c r="G99" i="31"/>
  <c r="G100" i="31"/>
  <c r="G101" i="31"/>
  <c r="G102" i="31"/>
  <c r="G103" i="31"/>
  <c r="G104" i="31"/>
  <c r="G105" i="31"/>
  <c r="G106" i="31"/>
  <c r="G107" i="31"/>
  <c r="G108" i="31"/>
  <c r="G109" i="31"/>
  <c r="G110" i="31"/>
  <c r="G111" i="31"/>
  <c r="G112" i="31"/>
  <c r="G113" i="31"/>
  <c r="G114" i="31"/>
  <c r="G115" i="31"/>
  <c r="G116" i="31"/>
  <c r="G117" i="31"/>
  <c r="G118" i="31"/>
  <c r="G119" i="31"/>
  <c r="G120" i="31"/>
  <c r="G121" i="31"/>
  <c r="G122" i="31"/>
  <c r="G123" i="31"/>
  <c r="G124" i="31"/>
  <c r="G125" i="31"/>
  <c r="G126" i="31"/>
  <c r="G127" i="31"/>
  <c r="G128" i="31"/>
  <c r="G129" i="31"/>
  <c r="G130" i="31"/>
  <c r="G131" i="31"/>
  <c r="G132" i="31"/>
  <c r="G133" i="31"/>
  <c r="G134" i="31"/>
  <c r="G135" i="31"/>
  <c r="G136" i="31"/>
  <c r="G137" i="31"/>
  <c r="G138" i="31"/>
  <c r="G139" i="31"/>
  <c r="G140" i="31"/>
  <c r="G141" i="31"/>
  <c r="G142" i="31"/>
  <c r="G143" i="31"/>
  <c r="G144" i="31"/>
  <c r="G145" i="31"/>
  <c r="G146" i="31"/>
  <c r="G147" i="31"/>
  <c r="G148" i="31"/>
  <c r="G149" i="31"/>
  <c r="G150" i="31"/>
  <c r="G151" i="31"/>
  <c r="G152" i="31"/>
  <c r="G153" i="31"/>
  <c r="G154" i="31"/>
  <c r="G155" i="31"/>
  <c r="G156" i="31"/>
  <c r="G157" i="31"/>
  <c r="G158" i="31"/>
  <c r="G159" i="31"/>
  <c r="G160" i="31"/>
  <c r="G161" i="31"/>
  <c r="G162" i="31"/>
  <c r="G163" i="31"/>
  <c r="G164" i="31"/>
  <c r="G165" i="31"/>
  <c r="G166" i="31"/>
  <c r="G167" i="31"/>
  <c r="G168" i="31"/>
  <c r="G169" i="31"/>
  <c r="G170" i="31"/>
  <c r="G171" i="31"/>
  <c r="G172" i="31"/>
  <c r="G173" i="31"/>
  <c r="G174" i="31"/>
  <c r="G175" i="31"/>
  <c r="G176" i="31"/>
  <c r="G177" i="31"/>
  <c r="G178" i="31"/>
  <c r="G179" i="31"/>
  <c r="G180" i="31"/>
  <c r="G181" i="31"/>
  <c r="G182" i="31"/>
  <c r="G183" i="31"/>
  <c r="G184" i="31"/>
  <c r="G185" i="31"/>
  <c r="G186" i="31"/>
  <c r="G187" i="31"/>
  <c r="G188" i="31"/>
  <c r="G189" i="31"/>
  <c r="G190" i="31"/>
  <c r="G191" i="31"/>
  <c r="G192" i="31"/>
  <c r="G193" i="31"/>
  <c r="G194" i="31"/>
  <c r="G195" i="31"/>
  <c r="G196" i="31"/>
  <c r="G197" i="31"/>
  <c r="G198" i="31"/>
  <c r="G199" i="31"/>
  <c r="G200" i="31"/>
  <c r="G201" i="31"/>
  <c r="G202" i="31"/>
  <c r="G203" i="31"/>
  <c r="G204" i="31"/>
  <c r="G205" i="31"/>
  <c r="G206" i="31"/>
  <c r="G207" i="31"/>
  <c r="G208" i="31"/>
  <c r="G209" i="31"/>
  <c r="G210" i="31"/>
  <c r="G211" i="31"/>
  <c r="G212" i="31"/>
  <c r="G213" i="31"/>
  <c r="G214" i="31"/>
  <c r="G215" i="31"/>
  <c r="G216" i="31"/>
  <c r="G217" i="31"/>
  <c r="G218" i="31"/>
  <c r="G219" i="31"/>
  <c r="G220" i="31"/>
  <c r="G221" i="31"/>
  <c r="G222" i="31"/>
  <c r="G223" i="31"/>
  <c r="G224" i="31"/>
  <c r="G225" i="31"/>
  <c r="G226" i="31"/>
  <c r="G227" i="31"/>
  <c r="G228" i="31"/>
  <c r="G229" i="31"/>
  <c r="G230" i="31"/>
  <c r="G231" i="31"/>
  <c r="G232" i="31"/>
  <c r="G233" i="31"/>
  <c r="G234" i="31"/>
  <c r="G235" i="31"/>
  <c r="G236" i="31"/>
  <c r="G237" i="31"/>
  <c r="G238" i="31"/>
  <c r="G239" i="31"/>
  <c r="G240" i="31"/>
  <c r="G241" i="31"/>
  <c r="G242" i="31"/>
  <c r="G243" i="31"/>
  <c r="G244" i="31"/>
  <c r="G245" i="31"/>
  <c r="G246" i="31"/>
  <c r="G247" i="31"/>
  <c r="G248" i="31"/>
  <c r="G249" i="31"/>
  <c r="G250" i="31"/>
  <c r="G251" i="31"/>
  <c r="G252" i="31"/>
  <c r="G253" i="31"/>
  <c r="G254" i="31"/>
  <c r="G255" i="31"/>
  <c r="G256" i="31"/>
  <c r="G257" i="31"/>
  <c r="G258" i="31"/>
  <c r="G259" i="31"/>
  <c r="G260" i="31"/>
  <c r="G261" i="31"/>
  <c r="G262" i="31"/>
  <c r="G263" i="31"/>
  <c r="G264" i="31"/>
  <c r="G265" i="31"/>
  <c r="G266" i="31"/>
  <c r="G267" i="31"/>
  <c r="G268" i="31"/>
  <c r="G269" i="31"/>
  <c r="G270" i="31"/>
  <c r="G271" i="31"/>
  <c r="G272" i="31"/>
  <c r="G273" i="31"/>
  <c r="G274" i="31"/>
  <c r="G275" i="31"/>
  <c r="G276" i="31"/>
  <c r="G277" i="31"/>
  <c r="G278" i="31"/>
  <c r="G279" i="31"/>
  <c r="G280" i="31"/>
  <c r="G281" i="31"/>
  <c r="G282" i="31"/>
  <c r="G283" i="31"/>
  <c r="G284" i="31"/>
  <c r="G285" i="31"/>
  <c r="G286" i="31"/>
  <c r="G287" i="31"/>
  <c r="G288" i="31"/>
  <c r="G289" i="31"/>
  <c r="G290" i="31"/>
  <c r="G291" i="31"/>
  <c r="G292" i="31"/>
  <c r="G293" i="31"/>
  <c r="G294" i="31"/>
  <c r="G295" i="31"/>
  <c r="G296" i="31"/>
  <c r="G297" i="31"/>
  <c r="G298" i="31"/>
  <c r="G299" i="31"/>
  <c r="G300" i="31"/>
  <c r="G301" i="31"/>
  <c r="G302" i="31"/>
  <c r="G303" i="31"/>
  <c r="G304" i="31"/>
  <c r="G305" i="31"/>
  <c r="G306" i="31"/>
  <c r="G307" i="31"/>
  <c r="G308" i="31"/>
  <c r="G309" i="31"/>
  <c r="G310" i="31"/>
  <c r="G311" i="31"/>
  <c r="G312" i="31"/>
  <c r="G313" i="31"/>
  <c r="G314" i="31"/>
  <c r="G315" i="31"/>
  <c r="G316" i="31"/>
  <c r="G317" i="31"/>
  <c r="G318" i="31"/>
  <c r="G319" i="31"/>
  <c r="G320" i="31"/>
  <c r="G321" i="31"/>
  <c r="G322" i="31"/>
  <c r="G323" i="31"/>
  <c r="G324" i="31"/>
  <c r="G325" i="31"/>
  <c r="G326" i="31"/>
  <c r="G327" i="31"/>
  <c r="G328" i="31"/>
  <c r="G329" i="31"/>
  <c r="G330" i="31"/>
  <c r="G331" i="31"/>
  <c r="G332" i="31"/>
  <c r="G333" i="31"/>
  <c r="G334" i="31"/>
  <c r="G335" i="31"/>
  <c r="G336" i="31"/>
  <c r="G337" i="31"/>
  <c r="G338" i="31"/>
  <c r="G339" i="31"/>
  <c r="G340" i="31"/>
  <c r="G341" i="31"/>
  <c r="G342" i="31"/>
  <c r="G343" i="31"/>
  <c r="G344" i="31"/>
  <c r="G345" i="31"/>
  <c r="G346" i="31"/>
  <c r="G347" i="31"/>
  <c r="G348" i="31"/>
  <c r="G349" i="31"/>
  <c r="G350" i="31"/>
  <c r="G351" i="31"/>
  <c r="G352" i="31"/>
  <c r="G353" i="31"/>
  <c r="G354" i="31"/>
  <c r="G355" i="31"/>
  <c r="G356" i="31"/>
  <c r="G357" i="31"/>
  <c r="G358" i="31"/>
  <c r="G359" i="31"/>
  <c r="G360" i="31"/>
  <c r="G361" i="31"/>
  <c r="G362" i="31"/>
  <c r="G363" i="31"/>
  <c r="G364" i="31"/>
  <c r="G365" i="31"/>
  <c r="G366" i="31"/>
  <c r="G367" i="31"/>
  <c r="G368" i="31"/>
  <c r="G369" i="31"/>
  <c r="G370" i="31"/>
  <c r="G371" i="31"/>
  <c r="G372" i="31"/>
  <c r="G373" i="31"/>
  <c r="G374" i="31"/>
  <c r="G375" i="31"/>
  <c r="G376" i="31"/>
  <c r="G377" i="31"/>
  <c r="G378" i="31"/>
  <c r="G379" i="31"/>
  <c r="G380" i="31"/>
  <c r="G381" i="31"/>
  <c r="G382" i="31"/>
  <c r="G383" i="31"/>
  <c r="G384" i="31"/>
  <c r="G385" i="31"/>
  <c r="G386" i="31"/>
  <c r="G387" i="31"/>
  <c r="G388" i="31"/>
  <c r="G389" i="31"/>
  <c r="G390" i="31"/>
  <c r="G391" i="31"/>
  <c r="G392" i="31"/>
  <c r="G393" i="31"/>
  <c r="G394" i="31"/>
  <c r="G395" i="31"/>
  <c r="G396" i="31"/>
  <c r="G397" i="31"/>
  <c r="G398" i="31"/>
  <c r="G399" i="31"/>
  <c r="G400" i="31"/>
  <c r="G401" i="31"/>
  <c r="G402" i="31"/>
  <c r="G403" i="31"/>
  <c r="G404" i="31"/>
  <c r="G405" i="31"/>
  <c r="G406" i="31"/>
  <c r="G407" i="31"/>
  <c r="G408" i="31"/>
  <c r="G409" i="31"/>
  <c r="G410" i="31"/>
  <c r="G411" i="31"/>
  <c r="G412" i="31"/>
  <c r="G413" i="31"/>
  <c r="G414" i="31"/>
  <c r="G415" i="31"/>
  <c r="G416" i="31"/>
  <c r="G417" i="31"/>
  <c r="G418" i="31"/>
  <c r="G419" i="31"/>
  <c r="G420" i="31"/>
  <c r="G421" i="31"/>
  <c r="H14" i="31"/>
  <c r="H15" i="31"/>
  <c r="H16" i="31"/>
  <c r="H17" i="31"/>
  <c r="H18" i="31"/>
  <c r="H19" i="31"/>
  <c r="H20" i="31"/>
  <c r="H21" i="31"/>
  <c r="H22" i="31"/>
  <c r="H23" i="31"/>
  <c r="H24" i="31"/>
  <c r="H25" i="31"/>
  <c r="H26" i="31"/>
  <c r="H27" i="31"/>
  <c r="H28" i="31"/>
  <c r="H29" i="31"/>
  <c r="H30" i="31"/>
  <c r="H31" i="31"/>
  <c r="H32" i="31"/>
  <c r="H33" i="31"/>
  <c r="H34" i="31"/>
  <c r="H35" i="31"/>
  <c r="H36" i="31"/>
  <c r="H37" i="31"/>
  <c r="H38" i="31"/>
  <c r="H39" i="31"/>
  <c r="H40" i="31"/>
  <c r="H41" i="31"/>
  <c r="H42" i="31"/>
  <c r="H43" i="31"/>
  <c r="H44" i="31"/>
  <c r="H45" i="31"/>
  <c r="H46" i="31"/>
  <c r="H47" i="31"/>
  <c r="H48" i="31"/>
  <c r="H49" i="31"/>
  <c r="H50" i="31"/>
  <c r="H51" i="31"/>
  <c r="H52" i="31"/>
  <c r="H53" i="31"/>
  <c r="H54" i="31"/>
  <c r="H55" i="31"/>
  <c r="H56" i="31"/>
  <c r="H57" i="31"/>
  <c r="H58" i="31"/>
  <c r="H59" i="31"/>
  <c r="H60" i="31"/>
  <c r="H61" i="31"/>
  <c r="H62" i="31"/>
  <c r="H63" i="31"/>
  <c r="H64" i="31"/>
  <c r="H65" i="31"/>
  <c r="H66" i="31"/>
  <c r="H67" i="31"/>
  <c r="H68" i="31"/>
  <c r="H69" i="31"/>
  <c r="H70" i="31"/>
  <c r="H71" i="31"/>
  <c r="H72" i="31"/>
  <c r="H73" i="31"/>
  <c r="H74" i="31"/>
  <c r="H75" i="31"/>
  <c r="H76" i="31"/>
  <c r="H77" i="31"/>
  <c r="H78" i="31"/>
  <c r="H79" i="31"/>
  <c r="H80" i="31"/>
  <c r="H81" i="31"/>
  <c r="H82" i="31"/>
  <c r="H83" i="31"/>
  <c r="H84" i="31"/>
  <c r="H85" i="31"/>
  <c r="H86" i="31"/>
  <c r="H87" i="31"/>
  <c r="H88" i="31"/>
  <c r="H89" i="31"/>
  <c r="H90" i="31"/>
  <c r="H91" i="31"/>
  <c r="H92" i="31"/>
  <c r="H93" i="31"/>
  <c r="H94" i="31"/>
  <c r="H95" i="31"/>
  <c r="H96" i="31"/>
  <c r="H97" i="31"/>
  <c r="H98" i="31"/>
  <c r="H99" i="31"/>
  <c r="H100" i="31"/>
  <c r="H101" i="31"/>
  <c r="H102" i="31"/>
  <c r="H103" i="31"/>
  <c r="H104" i="31"/>
  <c r="H105" i="31"/>
  <c r="H106" i="31"/>
  <c r="H107" i="31"/>
  <c r="H109" i="31"/>
  <c r="H110" i="31"/>
  <c r="H111" i="31"/>
  <c r="H112" i="31"/>
  <c r="H113" i="31"/>
  <c r="H114" i="31"/>
  <c r="H115" i="31"/>
  <c r="H116" i="31"/>
  <c r="H117" i="31"/>
  <c r="H118" i="31"/>
  <c r="H119" i="31"/>
  <c r="H120" i="31"/>
  <c r="H121" i="31"/>
  <c r="H122" i="31"/>
  <c r="H123" i="31"/>
  <c r="H124" i="31"/>
  <c r="H125" i="31"/>
  <c r="H126" i="31"/>
  <c r="H127" i="31"/>
  <c r="H128" i="31"/>
  <c r="H129" i="31"/>
  <c r="H130" i="31"/>
  <c r="H131" i="31"/>
  <c r="H132" i="31"/>
  <c r="H133" i="31"/>
  <c r="H134" i="31"/>
  <c r="H135" i="31"/>
  <c r="H136" i="31"/>
  <c r="H137" i="31"/>
  <c r="H138" i="31"/>
  <c r="H139" i="31"/>
  <c r="H140" i="31"/>
  <c r="H141" i="31"/>
  <c r="H142" i="31"/>
  <c r="H143" i="31"/>
  <c r="H144" i="31"/>
  <c r="H145" i="31"/>
  <c r="H146" i="31"/>
  <c r="H147" i="31"/>
  <c r="H148" i="31"/>
  <c r="H149" i="31"/>
  <c r="H150" i="31"/>
  <c r="H151" i="31"/>
  <c r="H152" i="31"/>
  <c r="H153" i="31"/>
  <c r="H155" i="31"/>
  <c r="H156" i="31"/>
  <c r="H157" i="31"/>
  <c r="H158" i="31"/>
  <c r="H159" i="31"/>
  <c r="H160" i="31"/>
  <c r="H161" i="31"/>
  <c r="H162" i="31"/>
  <c r="H163" i="31"/>
  <c r="H164" i="31"/>
  <c r="H165" i="31"/>
  <c r="H166" i="31"/>
  <c r="H167" i="31"/>
  <c r="H168" i="31"/>
  <c r="H169" i="31"/>
  <c r="H170" i="31"/>
  <c r="H171" i="31"/>
  <c r="H172" i="31"/>
  <c r="H173" i="31"/>
  <c r="H174" i="31"/>
  <c r="H175" i="31"/>
  <c r="H176" i="31"/>
  <c r="H177" i="31"/>
  <c r="H178" i="31"/>
  <c r="H179" i="31"/>
  <c r="H180" i="31"/>
  <c r="H181" i="31"/>
  <c r="H182" i="31"/>
  <c r="H183" i="31"/>
  <c r="H184" i="31"/>
  <c r="H185" i="31"/>
  <c r="H186" i="31"/>
  <c r="H187" i="31"/>
  <c r="H188" i="31"/>
  <c r="H189" i="31"/>
  <c r="H190" i="31"/>
  <c r="H191" i="31"/>
  <c r="H192" i="31"/>
  <c r="H193" i="31"/>
  <c r="H194" i="31"/>
  <c r="H195" i="31"/>
  <c r="H196" i="31"/>
  <c r="H197" i="31"/>
  <c r="H198" i="31"/>
  <c r="H199" i="31"/>
  <c r="H200" i="31"/>
  <c r="H201" i="31"/>
  <c r="H202" i="31"/>
  <c r="H203" i="31"/>
  <c r="H204" i="31"/>
  <c r="H205" i="31"/>
  <c r="H206" i="31"/>
  <c r="H207" i="31"/>
  <c r="H208" i="31"/>
  <c r="H209" i="31"/>
  <c r="H210" i="31"/>
  <c r="H211" i="31"/>
  <c r="H212" i="31"/>
  <c r="H213" i="31"/>
  <c r="H214" i="31"/>
  <c r="H215" i="31"/>
  <c r="H216" i="31"/>
  <c r="H217" i="31"/>
  <c r="H218" i="31"/>
  <c r="H219" i="31"/>
  <c r="H220" i="31"/>
  <c r="H221" i="31"/>
  <c r="H222" i="31"/>
  <c r="H223" i="31"/>
  <c r="H224" i="31"/>
  <c r="H225" i="31"/>
  <c r="H226" i="31"/>
  <c r="H227" i="31"/>
  <c r="H228" i="31"/>
  <c r="H229" i="31"/>
  <c r="H230" i="31"/>
  <c r="H231" i="31"/>
  <c r="H232" i="31"/>
  <c r="H233" i="31"/>
  <c r="H234" i="31"/>
  <c r="H235" i="31"/>
  <c r="H236" i="31"/>
  <c r="H237" i="31"/>
  <c r="H238" i="31"/>
  <c r="H239" i="31"/>
  <c r="H240" i="31"/>
  <c r="H241" i="31"/>
  <c r="H242" i="31"/>
  <c r="H243" i="31"/>
  <c r="H244" i="31"/>
  <c r="H245" i="31"/>
  <c r="H246" i="31"/>
  <c r="H247" i="31"/>
  <c r="H248" i="31"/>
  <c r="H249" i="31"/>
  <c r="H250" i="31"/>
  <c r="H251" i="31"/>
  <c r="H252" i="31"/>
  <c r="H253" i="31"/>
  <c r="H254" i="31"/>
  <c r="H255" i="31"/>
  <c r="H256" i="31"/>
  <c r="H257" i="31"/>
  <c r="H258" i="31"/>
  <c r="H259" i="31"/>
  <c r="H260" i="31"/>
  <c r="H261" i="31"/>
  <c r="H262" i="31"/>
  <c r="H263" i="31"/>
  <c r="H264" i="31"/>
  <c r="H265" i="31"/>
  <c r="H266" i="31"/>
  <c r="H267" i="31"/>
  <c r="H268" i="31"/>
  <c r="H269" i="31"/>
  <c r="H270" i="31"/>
  <c r="H271" i="31"/>
  <c r="H272" i="31"/>
  <c r="H273" i="31"/>
  <c r="H274" i="31"/>
  <c r="H275" i="31"/>
  <c r="H276" i="31"/>
  <c r="H277" i="31"/>
  <c r="H278" i="31"/>
  <c r="H279" i="31"/>
  <c r="H280" i="31"/>
  <c r="H281" i="31"/>
  <c r="H282" i="31"/>
  <c r="H283" i="31"/>
  <c r="H284" i="31"/>
  <c r="H285" i="31"/>
  <c r="H286" i="31"/>
  <c r="H287" i="31"/>
  <c r="H288" i="31"/>
  <c r="H289" i="31"/>
  <c r="H290" i="31"/>
  <c r="H291" i="31"/>
  <c r="H292" i="31"/>
  <c r="H293" i="31"/>
  <c r="H294" i="31"/>
  <c r="H295" i="31"/>
  <c r="H296" i="31"/>
  <c r="H297" i="31"/>
  <c r="H298" i="31"/>
  <c r="H299" i="31"/>
  <c r="H300" i="31"/>
  <c r="H301" i="31"/>
  <c r="H302" i="31"/>
  <c r="H303" i="31"/>
  <c r="H304" i="31"/>
  <c r="H305" i="31"/>
  <c r="H306" i="31"/>
  <c r="H307" i="31"/>
  <c r="H308" i="31"/>
  <c r="H309" i="31"/>
  <c r="H310" i="31"/>
  <c r="H311" i="31"/>
  <c r="H312" i="31"/>
  <c r="H313" i="31"/>
  <c r="H314" i="31"/>
  <c r="H315" i="31"/>
  <c r="H316" i="31"/>
  <c r="H317" i="31"/>
  <c r="H318" i="31"/>
  <c r="H319" i="31"/>
  <c r="H320" i="31"/>
  <c r="H321" i="31"/>
  <c r="H322" i="31"/>
  <c r="H323" i="31"/>
  <c r="H324" i="31"/>
  <c r="H325" i="31"/>
  <c r="H326" i="31"/>
  <c r="H327" i="31"/>
  <c r="H328" i="31"/>
  <c r="H329" i="31"/>
  <c r="H330" i="31"/>
  <c r="H331" i="31"/>
  <c r="H332" i="31"/>
  <c r="H333" i="31"/>
  <c r="H334" i="31"/>
  <c r="H335" i="31"/>
  <c r="H336" i="31"/>
  <c r="H337" i="31"/>
  <c r="H338" i="31"/>
  <c r="H339" i="31"/>
  <c r="H340" i="31"/>
  <c r="H341" i="31"/>
  <c r="H342" i="31"/>
  <c r="H343" i="31"/>
  <c r="H344" i="31"/>
  <c r="H345" i="31"/>
  <c r="H346" i="31"/>
  <c r="H347" i="31"/>
  <c r="H348" i="31"/>
  <c r="H349" i="31"/>
  <c r="H350" i="31"/>
  <c r="H351" i="31"/>
  <c r="H352" i="31"/>
  <c r="H353" i="31"/>
  <c r="H354" i="31"/>
  <c r="H355" i="31"/>
  <c r="H356" i="31"/>
  <c r="H357" i="31"/>
  <c r="H358" i="31"/>
  <c r="H359" i="31"/>
  <c r="H360" i="31"/>
  <c r="H361" i="31"/>
  <c r="H362" i="31"/>
  <c r="H363" i="31"/>
  <c r="H364" i="31"/>
  <c r="H365" i="31"/>
  <c r="H366" i="31"/>
  <c r="H367" i="31"/>
  <c r="H368" i="31"/>
  <c r="H369" i="31"/>
  <c r="H370" i="31"/>
  <c r="H371" i="31"/>
  <c r="H372" i="31"/>
  <c r="H373" i="31"/>
  <c r="H374" i="31"/>
  <c r="H375" i="31"/>
  <c r="H376" i="31"/>
  <c r="H377" i="31"/>
  <c r="H378" i="31"/>
  <c r="H379" i="31"/>
  <c r="H380" i="31"/>
  <c r="H381" i="31"/>
  <c r="H382" i="31"/>
  <c r="H383" i="31"/>
  <c r="H384" i="31"/>
  <c r="H385" i="31"/>
  <c r="H386" i="31"/>
  <c r="H387" i="31"/>
  <c r="H388" i="31"/>
  <c r="H389" i="31"/>
  <c r="H390" i="31"/>
  <c r="H391" i="31"/>
  <c r="H392" i="31"/>
  <c r="H393" i="31"/>
  <c r="H394" i="31"/>
  <c r="H395" i="31"/>
  <c r="H396" i="31"/>
  <c r="H397" i="31"/>
  <c r="H398" i="31"/>
  <c r="H399" i="31"/>
  <c r="H400" i="31"/>
  <c r="H401" i="31"/>
  <c r="H402" i="31"/>
  <c r="H403" i="31"/>
  <c r="H404" i="31"/>
  <c r="H405" i="31"/>
  <c r="H406" i="31"/>
  <c r="H407" i="31"/>
  <c r="H408" i="31"/>
  <c r="H409" i="31"/>
  <c r="H410" i="31"/>
  <c r="H411" i="31"/>
  <c r="H412" i="31"/>
  <c r="H413" i="31"/>
  <c r="H414" i="31"/>
  <c r="H415" i="31"/>
  <c r="H416" i="31"/>
  <c r="H417" i="31"/>
  <c r="H418" i="31"/>
  <c r="H419" i="31"/>
  <c r="H420" i="31"/>
  <c r="H421" i="31"/>
  <c r="H8" i="31"/>
  <c r="H9" i="31"/>
  <c r="H10" i="31"/>
  <c r="H11" i="31"/>
  <c r="H12" i="31"/>
  <c r="H13" i="31"/>
  <c r="H7" i="31"/>
  <c r="H6" i="31"/>
  <c r="H5" i="31"/>
  <c r="H4" i="31"/>
  <c r="H3" i="31"/>
  <c r="H2" i="31"/>
  <c r="E3" i="32" a="1"/>
  <c r="E3" i="32" s="1"/>
  <c r="E4" i="32" a="1"/>
  <c r="E4" i="32" s="1"/>
  <c r="E5" i="32" a="1"/>
  <c r="E5" i="32" s="1"/>
  <c r="E6" i="32" a="1"/>
  <c r="E6" i="32" s="1"/>
  <c r="E7" i="32" a="1"/>
  <c r="E7" i="32" s="1"/>
  <c r="E8" i="32" a="1"/>
  <c r="E8" i="32" s="1"/>
  <c r="E9" i="32" a="1"/>
  <c r="E9" i="32" s="1"/>
  <c r="E10" i="32" a="1"/>
  <c r="E10" i="32" s="1"/>
  <c r="E11" i="32" a="1"/>
  <c r="E11" i="32" s="1"/>
  <c r="E12" i="32" a="1"/>
  <c r="E12" i="32" s="1"/>
  <c r="E13" i="32" a="1"/>
  <c r="E13" i="32" s="1"/>
  <c r="E2" i="32" a="1"/>
  <c r="E2" i="32" s="1"/>
  <c r="C3" i="32" a="1"/>
  <c r="C3" i="32" s="1"/>
  <c r="C4" i="32" a="1"/>
  <c r="C4" i="32" s="1"/>
  <c r="C5" i="32" a="1"/>
  <c r="C5" i="32" s="1"/>
  <c r="C6" i="32" a="1"/>
  <c r="C6" i="32" s="1"/>
  <c r="C7" i="32" a="1"/>
  <c r="C7" i="32" s="1"/>
  <c r="G884" i="31" s="1"/>
  <c r="C8" i="32" a="1"/>
  <c r="C8" i="32" s="1"/>
  <c r="C9" i="32" a="1"/>
  <c r="C9" i="32" s="1"/>
  <c r="C10" i="32" a="1"/>
  <c r="C10" i="32" s="1"/>
  <c r="C11" i="32" a="1"/>
  <c r="C11" i="32" s="1"/>
  <c r="C12" i="32" a="1"/>
  <c r="C12" i="32" s="1"/>
  <c r="C13" i="32" a="1"/>
  <c r="C13" i="32" s="1"/>
  <c r="C2" i="32" a="1"/>
  <c r="C2" i="32" s="1"/>
  <c r="D3" i="32"/>
  <c r="D4" i="32"/>
  <c r="D5" i="32"/>
  <c r="D6" i="32"/>
  <c r="D7" i="32"/>
  <c r="D8" i="32"/>
  <c r="D9" i="32"/>
  <c r="D10" i="32"/>
  <c r="D11" i="32"/>
  <c r="D12" i="32"/>
  <c r="D13" i="32"/>
  <c r="D2" i="32"/>
  <c r="B2" i="32"/>
  <c r="G865" i="31" s="1"/>
  <c r="B3" i="32"/>
  <c r="B4" i="32"/>
  <c r="B5" i="32"/>
  <c r="B6" i="32"/>
  <c r="B7" i="32"/>
  <c r="B8" i="32"/>
  <c r="B9" i="32"/>
  <c r="B10" i="32"/>
  <c r="B11" i="32"/>
  <c r="B12" i="32"/>
  <c r="G3" i="31" s="1"/>
  <c r="B13" i="32"/>
  <c r="G896" i="31" l="1"/>
  <c r="G897" i="31"/>
  <c r="G546" i="31"/>
  <c r="G880" i="31"/>
  <c r="G881" i="31"/>
  <c r="G658" i="31"/>
  <c r="G4" i="31"/>
  <c r="G895" i="31"/>
  <c r="G879" i="31"/>
  <c r="G861" i="31"/>
  <c r="G845" i="31"/>
  <c r="G829" i="31"/>
  <c r="G813" i="31"/>
  <c r="G797" i="31"/>
  <c r="G781" i="31"/>
  <c r="G765" i="31"/>
  <c r="G749" i="31"/>
  <c r="G733" i="31"/>
  <c r="G717" i="31"/>
  <c r="G701" i="31"/>
  <c r="G685" i="31"/>
  <c r="G669" i="31"/>
  <c r="G653" i="31"/>
  <c r="G637" i="31"/>
  <c r="G621" i="31"/>
  <c r="G605" i="31"/>
  <c r="G589" i="31"/>
  <c r="G573" i="31"/>
  <c r="G557" i="31"/>
  <c r="G541" i="31"/>
  <c r="G525" i="31"/>
  <c r="G509" i="31"/>
  <c r="G493" i="31"/>
  <c r="G477" i="31"/>
  <c r="G461" i="31"/>
  <c r="G445" i="31"/>
  <c r="G429" i="31"/>
  <c r="G5" i="31"/>
  <c r="G894" i="31"/>
  <c r="G878" i="31"/>
  <c r="G860" i="31"/>
  <c r="G844" i="31"/>
  <c r="G828" i="31"/>
  <c r="G812" i="31"/>
  <c r="G796" i="31"/>
  <c r="G780" i="31"/>
  <c r="G764" i="31"/>
  <c r="G748" i="31"/>
  <c r="G732" i="31"/>
  <c r="G716" i="31"/>
  <c r="G700" i="31"/>
  <c r="G684" i="31"/>
  <c r="G668" i="31"/>
  <c r="G652" i="31"/>
  <c r="G636" i="31"/>
  <c r="G620" i="31"/>
  <c r="G604" i="31"/>
  <c r="G588" i="31"/>
  <c r="G572" i="31"/>
  <c r="G556" i="31"/>
  <c r="G540" i="31"/>
  <c r="G524" i="31"/>
  <c r="G508" i="31"/>
  <c r="G492" i="31"/>
  <c r="G476" i="31"/>
  <c r="G460" i="31"/>
  <c r="G444" i="31"/>
  <c r="G428" i="31"/>
  <c r="G6" i="31"/>
  <c r="G893" i="31"/>
  <c r="G877" i="31"/>
  <c r="G859" i="31"/>
  <c r="G843" i="31"/>
  <c r="G827" i="31"/>
  <c r="G811" i="31"/>
  <c r="G795" i="31"/>
  <c r="G779" i="31"/>
  <c r="G763" i="31"/>
  <c r="G747" i="31"/>
  <c r="G731" i="31"/>
  <c r="G715" i="31"/>
  <c r="G699" i="31"/>
  <c r="G683" i="31"/>
  <c r="G667" i="31"/>
  <c r="G651" i="31"/>
  <c r="G635" i="31"/>
  <c r="G619" i="31"/>
  <c r="G603" i="31"/>
  <c r="G587" i="31"/>
  <c r="G571" i="31"/>
  <c r="G555" i="31"/>
  <c r="G539" i="31"/>
  <c r="G523" i="31"/>
  <c r="G507" i="31"/>
  <c r="G491" i="31"/>
  <c r="G475" i="31"/>
  <c r="G459" i="31"/>
  <c r="G443" i="31"/>
  <c r="G427" i="31"/>
  <c r="G7" i="31"/>
  <c r="G892" i="31"/>
  <c r="G876" i="31"/>
  <c r="G858" i="31"/>
  <c r="G842" i="31"/>
  <c r="G826" i="31"/>
  <c r="G810" i="31"/>
  <c r="G794" i="31"/>
  <c r="G778" i="31"/>
  <c r="G762" i="31"/>
  <c r="G746" i="31"/>
  <c r="G730" i="31"/>
  <c r="G714" i="31"/>
  <c r="G698" i="31"/>
  <c r="G682" i="31"/>
  <c r="G666" i="31"/>
  <c r="G650" i="31"/>
  <c r="G634" i="31"/>
  <c r="G618" i="31"/>
  <c r="G602" i="31"/>
  <c r="G586" i="31"/>
  <c r="G570" i="31"/>
  <c r="G554" i="31"/>
  <c r="G538" i="31"/>
  <c r="G522" i="31"/>
  <c r="G506" i="31"/>
  <c r="G490" i="31"/>
  <c r="G474" i="31"/>
  <c r="G458" i="31"/>
  <c r="G442" i="31"/>
  <c r="G426" i="31"/>
  <c r="G8" i="31"/>
  <c r="G891" i="31"/>
  <c r="G875" i="31"/>
  <c r="G857" i="31"/>
  <c r="G841" i="31"/>
  <c r="G825" i="31"/>
  <c r="G809" i="31"/>
  <c r="G793" i="31"/>
  <c r="G777" i="31"/>
  <c r="G761" i="31"/>
  <c r="G745" i="31"/>
  <c r="G729" i="31"/>
  <c r="G713" i="31"/>
  <c r="G697" i="31"/>
  <c r="G681" i="31"/>
  <c r="G665" i="31"/>
  <c r="G649" i="31"/>
  <c r="G633" i="31"/>
  <c r="G617" i="31"/>
  <c r="G601" i="31"/>
  <c r="G585" i="31"/>
  <c r="G569" i="31"/>
  <c r="G553" i="31"/>
  <c r="G537" i="31"/>
  <c r="G521" i="31"/>
  <c r="G505" i="31"/>
  <c r="G489" i="31"/>
  <c r="G473" i="31"/>
  <c r="G457" i="31"/>
  <c r="G441" i="31"/>
  <c r="G425" i="31"/>
  <c r="G9" i="31"/>
  <c r="G890" i="31"/>
  <c r="G874" i="31"/>
  <c r="G856" i="31"/>
  <c r="G840" i="31"/>
  <c r="G824" i="31"/>
  <c r="G808" i="31"/>
  <c r="G792" i="31"/>
  <c r="G776" i="31"/>
  <c r="G760" i="31"/>
  <c r="G744" i="31"/>
  <c r="G728" i="31"/>
  <c r="G712" i="31"/>
  <c r="G696" i="31"/>
  <c r="G680" i="31"/>
  <c r="G664" i="31"/>
  <c r="G648" i="31"/>
  <c r="G632" i="31"/>
  <c r="G616" i="31"/>
  <c r="G600" i="31"/>
  <c r="G584" i="31"/>
  <c r="G568" i="31"/>
  <c r="G552" i="31"/>
  <c r="G536" i="31"/>
  <c r="G520" i="31"/>
  <c r="G504" i="31"/>
  <c r="G488" i="31"/>
  <c r="G472" i="31"/>
  <c r="G456" i="31"/>
  <c r="G440" i="31"/>
  <c r="G424" i="31"/>
  <c r="G10" i="31"/>
  <c r="G889" i="31"/>
  <c r="G873" i="31"/>
  <c r="G855" i="31"/>
  <c r="G839" i="31"/>
  <c r="G823" i="31"/>
  <c r="G807" i="31"/>
  <c r="G791" i="31"/>
  <c r="G775" i="31"/>
  <c r="G759" i="31"/>
  <c r="G743" i="31"/>
  <c r="G727" i="31"/>
  <c r="G695" i="31"/>
  <c r="G679" i="31"/>
  <c r="G663" i="31"/>
  <c r="G647" i="31"/>
  <c r="G631" i="31"/>
  <c r="G615" i="31"/>
  <c r="G599" i="31"/>
  <c r="G583" i="31"/>
  <c r="G567" i="31"/>
  <c r="G551" i="31"/>
  <c r="G535" i="31"/>
  <c r="G519" i="31"/>
  <c r="G503" i="31"/>
  <c r="G487" i="31"/>
  <c r="G471" i="31"/>
  <c r="G455" i="31"/>
  <c r="G439" i="31"/>
  <c r="G423" i="31"/>
  <c r="G11" i="31"/>
  <c r="G888" i="31"/>
  <c r="G872" i="31"/>
  <c r="G854" i="31"/>
  <c r="G838" i="31"/>
  <c r="G822" i="31"/>
  <c r="G806" i="31"/>
  <c r="G790" i="31"/>
  <c r="G774" i="31"/>
  <c r="G758" i="31"/>
  <c r="G742" i="31"/>
  <c r="G726" i="31"/>
  <c r="G694" i="31"/>
  <c r="G678" i="31"/>
  <c r="G662" i="31"/>
  <c r="G646" i="31"/>
  <c r="G630" i="31"/>
  <c r="G614" i="31"/>
  <c r="G598" i="31"/>
  <c r="G582" i="31"/>
  <c r="G566" i="31"/>
  <c r="G550" i="31"/>
  <c r="G534" i="31"/>
  <c r="G518" i="31"/>
  <c r="G502" i="31"/>
  <c r="G486" i="31"/>
  <c r="G470" i="31"/>
  <c r="G454" i="31"/>
  <c r="G438" i="31"/>
  <c r="G422" i="31"/>
  <c r="G12" i="31"/>
  <c r="G887" i="31"/>
  <c r="G871" i="31"/>
  <c r="G853" i="31"/>
  <c r="G837" i="31"/>
  <c r="G821" i="31"/>
  <c r="G805" i="31"/>
  <c r="G789" i="31"/>
  <c r="G773" i="31"/>
  <c r="G757" i="31"/>
  <c r="G741" i="31"/>
  <c r="G725" i="31"/>
  <c r="G709" i="31"/>
  <c r="G693" i="31"/>
  <c r="G677" i="31"/>
  <c r="G661" i="31"/>
  <c r="G645" i="31"/>
  <c r="G629" i="31"/>
  <c r="G613" i="31"/>
  <c r="G597" i="31"/>
  <c r="G581" i="31"/>
  <c r="G565" i="31"/>
  <c r="G549" i="31"/>
  <c r="G533" i="31"/>
  <c r="G517" i="31"/>
  <c r="G501" i="31"/>
  <c r="G485" i="31"/>
  <c r="G469" i="31"/>
  <c r="G453" i="31"/>
  <c r="G437" i="31"/>
  <c r="G13" i="31"/>
  <c r="G886" i="31"/>
  <c r="G870" i="31"/>
  <c r="G836" i="31"/>
  <c r="G820" i="31"/>
  <c r="G804" i="31"/>
  <c r="G788" i="31"/>
  <c r="G772" i="31"/>
  <c r="G756" i="31"/>
  <c r="G740" i="31"/>
  <c r="G724" i="31"/>
  <c r="G708" i="31"/>
  <c r="G692" i="31"/>
  <c r="G676" i="31"/>
  <c r="G660" i="31"/>
  <c r="G644" i="31"/>
  <c r="G628" i="31"/>
  <c r="G612" i="31"/>
  <c r="G596" i="31"/>
  <c r="G580" i="31"/>
  <c r="G564" i="31"/>
  <c r="G548" i="31"/>
  <c r="G532" i="31"/>
  <c r="G516" i="31"/>
  <c r="G500" i="31"/>
  <c r="G484" i="31"/>
  <c r="G468" i="31"/>
  <c r="G452" i="31"/>
  <c r="G436" i="31"/>
  <c r="G901" i="31"/>
  <c r="G885" i="31"/>
  <c r="G869" i="31"/>
  <c r="G835" i="31"/>
  <c r="G819" i="31"/>
  <c r="G803" i="31"/>
  <c r="G787" i="31"/>
  <c r="G771" i="31"/>
  <c r="G755" i="31"/>
  <c r="G739" i="31"/>
  <c r="G707" i="31"/>
  <c r="G691" i="31"/>
  <c r="G675" i="31"/>
  <c r="G659" i="31"/>
  <c r="G643" i="31"/>
  <c r="G627" i="31"/>
  <c r="G611" i="31"/>
  <c r="G595" i="31"/>
  <c r="G579" i="31"/>
  <c r="G563" i="31"/>
  <c r="G547" i="31"/>
  <c r="G531" i="31"/>
  <c r="G515" i="31"/>
  <c r="G499" i="31"/>
  <c r="G483" i="31"/>
  <c r="G467" i="31"/>
  <c r="G451" i="31"/>
  <c r="G435" i="31"/>
  <c r="G900" i="31"/>
  <c r="G868" i="31"/>
  <c r="G834" i="31"/>
  <c r="G818" i="31"/>
  <c r="G802" i="31"/>
  <c r="G786" i="31"/>
  <c r="G770" i="31"/>
  <c r="G754" i="31"/>
  <c r="G738" i="31"/>
  <c r="G706" i="31"/>
  <c r="G690" i="31"/>
  <c r="G674" i="31"/>
  <c r="G642" i="31"/>
  <c r="G626" i="31"/>
  <c r="G610" i="31"/>
  <c r="G594" i="31"/>
  <c r="G578" i="31"/>
  <c r="G562" i="31"/>
  <c r="G530" i="31"/>
  <c r="G514" i="31"/>
  <c r="G498" i="31"/>
  <c r="G482" i="31"/>
  <c r="G466" i="31"/>
  <c r="G450" i="31"/>
  <c r="G434" i="31"/>
  <c r="G899" i="31"/>
  <c r="G883" i="31"/>
  <c r="G867" i="31"/>
  <c r="G849" i="31"/>
  <c r="G833" i="31"/>
  <c r="G817" i="31"/>
  <c r="G801" i="31"/>
  <c r="G785" i="31"/>
  <c r="G769" i="31"/>
  <c r="G753" i="31"/>
  <c r="G737" i="31"/>
  <c r="G721" i="31"/>
  <c r="G705" i="31"/>
  <c r="G689" i="31"/>
  <c r="G673" i="31"/>
  <c r="G657" i="31"/>
  <c r="G641" i="31"/>
  <c r="G625" i="31"/>
  <c r="G609" i="31"/>
  <c r="G593" i="31"/>
  <c r="G577" i="31"/>
  <c r="G561" i="31"/>
  <c r="G545" i="31"/>
  <c r="G529" i="31"/>
  <c r="G513" i="31"/>
  <c r="G497" i="31"/>
  <c r="G481" i="31"/>
  <c r="G465" i="31"/>
  <c r="G449" i="31"/>
  <c r="G433" i="31"/>
  <c r="G898" i="31"/>
  <c r="G882" i="31"/>
  <c r="G866" i="31"/>
  <c r="G848" i="31"/>
  <c r="G832" i="31"/>
  <c r="G816" i="31"/>
  <c r="G800" i="31"/>
  <c r="G784" i="31"/>
  <c r="G768" i="31"/>
  <c r="G752" i="31"/>
  <c r="G736" i="31"/>
  <c r="G720" i="31"/>
  <c r="G704" i="31"/>
  <c r="G688" i="31"/>
  <c r="G672" i="31"/>
  <c r="G656" i="31"/>
  <c r="G640" i="31"/>
  <c r="G624" i="31"/>
  <c r="G608" i="31"/>
  <c r="G592" i="31"/>
  <c r="G576" i="31"/>
  <c r="G560" i="31"/>
  <c r="G544" i="31"/>
  <c r="G528" i="31"/>
  <c r="G512" i="31"/>
  <c r="G496" i="31"/>
  <c r="G480" i="31"/>
  <c r="G464" i="31"/>
  <c r="G448" i="31"/>
  <c r="G432" i="31"/>
  <c r="G2" i="31"/>
  <c r="G847" i="31"/>
  <c r="G831" i="31"/>
  <c r="G799" i="31"/>
  <c r="G783" i="31"/>
  <c r="G767" i="31"/>
  <c r="G751" i="31"/>
  <c r="G735" i="31"/>
  <c r="G719" i="31"/>
  <c r="G703" i="31"/>
  <c r="G687" i="31"/>
  <c r="G671" i="31"/>
  <c r="G655" i="31"/>
  <c r="G639" i="31"/>
  <c r="G623" i="31"/>
  <c r="G607" i="31"/>
  <c r="G591" i="31"/>
  <c r="G575" i="31"/>
  <c r="G559" i="31"/>
  <c r="G543" i="31"/>
  <c r="G527" i="31"/>
  <c r="G511" i="31"/>
  <c r="G495" i="31"/>
  <c r="G479" i="31"/>
  <c r="G463" i="31"/>
  <c r="G447" i="31"/>
  <c r="G431" i="31"/>
  <c r="G862" i="31"/>
  <c r="G846" i="31"/>
  <c r="G830" i="31"/>
  <c r="G814" i="31"/>
  <c r="G798" i="31"/>
  <c r="G782" i="31"/>
  <c r="G766" i="31"/>
  <c r="G750" i="31"/>
  <c r="G734" i="31"/>
  <c r="G718" i="31"/>
  <c r="G702" i="31"/>
  <c r="G686" i="31"/>
  <c r="G670" i="31"/>
  <c r="G654" i="31"/>
  <c r="G638" i="31"/>
  <c r="G622" i="31"/>
  <c r="G606" i="31"/>
  <c r="G590" i="31"/>
  <c r="G574" i="31"/>
  <c r="G558" i="31"/>
  <c r="G542" i="31"/>
  <c r="G526" i="31"/>
  <c r="G510" i="31"/>
  <c r="G494" i="31"/>
  <c r="G478" i="31"/>
  <c r="G462" i="31"/>
  <c r="G446" i="31"/>
  <c r="G430" i="3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D. Lizcano</author>
  </authors>
  <commentList>
    <comment ref="C1" authorId="0" shapeId="0" xr:uid="{0E327CB5-B876-4EE7-85E2-46DB85C83578}">
      <text>
        <r>
          <rPr>
            <b/>
            <sz val="9"/>
            <color indexed="81"/>
            <rFont val="Tahoma"/>
            <family val="2"/>
          </rPr>
          <t>Luis D. Lizcano:</t>
        </r>
        <r>
          <rPr>
            <sz val="9"/>
            <color indexed="81"/>
            <rFont val="Tahoma"/>
            <family val="2"/>
          </rPr>
          <t xml:space="preserve">
Después de ingresar fórmula aplicamos el comando:
CTRL+SHIFT+ENTER
</t>
        </r>
      </text>
    </comment>
  </commentList>
</comments>
</file>

<file path=xl/sharedStrings.xml><?xml version="1.0" encoding="utf-8"?>
<sst xmlns="http://schemas.openxmlformats.org/spreadsheetml/2006/main" count="951" uniqueCount="39">
  <si>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</si>
  <si>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</si>
  <si>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</si>
  <si>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</si>
  <si>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</si>
  <si>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</si>
  <si>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</si>
  <si>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</si>
  <si>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</si>
  <si>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</si>
  <si>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</si>
  <si>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</si>
  <si>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Serie1</t>
  </si>
  <si>
    <t>Observaciones</t>
  </si>
  <si>
    <t>592</t>
  </si>
  <si>
    <t>SD</t>
  </si>
  <si>
    <t>Month</t>
  </si>
  <si>
    <t>diciembre</t>
  </si>
  <si>
    <t>noviembre</t>
  </si>
  <si>
    <t>octubre</t>
  </si>
  <si>
    <t>septiembre</t>
  </si>
  <si>
    <t>agosto</t>
  </si>
  <si>
    <t>julio</t>
  </si>
  <si>
    <t>junio</t>
  </si>
  <si>
    <t>mayo</t>
  </si>
  <si>
    <t>abril</t>
  </si>
  <si>
    <t>marzo</t>
  </si>
  <si>
    <t>febrero</t>
  </si>
  <si>
    <t>enero</t>
  </si>
  <si>
    <t>Year</t>
  </si>
  <si>
    <t>Date</t>
  </si>
  <si>
    <t>Y.M.</t>
  </si>
  <si>
    <t>Calamar</t>
  </si>
  <si>
    <t>StaHelena</t>
  </si>
  <si>
    <t>STDA_Cal</t>
  </si>
  <si>
    <t>STDA_Hel</t>
  </si>
  <si>
    <t>StaHelena-before</t>
  </si>
  <si>
    <t>StaHelena-after</t>
  </si>
  <si>
    <t>Ratios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</si>
</sst>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mmm\-yyyy"/>
    <numFmt numFmtId="166" formatCode="mmmm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right"/>
    </xf>
    <xf numFmtId="0" fontId="16" fillId="0" borderId="0" xfId="0" applyFont="1"/>
    <xf numFmtId="17" fontId="0" fillId="0" borderId="0" xfId="0" applyNumberFormat="1"/>
    <xf numFmtId="49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  <xf numFmtId="11" fontId="0" fillId="0" borderId="0" xfId="0" applyNumberFormat="1"/>
    <xf numFmtId="165" fontId="0" fillId="0" borderId="0" xfId="0" applyNumberFormat="1"/>
    <xf numFmtId="166" fontId="0" fillId="0" borderId="0" xfId="0" applyNumberFormat="1"/>
    <xf numFmtId="164" fontId="0" fillId="33" borderId="0" xfId="0" applyNumberFormat="1" applyFill="1"/>
    <xf numFmtId="164" fontId="0" fillId="34" borderId="0" xfId="0" applyNumberFormat="1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Calamar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Monthly!$D$2:$D$901</c:f>
              <c:numCache>
                <c:formatCode>0.0</c:formatCode>
                <c:ptCount val="900"/>
                <c:pt idx="0">
                  <c:v>2015.9166666666665</c:v>
                </c:pt>
                <c:pt idx="1">
                  <c:v>2015.8333333333333</c:v>
                </c:pt>
                <c:pt idx="2">
                  <c:v>2015.75</c:v>
                </c:pt>
                <c:pt idx="3">
                  <c:v>2015.6666666666665</c:v>
                </c:pt>
                <c:pt idx="4">
                  <c:v>2015.5833333333333</c:v>
                </c:pt>
                <c:pt idx="5">
                  <c:v>2015.5</c:v>
                </c:pt>
                <c:pt idx="6">
                  <c:v>2015.4166666666665</c:v>
                </c:pt>
                <c:pt idx="7">
                  <c:v>2015.3333333333333</c:v>
                </c:pt>
                <c:pt idx="8">
                  <c:v>2015.25</c:v>
                </c:pt>
                <c:pt idx="9">
                  <c:v>2015.1666666666665</c:v>
                </c:pt>
                <c:pt idx="10">
                  <c:v>2015.0833333333333</c:v>
                </c:pt>
                <c:pt idx="11">
                  <c:v>2015</c:v>
                </c:pt>
                <c:pt idx="12">
                  <c:v>2014.9166666666665</c:v>
                </c:pt>
                <c:pt idx="13">
                  <c:v>2014.8333333333333</c:v>
                </c:pt>
                <c:pt idx="14">
                  <c:v>2014.75</c:v>
                </c:pt>
                <c:pt idx="15">
                  <c:v>2014.6666666666665</c:v>
                </c:pt>
                <c:pt idx="16">
                  <c:v>2014.5833333333333</c:v>
                </c:pt>
                <c:pt idx="17">
                  <c:v>2014.5</c:v>
                </c:pt>
                <c:pt idx="18">
                  <c:v>2014.4166666666665</c:v>
                </c:pt>
                <c:pt idx="19">
                  <c:v>2014.3333333333333</c:v>
                </c:pt>
                <c:pt idx="20">
                  <c:v>2014.25</c:v>
                </c:pt>
                <c:pt idx="21">
                  <c:v>2014.1666666666665</c:v>
                </c:pt>
                <c:pt idx="22">
                  <c:v>2014.0833333333333</c:v>
                </c:pt>
                <c:pt idx="23">
                  <c:v>2014</c:v>
                </c:pt>
                <c:pt idx="24">
                  <c:v>2013.9166666666599</c:v>
                </c:pt>
                <c:pt idx="25">
                  <c:v>2013.8333333333301</c:v>
                </c:pt>
                <c:pt idx="26">
                  <c:v>2013.75</c:v>
                </c:pt>
                <c:pt idx="27">
                  <c:v>2013.6666666666599</c:v>
                </c:pt>
                <c:pt idx="28">
                  <c:v>2013.5833333333301</c:v>
                </c:pt>
                <c:pt idx="29">
                  <c:v>2013.5</c:v>
                </c:pt>
                <c:pt idx="30">
                  <c:v>2013.4166666666599</c:v>
                </c:pt>
                <c:pt idx="31">
                  <c:v>2013.3333333333301</c:v>
                </c:pt>
                <c:pt idx="32">
                  <c:v>2013.25</c:v>
                </c:pt>
                <c:pt idx="33">
                  <c:v>2013.1666666666599</c:v>
                </c:pt>
                <c:pt idx="34">
                  <c:v>2013.0833333333301</c:v>
                </c:pt>
                <c:pt idx="35">
                  <c:v>2013</c:v>
                </c:pt>
                <c:pt idx="36">
                  <c:v>2012.9166666666599</c:v>
                </c:pt>
                <c:pt idx="37">
                  <c:v>2012.8333333333301</c:v>
                </c:pt>
                <c:pt idx="38">
                  <c:v>2012.75</c:v>
                </c:pt>
                <c:pt idx="39">
                  <c:v>2012.6666666666599</c:v>
                </c:pt>
                <c:pt idx="40">
                  <c:v>2012.5833333333301</c:v>
                </c:pt>
                <c:pt idx="41">
                  <c:v>2012.5</c:v>
                </c:pt>
                <c:pt idx="42">
                  <c:v>2012.4166666666599</c:v>
                </c:pt>
                <c:pt idx="43">
                  <c:v>2012.3333333333301</c:v>
                </c:pt>
                <c:pt idx="44">
                  <c:v>2012.24999999999</c:v>
                </c:pt>
                <c:pt idx="45">
                  <c:v>2012.1666666666599</c:v>
                </c:pt>
                <c:pt idx="46">
                  <c:v>2012.0833333333301</c:v>
                </c:pt>
                <c:pt idx="47">
                  <c:v>2012</c:v>
                </c:pt>
                <c:pt idx="48">
                  <c:v>2011.9166666666599</c:v>
                </c:pt>
                <c:pt idx="49">
                  <c:v>2011.8333333333301</c:v>
                </c:pt>
                <c:pt idx="50">
                  <c:v>2011.74999999999</c:v>
                </c:pt>
                <c:pt idx="51">
                  <c:v>2011.6666666666599</c:v>
                </c:pt>
                <c:pt idx="52">
                  <c:v>2011.5833333333301</c:v>
                </c:pt>
                <c:pt idx="53">
                  <c:v>2011.49999999999</c:v>
                </c:pt>
                <c:pt idx="54">
                  <c:v>2011.4166666666599</c:v>
                </c:pt>
                <c:pt idx="55">
                  <c:v>2011.3333333333301</c:v>
                </c:pt>
                <c:pt idx="56">
                  <c:v>2011.24999999999</c:v>
                </c:pt>
                <c:pt idx="57">
                  <c:v>2011.1666666666599</c:v>
                </c:pt>
                <c:pt idx="58">
                  <c:v>2011.0833333333301</c:v>
                </c:pt>
                <c:pt idx="59">
                  <c:v>2011</c:v>
                </c:pt>
                <c:pt idx="60">
                  <c:v>2010.9166666666599</c:v>
                </c:pt>
                <c:pt idx="61">
                  <c:v>2010.8333333333301</c:v>
                </c:pt>
                <c:pt idx="62">
                  <c:v>2010.74999999999</c:v>
                </c:pt>
                <c:pt idx="63">
                  <c:v>2010.6666666666599</c:v>
                </c:pt>
                <c:pt idx="64">
                  <c:v>2010.5833333333301</c:v>
                </c:pt>
                <c:pt idx="65">
                  <c:v>2010.49999999999</c:v>
                </c:pt>
                <c:pt idx="66">
                  <c:v>2010.4166666666599</c:v>
                </c:pt>
                <c:pt idx="67">
                  <c:v>2010.3333333333201</c:v>
                </c:pt>
                <c:pt idx="68">
                  <c:v>2010.24999999999</c:v>
                </c:pt>
                <c:pt idx="69">
                  <c:v>2010.1666666666599</c:v>
                </c:pt>
                <c:pt idx="70">
                  <c:v>2010.0833333333201</c:v>
                </c:pt>
                <c:pt idx="71">
                  <c:v>2010</c:v>
                </c:pt>
                <c:pt idx="72">
                  <c:v>2009.9166666666599</c:v>
                </c:pt>
                <c:pt idx="73">
                  <c:v>2009.8333333333201</c:v>
                </c:pt>
                <c:pt idx="74">
                  <c:v>2009.74999999999</c:v>
                </c:pt>
                <c:pt idx="75">
                  <c:v>2009.6666666666599</c:v>
                </c:pt>
                <c:pt idx="76">
                  <c:v>2009.5833333333201</c:v>
                </c:pt>
                <c:pt idx="77">
                  <c:v>2009.49999999999</c:v>
                </c:pt>
                <c:pt idx="78">
                  <c:v>2009.4166666666599</c:v>
                </c:pt>
                <c:pt idx="79">
                  <c:v>2009.3333333333201</c:v>
                </c:pt>
                <c:pt idx="80">
                  <c:v>2009.24999999999</c:v>
                </c:pt>
                <c:pt idx="81">
                  <c:v>2009.1666666666599</c:v>
                </c:pt>
                <c:pt idx="82">
                  <c:v>2009.0833333333201</c:v>
                </c:pt>
                <c:pt idx="83">
                  <c:v>2009</c:v>
                </c:pt>
                <c:pt idx="84">
                  <c:v>2008.9166666666599</c:v>
                </c:pt>
                <c:pt idx="85">
                  <c:v>2008.8333333333201</c:v>
                </c:pt>
                <c:pt idx="86">
                  <c:v>2008.74999999999</c:v>
                </c:pt>
                <c:pt idx="87">
                  <c:v>2008.6666666666599</c:v>
                </c:pt>
                <c:pt idx="88">
                  <c:v>2008.5833333333201</c:v>
                </c:pt>
                <c:pt idx="89">
                  <c:v>2008.49999999999</c:v>
                </c:pt>
                <c:pt idx="90">
                  <c:v>2008.4166666666499</c:v>
                </c:pt>
                <c:pt idx="91">
                  <c:v>2008.3333333333201</c:v>
                </c:pt>
                <c:pt idx="92">
                  <c:v>2008.24999999999</c:v>
                </c:pt>
                <c:pt idx="93">
                  <c:v>2008.1666666666499</c:v>
                </c:pt>
                <c:pt idx="94">
                  <c:v>2008.0833333333201</c:v>
                </c:pt>
                <c:pt idx="95">
                  <c:v>2008</c:v>
                </c:pt>
                <c:pt idx="96">
                  <c:v>2007.9166666666499</c:v>
                </c:pt>
                <c:pt idx="97">
                  <c:v>2007.8333333333201</c:v>
                </c:pt>
                <c:pt idx="98">
                  <c:v>2007.74999999999</c:v>
                </c:pt>
                <c:pt idx="99">
                  <c:v>2007.6666666666499</c:v>
                </c:pt>
                <c:pt idx="100">
                  <c:v>2007.5833333333201</c:v>
                </c:pt>
                <c:pt idx="101">
                  <c:v>2007.49999999999</c:v>
                </c:pt>
                <c:pt idx="102">
                  <c:v>2007.4166666666499</c:v>
                </c:pt>
                <c:pt idx="103">
                  <c:v>2007.3333333333201</c:v>
                </c:pt>
                <c:pt idx="104">
                  <c:v>2007.24999999999</c:v>
                </c:pt>
                <c:pt idx="105">
                  <c:v>2007.1666666666499</c:v>
                </c:pt>
                <c:pt idx="106">
                  <c:v>2007.0833333333201</c:v>
                </c:pt>
                <c:pt idx="107">
                  <c:v>2007</c:v>
                </c:pt>
                <c:pt idx="108">
                  <c:v>2006.9166666666499</c:v>
                </c:pt>
                <c:pt idx="109">
                  <c:v>2006.8333333333201</c:v>
                </c:pt>
                <c:pt idx="110">
                  <c:v>2006.74999999998</c:v>
                </c:pt>
                <c:pt idx="111">
                  <c:v>2006.6666666666499</c:v>
                </c:pt>
                <c:pt idx="112">
                  <c:v>2006.5833333333201</c:v>
                </c:pt>
                <c:pt idx="113">
                  <c:v>2006.49999999998</c:v>
                </c:pt>
                <c:pt idx="114">
                  <c:v>2006.4166666666499</c:v>
                </c:pt>
                <c:pt idx="115">
                  <c:v>2006.3333333333201</c:v>
                </c:pt>
                <c:pt idx="116">
                  <c:v>2006.24999999998</c:v>
                </c:pt>
                <c:pt idx="117">
                  <c:v>2006.1666666666499</c:v>
                </c:pt>
                <c:pt idx="118">
                  <c:v>2006.0833333333201</c:v>
                </c:pt>
                <c:pt idx="119">
                  <c:v>2006</c:v>
                </c:pt>
                <c:pt idx="120">
                  <c:v>2005.9166666666499</c:v>
                </c:pt>
                <c:pt idx="121">
                  <c:v>2005.8333333333201</c:v>
                </c:pt>
                <c:pt idx="122">
                  <c:v>2005.74999999998</c:v>
                </c:pt>
                <c:pt idx="123">
                  <c:v>2005.6666666666499</c:v>
                </c:pt>
                <c:pt idx="124">
                  <c:v>2005.5833333333201</c:v>
                </c:pt>
                <c:pt idx="125">
                  <c:v>2005.49999999998</c:v>
                </c:pt>
                <c:pt idx="126">
                  <c:v>2005.4166666666499</c:v>
                </c:pt>
                <c:pt idx="127">
                  <c:v>2005.3333333333201</c:v>
                </c:pt>
                <c:pt idx="128">
                  <c:v>2005.24999999998</c:v>
                </c:pt>
                <c:pt idx="129">
                  <c:v>2005.1666666666499</c:v>
                </c:pt>
                <c:pt idx="130">
                  <c:v>2005.0833333333201</c:v>
                </c:pt>
                <c:pt idx="131">
                  <c:v>2005</c:v>
                </c:pt>
                <c:pt idx="132">
                  <c:v>2004.9166666666499</c:v>
                </c:pt>
                <c:pt idx="133">
                  <c:v>2004.8333333333101</c:v>
                </c:pt>
                <c:pt idx="134">
                  <c:v>2004.74999999998</c:v>
                </c:pt>
                <c:pt idx="135">
                  <c:v>2004.6666666666499</c:v>
                </c:pt>
                <c:pt idx="136">
                  <c:v>2004.5833333333101</c:v>
                </c:pt>
                <c:pt idx="137">
                  <c:v>2004.49999999998</c:v>
                </c:pt>
                <c:pt idx="138">
                  <c:v>2004.4166666666499</c:v>
                </c:pt>
                <c:pt idx="139">
                  <c:v>2004.3333333333101</c:v>
                </c:pt>
                <c:pt idx="140">
                  <c:v>2004.24999999998</c:v>
                </c:pt>
                <c:pt idx="141">
                  <c:v>2004.1666666666499</c:v>
                </c:pt>
                <c:pt idx="142">
                  <c:v>2004.0833333333101</c:v>
                </c:pt>
                <c:pt idx="143">
                  <c:v>2004</c:v>
                </c:pt>
                <c:pt idx="144">
                  <c:v>2003.9166666666499</c:v>
                </c:pt>
                <c:pt idx="145">
                  <c:v>2003.8333333333101</c:v>
                </c:pt>
                <c:pt idx="146">
                  <c:v>2003.74999999998</c:v>
                </c:pt>
                <c:pt idx="147">
                  <c:v>2003.6666666666499</c:v>
                </c:pt>
                <c:pt idx="148">
                  <c:v>2003.5833333333101</c:v>
                </c:pt>
                <c:pt idx="149">
                  <c:v>2003.49999999998</c:v>
                </c:pt>
                <c:pt idx="150">
                  <c:v>2003.4166666666499</c:v>
                </c:pt>
                <c:pt idx="151">
                  <c:v>2003.3333333333101</c:v>
                </c:pt>
                <c:pt idx="152">
                  <c:v>2003.24999999998</c:v>
                </c:pt>
                <c:pt idx="153">
                  <c:v>2003.1666666666499</c:v>
                </c:pt>
                <c:pt idx="154">
                  <c:v>2003.0833333333101</c:v>
                </c:pt>
                <c:pt idx="155">
                  <c:v>2003</c:v>
                </c:pt>
                <c:pt idx="156">
                  <c:v>2002.9166666666399</c:v>
                </c:pt>
                <c:pt idx="157">
                  <c:v>2002.8333333333101</c:v>
                </c:pt>
                <c:pt idx="158">
                  <c:v>2002.74999999998</c:v>
                </c:pt>
                <c:pt idx="159">
                  <c:v>2002.6666666666399</c:v>
                </c:pt>
                <c:pt idx="160">
                  <c:v>2002.5833333333101</c:v>
                </c:pt>
                <c:pt idx="161">
                  <c:v>2002.49999999998</c:v>
                </c:pt>
                <c:pt idx="162">
                  <c:v>2002.4166666666399</c:v>
                </c:pt>
                <c:pt idx="163">
                  <c:v>2002.3333333333101</c:v>
                </c:pt>
                <c:pt idx="164">
                  <c:v>2002.24999999998</c:v>
                </c:pt>
                <c:pt idx="165">
                  <c:v>2002.1666666666399</c:v>
                </c:pt>
                <c:pt idx="166">
                  <c:v>2002.0833333333101</c:v>
                </c:pt>
                <c:pt idx="167">
                  <c:v>2002</c:v>
                </c:pt>
                <c:pt idx="168">
                  <c:v>2001.9166666666399</c:v>
                </c:pt>
                <c:pt idx="169">
                  <c:v>2001.8333333333101</c:v>
                </c:pt>
                <c:pt idx="170">
                  <c:v>2001.74999999998</c:v>
                </c:pt>
                <c:pt idx="171">
                  <c:v>2001.6666666666399</c:v>
                </c:pt>
                <c:pt idx="172">
                  <c:v>2001.5833333333101</c:v>
                </c:pt>
                <c:pt idx="173">
                  <c:v>2001.49999999998</c:v>
                </c:pt>
                <c:pt idx="174">
                  <c:v>2001.4166666666399</c:v>
                </c:pt>
                <c:pt idx="175">
                  <c:v>2001.3333333333101</c:v>
                </c:pt>
                <c:pt idx="176">
                  <c:v>2001.24999999997</c:v>
                </c:pt>
                <c:pt idx="177">
                  <c:v>2001.1666666666399</c:v>
                </c:pt>
                <c:pt idx="178">
                  <c:v>2001.0833333333101</c:v>
                </c:pt>
                <c:pt idx="179">
                  <c:v>2001</c:v>
                </c:pt>
                <c:pt idx="180">
                  <c:v>2000.9166666666399</c:v>
                </c:pt>
                <c:pt idx="181">
                  <c:v>2000.8333333333101</c:v>
                </c:pt>
                <c:pt idx="182">
                  <c:v>2000.74999999997</c:v>
                </c:pt>
                <c:pt idx="183">
                  <c:v>2000.6666666666399</c:v>
                </c:pt>
                <c:pt idx="184">
                  <c:v>2000.5833333333101</c:v>
                </c:pt>
                <c:pt idx="185">
                  <c:v>2000.49999999997</c:v>
                </c:pt>
                <c:pt idx="186">
                  <c:v>2000.4166666666399</c:v>
                </c:pt>
                <c:pt idx="187">
                  <c:v>2000.3333333333101</c:v>
                </c:pt>
                <c:pt idx="188">
                  <c:v>2000.24999999997</c:v>
                </c:pt>
                <c:pt idx="189">
                  <c:v>2000.1666666666399</c:v>
                </c:pt>
                <c:pt idx="190">
                  <c:v>2000.0833333333101</c:v>
                </c:pt>
                <c:pt idx="191">
                  <c:v>2000</c:v>
                </c:pt>
                <c:pt idx="192">
                  <c:v>1999.9166666660001</c:v>
                </c:pt>
                <c:pt idx="193">
                  <c:v>1999.83333333264</c:v>
                </c:pt>
                <c:pt idx="194">
                  <c:v>1999.7499999992799</c:v>
                </c:pt>
                <c:pt idx="195">
                  <c:v>1999.66666666592</c:v>
                </c:pt>
                <c:pt idx="196">
                  <c:v>1999.58333333256</c:v>
                </c:pt>
                <c:pt idx="197">
                  <c:v>1999.4999999992001</c:v>
                </c:pt>
                <c:pt idx="198">
                  <c:v>1999.41666666584</c:v>
                </c:pt>
                <c:pt idx="199">
                  <c:v>1999.3333333324799</c:v>
                </c:pt>
                <c:pt idx="200">
                  <c:v>1999.2499999991201</c:v>
                </c:pt>
                <c:pt idx="201">
                  <c:v>1999.16666666576</c:v>
                </c:pt>
                <c:pt idx="202">
                  <c:v>1999.0833333323999</c:v>
                </c:pt>
                <c:pt idx="203">
                  <c:v>1998.99999999904</c:v>
                </c:pt>
                <c:pt idx="204">
                  <c:v>1998.9166666656799</c:v>
                </c:pt>
                <c:pt idx="205">
                  <c:v>1998.8333333323201</c:v>
                </c:pt>
                <c:pt idx="206">
                  <c:v>1998.74999999896</c:v>
                </c:pt>
                <c:pt idx="207">
                  <c:v>1998.6666666655999</c:v>
                </c:pt>
                <c:pt idx="208">
                  <c:v>1998.58333333224</c:v>
                </c:pt>
                <c:pt idx="209">
                  <c:v>1998.49999999888</c:v>
                </c:pt>
                <c:pt idx="210">
                  <c:v>1998.4166666655201</c:v>
                </c:pt>
                <c:pt idx="211">
                  <c:v>1998.33333333216</c:v>
                </c:pt>
                <c:pt idx="212">
                  <c:v>1998.2499999987999</c:v>
                </c:pt>
                <c:pt idx="213">
                  <c:v>1998.1666666654401</c:v>
                </c:pt>
                <c:pt idx="214">
                  <c:v>1998.08333333208</c:v>
                </c:pt>
                <c:pt idx="215">
                  <c:v>1997.9999999987201</c:v>
                </c:pt>
                <c:pt idx="216">
                  <c:v>1997.91666666536</c:v>
                </c:pt>
                <c:pt idx="217">
                  <c:v>1997.8333333319999</c:v>
                </c:pt>
                <c:pt idx="218">
                  <c:v>1997.7499999986401</c:v>
                </c:pt>
                <c:pt idx="219">
                  <c:v>1997.66666666528</c:v>
                </c:pt>
                <c:pt idx="220">
                  <c:v>1997.5833333319199</c:v>
                </c:pt>
                <c:pt idx="221">
                  <c:v>1997.49999999856</c:v>
                </c:pt>
                <c:pt idx="222">
                  <c:v>1997.4166666652</c:v>
                </c:pt>
                <c:pt idx="223">
                  <c:v>1997.3333333318401</c:v>
                </c:pt>
                <c:pt idx="224">
                  <c:v>1997.24999999848</c:v>
                </c:pt>
                <c:pt idx="225">
                  <c:v>1997.1666666651099</c:v>
                </c:pt>
                <c:pt idx="226">
                  <c:v>1997.0833333317501</c:v>
                </c:pt>
                <c:pt idx="227">
                  <c:v>1996.99999999839</c:v>
                </c:pt>
                <c:pt idx="228">
                  <c:v>1996.9166666650301</c:v>
                </c:pt>
                <c:pt idx="229">
                  <c:v>1996.83333333167</c:v>
                </c:pt>
                <c:pt idx="230">
                  <c:v>1996.7499999983099</c:v>
                </c:pt>
                <c:pt idx="231">
                  <c:v>1996.6666666649501</c:v>
                </c:pt>
                <c:pt idx="232">
                  <c:v>1996.58333333159</c:v>
                </c:pt>
                <c:pt idx="233">
                  <c:v>1996.4999999982299</c:v>
                </c:pt>
                <c:pt idx="234">
                  <c:v>1996.41666666487</c:v>
                </c:pt>
                <c:pt idx="235">
                  <c:v>1996.3333333315099</c:v>
                </c:pt>
                <c:pt idx="236">
                  <c:v>1996.2499999981501</c:v>
                </c:pt>
                <c:pt idx="237">
                  <c:v>1996.16666666479</c:v>
                </c:pt>
                <c:pt idx="238">
                  <c:v>1996.0833333314299</c:v>
                </c:pt>
                <c:pt idx="239">
                  <c:v>1995.9999999980701</c:v>
                </c:pt>
                <c:pt idx="240">
                  <c:v>1995.91666666471</c:v>
                </c:pt>
                <c:pt idx="241">
                  <c:v>1995.8333333313501</c:v>
                </c:pt>
                <c:pt idx="242">
                  <c:v>1995.74999999799</c:v>
                </c:pt>
                <c:pt idx="243">
                  <c:v>1995.6666666646299</c:v>
                </c:pt>
                <c:pt idx="244">
                  <c:v>1995.5833333312701</c:v>
                </c:pt>
                <c:pt idx="245">
                  <c:v>1995.49999999791</c:v>
                </c:pt>
                <c:pt idx="246">
                  <c:v>1995.4166666645499</c:v>
                </c:pt>
                <c:pt idx="247">
                  <c:v>1995.33333333119</c:v>
                </c:pt>
                <c:pt idx="248">
                  <c:v>1995.2499999978299</c:v>
                </c:pt>
                <c:pt idx="249">
                  <c:v>1995.1666666644701</c:v>
                </c:pt>
                <c:pt idx="250">
                  <c:v>1995.08333333111</c:v>
                </c:pt>
                <c:pt idx="251">
                  <c:v>1994.9999999977499</c:v>
                </c:pt>
                <c:pt idx="252">
                  <c:v>1994.91666666439</c:v>
                </c:pt>
                <c:pt idx="253">
                  <c:v>1994.83333333103</c:v>
                </c:pt>
                <c:pt idx="254">
                  <c:v>1994.7499999976701</c:v>
                </c:pt>
                <c:pt idx="255">
                  <c:v>1994.66666666431</c:v>
                </c:pt>
                <c:pt idx="256">
                  <c:v>1994.5833333309499</c:v>
                </c:pt>
                <c:pt idx="257">
                  <c:v>1994.4999999975901</c:v>
                </c:pt>
                <c:pt idx="258">
                  <c:v>1994.41666666423</c:v>
                </c:pt>
                <c:pt idx="259">
                  <c:v>1994.3333333308699</c:v>
                </c:pt>
                <c:pt idx="260">
                  <c:v>1994.24999999751</c:v>
                </c:pt>
                <c:pt idx="261">
                  <c:v>1994.1666666641499</c:v>
                </c:pt>
                <c:pt idx="262">
                  <c:v>1994.0833333307901</c:v>
                </c:pt>
                <c:pt idx="263">
                  <c:v>1993.99999999743</c:v>
                </c:pt>
                <c:pt idx="264">
                  <c:v>1993.9166666640699</c:v>
                </c:pt>
                <c:pt idx="265">
                  <c:v>1993.83333333071</c:v>
                </c:pt>
                <c:pt idx="266">
                  <c:v>1993.74999999735</c:v>
                </c:pt>
                <c:pt idx="267">
                  <c:v>1993.6666666639901</c:v>
                </c:pt>
                <c:pt idx="268">
                  <c:v>1993.58333333063</c:v>
                </c:pt>
                <c:pt idx="269">
                  <c:v>1993.4999999972699</c:v>
                </c:pt>
                <c:pt idx="270">
                  <c:v>1993.4166666639101</c:v>
                </c:pt>
                <c:pt idx="271">
                  <c:v>1993.33333333055</c:v>
                </c:pt>
                <c:pt idx="272">
                  <c:v>1993.2499999971899</c:v>
                </c:pt>
                <c:pt idx="273">
                  <c:v>1993.16666666383</c:v>
                </c:pt>
                <c:pt idx="274">
                  <c:v>1993.0833333304699</c:v>
                </c:pt>
                <c:pt idx="275">
                  <c:v>1992.9999999971101</c:v>
                </c:pt>
                <c:pt idx="276">
                  <c:v>1992.91666666375</c:v>
                </c:pt>
                <c:pt idx="277">
                  <c:v>1992.8333333303899</c:v>
                </c:pt>
                <c:pt idx="278">
                  <c:v>1992.74999999703</c:v>
                </c:pt>
                <c:pt idx="279">
                  <c:v>1992.66666666367</c:v>
                </c:pt>
                <c:pt idx="280">
                  <c:v>1992.5833333303101</c:v>
                </c:pt>
                <c:pt idx="281">
                  <c:v>1992.49999999695</c:v>
                </c:pt>
                <c:pt idx="282">
                  <c:v>1992.4166666635899</c:v>
                </c:pt>
                <c:pt idx="283">
                  <c:v>1992.3333333302301</c:v>
                </c:pt>
                <c:pt idx="284">
                  <c:v>1992.24999999687</c:v>
                </c:pt>
                <c:pt idx="285">
                  <c:v>1992.1666666635101</c:v>
                </c:pt>
                <c:pt idx="286">
                  <c:v>1992.08333333015</c:v>
                </c:pt>
                <c:pt idx="287">
                  <c:v>1991.9999999967899</c:v>
                </c:pt>
                <c:pt idx="288">
                  <c:v>1991.9166666634301</c:v>
                </c:pt>
                <c:pt idx="289">
                  <c:v>1991.83333333007</c:v>
                </c:pt>
                <c:pt idx="290">
                  <c:v>1991.7499999967099</c:v>
                </c:pt>
                <c:pt idx="291">
                  <c:v>1991.66666666335</c:v>
                </c:pt>
                <c:pt idx="292">
                  <c:v>1991.58333332999</c:v>
                </c:pt>
                <c:pt idx="293">
                  <c:v>1991.4999999966301</c:v>
                </c:pt>
                <c:pt idx="294">
                  <c:v>1991.41666666327</c:v>
                </c:pt>
                <c:pt idx="295">
                  <c:v>1991.3333333299099</c:v>
                </c:pt>
                <c:pt idx="296">
                  <c:v>1991.2499999965501</c:v>
                </c:pt>
                <c:pt idx="297">
                  <c:v>1991.16666666319</c:v>
                </c:pt>
                <c:pt idx="298">
                  <c:v>1991.0833333298301</c:v>
                </c:pt>
                <c:pt idx="299">
                  <c:v>1990.99999999647</c:v>
                </c:pt>
                <c:pt idx="300">
                  <c:v>1990.9166666631099</c:v>
                </c:pt>
                <c:pt idx="301">
                  <c:v>1990.8333333297501</c:v>
                </c:pt>
                <c:pt idx="302">
                  <c:v>1990.74999999639</c:v>
                </c:pt>
                <c:pt idx="303">
                  <c:v>1990.6666666630299</c:v>
                </c:pt>
                <c:pt idx="304">
                  <c:v>1990.58333332967</c:v>
                </c:pt>
                <c:pt idx="305">
                  <c:v>1990.49999999631</c:v>
                </c:pt>
                <c:pt idx="306">
                  <c:v>1990.4166666629501</c:v>
                </c:pt>
                <c:pt idx="307">
                  <c:v>1990.33333332959</c:v>
                </c:pt>
                <c:pt idx="308">
                  <c:v>1990.2499999962299</c:v>
                </c:pt>
                <c:pt idx="309">
                  <c:v>1990.1666666628701</c:v>
                </c:pt>
                <c:pt idx="310">
                  <c:v>1990.08333332951</c:v>
                </c:pt>
                <c:pt idx="311">
                  <c:v>1989.9999999961501</c:v>
                </c:pt>
                <c:pt idx="312">
                  <c:v>1989.91666666279</c:v>
                </c:pt>
                <c:pt idx="313">
                  <c:v>1989.8333333294299</c:v>
                </c:pt>
                <c:pt idx="314">
                  <c:v>1989.7499999960701</c:v>
                </c:pt>
                <c:pt idx="315">
                  <c:v>1989.66666666271</c:v>
                </c:pt>
                <c:pt idx="316">
                  <c:v>1989.5833333293499</c:v>
                </c:pt>
                <c:pt idx="317">
                  <c:v>1989.49999999599</c:v>
                </c:pt>
                <c:pt idx="318">
                  <c:v>1989.41666666263</c:v>
                </c:pt>
                <c:pt idx="319">
                  <c:v>1989.3333333292701</c:v>
                </c:pt>
                <c:pt idx="320">
                  <c:v>1989.24999999591</c:v>
                </c:pt>
                <c:pt idx="321">
                  <c:v>1989.1666666625499</c:v>
                </c:pt>
                <c:pt idx="322">
                  <c:v>1989.0833333291901</c:v>
                </c:pt>
                <c:pt idx="323">
                  <c:v>1988.99999999583</c:v>
                </c:pt>
                <c:pt idx="324">
                  <c:v>1988.9166666624701</c:v>
                </c:pt>
                <c:pt idx="325">
                  <c:v>1988.83333332911</c:v>
                </c:pt>
                <c:pt idx="326">
                  <c:v>1988.7499999957499</c:v>
                </c:pt>
                <c:pt idx="327">
                  <c:v>1988.6666666623901</c:v>
                </c:pt>
                <c:pt idx="328">
                  <c:v>1988.58333332903</c:v>
                </c:pt>
                <c:pt idx="329">
                  <c:v>1988.4999999956699</c:v>
                </c:pt>
                <c:pt idx="330">
                  <c:v>1988.41666666231</c:v>
                </c:pt>
                <c:pt idx="331">
                  <c:v>1988.3333333289499</c:v>
                </c:pt>
                <c:pt idx="332">
                  <c:v>1988.2499999955901</c:v>
                </c:pt>
                <c:pt idx="333">
                  <c:v>1988.16666666223</c:v>
                </c:pt>
                <c:pt idx="334">
                  <c:v>1988.0833333288699</c:v>
                </c:pt>
                <c:pt idx="335">
                  <c:v>1987.9999999955101</c:v>
                </c:pt>
                <c:pt idx="336">
                  <c:v>1987.91666666215</c:v>
                </c:pt>
                <c:pt idx="337">
                  <c:v>1987.8333333287901</c:v>
                </c:pt>
                <c:pt idx="338">
                  <c:v>1987.74999999543</c:v>
                </c:pt>
                <c:pt idx="339">
                  <c:v>1987.6666666620599</c:v>
                </c:pt>
                <c:pt idx="340">
                  <c:v>1987.5833333287001</c:v>
                </c:pt>
                <c:pt idx="341">
                  <c:v>1987.49999999534</c:v>
                </c:pt>
                <c:pt idx="342">
                  <c:v>1987.4166666619799</c:v>
                </c:pt>
                <c:pt idx="343">
                  <c:v>1987.33333332862</c:v>
                </c:pt>
                <c:pt idx="344">
                  <c:v>1987.2499999952599</c:v>
                </c:pt>
                <c:pt idx="345">
                  <c:v>1987.1666666619001</c:v>
                </c:pt>
                <c:pt idx="346">
                  <c:v>1987.08333332854</c:v>
                </c:pt>
                <c:pt idx="347">
                  <c:v>1986.9999999951799</c:v>
                </c:pt>
                <c:pt idx="348">
                  <c:v>1986.91666666182</c:v>
                </c:pt>
                <c:pt idx="349">
                  <c:v>1986.83333332846</c:v>
                </c:pt>
                <c:pt idx="350">
                  <c:v>1986.7499999951001</c:v>
                </c:pt>
                <c:pt idx="351">
                  <c:v>1986.66666666174</c:v>
                </c:pt>
                <c:pt idx="352">
                  <c:v>1986.5833333283799</c:v>
                </c:pt>
                <c:pt idx="353">
                  <c:v>1986.4999999950201</c:v>
                </c:pt>
                <c:pt idx="354">
                  <c:v>1986.41666666166</c:v>
                </c:pt>
                <c:pt idx="355">
                  <c:v>1986.3333333282999</c:v>
                </c:pt>
                <c:pt idx="356">
                  <c:v>1986.24999999494</c:v>
                </c:pt>
                <c:pt idx="357">
                  <c:v>1986.1666666615799</c:v>
                </c:pt>
                <c:pt idx="358">
                  <c:v>1986.0833333282201</c:v>
                </c:pt>
                <c:pt idx="359">
                  <c:v>1985.99999999486</c:v>
                </c:pt>
                <c:pt idx="360">
                  <c:v>1985.9166666614999</c:v>
                </c:pt>
                <c:pt idx="361">
                  <c:v>1985.83333332814</c:v>
                </c:pt>
                <c:pt idx="362">
                  <c:v>1985.74999999478</c:v>
                </c:pt>
                <c:pt idx="363">
                  <c:v>1985.6666666614201</c:v>
                </c:pt>
                <c:pt idx="364">
                  <c:v>1985.58333332806</c:v>
                </c:pt>
                <c:pt idx="365">
                  <c:v>1985.4999999946999</c:v>
                </c:pt>
                <c:pt idx="366">
                  <c:v>1985.4166666613401</c:v>
                </c:pt>
                <c:pt idx="367">
                  <c:v>1985.33333332798</c:v>
                </c:pt>
                <c:pt idx="368">
                  <c:v>1985.2499999946201</c:v>
                </c:pt>
                <c:pt idx="369">
                  <c:v>1985.16666666126</c:v>
                </c:pt>
                <c:pt idx="370">
                  <c:v>1985.0833333278999</c:v>
                </c:pt>
                <c:pt idx="371">
                  <c:v>1984.9999999945401</c:v>
                </c:pt>
                <c:pt idx="372">
                  <c:v>1984.91666666118</c:v>
                </c:pt>
                <c:pt idx="373">
                  <c:v>1984.8333333278199</c:v>
                </c:pt>
                <c:pt idx="374">
                  <c:v>1984.74999999446</c:v>
                </c:pt>
                <c:pt idx="375">
                  <c:v>1984.6666666611</c:v>
                </c:pt>
                <c:pt idx="376">
                  <c:v>1984.5833333277401</c:v>
                </c:pt>
                <c:pt idx="377">
                  <c:v>1984.49999999438</c:v>
                </c:pt>
                <c:pt idx="378">
                  <c:v>1984.4166666610199</c:v>
                </c:pt>
                <c:pt idx="379">
                  <c:v>1984.3333333276601</c:v>
                </c:pt>
                <c:pt idx="380">
                  <c:v>1984.2499999943</c:v>
                </c:pt>
                <c:pt idx="381">
                  <c:v>1984.1666666609401</c:v>
                </c:pt>
                <c:pt idx="382">
                  <c:v>1984.08333332758</c:v>
                </c:pt>
                <c:pt idx="383">
                  <c:v>1983.9999999942199</c:v>
                </c:pt>
                <c:pt idx="384">
                  <c:v>1983.9166666608601</c:v>
                </c:pt>
                <c:pt idx="385">
                  <c:v>1983.8333333275</c:v>
                </c:pt>
                <c:pt idx="386">
                  <c:v>1983.7499999941399</c:v>
                </c:pt>
                <c:pt idx="387">
                  <c:v>1983.66666666078</c:v>
                </c:pt>
                <c:pt idx="388">
                  <c:v>1983.58333332742</c:v>
                </c:pt>
                <c:pt idx="389">
                  <c:v>1983.4999999940601</c:v>
                </c:pt>
                <c:pt idx="390">
                  <c:v>1983.4166666607</c:v>
                </c:pt>
                <c:pt idx="391">
                  <c:v>1983.3333333273399</c:v>
                </c:pt>
                <c:pt idx="392">
                  <c:v>1983.2499999939801</c:v>
                </c:pt>
                <c:pt idx="393">
                  <c:v>1983.16666666062</c:v>
                </c:pt>
                <c:pt idx="394">
                  <c:v>1983.0833333272601</c:v>
                </c:pt>
                <c:pt idx="395">
                  <c:v>1982.9999999939</c:v>
                </c:pt>
                <c:pt idx="396">
                  <c:v>1982.9166666605399</c:v>
                </c:pt>
                <c:pt idx="397">
                  <c:v>1982.8333333271801</c:v>
                </c:pt>
                <c:pt idx="398">
                  <c:v>1982.74999999382</c:v>
                </c:pt>
                <c:pt idx="399">
                  <c:v>1982.6666666604599</c:v>
                </c:pt>
                <c:pt idx="400">
                  <c:v>1982.5833333271</c:v>
                </c:pt>
                <c:pt idx="401">
                  <c:v>1982.4999999937399</c:v>
                </c:pt>
                <c:pt idx="402">
                  <c:v>1982.4166666603801</c:v>
                </c:pt>
                <c:pt idx="403">
                  <c:v>1982.33333332702</c:v>
                </c:pt>
                <c:pt idx="404">
                  <c:v>1982.2499999936599</c:v>
                </c:pt>
                <c:pt idx="405">
                  <c:v>1982.1666666603001</c:v>
                </c:pt>
                <c:pt idx="406">
                  <c:v>1982.08333332694</c:v>
                </c:pt>
                <c:pt idx="407">
                  <c:v>1981.9999999935801</c:v>
                </c:pt>
                <c:pt idx="408">
                  <c:v>1981.91666666022</c:v>
                </c:pt>
                <c:pt idx="409">
                  <c:v>1981.8333333268599</c:v>
                </c:pt>
                <c:pt idx="410">
                  <c:v>1981.7499999935001</c:v>
                </c:pt>
                <c:pt idx="411">
                  <c:v>1981.66666666014</c:v>
                </c:pt>
                <c:pt idx="412">
                  <c:v>1981.5833333267799</c:v>
                </c:pt>
                <c:pt idx="413">
                  <c:v>1981.49999999342</c:v>
                </c:pt>
                <c:pt idx="414">
                  <c:v>1981.4166666600599</c:v>
                </c:pt>
                <c:pt idx="415">
                  <c:v>1981.3333333267001</c:v>
                </c:pt>
                <c:pt idx="416">
                  <c:v>1981.24999999334</c:v>
                </c:pt>
                <c:pt idx="417">
                  <c:v>1981.1666666599799</c:v>
                </c:pt>
                <c:pt idx="418">
                  <c:v>1981.08333332662</c:v>
                </c:pt>
                <c:pt idx="419">
                  <c:v>1980.99999999326</c:v>
                </c:pt>
                <c:pt idx="420">
                  <c:v>1980.9166666599001</c:v>
                </c:pt>
                <c:pt idx="421">
                  <c:v>1980.83333332654</c:v>
                </c:pt>
                <c:pt idx="422">
                  <c:v>1980.7499999931799</c:v>
                </c:pt>
                <c:pt idx="423">
                  <c:v>1980.6666666598201</c:v>
                </c:pt>
                <c:pt idx="424">
                  <c:v>1980.58333332646</c:v>
                </c:pt>
                <c:pt idx="425">
                  <c:v>1980.4999999930999</c:v>
                </c:pt>
                <c:pt idx="426">
                  <c:v>1980.41666665974</c:v>
                </c:pt>
                <c:pt idx="427">
                  <c:v>1980.3333333263799</c:v>
                </c:pt>
                <c:pt idx="428">
                  <c:v>1980.2499999930201</c:v>
                </c:pt>
                <c:pt idx="429">
                  <c:v>1980.16666665966</c:v>
                </c:pt>
                <c:pt idx="430">
                  <c:v>1980.0833333262999</c:v>
                </c:pt>
                <c:pt idx="431">
                  <c:v>1979.99999999294</c:v>
                </c:pt>
                <c:pt idx="432">
                  <c:v>1979.91666665958</c:v>
                </c:pt>
                <c:pt idx="433">
                  <c:v>1979.8333333262201</c:v>
                </c:pt>
                <c:pt idx="434">
                  <c:v>1979.74999999286</c:v>
                </c:pt>
                <c:pt idx="435">
                  <c:v>1979.6666666594999</c:v>
                </c:pt>
                <c:pt idx="436">
                  <c:v>1979.5833333261401</c:v>
                </c:pt>
                <c:pt idx="437">
                  <c:v>1979.49999999278</c:v>
                </c:pt>
                <c:pt idx="438">
                  <c:v>1979.4166666594199</c:v>
                </c:pt>
                <c:pt idx="439">
                  <c:v>1979.33333332606</c:v>
                </c:pt>
                <c:pt idx="440">
                  <c:v>1979.2499999926999</c:v>
                </c:pt>
                <c:pt idx="441">
                  <c:v>1979.1666666593401</c:v>
                </c:pt>
                <c:pt idx="442">
                  <c:v>1979.08333332598</c:v>
                </c:pt>
                <c:pt idx="443">
                  <c:v>1978.9999999926199</c:v>
                </c:pt>
                <c:pt idx="444">
                  <c:v>1978.91666665926</c:v>
                </c:pt>
                <c:pt idx="445">
                  <c:v>1978.8333333259</c:v>
                </c:pt>
                <c:pt idx="446">
                  <c:v>1978.7499999925401</c:v>
                </c:pt>
                <c:pt idx="447">
                  <c:v>1978.66666665918</c:v>
                </c:pt>
                <c:pt idx="448">
                  <c:v>1978.5833333258199</c:v>
                </c:pt>
                <c:pt idx="449">
                  <c:v>1978.4999999924601</c:v>
                </c:pt>
                <c:pt idx="450">
                  <c:v>1978.4166666591</c:v>
                </c:pt>
                <c:pt idx="451">
                  <c:v>1978.3333333257401</c:v>
                </c:pt>
                <c:pt idx="452">
                  <c:v>1978.24999999238</c:v>
                </c:pt>
                <c:pt idx="453">
                  <c:v>1978.1666666590099</c:v>
                </c:pt>
                <c:pt idx="454">
                  <c:v>1978.0833333256501</c:v>
                </c:pt>
                <c:pt idx="455">
                  <c:v>1977.99999999229</c:v>
                </c:pt>
                <c:pt idx="456">
                  <c:v>1977.9166666589299</c:v>
                </c:pt>
                <c:pt idx="457">
                  <c:v>1977.83333332557</c:v>
                </c:pt>
                <c:pt idx="458">
                  <c:v>1977.74999999221</c:v>
                </c:pt>
                <c:pt idx="459">
                  <c:v>1977.6666666588501</c:v>
                </c:pt>
                <c:pt idx="460">
                  <c:v>1977.58333332549</c:v>
                </c:pt>
                <c:pt idx="461">
                  <c:v>1977.4999999921299</c:v>
                </c:pt>
                <c:pt idx="462">
                  <c:v>1977.4166666587701</c:v>
                </c:pt>
                <c:pt idx="463">
                  <c:v>1977.33333332541</c:v>
                </c:pt>
                <c:pt idx="464">
                  <c:v>1977.2499999920501</c:v>
                </c:pt>
                <c:pt idx="465">
                  <c:v>1977.16666665869</c:v>
                </c:pt>
                <c:pt idx="466">
                  <c:v>1977.0833333253299</c:v>
                </c:pt>
                <c:pt idx="467">
                  <c:v>1976.9999999919701</c:v>
                </c:pt>
                <c:pt idx="468">
                  <c:v>1976.91666665861</c:v>
                </c:pt>
                <c:pt idx="469">
                  <c:v>1976.8333333252499</c:v>
                </c:pt>
                <c:pt idx="470">
                  <c:v>1976.74999999189</c:v>
                </c:pt>
                <c:pt idx="471">
                  <c:v>1976.6666666585299</c:v>
                </c:pt>
                <c:pt idx="472">
                  <c:v>1976.5833333251701</c:v>
                </c:pt>
                <c:pt idx="473">
                  <c:v>1976.49999999181</c:v>
                </c:pt>
                <c:pt idx="474">
                  <c:v>1976.4166666584499</c:v>
                </c:pt>
                <c:pt idx="475">
                  <c:v>1976.3333333250901</c:v>
                </c:pt>
                <c:pt idx="476">
                  <c:v>1976.24999999173</c:v>
                </c:pt>
                <c:pt idx="477">
                  <c:v>1976.1666666583701</c:v>
                </c:pt>
                <c:pt idx="478">
                  <c:v>1976.08333332501</c:v>
                </c:pt>
                <c:pt idx="479">
                  <c:v>1975.9999999916499</c:v>
                </c:pt>
                <c:pt idx="480">
                  <c:v>1975.9166666582901</c:v>
                </c:pt>
                <c:pt idx="481">
                  <c:v>1975.83333332493</c:v>
                </c:pt>
                <c:pt idx="482">
                  <c:v>1975.7499999915699</c:v>
                </c:pt>
                <c:pt idx="483">
                  <c:v>1975.66666665821</c:v>
                </c:pt>
                <c:pt idx="484">
                  <c:v>1975.5833333248499</c:v>
                </c:pt>
                <c:pt idx="485">
                  <c:v>1975.4999999914901</c:v>
                </c:pt>
                <c:pt idx="486">
                  <c:v>1975.41666665813</c:v>
                </c:pt>
                <c:pt idx="487">
                  <c:v>1975.3333333247699</c:v>
                </c:pt>
                <c:pt idx="488">
                  <c:v>1975.24999999141</c:v>
                </c:pt>
                <c:pt idx="489">
                  <c:v>1975.16666665805</c:v>
                </c:pt>
                <c:pt idx="490">
                  <c:v>1975.0833333246901</c:v>
                </c:pt>
                <c:pt idx="491">
                  <c:v>1974.99999999133</c:v>
                </c:pt>
                <c:pt idx="492">
                  <c:v>1974.9166666579699</c:v>
                </c:pt>
                <c:pt idx="493">
                  <c:v>1974.8333333246101</c:v>
                </c:pt>
                <c:pt idx="494">
                  <c:v>1974.74999999125</c:v>
                </c:pt>
                <c:pt idx="495">
                  <c:v>1974.6666666578899</c:v>
                </c:pt>
                <c:pt idx="496">
                  <c:v>1974.58333332453</c:v>
                </c:pt>
                <c:pt idx="497">
                  <c:v>1974.4999999911699</c:v>
                </c:pt>
                <c:pt idx="498">
                  <c:v>1974.4166666578101</c:v>
                </c:pt>
                <c:pt idx="499">
                  <c:v>1974.33333332445</c:v>
                </c:pt>
                <c:pt idx="500">
                  <c:v>1974.2499999910899</c:v>
                </c:pt>
                <c:pt idx="501">
                  <c:v>1974.16666665773</c:v>
                </c:pt>
                <c:pt idx="502">
                  <c:v>1974.08333332437</c:v>
                </c:pt>
                <c:pt idx="503">
                  <c:v>1973.9999999910101</c:v>
                </c:pt>
                <c:pt idx="504">
                  <c:v>1973.91666665765</c:v>
                </c:pt>
                <c:pt idx="505">
                  <c:v>1973.8333333242899</c:v>
                </c:pt>
                <c:pt idx="506">
                  <c:v>1973.7499999909301</c:v>
                </c:pt>
                <c:pt idx="507">
                  <c:v>1973.66666665757</c:v>
                </c:pt>
                <c:pt idx="508">
                  <c:v>1973.5833333242099</c:v>
                </c:pt>
                <c:pt idx="509">
                  <c:v>1973.49999999085</c:v>
                </c:pt>
                <c:pt idx="510">
                  <c:v>1973.4166666574899</c:v>
                </c:pt>
                <c:pt idx="511">
                  <c:v>1973.3333333241301</c:v>
                </c:pt>
                <c:pt idx="512">
                  <c:v>1973.24999999077</c:v>
                </c:pt>
                <c:pt idx="513">
                  <c:v>1973.1666666574099</c:v>
                </c:pt>
                <c:pt idx="514">
                  <c:v>1973.08333332405</c:v>
                </c:pt>
                <c:pt idx="515">
                  <c:v>1972.99999999069</c:v>
                </c:pt>
                <c:pt idx="516">
                  <c:v>1972.9166666573301</c:v>
                </c:pt>
                <c:pt idx="517">
                  <c:v>1972.83333332397</c:v>
                </c:pt>
                <c:pt idx="518">
                  <c:v>1972.7499999906099</c:v>
                </c:pt>
                <c:pt idx="519">
                  <c:v>1972.6666666572501</c:v>
                </c:pt>
                <c:pt idx="520">
                  <c:v>1972.58333332389</c:v>
                </c:pt>
                <c:pt idx="521">
                  <c:v>1972.4999999905299</c:v>
                </c:pt>
                <c:pt idx="522">
                  <c:v>1972.41666665717</c:v>
                </c:pt>
                <c:pt idx="523">
                  <c:v>1972.3333333238099</c:v>
                </c:pt>
                <c:pt idx="524">
                  <c:v>1972.2499999904501</c:v>
                </c:pt>
                <c:pt idx="525">
                  <c:v>1972.16666665709</c:v>
                </c:pt>
                <c:pt idx="526">
                  <c:v>1972.0833333237299</c:v>
                </c:pt>
                <c:pt idx="527">
                  <c:v>1971.99999999037</c:v>
                </c:pt>
                <c:pt idx="528">
                  <c:v>1971.91666665701</c:v>
                </c:pt>
                <c:pt idx="529">
                  <c:v>1971.8333333236501</c:v>
                </c:pt>
                <c:pt idx="530">
                  <c:v>1971.74999999029</c:v>
                </c:pt>
                <c:pt idx="531">
                  <c:v>1971.6666666569299</c:v>
                </c:pt>
                <c:pt idx="532">
                  <c:v>1971.5833333235701</c:v>
                </c:pt>
                <c:pt idx="533">
                  <c:v>1971.49999999021</c:v>
                </c:pt>
                <c:pt idx="534">
                  <c:v>1971.4166666568501</c:v>
                </c:pt>
                <c:pt idx="535">
                  <c:v>1971.33333332349</c:v>
                </c:pt>
                <c:pt idx="536">
                  <c:v>1971.2499999901299</c:v>
                </c:pt>
                <c:pt idx="537">
                  <c:v>1971.1666666567701</c:v>
                </c:pt>
                <c:pt idx="538">
                  <c:v>1971.08333332341</c:v>
                </c:pt>
                <c:pt idx="539">
                  <c:v>1970.9999999900499</c:v>
                </c:pt>
                <c:pt idx="540">
                  <c:v>1970.91666665669</c:v>
                </c:pt>
                <c:pt idx="541">
                  <c:v>1970.83333332333</c:v>
                </c:pt>
                <c:pt idx="542">
                  <c:v>1970.7499999899701</c:v>
                </c:pt>
                <c:pt idx="543">
                  <c:v>1970.66666665661</c:v>
                </c:pt>
                <c:pt idx="544">
                  <c:v>1970.5833333232499</c:v>
                </c:pt>
                <c:pt idx="545">
                  <c:v>1970.4999999898901</c:v>
                </c:pt>
                <c:pt idx="546">
                  <c:v>1970.41666665653</c:v>
                </c:pt>
                <c:pt idx="547">
                  <c:v>1970.3333333231701</c:v>
                </c:pt>
                <c:pt idx="548">
                  <c:v>1970.24999998981</c:v>
                </c:pt>
                <c:pt idx="549">
                  <c:v>1970.1666666564499</c:v>
                </c:pt>
                <c:pt idx="550">
                  <c:v>1970.0833333230901</c:v>
                </c:pt>
                <c:pt idx="551">
                  <c:v>1969.99999998973</c:v>
                </c:pt>
                <c:pt idx="552">
                  <c:v>1969.9166666563699</c:v>
                </c:pt>
                <c:pt idx="553">
                  <c:v>1969.83333332301</c:v>
                </c:pt>
                <c:pt idx="554">
                  <c:v>1969.74999998965</c:v>
                </c:pt>
                <c:pt idx="555">
                  <c:v>1969.6666666562901</c:v>
                </c:pt>
                <c:pt idx="556">
                  <c:v>1969.58333332293</c:v>
                </c:pt>
                <c:pt idx="557">
                  <c:v>1969.4999999895699</c:v>
                </c:pt>
                <c:pt idx="558">
                  <c:v>1969.4166666562101</c:v>
                </c:pt>
                <c:pt idx="559">
                  <c:v>1969.33333332285</c:v>
                </c:pt>
                <c:pt idx="560">
                  <c:v>1969.2499999894901</c:v>
                </c:pt>
                <c:pt idx="561">
                  <c:v>1969.16666665613</c:v>
                </c:pt>
                <c:pt idx="562">
                  <c:v>1969.0833333227699</c:v>
                </c:pt>
                <c:pt idx="563">
                  <c:v>1968.9999999894101</c:v>
                </c:pt>
                <c:pt idx="564">
                  <c:v>1968.91666665605</c:v>
                </c:pt>
                <c:pt idx="565">
                  <c:v>1968.8333333226899</c:v>
                </c:pt>
                <c:pt idx="566">
                  <c:v>1968.74999998933</c:v>
                </c:pt>
                <c:pt idx="567">
                  <c:v>1968.6666666559599</c:v>
                </c:pt>
                <c:pt idx="568">
                  <c:v>1968.5833333226001</c:v>
                </c:pt>
                <c:pt idx="569">
                  <c:v>1968.49999998924</c:v>
                </c:pt>
                <c:pt idx="570">
                  <c:v>1968.4166666558799</c:v>
                </c:pt>
                <c:pt idx="571">
                  <c:v>1968.33333332252</c:v>
                </c:pt>
                <c:pt idx="572">
                  <c:v>1968.24999998916</c:v>
                </c:pt>
                <c:pt idx="573">
                  <c:v>1968.1666666558001</c:v>
                </c:pt>
                <c:pt idx="574">
                  <c:v>1968.08333332244</c:v>
                </c:pt>
                <c:pt idx="575">
                  <c:v>1967.9999999890799</c:v>
                </c:pt>
                <c:pt idx="576">
                  <c:v>1967.9166666557201</c:v>
                </c:pt>
                <c:pt idx="577">
                  <c:v>1967.83333332236</c:v>
                </c:pt>
                <c:pt idx="578">
                  <c:v>1967.7499999889999</c:v>
                </c:pt>
                <c:pt idx="579">
                  <c:v>1967.66666665564</c:v>
                </c:pt>
                <c:pt idx="580">
                  <c:v>1967.5833333222799</c:v>
                </c:pt>
                <c:pt idx="581">
                  <c:v>1967.4999999889201</c:v>
                </c:pt>
                <c:pt idx="582">
                  <c:v>1967.41666665556</c:v>
                </c:pt>
                <c:pt idx="583">
                  <c:v>1967.3333333221999</c:v>
                </c:pt>
                <c:pt idx="584">
                  <c:v>1967.24999998884</c:v>
                </c:pt>
                <c:pt idx="585">
                  <c:v>1967.16666665548</c:v>
                </c:pt>
                <c:pt idx="586">
                  <c:v>1967.0833333221201</c:v>
                </c:pt>
                <c:pt idx="587">
                  <c:v>1966.99999998876</c:v>
                </c:pt>
                <c:pt idx="588">
                  <c:v>1966.9166666553999</c:v>
                </c:pt>
                <c:pt idx="589">
                  <c:v>1966.8333333220401</c:v>
                </c:pt>
                <c:pt idx="590">
                  <c:v>1966.74999998868</c:v>
                </c:pt>
                <c:pt idx="591">
                  <c:v>1966.6666666553199</c:v>
                </c:pt>
                <c:pt idx="592">
                  <c:v>1966.58333332196</c:v>
                </c:pt>
                <c:pt idx="593">
                  <c:v>1966.4999999885999</c:v>
                </c:pt>
                <c:pt idx="594">
                  <c:v>1966.4166666552401</c:v>
                </c:pt>
                <c:pt idx="595">
                  <c:v>1966.33333332188</c:v>
                </c:pt>
                <c:pt idx="596">
                  <c:v>1966.2499999885199</c:v>
                </c:pt>
                <c:pt idx="597">
                  <c:v>1966.16666665516</c:v>
                </c:pt>
                <c:pt idx="598">
                  <c:v>1966.0833333218</c:v>
                </c:pt>
                <c:pt idx="599">
                  <c:v>1965.9999999884401</c:v>
                </c:pt>
                <c:pt idx="600">
                  <c:v>1965.91666665508</c:v>
                </c:pt>
                <c:pt idx="601">
                  <c:v>1965.8333333217199</c:v>
                </c:pt>
                <c:pt idx="602">
                  <c:v>1965.7499999883601</c:v>
                </c:pt>
                <c:pt idx="603">
                  <c:v>1965.666666655</c:v>
                </c:pt>
                <c:pt idx="604">
                  <c:v>1965.5833333216401</c:v>
                </c:pt>
                <c:pt idx="605">
                  <c:v>1965.49999998828</c:v>
                </c:pt>
                <c:pt idx="606">
                  <c:v>1965.4166666549199</c:v>
                </c:pt>
                <c:pt idx="607">
                  <c:v>1965.3333333215601</c:v>
                </c:pt>
                <c:pt idx="608">
                  <c:v>1965.2499999882</c:v>
                </c:pt>
                <c:pt idx="609">
                  <c:v>1965.1666666548399</c:v>
                </c:pt>
                <c:pt idx="610">
                  <c:v>1965.08333332148</c:v>
                </c:pt>
                <c:pt idx="611">
                  <c:v>1964.99999998812</c:v>
                </c:pt>
                <c:pt idx="612">
                  <c:v>1964.9166666547601</c:v>
                </c:pt>
                <c:pt idx="613">
                  <c:v>1964.8333333214</c:v>
                </c:pt>
                <c:pt idx="614">
                  <c:v>1964.7499999880399</c:v>
                </c:pt>
                <c:pt idx="615">
                  <c:v>1964.6666666546801</c:v>
                </c:pt>
                <c:pt idx="616">
                  <c:v>1964.58333332132</c:v>
                </c:pt>
                <c:pt idx="617">
                  <c:v>1964.4999999879601</c:v>
                </c:pt>
                <c:pt idx="618">
                  <c:v>1964.4166666546</c:v>
                </c:pt>
                <c:pt idx="619">
                  <c:v>1964.3333333212399</c:v>
                </c:pt>
                <c:pt idx="620">
                  <c:v>1964.2499999878801</c:v>
                </c:pt>
                <c:pt idx="621">
                  <c:v>1964.16666665452</c:v>
                </c:pt>
                <c:pt idx="622">
                  <c:v>1964.0833333211599</c:v>
                </c:pt>
                <c:pt idx="623">
                  <c:v>1963.9999999878</c:v>
                </c:pt>
                <c:pt idx="624">
                  <c:v>1963.91666665444</c:v>
                </c:pt>
                <c:pt idx="625">
                  <c:v>1963.8333333210801</c:v>
                </c:pt>
                <c:pt idx="626">
                  <c:v>1963.74999998772</c:v>
                </c:pt>
                <c:pt idx="627">
                  <c:v>1963.6666666543599</c:v>
                </c:pt>
                <c:pt idx="628">
                  <c:v>1963.5833333210001</c:v>
                </c:pt>
                <c:pt idx="629">
                  <c:v>1963.49999998764</c:v>
                </c:pt>
                <c:pt idx="630">
                  <c:v>1963.4166666542801</c:v>
                </c:pt>
                <c:pt idx="631">
                  <c:v>1963.33333332092</c:v>
                </c:pt>
                <c:pt idx="632">
                  <c:v>1963.2499999875599</c:v>
                </c:pt>
                <c:pt idx="633">
                  <c:v>1963.1666666542001</c:v>
                </c:pt>
                <c:pt idx="634">
                  <c:v>1963.08333332084</c:v>
                </c:pt>
                <c:pt idx="635">
                  <c:v>1962.9999999874799</c:v>
                </c:pt>
                <c:pt idx="636">
                  <c:v>1962.91666665412</c:v>
                </c:pt>
                <c:pt idx="637">
                  <c:v>1962.8333333207599</c:v>
                </c:pt>
                <c:pt idx="638">
                  <c:v>1962.7499999874001</c:v>
                </c:pt>
                <c:pt idx="639">
                  <c:v>1962.66666665404</c:v>
                </c:pt>
                <c:pt idx="640">
                  <c:v>1962.5833333206799</c:v>
                </c:pt>
                <c:pt idx="641">
                  <c:v>1962.4999999873201</c:v>
                </c:pt>
                <c:pt idx="642">
                  <c:v>1962.41666665396</c:v>
                </c:pt>
                <c:pt idx="643">
                  <c:v>1962.3333333206001</c:v>
                </c:pt>
                <c:pt idx="644">
                  <c:v>1962.24999998724</c:v>
                </c:pt>
                <c:pt idx="645">
                  <c:v>1962.1666666538799</c:v>
                </c:pt>
                <c:pt idx="646">
                  <c:v>1962.0833333205201</c:v>
                </c:pt>
                <c:pt idx="647">
                  <c:v>1961.99999998716</c:v>
                </c:pt>
                <c:pt idx="648">
                  <c:v>1961.9166666537999</c:v>
                </c:pt>
                <c:pt idx="649">
                  <c:v>1961.83333332044</c:v>
                </c:pt>
                <c:pt idx="650">
                  <c:v>1961.7499999870799</c:v>
                </c:pt>
                <c:pt idx="651">
                  <c:v>1961.6666666537201</c:v>
                </c:pt>
                <c:pt idx="652">
                  <c:v>1961.58333332036</c:v>
                </c:pt>
                <c:pt idx="653">
                  <c:v>1961.4999999869999</c:v>
                </c:pt>
                <c:pt idx="654">
                  <c:v>1961.41666665364</c:v>
                </c:pt>
                <c:pt idx="655">
                  <c:v>1961.33333332028</c:v>
                </c:pt>
                <c:pt idx="656">
                  <c:v>1961.2499999869201</c:v>
                </c:pt>
                <c:pt idx="657">
                  <c:v>1961.16666665356</c:v>
                </c:pt>
                <c:pt idx="658">
                  <c:v>1961.0833333201999</c:v>
                </c:pt>
                <c:pt idx="659">
                  <c:v>1960.9999999868401</c:v>
                </c:pt>
                <c:pt idx="660">
                  <c:v>1960.91666665348</c:v>
                </c:pt>
                <c:pt idx="661">
                  <c:v>1960.8333333201199</c:v>
                </c:pt>
                <c:pt idx="662">
                  <c:v>1960.74999998676</c:v>
                </c:pt>
                <c:pt idx="663">
                  <c:v>1960.6666666533999</c:v>
                </c:pt>
                <c:pt idx="664">
                  <c:v>1960.5833333200401</c:v>
                </c:pt>
                <c:pt idx="665">
                  <c:v>1960.49999998668</c:v>
                </c:pt>
                <c:pt idx="666">
                  <c:v>1960.4166666533199</c:v>
                </c:pt>
                <c:pt idx="667">
                  <c:v>1960.33333331996</c:v>
                </c:pt>
                <c:pt idx="668">
                  <c:v>1960.2499999866</c:v>
                </c:pt>
                <c:pt idx="669">
                  <c:v>1960.1666666532401</c:v>
                </c:pt>
                <c:pt idx="670">
                  <c:v>1960.08333331988</c:v>
                </c:pt>
                <c:pt idx="671">
                  <c:v>1959.9999999865199</c:v>
                </c:pt>
                <c:pt idx="672">
                  <c:v>1959.9166666531601</c:v>
                </c:pt>
                <c:pt idx="673">
                  <c:v>1959.8333333198</c:v>
                </c:pt>
                <c:pt idx="674">
                  <c:v>1959.7499999864399</c:v>
                </c:pt>
                <c:pt idx="675">
                  <c:v>1959.66666665308</c:v>
                </c:pt>
                <c:pt idx="676">
                  <c:v>1959.5833333197199</c:v>
                </c:pt>
                <c:pt idx="677">
                  <c:v>1959.4999999863601</c:v>
                </c:pt>
                <c:pt idx="678">
                  <c:v>1959.416666653</c:v>
                </c:pt>
                <c:pt idx="679">
                  <c:v>1959.3333333196399</c:v>
                </c:pt>
                <c:pt idx="680">
                  <c:v>1959.24999998628</c:v>
                </c:pt>
                <c:pt idx="681">
                  <c:v>1959.16666665291</c:v>
                </c:pt>
                <c:pt idx="682">
                  <c:v>1959.0833333195501</c:v>
                </c:pt>
                <c:pt idx="683">
                  <c:v>1958.99999998619</c:v>
                </c:pt>
                <c:pt idx="684">
                  <c:v>1958.9166666528299</c:v>
                </c:pt>
                <c:pt idx="685">
                  <c:v>1958.8333333194701</c:v>
                </c:pt>
                <c:pt idx="686">
                  <c:v>1958.74999998611</c:v>
                </c:pt>
                <c:pt idx="687">
                  <c:v>1958.6666666527501</c:v>
                </c:pt>
                <c:pt idx="688">
                  <c:v>1958.58333331939</c:v>
                </c:pt>
                <c:pt idx="689">
                  <c:v>1958.4999999860299</c:v>
                </c:pt>
                <c:pt idx="690">
                  <c:v>1958.4166666526701</c:v>
                </c:pt>
                <c:pt idx="691">
                  <c:v>1958.33333331931</c:v>
                </c:pt>
                <c:pt idx="692">
                  <c:v>1958.2499999859499</c:v>
                </c:pt>
                <c:pt idx="693">
                  <c:v>1958.16666665259</c:v>
                </c:pt>
                <c:pt idx="694">
                  <c:v>1958.08333331923</c:v>
                </c:pt>
                <c:pt idx="695">
                  <c:v>1957.9999999858701</c:v>
                </c:pt>
                <c:pt idx="696">
                  <c:v>1957.91666665251</c:v>
                </c:pt>
                <c:pt idx="697">
                  <c:v>1957.8333333191499</c:v>
                </c:pt>
                <c:pt idx="698">
                  <c:v>1957.7499999857901</c:v>
                </c:pt>
                <c:pt idx="699">
                  <c:v>1957.66666665243</c:v>
                </c:pt>
                <c:pt idx="700">
                  <c:v>1957.5833333190701</c:v>
                </c:pt>
                <c:pt idx="701">
                  <c:v>1957.49999998571</c:v>
                </c:pt>
                <c:pt idx="702">
                  <c:v>1957.4166666523499</c:v>
                </c:pt>
                <c:pt idx="703">
                  <c:v>1957.3333333189901</c:v>
                </c:pt>
                <c:pt idx="704">
                  <c:v>1957.24999998563</c:v>
                </c:pt>
                <c:pt idx="705">
                  <c:v>1957.1666666522699</c:v>
                </c:pt>
                <c:pt idx="706">
                  <c:v>1957.08333331891</c:v>
                </c:pt>
                <c:pt idx="707">
                  <c:v>1956.9999999855499</c:v>
                </c:pt>
                <c:pt idx="708">
                  <c:v>1956.9166666521901</c:v>
                </c:pt>
                <c:pt idx="709">
                  <c:v>1956.83333331883</c:v>
                </c:pt>
                <c:pt idx="710">
                  <c:v>1956.7499999854699</c:v>
                </c:pt>
                <c:pt idx="711">
                  <c:v>1956.6666666521101</c:v>
                </c:pt>
                <c:pt idx="712">
                  <c:v>1956.58333331875</c:v>
                </c:pt>
                <c:pt idx="713">
                  <c:v>1956.4999999853901</c:v>
                </c:pt>
                <c:pt idx="714">
                  <c:v>1956.41666665203</c:v>
                </c:pt>
                <c:pt idx="715">
                  <c:v>1956.3333333186699</c:v>
                </c:pt>
                <c:pt idx="716">
                  <c:v>1956.2499999853101</c:v>
                </c:pt>
                <c:pt idx="717">
                  <c:v>1956.16666665195</c:v>
                </c:pt>
                <c:pt idx="718">
                  <c:v>1956.0833333185899</c:v>
                </c:pt>
                <c:pt idx="719">
                  <c:v>1955.99999998523</c:v>
                </c:pt>
                <c:pt idx="720">
                  <c:v>1955.9166666518699</c:v>
                </c:pt>
                <c:pt idx="721">
                  <c:v>1955.8333333185101</c:v>
                </c:pt>
                <c:pt idx="722">
                  <c:v>1955.74999998515</c:v>
                </c:pt>
                <c:pt idx="723">
                  <c:v>1955.6666666517899</c:v>
                </c:pt>
                <c:pt idx="724">
                  <c:v>1955.58333331843</c:v>
                </c:pt>
                <c:pt idx="725">
                  <c:v>1955.49999998507</c:v>
                </c:pt>
                <c:pt idx="726">
                  <c:v>1955.4166666517101</c:v>
                </c:pt>
                <c:pt idx="727">
                  <c:v>1955.33333331835</c:v>
                </c:pt>
                <c:pt idx="728">
                  <c:v>1955.2499999849899</c:v>
                </c:pt>
                <c:pt idx="729">
                  <c:v>1955.1666666516301</c:v>
                </c:pt>
                <c:pt idx="730">
                  <c:v>1955.08333331827</c:v>
                </c:pt>
                <c:pt idx="731">
                  <c:v>1954.9999999849099</c:v>
                </c:pt>
                <c:pt idx="732">
                  <c:v>1954.91666665155</c:v>
                </c:pt>
                <c:pt idx="733">
                  <c:v>1954.8333333181899</c:v>
                </c:pt>
                <c:pt idx="734">
                  <c:v>1954.7499999848301</c:v>
                </c:pt>
                <c:pt idx="735">
                  <c:v>1954.66666665147</c:v>
                </c:pt>
                <c:pt idx="736">
                  <c:v>1954.5833333181099</c:v>
                </c:pt>
                <c:pt idx="737">
                  <c:v>1954.49999998475</c:v>
                </c:pt>
                <c:pt idx="738">
                  <c:v>1954.41666665139</c:v>
                </c:pt>
                <c:pt idx="739">
                  <c:v>1954.3333333180301</c:v>
                </c:pt>
                <c:pt idx="740">
                  <c:v>1954.24999998467</c:v>
                </c:pt>
                <c:pt idx="741">
                  <c:v>1954.1666666513099</c:v>
                </c:pt>
                <c:pt idx="742">
                  <c:v>1954.0833333179501</c:v>
                </c:pt>
                <c:pt idx="743">
                  <c:v>1953.99999998459</c:v>
                </c:pt>
                <c:pt idx="744">
                  <c:v>1953.9166666512299</c:v>
                </c:pt>
                <c:pt idx="745">
                  <c:v>1953.83333331787</c:v>
                </c:pt>
                <c:pt idx="746">
                  <c:v>1953.7499999845099</c:v>
                </c:pt>
                <c:pt idx="747">
                  <c:v>1953.6666666511501</c:v>
                </c:pt>
                <c:pt idx="748">
                  <c:v>1953.58333331779</c:v>
                </c:pt>
                <c:pt idx="749">
                  <c:v>1953.4999999844299</c:v>
                </c:pt>
                <c:pt idx="750">
                  <c:v>1953.41666665107</c:v>
                </c:pt>
                <c:pt idx="751">
                  <c:v>1953.33333331771</c:v>
                </c:pt>
                <c:pt idx="752">
                  <c:v>1953.2499999843501</c:v>
                </c:pt>
                <c:pt idx="753">
                  <c:v>1953.16666665099</c:v>
                </c:pt>
                <c:pt idx="754">
                  <c:v>1953.0833333176299</c:v>
                </c:pt>
                <c:pt idx="755">
                  <c:v>1952.9999999842701</c:v>
                </c:pt>
                <c:pt idx="756">
                  <c:v>1952.91666665091</c:v>
                </c:pt>
                <c:pt idx="757">
                  <c:v>1952.8333333175499</c:v>
                </c:pt>
                <c:pt idx="758">
                  <c:v>1952.74999998419</c:v>
                </c:pt>
                <c:pt idx="759">
                  <c:v>1952.6666666508299</c:v>
                </c:pt>
                <c:pt idx="760">
                  <c:v>1952.5833333174701</c:v>
                </c:pt>
                <c:pt idx="761">
                  <c:v>1952.49999998411</c:v>
                </c:pt>
                <c:pt idx="762">
                  <c:v>1952.4166666507499</c:v>
                </c:pt>
                <c:pt idx="763">
                  <c:v>1952.33333331739</c:v>
                </c:pt>
                <c:pt idx="764">
                  <c:v>1952.24999998403</c:v>
                </c:pt>
                <c:pt idx="765">
                  <c:v>1952.1666666506701</c:v>
                </c:pt>
                <c:pt idx="766">
                  <c:v>1952.08333331731</c:v>
                </c:pt>
                <c:pt idx="767">
                  <c:v>1951.9999999839499</c:v>
                </c:pt>
                <c:pt idx="768">
                  <c:v>1951.9166666505901</c:v>
                </c:pt>
                <c:pt idx="769">
                  <c:v>1951.83333331723</c:v>
                </c:pt>
                <c:pt idx="770">
                  <c:v>1951.7499999838701</c:v>
                </c:pt>
                <c:pt idx="771">
                  <c:v>1951.66666665051</c:v>
                </c:pt>
                <c:pt idx="772">
                  <c:v>1951.5833333171499</c:v>
                </c:pt>
                <c:pt idx="773">
                  <c:v>1951.4999999837901</c:v>
                </c:pt>
                <c:pt idx="774">
                  <c:v>1951.41666665043</c:v>
                </c:pt>
                <c:pt idx="775">
                  <c:v>1951.3333333170699</c:v>
                </c:pt>
                <c:pt idx="776">
                  <c:v>1951.24999998371</c:v>
                </c:pt>
                <c:pt idx="777">
                  <c:v>1951.16666665035</c:v>
                </c:pt>
                <c:pt idx="778">
                  <c:v>1951.0833333169901</c:v>
                </c:pt>
                <c:pt idx="779">
                  <c:v>1950.99999998363</c:v>
                </c:pt>
                <c:pt idx="780">
                  <c:v>1950.9166666502699</c:v>
                </c:pt>
                <c:pt idx="781">
                  <c:v>1950.8333333169101</c:v>
                </c:pt>
                <c:pt idx="782">
                  <c:v>1950.74999998355</c:v>
                </c:pt>
                <c:pt idx="783">
                  <c:v>1950.6666666501901</c:v>
                </c:pt>
                <c:pt idx="784">
                  <c:v>1950.58333331683</c:v>
                </c:pt>
                <c:pt idx="785">
                  <c:v>1950.4999999834699</c:v>
                </c:pt>
                <c:pt idx="786">
                  <c:v>1950.4166666501101</c:v>
                </c:pt>
                <c:pt idx="787">
                  <c:v>1950.33333331675</c:v>
                </c:pt>
                <c:pt idx="788">
                  <c:v>1950.2499999833899</c:v>
                </c:pt>
                <c:pt idx="789">
                  <c:v>1950.16666665003</c:v>
                </c:pt>
                <c:pt idx="790">
                  <c:v>1950.08333331667</c:v>
                </c:pt>
                <c:pt idx="791">
                  <c:v>1949.9999999833101</c:v>
                </c:pt>
                <c:pt idx="792">
                  <c:v>1949.91666664995</c:v>
                </c:pt>
                <c:pt idx="793">
                  <c:v>1949.8333333165899</c:v>
                </c:pt>
                <c:pt idx="794">
                  <c:v>1949.7499999832301</c:v>
                </c:pt>
                <c:pt idx="795">
                  <c:v>1949.66666664986</c:v>
                </c:pt>
                <c:pt idx="796">
                  <c:v>1949.5833333165001</c:v>
                </c:pt>
                <c:pt idx="797">
                  <c:v>1949.49999998314</c:v>
                </c:pt>
                <c:pt idx="798">
                  <c:v>1949.4166666497799</c:v>
                </c:pt>
                <c:pt idx="799">
                  <c:v>1949.3333333164201</c:v>
                </c:pt>
                <c:pt idx="800">
                  <c:v>1949.24999998306</c:v>
                </c:pt>
                <c:pt idx="801">
                  <c:v>1949.1666666496999</c:v>
                </c:pt>
                <c:pt idx="802">
                  <c:v>1949.08333331634</c:v>
                </c:pt>
                <c:pt idx="803">
                  <c:v>1948.9999999829799</c:v>
                </c:pt>
                <c:pt idx="804">
                  <c:v>1948.9166666496201</c:v>
                </c:pt>
                <c:pt idx="805">
                  <c:v>1948.83333331626</c:v>
                </c:pt>
                <c:pt idx="806">
                  <c:v>1948.7499999828999</c:v>
                </c:pt>
                <c:pt idx="807">
                  <c:v>1948.66666664954</c:v>
                </c:pt>
                <c:pt idx="808">
                  <c:v>1948.58333331618</c:v>
                </c:pt>
                <c:pt idx="809">
                  <c:v>1948.4999999828201</c:v>
                </c:pt>
                <c:pt idx="810">
                  <c:v>1948.41666664946</c:v>
                </c:pt>
                <c:pt idx="811">
                  <c:v>1948.3333333160999</c:v>
                </c:pt>
                <c:pt idx="812">
                  <c:v>1948.2499999827401</c:v>
                </c:pt>
                <c:pt idx="813">
                  <c:v>1948.16666664938</c:v>
                </c:pt>
                <c:pt idx="814">
                  <c:v>1948.0833333160199</c:v>
                </c:pt>
                <c:pt idx="815">
                  <c:v>1947.99999998266</c:v>
                </c:pt>
                <c:pt idx="816">
                  <c:v>1947.9166666492999</c:v>
                </c:pt>
                <c:pt idx="817">
                  <c:v>1947.8333333159401</c:v>
                </c:pt>
                <c:pt idx="818">
                  <c:v>1947.74999998258</c:v>
                </c:pt>
                <c:pt idx="819">
                  <c:v>1947.6666666492199</c:v>
                </c:pt>
                <c:pt idx="820">
                  <c:v>1947.58333331586</c:v>
                </c:pt>
                <c:pt idx="821">
                  <c:v>1947.4999999825</c:v>
                </c:pt>
                <c:pt idx="822">
                  <c:v>1947.4166666491401</c:v>
                </c:pt>
                <c:pt idx="823">
                  <c:v>1947.33333331578</c:v>
                </c:pt>
                <c:pt idx="824">
                  <c:v>1947.2499999824199</c:v>
                </c:pt>
                <c:pt idx="825">
                  <c:v>1947.1666666490601</c:v>
                </c:pt>
                <c:pt idx="826">
                  <c:v>1947.0833333157</c:v>
                </c:pt>
                <c:pt idx="827">
                  <c:v>1946.9999999823399</c:v>
                </c:pt>
                <c:pt idx="828">
                  <c:v>1946.91666664898</c:v>
                </c:pt>
                <c:pt idx="829">
                  <c:v>1946.8333333156199</c:v>
                </c:pt>
                <c:pt idx="830">
                  <c:v>1946.7499999822601</c:v>
                </c:pt>
                <c:pt idx="831">
                  <c:v>1946.6666666489</c:v>
                </c:pt>
                <c:pt idx="832">
                  <c:v>1946.5833333155399</c:v>
                </c:pt>
                <c:pt idx="833">
                  <c:v>1946.49999998218</c:v>
                </c:pt>
                <c:pt idx="834">
                  <c:v>1946.41666664882</c:v>
                </c:pt>
                <c:pt idx="835">
                  <c:v>1946.3333333154601</c:v>
                </c:pt>
                <c:pt idx="836">
                  <c:v>1946.2499999821</c:v>
                </c:pt>
                <c:pt idx="837">
                  <c:v>1946.1666666487399</c:v>
                </c:pt>
                <c:pt idx="838">
                  <c:v>1946.0833333153801</c:v>
                </c:pt>
                <c:pt idx="839">
                  <c:v>1945.99999998202</c:v>
                </c:pt>
                <c:pt idx="840">
                  <c:v>1945.9166666486601</c:v>
                </c:pt>
                <c:pt idx="841">
                  <c:v>1945.8333333153</c:v>
                </c:pt>
                <c:pt idx="842">
                  <c:v>1945.7499999819399</c:v>
                </c:pt>
                <c:pt idx="843">
                  <c:v>1945.6666666485801</c:v>
                </c:pt>
                <c:pt idx="844">
                  <c:v>1945.58333331522</c:v>
                </c:pt>
                <c:pt idx="845">
                  <c:v>1945.4999999818599</c:v>
                </c:pt>
                <c:pt idx="846">
                  <c:v>1945.4166666485</c:v>
                </c:pt>
                <c:pt idx="847">
                  <c:v>1945.33333331514</c:v>
                </c:pt>
                <c:pt idx="848">
                  <c:v>1945.2499999817801</c:v>
                </c:pt>
                <c:pt idx="849">
                  <c:v>1945.16666664842</c:v>
                </c:pt>
                <c:pt idx="850">
                  <c:v>1945.0833333150599</c:v>
                </c:pt>
                <c:pt idx="851">
                  <c:v>1944.9999999817001</c:v>
                </c:pt>
                <c:pt idx="852">
                  <c:v>1944.91666664834</c:v>
                </c:pt>
                <c:pt idx="853">
                  <c:v>1944.8333333149801</c:v>
                </c:pt>
                <c:pt idx="854">
                  <c:v>1944.74999998162</c:v>
                </c:pt>
                <c:pt idx="855">
                  <c:v>1944.6666666482599</c:v>
                </c:pt>
                <c:pt idx="856">
                  <c:v>1944.5833333149001</c:v>
                </c:pt>
                <c:pt idx="857">
                  <c:v>1944.49999998154</c:v>
                </c:pt>
                <c:pt idx="858">
                  <c:v>1944.4166666481799</c:v>
                </c:pt>
                <c:pt idx="859">
                  <c:v>1944.33333331482</c:v>
                </c:pt>
                <c:pt idx="860">
                  <c:v>1944.24999998146</c:v>
                </c:pt>
                <c:pt idx="861">
                  <c:v>1944.1666666481001</c:v>
                </c:pt>
                <c:pt idx="862">
                  <c:v>1944.08333331474</c:v>
                </c:pt>
                <c:pt idx="863">
                  <c:v>1943.9999999813799</c:v>
                </c:pt>
                <c:pt idx="864">
                  <c:v>1943.9166666480201</c:v>
                </c:pt>
                <c:pt idx="865">
                  <c:v>1943.83333331466</c:v>
                </c:pt>
                <c:pt idx="866">
                  <c:v>1943.7499999813001</c:v>
                </c:pt>
                <c:pt idx="867">
                  <c:v>1943.66666664794</c:v>
                </c:pt>
                <c:pt idx="868">
                  <c:v>1943.5833333145799</c:v>
                </c:pt>
                <c:pt idx="869">
                  <c:v>1943.4999999812201</c:v>
                </c:pt>
                <c:pt idx="870">
                  <c:v>1943.41666664786</c:v>
                </c:pt>
                <c:pt idx="871">
                  <c:v>1943.3333333144999</c:v>
                </c:pt>
                <c:pt idx="872">
                  <c:v>1943.24999998114</c:v>
                </c:pt>
                <c:pt idx="873">
                  <c:v>1943.1666666477799</c:v>
                </c:pt>
                <c:pt idx="874">
                  <c:v>1943.0833333144201</c:v>
                </c:pt>
                <c:pt idx="875">
                  <c:v>1942.99999998106</c:v>
                </c:pt>
                <c:pt idx="876">
                  <c:v>1942.9166666476999</c:v>
                </c:pt>
                <c:pt idx="877">
                  <c:v>1942.8333333143401</c:v>
                </c:pt>
                <c:pt idx="878">
                  <c:v>1942.74999998098</c:v>
                </c:pt>
                <c:pt idx="879">
                  <c:v>1942.6666666476201</c:v>
                </c:pt>
                <c:pt idx="880">
                  <c:v>1942.58333331426</c:v>
                </c:pt>
                <c:pt idx="881">
                  <c:v>1942.4999999808999</c:v>
                </c:pt>
                <c:pt idx="882">
                  <c:v>1942.4166666475401</c:v>
                </c:pt>
                <c:pt idx="883">
                  <c:v>1942.33333331418</c:v>
                </c:pt>
                <c:pt idx="884">
                  <c:v>1942.2499999808199</c:v>
                </c:pt>
                <c:pt idx="885">
                  <c:v>1942.16666664746</c:v>
                </c:pt>
                <c:pt idx="886">
                  <c:v>1942.0833333140999</c:v>
                </c:pt>
                <c:pt idx="887">
                  <c:v>1941.9999999807401</c:v>
                </c:pt>
                <c:pt idx="888">
                  <c:v>1941.91666664738</c:v>
                </c:pt>
                <c:pt idx="889">
                  <c:v>1941.8333333140199</c:v>
                </c:pt>
                <c:pt idx="890">
                  <c:v>1941.74999998066</c:v>
                </c:pt>
                <c:pt idx="891">
                  <c:v>1941.6666666473</c:v>
                </c:pt>
                <c:pt idx="892">
                  <c:v>1941.5833333139401</c:v>
                </c:pt>
                <c:pt idx="893">
                  <c:v>1941.49999998058</c:v>
                </c:pt>
                <c:pt idx="894">
                  <c:v>1941.4166666472199</c:v>
                </c:pt>
                <c:pt idx="895">
                  <c:v>1941.3333333138601</c:v>
                </c:pt>
                <c:pt idx="896">
                  <c:v>1941.2499999805</c:v>
                </c:pt>
                <c:pt idx="897">
                  <c:v>1941.1666666471399</c:v>
                </c:pt>
                <c:pt idx="898">
                  <c:v>1941.08333331378</c:v>
                </c:pt>
                <c:pt idx="899">
                  <c:v>1940.9999999804199</c:v>
                </c:pt>
              </c:numCache>
            </c:numRef>
          </c:xVal>
          <c:yVal>
            <c:numRef>
              <c:f>Monthly!$E$2:$E$901</c:f>
              <c:numCache>
                <c:formatCode>General</c:formatCode>
                <c:ptCount val="900"/>
                <c:pt idx="0">
                  <c:v>4444</c:v>
                </c:pt>
                <c:pt idx="1">
                  <c:v>5803</c:v>
                </c:pt>
                <c:pt idx="2">
                  <c:v>4343</c:v>
                </c:pt>
                <c:pt idx="3">
                  <c:v>4394</c:v>
                </c:pt>
                <c:pt idx="4">
                  <c:v>4127</c:v>
                </c:pt>
                <c:pt idx="5">
                  <c:v>4341</c:v>
                </c:pt>
                <c:pt idx="6">
                  <c:v>5904</c:v>
                </c:pt>
                <c:pt idx="7">
                  <c:v>5097</c:v>
                </c:pt>
                <c:pt idx="8">
                  <c:v>4877</c:v>
                </c:pt>
                <c:pt idx="9">
                  <c:v>3399</c:v>
                </c:pt>
                <c:pt idx="10">
                  <c:v>3990</c:v>
                </c:pt>
                <c:pt idx="11">
                  <c:v>4582</c:v>
                </c:pt>
                <c:pt idx="12">
                  <c:v>8477</c:v>
                </c:pt>
                <c:pt idx="13">
                  <c:v>8321</c:v>
                </c:pt>
                <c:pt idx="14">
                  <c:v>7039</c:v>
                </c:pt>
                <c:pt idx="15">
                  <c:v>5495</c:v>
                </c:pt>
                <c:pt idx="16">
                  <c:v>4197</c:v>
                </c:pt>
                <c:pt idx="17">
                  <c:v>4744</c:v>
                </c:pt>
                <c:pt idx="18">
                  <c:v>6647</c:v>
                </c:pt>
                <c:pt idx="19">
                  <c:v>6475</c:v>
                </c:pt>
                <c:pt idx="20">
                  <c:v>4075</c:v>
                </c:pt>
                <c:pt idx="21">
                  <c:v>4551</c:v>
                </c:pt>
                <c:pt idx="22">
                  <c:v>3771</c:v>
                </c:pt>
                <c:pt idx="23">
                  <c:v>5797</c:v>
                </c:pt>
                <c:pt idx="24">
                  <c:v>8407</c:v>
                </c:pt>
                <c:pt idx="25">
                  <c:v>8535</c:v>
                </c:pt>
                <c:pt idx="26">
                  <c:v>7850</c:v>
                </c:pt>
                <c:pt idx="27">
                  <c:v>7369</c:v>
                </c:pt>
                <c:pt idx="28">
                  <c:v>5564</c:v>
                </c:pt>
                <c:pt idx="29">
                  <c:v>6649</c:v>
                </c:pt>
                <c:pt idx="30">
                  <c:v>8229</c:v>
                </c:pt>
                <c:pt idx="31">
                  <c:v>6259</c:v>
                </c:pt>
                <c:pt idx="32">
                  <c:v>4229</c:v>
                </c:pt>
                <c:pt idx="33">
                  <c:v>3792</c:v>
                </c:pt>
                <c:pt idx="34">
                  <c:v>3205</c:v>
                </c:pt>
                <c:pt idx="35">
                  <c:v>3669</c:v>
                </c:pt>
                <c:pt idx="36">
                  <c:v>6855</c:v>
                </c:pt>
                <c:pt idx="37">
                  <c:v>7858</c:v>
                </c:pt>
                <c:pt idx="38">
                  <c:v>6414</c:v>
                </c:pt>
                <c:pt idx="39">
                  <c:v>6502</c:v>
                </c:pt>
                <c:pt idx="40">
                  <c:v>6193</c:v>
                </c:pt>
                <c:pt idx="41">
                  <c:v>6418</c:v>
                </c:pt>
                <c:pt idx="42">
                  <c:v>9001</c:v>
                </c:pt>
                <c:pt idx="43">
                  <c:v>9668</c:v>
                </c:pt>
                <c:pt idx="44">
                  <c:v>6585</c:v>
                </c:pt>
                <c:pt idx="45">
                  <c:v>4540</c:v>
                </c:pt>
                <c:pt idx="46">
                  <c:v>6968</c:v>
                </c:pt>
                <c:pt idx="47">
                  <c:v>11336</c:v>
                </c:pt>
                <c:pt idx="48">
                  <c:v>13395</c:v>
                </c:pt>
                <c:pt idx="49">
                  <c:v>11402</c:v>
                </c:pt>
                <c:pt idx="50">
                  <c:v>9565</c:v>
                </c:pt>
                <c:pt idx="51">
                  <c:v>9130</c:v>
                </c:pt>
                <c:pt idx="52">
                  <c:v>10126</c:v>
                </c:pt>
                <c:pt idx="53">
                  <c:v>11226</c:v>
                </c:pt>
                <c:pt idx="54">
                  <c:v>12827</c:v>
                </c:pt>
                <c:pt idx="55">
                  <c:v>11996</c:v>
                </c:pt>
                <c:pt idx="56">
                  <c:v>8274</c:v>
                </c:pt>
                <c:pt idx="57">
                  <c:v>6595</c:v>
                </c:pt>
                <c:pt idx="58">
                  <c:v>6721</c:v>
                </c:pt>
                <c:pt idx="59">
                  <c:v>11430</c:v>
                </c:pt>
                <c:pt idx="60">
                  <c:v>13942</c:v>
                </c:pt>
                <c:pt idx="61">
                  <c:v>13717</c:v>
                </c:pt>
                <c:pt idx="62">
                  <c:v>13685</c:v>
                </c:pt>
                <c:pt idx="63">
                  <c:v>12839</c:v>
                </c:pt>
                <c:pt idx="64">
                  <c:v>12741</c:v>
                </c:pt>
                <c:pt idx="65">
                  <c:v>10972</c:v>
                </c:pt>
                <c:pt idx="66">
                  <c:v>9275</c:v>
                </c:pt>
                <c:pt idx="67">
                  <c:v>7182</c:v>
                </c:pt>
                <c:pt idx="68">
                  <c:v>4545</c:v>
                </c:pt>
                <c:pt idx="69">
                  <c:v>3222</c:v>
                </c:pt>
                <c:pt idx="70">
                  <c:v>2579</c:v>
                </c:pt>
                <c:pt idx="71">
                  <c:v>3447</c:v>
                </c:pt>
                <c:pt idx="72">
                  <c:v>6163</c:v>
                </c:pt>
                <c:pt idx="73">
                  <c:v>7123</c:v>
                </c:pt>
                <c:pt idx="74">
                  <c:v>5289</c:v>
                </c:pt>
                <c:pt idx="75">
                  <c:v>6082</c:v>
                </c:pt>
                <c:pt idx="76">
                  <c:v>6035</c:v>
                </c:pt>
                <c:pt idx="77">
                  <c:v>7401</c:v>
                </c:pt>
                <c:pt idx="78">
                  <c:v>7787</c:v>
                </c:pt>
                <c:pt idx="79">
                  <c:v>7850</c:v>
                </c:pt>
                <c:pt idx="80">
                  <c:v>6948</c:v>
                </c:pt>
                <c:pt idx="81">
                  <c:v>5643</c:v>
                </c:pt>
                <c:pt idx="82">
                  <c:v>6777</c:v>
                </c:pt>
                <c:pt idx="83">
                  <c:v>10257</c:v>
                </c:pt>
                <c:pt idx="84">
                  <c:v>14438</c:v>
                </c:pt>
                <c:pt idx="85">
                  <c:v>13323</c:v>
                </c:pt>
                <c:pt idx="86">
                  <c:v>12038</c:v>
                </c:pt>
                <c:pt idx="87">
                  <c:v>12125</c:v>
                </c:pt>
                <c:pt idx="88">
                  <c:v>11936</c:v>
                </c:pt>
                <c:pt idx="89">
                  <c:v>11525</c:v>
                </c:pt>
                <c:pt idx="90">
                  <c:v>9974</c:v>
                </c:pt>
                <c:pt idx="91">
                  <c:v>7711</c:v>
                </c:pt>
                <c:pt idx="92">
                  <c:v>5673</c:v>
                </c:pt>
                <c:pt idx="93">
                  <c:v>5420</c:v>
                </c:pt>
                <c:pt idx="94">
                  <c:v>5442</c:v>
                </c:pt>
                <c:pt idx="95">
                  <c:v>8936</c:v>
                </c:pt>
                <c:pt idx="96">
                  <c:v>12511</c:v>
                </c:pt>
                <c:pt idx="97">
                  <c:v>13131</c:v>
                </c:pt>
                <c:pt idx="98">
                  <c:v>10444</c:v>
                </c:pt>
                <c:pt idx="99">
                  <c:v>10419</c:v>
                </c:pt>
                <c:pt idx="100">
                  <c:v>9304</c:v>
                </c:pt>
                <c:pt idx="101">
                  <c:v>11100</c:v>
                </c:pt>
                <c:pt idx="102">
                  <c:v>11263</c:v>
                </c:pt>
                <c:pt idx="103">
                  <c:v>8442</c:v>
                </c:pt>
                <c:pt idx="104">
                  <c:v>5658</c:v>
                </c:pt>
                <c:pt idx="105">
                  <c:v>2916</c:v>
                </c:pt>
                <c:pt idx="106">
                  <c:v>3754</c:v>
                </c:pt>
                <c:pt idx="107">
                  <c:v>7909</c:v>
                </c:pt>
                <c:pt idx="108">
                  <c:v>10575</c:v>
                </c:pt>
                <c:pt idx="109">
                  <c:v>9114</c:v>
                </c:pt>
                <c:pt idx="110">
                  <c:v>7218</c:v>
                </c:pt>
                <c:pt idx="111">
                  <c:v>7058</c:v>
                </c:pt>
                <c:pt idx="112">
                  <c:v>6984</c:v>
                </c:pt>
                <c:pt idx="113">
                  <c:v>10159</c:v>
                </c:pt>
                <c:pt idx="114">
                  <c:v>11047</c:v>
                </c:pt>
                <c:pt idx="115">
                  <c:v>8757</c:v>
                </c:pt>
                <c:pt idx="116">
                  <c:v>6292</c:v>
                </c:pt>
                <c:pt idx="117">
                  <c:v>4329</c:v>
                </c:pt>
                <c:pt idx="118">
                  <c:v>5532</c:v>
                </c:pt>
                <c:pt idx="119">
                  <c:v>9204</c:v>
                </c:pt>
                <c:pt idx="120">
                  <c:v>12700</c:v>
                </c:pt>
                <c:pt idx="121">
                  <c:v>10060</c:v>
                </c:pt>
                <c:pt idx="122">
                  <c:v>7510</c:v>
                </c:pt>
                <c:pt idx="123">
                  <c:v>6318</c:v>
                </c:pt>
                <c:pt idx="124">
                  <c:v>6664</c:v>
                </c:pt>
                <c:pt idx="125">
                  <c:v>8273</c:v>
                </c:pt>
                <c:pt idx="126">
                  <c:v>8434</c:v>
                </c:pt>
                <c:pt idx="127">
                  <c:v>6630</c:v>
                </c:pt>
                <c:pt idx="128">
                  <c:v>4448</c:v>
                </c:pt>
                <c:pt idx="129">
                  <c:v>3838</c:v>
                </c:pt>
                <c:pt idx="130">
                  <c:v>4568</c:v>
                </c:pt>
                <c:pt idx="131">
                  <c:v>7079</c:v>
                </c:pt>
                <c:pt idx="132">
                  <c:v>11106</c:v>
                </c:pt>
                <c:pt idx="133">
                  <c:v>10161</c:v>
                </c:pt>
                <c:pt idx="134">
                  <c:v>8047</c:v>
                </c:pt>
                <c:pt idx="135">
                  <c:v>6271</c:v>
                </c:pt>
                <c:pt idx="136">
                  <c:v>5941</c:v>
                </c:pt>
                <c:pt idx="137">
                  <c:v>6195</c:v>
                </c:pt>
                <c:pt idx="138">
                  <c:v>7558</c:v>
                </c:pt>
                <c:pt idx="139">
                  <c:v>6011</c:v>
                </c:pt>
                <c:pt idx="140">
                  <c:v>3609</c:v>
                </c:pt>
                <c:pt idx="141">
                  <c:v>2916</c:v>
                </c:pt>
                <c:pt idx="142">
                  <c:v>3724</c:v>
                </c:pt>
                <c:pt idx="143">
                  <c:v>8355</c:v>
                </c:pt>
                <c:pt idx="144">
                  <c:v>11146</c:v>
                </c:pt>
                <c:pt idx="145">
                  <c:v>10016</c:v>
                </c:pt>
                <c:pt idx="146">
                  <c:v>7897</c:v>
                </c:pt>
                <c:pt idx="147">
                  <c:v>6140</c:v>
                </c:pt>
                <c:pt idx="148">
                  <c:v>6910</c:v>
                </c:pt>
                <c:pt idx="149">
                  <c:v>7712</c:v>
                </c:pt>
                <c:pt idx="150">
                  <c:v>7152</c:v>
                </c:pt>
                <c:pt idx="151">
                  <c:v>5959</c:v>
                </c:pt>
                <c:pt idx="152">
                  <c:v>3815</c:v>
                </c:pt>
                <c:pt idx="153">
                  <c:v>2684</c:v>
                </c:pt>
                <c:pt idx="154">
                  <c:v>2566</c:v>
                </c:pt>
                <c:pt idx="155">
                  <c:v>3527</c:v>
                </c:pt>
                <c:pt idx="156">
                  <c:v>6225</c:v>
                </c:pt>
                <c:pt idx="157">
                  <c:v>7592</c:v>
                </c:pt>
                <c:pt idx="158">
                  <c:v>5094</c:v>
                </c:pt>
                <c:pt idx="159">
                  <c:v>4585</c:v>
                </c:pt>
                <c:pt idx="160">
                  <c:v>4440</c:v>
                </c:pt>
                <c:pt idx="161">
                  <c:v>6751</c:v>
                </c:pt>
                <c:pt idx="162">
                  <c:v>7583</c:v>
                </c:pt>
                <c:pt idx="163">
                  <c:v>5955</c:v>
                </c:pt>
                <c:pt idx="164">
                  <c:v>4518</c:v>
                </c:pt>
                <c:pt idx="165">
                  <c:v>2893</c:v>
                </c:pt>
                <c:pt idx="166">
                  <c:v>3326</c:v>
                </c:pt>
                <c:pt idx="167">
                  <c:v>6717</c:v>
                </c:pt>
                <c:pt idx="168">
                  <c:v>8537</c:v>
                </c:pt>
                <c:pt idx="169">
                  <c:v>7734</c:v>
                </c:pt>
                <c:pt idx="170">
                  <c:v>6229</c:v>
                </c:pt>
                <c:pt idx="171">
                  <c:v>4589</c:v>
                </c:pt>
                <c:pt idx="172">
                  <c:v>4293</c:v>
                </c:pt>
                <c:pt idx="173">
                  <c:v>4890</c:v>
                </c:pt>
                <c:pt idx="174">
                  <c:v>5872</c:v>
                </c:pt>
                <c:pt idx="175">
                  <c:v>4556</c:v>
                </c:pt>
                <c:pt idx="176">
                  <c:v>3761</c:v>
                </c:pt>
                <c:pt idx="177">
                  <c:v>3288</c:v>
                </c:pt>
                <c:pt idx="178">
                  <c:v>2960</c:v>
                </c:pt>
                <c:pt idx="179">
                  <c:v>5239</c:v>
                </c:pt>
                <c:pt idx="180">
                  <c:v>9162</c:v>
                </c:pt>
                <c:pt idx="181">
                  <c:v>10570</c:v>
                </c:pt>
                <c:pt idx="182">
                  <c:v>10234</c:v>
                </c:pt>
                <c:pt idx="183">
                  <c:v>8572</c:v>
                </c:pt>
                <c:pt idx="184">
                  <c:v>8562</c:v>
                </c:pt>
                <c:pt idx="185">
                  <c:v>9573</c:v>
                </c:pt>
                <c:pt idx="186">
                  <c:v>8971</c:v>
                </c:pt>
                <c:pt idx="187">
                  <c:v>6923</c:v>
                </c:pt>
                <c:pt idx="188">
                  <c:v>5630</c:v>
                </c:pt>
                <c:pt idx="189">
                  <c:v>5976</c:v>
                </c:pt>
                <c:pt idx="190">
                  <c:v>6093</c:v>
                </c:pt>
                <c:pt idx="191">
                  <c:v>10812</c:v>
                </c:pt>
                <c:pt idx="192">
                  <c:v>13023</c:v>
                </c:pt>
                <c:pt idx="193">
                  <c:v>13378</c:v>
                </c:pt>
                <c:pt idx="194">
                  <c:v>11434</c:v>
                </c:pt>
                <c:pt idx="195">
                  <c:v>9594</c:v>
                </c:pt>
                <c:pt idx="196">
                  <c:v>9733</c:v>
                </c:pt>
                <c:pt idx="197">
                  <c:v>10986</c:v>
                </c:pt>
                <c:pt idx="198">
                  <c:v>10328</c:v>
                </c:pt>
                <c:pt idx="199">
                  <c:v>9334</c:v>
                </c:pt>
                <c:pt idx="200">
                  <c:v>8431</c:v>
                </c:pt>
                <c:pt idx="201">
                  <c:v>8077</c:v>
                </c:pt>
                <c:pt idx="202">
                  <c:v>7315</c:v>
                </c:pt>
                <c:pt idx="203">
                  <c:v>9849</c:v>
                </c:pt>
                <c:pt idx="204">
                  <c:v>11020</c:v>
                </c:pt>
                <c:pt idx="205">
                  <c:v>9981</c:v>
                </c:pt>
                <c:pt idx="206">
                  <c:v>9307</c:v>
                </c:pt>
                <c:pt idx="207">
                  <c:v>8481</c:v>
                </c:pt>
                <c:pt idx="208">
                  <c:v>8307</c:v>
                </c:pt>
                <c:pt idx="209">
                  <c:v>8634</c:v>
                </c:pt>
                <c:pt idx="210">
                  <c:v>8008</c:v>
                </c:pt>
                <c:pt idx="211">
                  <c:v>6514</c:v>
                </c:pt>
                <c:pt idx="212">
                  <c:v>4127</c:v>
                </c:pt>
                <c:pt idx="213">
                  <c:v>2533</c:v>
                </c:pt>
                <c:pt idx="214">
                  <c:v>2746</c:v>
                </c:pt>
                <c:pt idx="215">
                  <c:v>2626</c:v>
                </c:pt>
                <c:pt idx="216">
                  <c:v>4819</c:v>
                </c:pt>
                <c:pt idx="217">
                  <c:v>5662</c:v>
                </c:pt>
                <c:pt idx="218">
                  <c:v>5039</c:v>
                </c:pt>
                <c:pt idx="219">
                  <c:v>3661</c:v>
                </c:pt>
                <c:pt idx="220">
                  <c:v>3728</c:v>
                </c:pt>
                <c:pt idx="221">
                  <c:v>5066</c:v>
                </c:pt>
                <c:pt idx="222">
                  <c:v>5438</c:v>
                </c:pt>
                <c:pt idx="223">
                  <c:v>4582</c:v>
                </c:pt>
                <c:pt idx="224">
                  <c:v>3704</c:v>
                </c:pt>
                <c:pt idx="225">
                  <c:v>3689</c:v>
                </c:pt>
                <c:pt idx="226">
                  <c:v>4934</c:v>
                </c:pt>
                <c:pt idx="227">
                  <c:v>5692</c:v>
                </c:pt>
                <c:pt idx="228">
                  <c:v>9402</c:v>
                </c:pt>
                <c:pt idx="229">
                  <c:v>10511</c:v>
                </c:pt>
                <c:pt idx="230">
                  <c:v>9896</c:v>
                </c:pt>
                <c:pt idx="231">
                  <c:v>10234</c:v>
                </c:pt>
                <c:pt idx="232">
                  <c:v>11122</c:v>
                </c:pt>
                <c:pt idx="233">
                  <c:v>11029</c:v>
                </c:pt>
                <c:pt idx="234">
                  <c:v>9225</c:v>
                </c:pt>
                <c:pt idx="235">
                  <c:v>7209</c:v>
                </c:pt>
                <c:pt idx="236">
                  <c:v>6627</c:v>
                </c:pt>
                <c:pt idx="237">
                  <c:v>5883</c:v>
                </c:pt>
                <c:pt idx="238">
                  <c:v>4982</c:v>
                </c:pt>
                <c:pt idx="239">
                  <c:v>6822</c:v>
                </c:pt>
                <c:pt idx="240">
                  <c:v>9349</c:v>
                </c:pt>
                <c:pt idx="241">
                  <c:v>10028</c:v>
                </c:pt>
                <c:pt idx="242">
                  <c:v>9163</c:v>
                </c:pt>
                <c:pt idx="243">
                  <c:v>9493</c:v>
                </c:pt>
                <c:pt idx="244">
                  <c:v>8850</c:v>
                </c:pt>
                <c:pt idx="245">
                  <c:v>7742</c:v>
                </c:pt>
                <c:pt idx="246">
                  <c:v>7234</c:v>
                </c:pt>
                <c:pt idx="247">
                  <c:v>5822</c:v>
                </c:pt>
                <c:pt idx="248">
                  <c:v>3689</c:v>
                </c:pt>
                <c:pt idx="249">
                  <c:v>2623</c:v>
                </c:pt>
                <c:pt idx="250">
                  <c:v>2534</c:v>
                </c:pt>
                <c:pt idx="251">
                  <c:v>5247</c:v>
                </c:pt>
                <c:pt idx="252">
                  <c:v>9946</c:v>
                </c:pt>
                <c:pt idx="253">
                  <c:v>9541</c:v>
                </c:pt>
                <c:pt idx="254">
                  <c:v>7921</c:v>
                </c:pt>
                <c:pt idx="255">
                  <c:v>6575</c:v>
                </c:pt>
                <c:pt idx="256">
                  <c:v>6866</c:v>
                </c:pt>
                <c:pt idx="257">
                  <c:v>8376</c:v>
                </c:pt>
                <c:pt idx="258">
                  <c:v>9082</c:v>
                </c:pt>
                <c:pt idx="259">
                  <c:v>8074</c:v>
                </c:pt>
                <c:pt idx="260">
                  <c:v>6451</c:v>
                </c:pt>
                <c:pt idx="261">
                  <c:v>5146</c:v>
                </c:pt>
                <c:pt idx="262">
                  <c:v>5154</c:v>
                </c:pt>
                <c:pt idx="263">
                  <c:v>8045</c:v>
                </c:pt>
                <c:pt idx="264">
                  <c:v>10012</c:v>
                </c:pt>
                <c:pt idx="265">
                  <c:v>8982</c:v>
                </c:pt>
                <c:pt idx="266">
                  <c:v>8268</c:v>
                </c:pt>
                <c:pt idx="267">
                  <c:v>7237</c:v>
                </c:pt>
                <c:pt idx="268">
                  <c:v>6275</c:v>
                </c:pt>
                <c:pt idx="269">
                  <c:v>7770</c:v>
                </c:pt>
                <c:pt idx="270">
                  <c:v>8567</c:v>
                </c:pt>
                <c:pt idx="271">
                  <c:v>7418</c:v>
                </c:pt>
                <c:pt idx="272">
                  <c:v>5266</c:v>
                </c:pt>
                <c:pt idx="273">
                  <c:v>3587</c:v>
                </c:pt>
                <c:pt idx="274">
                  <c:v>3850</c:v>
                </c:pt>
                <c:pt idx="275">
                  <c:v>5111</c:v>
                </c:pt>
                <c:pt idx="276">
                  <c:v>7096</c:v>
                </c:pt>
                <c:pt idx="277">
                  <c:v>6914</c:v>
                </c:pt>
                <c:pt idx="278">
                  <c:v>6908</c:v>
                </c:pt>
                <c:pt idx="279">
                  <c:v>6075</c:v>
                </c:pt>
                <c:pt idx="280">
                  <c:v>5718</c:v>
                </c:pt>
                <c:pt idx="281">
                  <c:v>4899</c:v>
                </c:pt>
                <c:pt idx="282">
                  <c:v>5507</c:v>
                </c:pt>
                <c:pt idx="283">
                  <c:v>4617</c:v>
                </c:pt>
                <c:pt idx="284">
                  <c:v>2844</c:v>
                </c:pt>
                <c:pt idx="285">
                  <c:v>2884</c:v>
                </c:pt>
                <c:pt idx="286">
                  <c:v>3068</c:v>
                </c:pt>
                <c:pt idx="287">
                  <c:v>4552</c:v>
                </c:pt>
                <c:pt idx="288">
                  <c:v>8438</c:v>
                </c:pt>
                <c:pt idx="289">
                  <c:v>8240</c:v>
                </c:pt>
                <c:pt idx="290">
                  <c:v>7768</c:v>
                </c:pt>
                <c:pt idx="291">
                  <c:v>5396</c:v>
                </c:pt>
                <c:pt idx="292">
                  <c:v>6347</c:v>
                </c:pt>
                <c:pt idx="293">
                  <c:v>6740</c:v>
                </c:pt>
                <c:pt idx="294">
                  <c:v>7130</c:v>
                </c:pt>
                <c:pt idx="295">
                  <c:v>6418</c:v>
                </c:pt>
                <c:pt idx="296">
                  <c:v>4843</c:v>
                </c:pt>
                <c:pt idx="297">
                  <c:v>4155</c:v>
                </c:pt>
                <c:pt idx="298">
                  <c:v>3696</c:v>
                </c:pt>
                <c:pt idx="299">
                  <c:v>7050</c:v>
                </c:pt>
                <c:pt idx="300">
                  <c:v>10194</c:v>
                </c:pt>
                <c:pt idx="301">
                  <c:v>9891</c:v>
                </c:pt>
                <c:pt idx="302">
                  <c:v>7998</c:v>
                </c:pt>
                <c:pt idx="303">
                  <c:v>6606</c:v>
                </c:pt>
                <c:pt idx="304">
                  <c:v>6335</c:v>
                </c:pt>
                <c:pt idx="305">
                  <c:v>7090</c:v>
                </c:pt>
                <c:pt idx="306">
                  <c:v>7707</c:v>
                </c:pt>
                <c:pt idx="307">
                  <c:v>7401</c:v>
                </c:pt>
                <c:pt idx="308">
                  <c:v>5276</c:v>
                </c:pt>
                <c:pt idx="309">
                  <c:v>4684</c:v>
                </c:pt>
                <c:pt idx="310">
                  <c:v>5057</c:v>
                </c:pt>
                <c:pt idx="311">
                  <c:v>6673</c:v>
                </c:pt>
                <c:pt idx="312">
                  <c:v>10709</c:v>
                </c:pt>
                <c:pt idx="313">
                  <c:v>12046</c:v>
                </c:pt>
                <c:pt idx="314">
                  <c:v>10531</c:v>
                </c:pt>
                <c:pt idx="315">
                  <c:v>8298</c:v>
                </c:pt>
                <c:pt idx="316">
                  <c:v>6889</c:v>
                </c:pt>
                <c:pt idx="317">
                  <c:v>7218</c:v>
                </c:pt>
                <c:pt idx="318">
                  <c:v>7546</c:v>
                </c:pt>
                <c:pt idx="319">
                  <c:v>6464</c:v>
                </c:pt>
                <c:pt idx="320">
                  <c:v>5862</c:v>
                </c:pt>
                <c:pt idx="321">
                  <c:v>6120</c:v>
                </c:pt>
                <c:pt idx="322">
                  <c:v>7224</c:v>
                </c:pt>
                <c:pt idx="323">
                  <c:v>11564</c:v>
                </c:pt>
                <c:pt idx="324">
                  <c:v>13531</c:v>
                </c:pt>
                <c:pt idx="325">
                  <c:v>13160</c:v>
                </c:pt>
                <c:pt idx="326">
                  <c:v>12893</c:v>
                </c:pt>
                <c:pt idx="327">
                  <c:v>11519</c:v>
                </c:pt>
                <c:pt idx="328">
                  <c:v>9669</c:v>
                </c:pt>
                <c:pt idx="329">
                  <c:v>8636</c:v>
                </c:pt>
                <c:pt idx="330">
                  <c:v>6416</c:v>
                </c:pt>
                <c:pt idx="331">
                  <c:v>5725</c:v>
                </c:pt>
                <c:pt idx="332">
                  <c:v>4695</c:v>
                </c:pt>
                <c:pt idx="333">
                  <c:v>4152</c:v>
                </c:pt>
                <c:pt idx="334">
                  <c:v>4394</c:v>
                </c:pt>
                <c:pt idx="335">
                  <c:v>6517</c:v>
                </c:pt>
                <c:pt idx="336">
                  <c:v>11132</c:v>
                </c:pt>
                <c:pt idx="337">
                  <c:v>11086</c:v>
                </c:pt>
                <c:pt idx="338">
                  <c:v>8922</c:v>
                </c:pt>
                <c:pt idx="339">
                  <c:v>7653</c:v>
                </c:pt>
                <c:pt idx="340">
                  <c:v>7564</c:v>
                </c:pt>
                <c:pt idx="341">
                  <c:v>5945</c:v>
                </c:pt>
                <c:pt idx="342">
                  <c:v>6982</c:v>
                </c:pt>
                <c:pt idx="343">
                  <c:v>6149</c:v>
                </c:pt>
                <c:pt idx="344">
                  <c:v>4451</c:v>
                </c:pt>
                <c:pt idx="345">
                  <c:v>4114</c:v>
                </c:pt>
                <c:pt idx="346">
                  <c:v>4222</c:v>
                </c:pt>
                <c:pt idx="347">
                  <c:v>5075</c:v>
                </c:pt>
                <c:pt idx="348">
                  <c:v>9594</c:v>
                </c:pt>
                <c:pt idx="349">
                  <c:v>10628</c:v>
                </c:pt>
                <c:pt idx="350">
                  <c:v>8391</c:v>
                </c:pt>
                <c:pt idx="351">
                  <c:v>6190</c:v>
                </c:pt>
                <c:pt idx="352">
                  <c:v>6205</c:v>
                </c:pt>
                <c:pt idx="353">
                  <c:v>8717</c:v>
                </c:pt>
                <c:pt idx="354">
                  <c:v>9229</c:v>
                </c:pt>
                <c:pt idx="355">
                  <c:v>8347</c:v>
                </c:pt>
                <c:pt idx="356">
                  <c:v>6552</c:v>
                </c:pt>
                <c:pt idx="357">
                  <c:v>5667</c:v>
                </c:pt>
                <c:pt idx="358">
                  <c:v>5097</c:v>
                </c:pt>
                <c:pt idx="359">
                  <c:v>6525</c:v>
                </c:pt>
                <c:pt idx="360">
                  <c:v>9753</c:v>
                </c:pt>
                <c:pt idx="361">
                  <c:v>9907</c:v>
                </c:pt>
                <c:pt idx="362">
                  <c:v>9087</c:v>
                </c:pt>
                <c:pt idx="363">
                  <c:v>7842</c:v>
                </c:pt>
                <c:pt idx="364">
                  <c:v>6058</c:v>
                </c:pt>
                <c:pt idx="365">
                  <c:v>4730</c:v>
                </c:pt>
                <c:pt idx="366">
                  <c:v>6206</c:v>
                </c:pt>
                <c:pt idx="367">
                  <c:v>5521</c:v>
                </c:pt>
                <c:pt idx="368">
                  <c:v>3974</c:v>
                </c:pt>
                <c:pt idx="369">
                  <c:v>3001</c:v>
                </c:pt>
                <c:pt idx="370">
                  <c:v>3917</c:v>
                </c:pt>
                <c:pt idx="371">
                  <c:v>7954</c:v>
                </c:pt>
                <c:pt idx="372">
                  <c:v>12508</c:v>
                </c:pt>
                <c:pt idx="373">
                  <c:v>12762</c:v>
                </c:pt>
                <c:pt idx="374">
                  <c:v>11298</c:v>
                </c:pt>
                <c:pt idx="375">
                  <c:v>10112</c:v>
                </c:pt>
                <c:pt idx="376">
                  <c:v>10415</c:v>
                </c:pt>
                <c:pt idx="377">
                  <c:v>10403</c:v>
                </c:pt>
                <c:pt idx="378">
                  <c:v>9164</c:v>
                </c:pt>
                <c:pt idx="379">
                  <c:v>6784</c:v>
                </c:pt>
                <c:pt idx="380">
                  <c:v>4613</c:v>
                </c:pt>
                <c:pt idx="381">
                  <c:v>5016</c:v>
                </c:pt>
                <c:pt idx="382">
                  <c:v>5769</c:v>
                </c:pt>
                <c:pt idx="383">
                  <c:v>7046</c:v>
                </c:pt>
                <c:pt idx="384">
                  <c:v>7490</c:v>
                </c:pt>
                <c:pt idx="385">
                  <c:v>8007</c:v>
                </c:pt>
                <c:pt idx="386">
                  <c:v>7230</c:v>
                </c:pt>
                <c:pt idx="387">
                  <c:v>6475</c:v>
                </c:pt>
                <c:pt idx="388">
                  <c:v>5830</c:v>
                </c:pt>
                <c:pt idx="389">
                  <c:v>6361</c:v>
                </c:pt>
                <c:pt idx="390">
                  <c:v>8204</c:v>
                </c:pt>
                <c:pt idx="391">
                  <c:v>7320</c:v>
                </c:pt>
                <c:pt idx="392">
                  <c:v>4473</c:v>
                </c:pt>
                <c:pt idx="393">
                  <c:v>2714</c:v>
                </c:pt>
                <c:pt idx="394">
                  <c:v>2490</c:v>
                </c:pt>
                <c:pt idx="395">
                  <c:v>4439</c:v>
                </c:pt>
                <c:pt idx="396">
                  <c:v>7576</c:v>
                </c:pt>
                <c:pt idx="397">
                  <c:v>9399</c:v>
                </c:pt>
                <c:pt idx="398">
                  <c:v>7715</c:v>
                </c:pt>
                <c:pt idx="399">
                  <c:v>6023</c:v>
                </c:pt>
                <c:pt idx="400">
                  <c:v>6893</c:v>
                </c:pt>
                <c:pt idx="401">
                  <c:v>9569</c:v>
                </c:pt>
                <c:pt idx="402">
                  <c:v>11092</c:v>
                </c:pt>
                <c:pt idx="403">
                  <c:v>9027</c:v>
                </c:pt>
                <c:pt idx="404">
                  <c:v>6370</c:v>
                </c:pt>
                <c:pt idx="405">
                  <c:v>5140</c:v>
                </c:pt>
                <c:pt idx="406">
                  <c:v>5825</c:v>
                </c:pt>
                <c:pt idx="407">
                  <c:v>8325</c:v>
                </c:pt>
                <c:pt idx="408">
                  <c:v>11579</c:v>
                </c:pt>
                <c:pt idx="409">
                  <c:v>11148</c:v>
                </c:pt>
                <c:pt idx="410">
                  <c:v>9926</c:v>
                </c:pt>
                <c:pt idx="411">
                  <c:v>10343</c:v>
                </c:pt>
                <c:pt idx="412">
                  <c:v>10851</c:v>
                </c:pt>
                <c:pt idx="413">
                  <c:v>13567</c:v>
                </c:pt>
                <c:pt idx="414">
                  <c:v>13531</c:v>
                </c:pt>
                <c:pt idx="415">
                  <c:v>9666</c:v>
                </c:pt>
                <c:pt idx="416">
                  <c:v>5002</c:v>
                </c:pt>
                <c:pt idx="417">
                  <c:v>4969</c:v>
                </c:pt>
                <c:pt idx="418">
                  <c:v>3794</c:v>
                </c:pt>
                <c:pt idx="419">
                  <c:v>6688</c:v>
                </c:pt>
                <c:pt idx="420">
                  <c:v>8713</c:v>
                </c:pt>
                <c:pt idx="421">
                  <c:v>9039</c:v>
                </c:pt>
                <c:pt idx="422">
                  <c:v>8012</c:v>
                </c:pt>
                <c:pt idx="423">
                  <c:v>6136</c:v>
                </c:pt>
                <c:pt idx="424">
                  <c:v>6260</c:v>
                </c:pt>
                <c:pt idx="425">
                  <c:v>5896</c:v>
                </c:pt>
                <c:pt idx="426">
                  <c:v>6636</c:v>
                </c:pt>
                <c:pt idx="427">
                  <c:v>5139</c:v>
                </c:pt>
                <c:pt idx="428">
                  <c:v>3352</c:v>
                </c:pt>
                <c:pt idx="429">
                  <c:v>3159</c:v>
                </c:pt>
                <c:pt idx="430">
                  <c:v>4656</c:v>
                </c:pt>
                <c:pt idx="431">
                  <c:v>7503</c:v>
                </c:pt>
                <c:pt idx="432">
                  <c:v>12341</c:v>
                </c:pt>
                <c:pt idx="433">
                  <c:v>10863</c:v>
                </c:pt>
                <c:pt idx="434">
                  <c:v>9138</c:v>
                </c:pt>
                <c:pt idx="435">
                  <c:v>8187</c:v>
                </c:pt>
                <c:pt idx="436">
                  <c:v>6925</c:v>
                </c:pt>
                <c:pt idx="437">
                  <c:v>8789</c:v>
                </c:pt>
                <c:pt idx="438">
                  <c:v>8825</c:v>
                </c:pt>
                <c:pt idx="439">
                  <c:v>6962</c:v>
                </c:pt>
                <c:pt idx="440">
                  <c:v>4257</c:v>
                </c:pt>
                <c:pt idx="441">
                  <c:v>3337</c:v>
                </c:pt>
                <c:pt idx="442">
                  <c:v>2826</c:v>
                </c:pt>
                <c:pt idx="443">
                  <c:v>5471</c:v>
                </c:pt>
                <c:pt idx="444">
                  <c:v>9153</c:v>
                </c:pt>
                <c:pt idx="445">
                  <c:v>9520</c:v>
                </c:pt>
                <c:pt idx="446">
                  <c:v>7930</c:v>
                </c:pt>
                <c:pt idx="447">
                  <c:v>6553</c:v>
                </c:pt>
                <c:pt idx="448">
                  <c:v>7005</c:v>
                </c:pt>
                <c:pt idx="449">
                  <c:v>8703</c:v>
                </c:pt>
                <c:pt idx="450">
                  <c:v>9034</c:v>
                </c:pt>
                <c:pt idx="451">
                  <c:v>8375</c:v>
                </c:pt>
                <c:pt idx="452">
                  <c:v>5916</c:v>
                </c:pt>
                <c:pt idx="453">
                  <c:v>2697</c:v>
                </c:pt>
                <c:pt idx="454">
                  <c:v>2776</c:v>
                </c:pt>
                <c:pt idx="455">
                  <c:v>5147</c:v>
                </c:pt>
                <c:pt idx="456">
                  <c:v>9909</c:v>
                </c:pt>
                <c:pt idx="457">
                  <c:v>10328</c:v>
                </c:pt>
                <c:pt idx="458">
                  <c:v>8275</c:v>
                </c:pt>
                <c:pt idx="459">
                  <c:v>5730</c:v>
                </c:pt>
                <c:pt idx="460">
                  <c:v>6383</c:v>
                </c:pt>
                <c:pt idx="461">
                  <c:v>6289</c:v>
                </c:pt>
                <c:pt idx="462">
                  <c:v>6776</c:v>
                </c:pt>
                <c:pt idx="463">
                  <c:v>4768</c:v>
                </c:pt>
                <c:pt idx="464">
                  <c:v>2953</c:v>
                </c:pt>
                <c:pt idx="465">
                  <c:v>1953</c:v>
                </c:pt>
                <c:pt idx="466">
                  <c:v>2120</c:v>
                </c:pt>
                <c:pt idx="467">
                  <c:v>3132</c:v>
                </c:pt>
                <c:pt idx="468">
                  <c:v>6946</c:v>
                </c:pt>
                <c:pt idx="469">
                  <c:v>9042</c:v>
                </c:pt>
                <c:pt idx="470">
                  <c:v>7210</c:v>
                </c:pt>
                <c:pt idx="471">
                  <c:v>4574</c:v>
                </c:pt>
                <c:pt idx="472">
                  <c:v>5593</c:v>
                </c:pt>
                <c:pt idx="473">
                  <c:v>7425</c:v>
                </c:pt>
                <c:pt idx="474">
                  <c:v>8307</c:v>
                </c:pt>
                <c:pt idx="475">
                  <c:v>7897</c:v>
                </c:pt>
                <c:pt idx="476">
                  <c:v>5986</c:v>
                </c:pt>
                <c:pt idx="477">
                  <c:v>5418</c:v>
                </c:pt>
                <c:pt idx="478">
                  <c:v>6053</c:v>
                </c:pt>
                <c:pt idx="479">
                  <c:v>10435</c:v>
                </c:pt>
                <c:pt idx="480">
                  <c:v>15373</c:v>
                </c:pt>
                <c:pt idx="481">
                  <c:v>15382</c:v>
                </c:pt>
                <c:pt idx="482">
                  <c:v>12699</c:v>
                </c:pt>
                <c:pt idx="483">
                  <c:v>10697</c:v>
                </c:pt>
                <c:pt idx="484">
                  <c:v>9192</c:v>
                </c:pt>
                <c:pt idx="485">
                  <c:v>8708</c:v>
                </c:pt>
                <c:pt idx="486">
                  <c:v>7786</c:v>
                </c:pt>
                <c:pt idx="487">
                  <c:v>6222</c:v>
                </c:pt>
                <c:pt idx="488">
                  <c:v>4242</c:v>
                </c:pt>
                <c:pt idx="489">
                  <c:v>4896</c:v>
                </c:pt>
                <c:pt idx="490">
                  <c:v>3880</c:v>
                </c:pt>
                <c:pt idx="491">
                  <c:v>7015</c:v>
                </c:pt>
                <c:pt idx="492">
                  <c:v>14159</c:v>
                </c:pt>
                <c:pt idx="493">
                  <c:v>14475</c:v>
                </c:pt>
                <c:pt idx="494">
                  <c:v>10593</c:v>
                </c:pt>
                <c:pt idx="495">
                  <c:v>7316</c:v>
                </c:pt>
                <c:pt idx="496">
                  <c:v>7024</c:v>
                </c:pt>
                <c:pt idx="497">
                  <c:v>7253</c:v>
                </c:pt>
                <c:pt idx="498">
                  <c:v>7957</c:v>
                </c:pt>
                <c:pt idx="499">
                  <c:v>7658</c:v>
                </c:pt>
                <c:pt idx="500">
                  <c:v>6208</c:v>
                </c:pt>
                <c:pt idx="501">
                  <c:v>6449</c:v>
                </c:pt>
                <c:pt idx="502">
                  <c:v>7292</c:v>
                </c:pt>
                <c:pt idx="503">
                  <c:v>10495</c:v>
                </c:pt>
                <c:pt idx="504">
                  <c:v>12731</c:v>
                </c:pt>
                <c:pt idx="505">
                  <c:v>12396</c:v>
                </c:pt>
                <c:pt idx="506">
                  <c:v>11374</c:v>
                </c:pt>
                <c:pt idx="507">
                  <c:v>9129</c:v>
                </c:pt>
                <c:pt idx="508">
                  <c:v>7417</c:v>
                </c:pt>
                <c:pt idx="509">
                  <c:v>6546</c:v>
                </c:pt>
                <c:pt idx="510">
                  <c:v>5443</c:v>
                </c:pt>
                <c:pt idx="511">
                  <c:v>4529</c:v>
                </c:pt>
                <c:pt idx="512">
                  <c:v>2960</c:v>
                </c:pt>
                <c:pt idx="513">
                  <c:v>2304</c:v>
                </c:pt>
                <c:pt idx="514">
                  <c:v>2436</c:v>
                </c:pt>
                <c:pt idx="515">
                  <c:v>4160</c:v>
                </c:pt>
                <c:pt idx="516">
                  <c:v>7553</c:v>
                </c:pt>
                <c:pt idx="517">
                  <c:v>8036</c:v>
                </c:pt>
                <c:pt idx="518">
                  <c:v>7051</c:v>
                </c:pt>
                <c:pt idx="519">
                  <c:v>6590</c:v>
                </c:pt>
                <c:pt idx="520">
                  <c:v>6556</c:v>
                </c:pt>
                <c:pt idx="521">
                  <c:v>9531</c:v>
                </c:pt>
                <c:pt idx="522">
                  <c:v>9887</c:v>
                </c:pt>
                <c:pt idx="523">
                  <c:v>7967</c:v>
                </c:pt>
                <c:pt idx="524">
                  <c:v>5426</c:v>
                </c:pt>
                <c:pt idx="525">
                  <c:v>4347</c:v>
                </c:pt>
                <c:pt idx="526">
                  <c:v>5918</c:v>
                </c:pt>
                <c:pt idx="527">
                  <c:v>7223</c:v>
                </c:pt>
                <c:pt idx="528">
                  <c:v>10721</c:v>
                </c:pt>
                <c:pt idx="529">
                  <c:v>12027</c:v>
                </c:pt>
                <c:pt idx="530">
                  <c:v>11315</c:v>
                </c:pt>
                <c:pt idx="531">
                  <c:v>10591</c:v>
                </c:pt>
                <c:pt idx="532">
                  <c:v>9767</c:v>
                </c:pt>
                <c:pt idx="533">
                  <c:v>10931</c:v>
                </c:pt>
                <c:pt idx="534">
                  <c:v>11467</c:v>
                </c:pt>
                <c:pt idx="535">
                  <c:v>9970</c:v>
                </c:pt>
                <c:pt idx="536">
                  <c:v>9037</c:v>
                </c:pt>
                <c:pt idx="537">
                  <c:v>8075</c:v>
                </c:pt>
                <c:pt idx="538">
                  <c:v>9078</c:v>
                </c:pt>
                <c:pt idx="539">
                  <c:v>10874</c:v>
                </c:pt>
                <c:pt idx="540">
                  <c:v>10483</c:v>
                </c:pt>
                <c:pt idx="541">
                  <c:v>10589</c:v>
                </c:pt>
                <c:pt idx="542">
                  <c:v>11062</c:v>
                </c:pt>
                <c:pt idx="543">
                  <c:v>10099</c:v>
                </c:pt>
                <c:pt idx="544">
                  <c:v>9101</c:v>
                </c:pt>
                <c:pt idx="545">
                  <c:v>8772</c:v>
                </c:pt>
                <c:pt idx="546">
                  <c:v>9005</c:v>
                </c:pt>
                <c:pt idx="547">
                  <c:v>7166</c:v>
                </c:pt>
                <c:pt idx="548">
                  <c:v>4971</c:v>
                </c:pt>
                <c:pt idx="549">
                  <c:v>4546</c:v>
                </c:pt>
                <c:pt idx="550">
                  <c:v>5731</c:v>
                </c:pt>
                <c:pt idx="551">
                  <c:v>9141</c:v>
                </c:pt>
                <c:pt idx="552">
                  <c:v>11668</c:v>
                </c:pt>
                <c:pt idx="553">
                  <c:v>11160</c:v>
                </c:pt>
                <c:pt idx="554">
                  <c:v>9205</c:v>
                </c:pt>
                <c:pt idx="555">
                  <c:v>7402</c:v>
                </c:pt>
                <c:pt idx="556">
                  <c:v>6634</c:v>
                </c:pt>
                <c:pt idx="557">
                  <c:v>7507</c:v>
                </c:pt>
                <c:pt idx="558">
                  <c:v>8598</c:v>
                </c:pt>
                <c:pt idx="559">
                  <c:v>7686</c:v>
                </c:pt>
                <c:pt idx="560">
                  <c:v>5190</c:v>
                </c:pt>
                <c:pt idx="561">
                  <c:v>3650</c:v>
                </c:pt>
                <c:pt idx="562">
                  <c:v>4114</c:v>
                </c:pt>
                <c:pt idx="563">
                  <c:v>6294</c:v>
                </c:pt>
                <c:pt idx="564">
                  <c:v>10426</c:v>
                </c:pt>
                <c:pt idx="565">
                  <c:v>10413</c:v>
                </c:pt>
                <c:pt idx="566">
                  <c:v>9339</c:v>
                </c:pt>
                <c:pt idx="567">
                  <c:v>8547</c:v>
                </c:pt>
                <c:pt idx="568">
                  <c:v>8243</c:v>
                </c:pt>
                <c:pt idx="569">
                  <c:v>8602</c:v>
                </c:pt>
                <c:pt idx="570">
                  <c:v>7805</c:v>
                </c:pt>
                <c:pt idx="571">
                  <c:v>6329</c:v>
                </c:pt>
                <c:pt idx="572">
                  <c:v>4679</c:v>
                </c:pt>
                <c:pt idx="573">
                  <c:v>3527</c:v>
                </c:pt>
                <c:pt idx="574">
                  <c:v>3659</c:v>
                </c:pt>
                <c:pt idx="575">
                  <c:v>4730</c:v>
                </c:pt>
                <c:pt idx="576">
                  <c:v>8232</c:v>
                </c:pt>
                <c:pt idx="577">
                  <c:v>8579</c:v>
                </c:pt>
                <c:pt idx="578">
                  <c:v>7131</c:v>
                </c:pt>
                <c:pt idx="579">
                  <c:v>7046</c:v>
                </c:pt>
                <c:pt idx="580">
                  <c:v>7482</c:v>
                </c:pt>
                <c:pt idx="581">
                  <c:v>8636</c:v>
                </c:pt>
                <c:pt idx="582">
                  <c:v>8195</c:v>
                </c:pt>
                <c:pt idx="583">
                  <c:v>6672</c:v>
                </c:pt>
                <c:pt idx="584">
                  <c:v>4686</c:v>
                </c:pt>
                <c:pt idx="585">
                  <c:v>4605</c:v>
                </c:pt>
                <c:pt idx="586">
                  <c:v>6099</c:v>
                </c:pt>
                <c:pt idx="587">
                  <c:v>9942</c:v>
                </c:pt>
                <c:pt idx="588">
                  <c:v>10688</c:v>
                </c:pt>
                <c:pt idx="589">
                  <c:v>9666</c:v>
                </c:pt>
                <c:pt idx="590">
                  <c:v>8608</c:v>
                </c:pt>
                <c:pt idx="591">
                  <c:v>8311</c:v>
                </c:pt>
                <c:pt idx="592">
                  <c:v>8274</c:v>
                </c:pt>
                <c:pt idx="593">
                  <c:v>8656</c:v>
                </c:pt>
                <c:pt idx="594">
                  <c:v>7452</c:v>
                </c:pt>
                <c:pt idx="595">
                  <c:v>5300</c:v>
                </c:pt>
                <c:pt idx="596">
                  <c:v>3569</c:v>
                </c:pt>
                <c:pt idx="597">
                  <c:v>3115</c:v>
                </c:pt>
                <c:pt idx="598">
                  <c:v>4129</c:v>
                </c:pt>
                <c:pt idx="599">
                  <c:v>7794</c:v>
                </c:pt>
                <c:pt idx="600">
                  <c:v>9908</c:v>
                </c:pt>
                <c:pt idx="601">
                  <c:v>8564</c:v>
                </c:pt>
                <c:pt idx="602">
                  <c:v>7215</c:v>
                </c:pt>
                <c:pt idx="603">
                  <c:v>5905</c:v>
                </c:pt>
                <c:pt idx="604">
                  <c:v>5239</c:v>
                </c:pt>
                <c:pt idx="605">
                  <c:v>4865</c:v>
                </c:pt>
                <c:pt idx="606">
                  <c:v>6375</c:v>
                </c:pt>
                <c:pt idx="607">
                  <c:v>5872</c:v>
                </c:pt>
                <c:pt idx="608">
                  <c:v>3984</c:v>
                </c:pt>
                <c:pt idx="609">
                  <c:v>2894</c:v>
                </c:pt>
                <c:pt idx="610">
                  <c:v>3269</c:v>
                </c:pt>
                <c:pt idx="611">
                  <c:v>5614</c:v>
                </c:pt>
                <c:pt idx="612">
                  <c:v>9146</c:v>
                </c:pt>
                <c:pt idx="613">
                  <c:v>10615</c:v>
                </c:pt>
                <c:pt idx="614">
                  <c:v>10006</c:v>
                </c:pt>
                <c:pt idx="615">
                  <c:v>10150</c:v>
                </c:pt>
                <c:pt idx="616">
                  <c:v>9936</c:v>
                </c:pt>
                <c:pt idx="617">
                  <c:v>9300</c:v>
                </c:pt>
                <c:pt idx="618">
                  <c:v>7704</c:v>
                </c:pt>
                <c:pt idx="619">
                  <c:v>5625</c:v>
                </c:pt>
                <c:pt idx="620">
                  <c:v>4125</c:v>
                </c:pt>
                <c:pt idx="621">
                  <c:v>2779</c:v>
                </c:pt>
                <c:pt idx="622">
                  <c:v>2799</c:v>
                </c:pt>
                <c:pt idx="623">
                  <c:v>5307</c:v>
                </c:pt>
                <c:pt idx="624">
                  <c:v>9221</c:v>
                </c:pt>
                <c:pt idx="625">
                  <c:v>9039</c:v>
                </c:pt>
                <c:pt idx="626">
                  <c:v>7791</c:v>
                </c:pt>
                <c:pt idx="627">
                  <c:v>7457</c:v>
                </c:pt>
                <c:pt idx="628">
                  <c:v>8263</c:v>
                </c:pt>
                <c:pt idx="629">
                  <c:v>8926</c:v>
                </c:pt>
                <c:pt idx="630">
                  <c:v>9394</c:v>
                </c:pt>
                <c:pt idx="631">
                  <c:v>8281</c:v>
                </c:pt>
                <c:pt idx="632">
                  <c:v>6373</c:v>
                </c:pt>
                <c:pt idx="633">
                  <c:v>4632</c:v>
                </c:pt>
                <c:pt idx="634">
                  <c:v>4493</c:v>
                </c:pt>
                <c:pt idx="635">
                  <c:v>6048</c:v>
                </c:pt>
                <c:pt idx="636">
                  <c:v>9448</c:v>
                </c:pt>
                <c:pt idx="637">
                  <c:v>9980</c:v>
                </c:pt>
                <c:pt idx="638">
                  <c:v>9180</c:v>
                </c:pt>
                <c:pt idx="639">
                  <c:v>9232</c:v>
                </c:pt>
                <c:pt idx="640">
                  <c:v>9716</c:v>
                </c:pt>
                <c:pt idx="641">
                  <c:v>10054</c:v>
                </c:pt>
                <c:pt idx="642">
                  <c:v>9211</c:v>
                </c:pt>
                <c:pt idx="643">
                  <c:v>7250</c:v>
                </c:pt>
                <c:pt idx="644">
                  <c:v>4828</c:v>
                </c:pt>
                <c:pt idx="645">
                  <c:v>4031</c:v>
                </c:pt>
                <c:pt idx="646">
                  <c:v>4102</c:v>
                </c:pt>
                <c:pt idx="647">
                  <c:v>7141</c:v>
                </c:pt>
                <c:pt idx="648">
                  <c:v>10821</c:v>
                </c:pt>
                <c:pt idx="649">
                  <c:v>9698</c:v>
                </c:pt>
                <c:pt idx="650">
                  <c:v>7490</c:v>
                </c:pt>
                <c:pt idx="651">
                  <c:v>6797</c:v>
                </c:pt>
                <c:pt idx="652">
                  <c:v>5872</c:v>
                </c:pt>
                <c:pt idx="653">
                  <c:v>6121</c:v>
                </c:pt>
                <c:pt idx="654">
                  <c:v>5772</c:v>
                </c:pt>
                <c:pt idx="655">
                  <c:v>5702</c:v>
                </c:pt>
                <c:pt idx="656">
                  <c:v>4407</c:v>
                </c:pt>
                <c:pt idx="657">
                  <c:v>3098</c:v>
                </c:pt>
                <c:pt idx="658">
                  <c:v>4318</c:v>
                </c:pt>
                <c:pt idx="659">
                  <c:v>7496</c:v>
                </c:pt>
                <c:pt idx="660">
                  <c:v>10340</c:v>
                </c:pt>
                <c:pt idx="661">
                  <c:v>9379</c:v>
                </c:pt>
                <c:pt idx="662">
                  <c:v>7585</c:v>
                </c:pt>
                <c:pt idx="663">
                  <c:v>7813</c:v>
                </c:pt>
                <c:pt idx="664">
                  <c:v>7157</c:v>
                </c:pt>
                <c:pt idx="665">
                  <c:v>7877</c:v>
                </c:pt>
                <c:pt idx="666">
                  <c:v>7877</c:v>
                </c:pt>
                <c:pt idx="667">
                  <c:v>6926</c:v>
                </c:pt>
                <c:pt idx="668">
                  <c:v>4725</c:v>
                </c:pt>
                <c:pt idx="669">
                  <c:v>3722</c:v>
                </c:pt>
                <c:pt idx="670">
                  <c:v>4808</c:v>
                </c:pt>
                <c:pt idx="671">
                  <c:v>6761</c:v>
                </c:pt>
                <c:pt idx="672">
                  <c:v>8926</c:v>
                </c:pt>
                <c:pt idx="673">
                  <c:v>9129</c:v>
                </c:pt>
                <c:pt idx="674">
                  <c:v>7289</c:v>
                </c:pt>
                <c:pt idx="675">
                  <c:v>6218</c:v>
                </c:pt>
                <c:pt idx="676">
                  <c:v>6096</c:v>
                </c:pt>
                <c:pt idx="677">
                  <c:v>6924</c:v>
                </c:pt>
                <c:pt idx="678">
                  <c:v>6802</c:v>
                </c:pt>
                <c:pt idx="679">
                  <c:v>5828</c:v>
                </c:pt>
                <c:pt idx="680">
                  <c:v>3098</c:v>
                </c:pt>
                <c:pt idx="681">
                  <c:v>2299</c:v>
                </c:pt>
                <c:pt idx="682">
                  <c:v>2138</c:v>
                </c:pt>
                <c:pt idx="683">
                  <c:v>3454</c:v>
                </c:pt>
                <c:pt idx="684">
                  <c:v>5562</c:v>
                </c:pt>
                <c:pt idx="685">
                  <c:v>7208</c:v>
                </c:pt>
                <c:pt idx="686">
                  <c:v>5663</c:v>
                </c:pt>
                <c:pt idx="687">
                  <c:v>5019</c:v>
                </c:pt>
                <c:pt idx="688">
                  <c:v>5607</c:v>
                </c:pt>
                <c:pt idx="689">
                  <c:v>4748</c:v>
                </c:pt>
                <c:pt idx="690">
                  <c:v>6442</c:v>
                </c:pt>
                <c:pt idx="691">
                  <c:v>5668</c:v>
                </c:pt>
                <c:pt idx="692">
                  <c:v>3441</c:v>
                </c:pt>
                <c:pt idx="693">
                  <c:v>2527</c:v>
                </c:pt>
                <c:pt idx="694">
                  <c:v>2651</c:v>
                </c:pt>
                <c:pt idx="695">
                  <c:v>3656</c:v>
                </c:pt>
                <c:pt idx="696">
                  <c:v>6407</c:v>
                </c:pt>
                <c:pt idx="697">
                  <c:v>7167</c:v>
                </c:pt>
                <c:pt idx="698">
                  <c:v>6284</c:v>
                </c:pt>
                <c:pt idx="699">
                  <c:v>5136</c:v>
                </c:pt>
                <c:pt idx="700">
                  <c:v>5317</c:v>
                </c:pt>
                <c:pt idx="701">
                  <c:v>6377</c:v>
                </c:pt>
                <c:pt idx="702">
                  <c:v>7896</c:v>
                </c:pt>
                <c:pt idx="703">
                  <c:v>5821</c:v>
                </c:pt>
                <c:pt idx="704">
                  <c:v>4337</c:v>
                </c:pt>
                <c:pt idx="705">
                  <c:v>3838</c:v>
                </c:pt>
                <c:pt idx="706">
                  <c:v>4213</c:v>
                </c:pt>
                <c:pt idx="707">
                  <c:v>8189</c:v>
                </c:pt>
                <c:pt idx="710">
                  <c:v>9777</c:v>
                </c:pt>
                <c:pt idx="711">
                  <c:v>8480</c:v>
                </c:pt>
                <c:pt idx="712">
                  <c:v>8293</c:v>
                </c:pt>
                <c:pt idx="713">
                  <c:v>9889</c:v>
                </c:pt>
                <c:pt idx="714">
                  <c:v>9496</c:v>
                </c:pt>
                <c:pt idx="715">
                  <c:v>7264</c:v>
                </c:pt>
                <c:pt idx="716">
                  <c:v>6521</c:v>
                </c:pt>
                <c:pt idx="717">
                  <c:v>7076</c:v>
                </c:pt>
                <c:pt idx="718">
                  <c:v>8184</c:v>
                </c:pt>
                <c:pt idx="719">
                  <c:v>10684</c:v>
                </c:pt>
                <c:pt idx="722">
                  <c:v>10622</c:v>
                </c:pt>
                <c:pt idx="723">
                  <c:v>10162</c:v>
                </c:pt>
                <c:pt idx="724">
                  <c:v>10252</c:v>
                </c:pt>
                <c:pt idx="725">
                  <c:v>10142</c:v>
                </c:pt>
                <c:pt idx="726">
                  <c:v>9442</c:v>
                </c:pt>
                <c:pt idx="727">
                  <c:v>8350</c:v>
                </c:pt>
                <c:pt idx="728">
                  <c:v>6480</c:v>
                </c:pt>
                <c:pt idx="729">
                  <c:v>4535</c:v>
                </c:pt>
                <c:pt idx="730">
                  <c:v>4973</c:v>
                </c:pt>
                <c:pt idx="731">
                  <c:v>9458</c:v>
                </c:pt>
                <c:pt idx="732">
                  <c:v>11458</c:v>
                </c:pt>
                <c:pt idx="733">
                  <c:v>10989</c:v>
                </c:pt>
                <c:pt idx="734">
                  <c:v>9536</c:v>
                </c:pt>
                <c:pt idx="735">
                  <c:v>9183</c:v>
                </c:pt>
                <c:pt idx="736">
                  <c:v>10413</c:v>
                </c:pt>
                <c:pt idx="737">
                  <c:v>9701</c:v>
                </c:pt>
                <c:pt idx="738">
                  <c:v>7892</c:v>
                </c:pt>
                <c:pt idx="739">
                  <c:v>6684</c:v>
                </c:pt>
                <c:pt idx="740">
                  <c:v>4445</c:v>
                </c:pt>
                <c:pt idx="741">
                  <c:v>3534</c:v>
                </c:pt>
                <c:pt idx="742">
                  <c:v>3853</c:v>
                </c:pt>
                <c:pt idx="743">
                  <c:v>6971</c:v>
                </c:pt>
                <c:pt idx="744">
                  <c:v>8587</c:v>
                </c:pt>
                <c:pt idx="745">
                  <c:v>8330</c:v>
                </c:pt>
                <c:pt idx="746">
                  <c:v>7031</c:v>
                </c:pt>
                <c:pt idx="747">
                  <c:v>5212</c:v>
                </c:pt>
                <c:pt idx="748">
                  <c:v>5152</c:v>
                </c:pt>
                <c:pt idx="749">
                  <c:v>6538</c:v>
                </c:pt>
                <c:pt idx="750">
                  <c:v>7406</c:v>
                </c:pt>
                <c:pt idx="751">
                  <c:v>5998</c:v>
                </c:pt>
                <c:pt idx="752">
                  <c:v>4524</c:v>
                </c:pt>
                <c:pt idx="753">
                  <c:v>3222</c:v>
                </c:pt>
                <c:pt idx="754">
                  <c:v>4516</c:v>
                </c:pt>
                <c:pt idx="755">
                  <c:v>6437</c:v>
                </c:pt>
                <c:pt idx="756">
                  <c:v>8351</c:v>
                </c:pt>
                <c:pt idx="757">
                  <c:v>7878</c:v>
                </c:pt>
                <c:pt idx="758">
                  <c:v>7105</c:v>
                </c:pt>
                <c:pt idx="759">
                  <c:v>6427</c:v>
                </c:pt>
                <c:pt idx="760">
                  <c:v>6938</c:v>
                </c:pt>
                <c:pt idx="761">
                  <c:v>7043</c:v>
                </c:pt>
                <c:pt idx="762">
                  <c:v>7027</c:v>
                </c:pt>
                <c:pt idx="763">
                  <c:v>6504</c:v>
                </c:pt>
                <c:pt idx="764">
                  <c:v>3841</c:v>
                </c:pt>
                <c:pt idx="765">
                  <c:v>3061</c:v>
                </c:pt>
                <c:pt idx="766">
                  <c:v>3573</c:v>
                </c:pt>
                <c:pt idx="767">
                  <c:v>6398</c:v>
                </c:pt>
                <c:pt idx="768">
                  <c:v>8980</c:v>
                </c:pt>
                <c:pt idx="769">
                  <c:v>8344</c:v>
                </c:pt>
                <c:pt idx="770">
                  <c:v>7360</c:v>
                </c:pt>
                <c:pt idx="771">
                  <c:v>7237</c:v>
                </c:pt>
                <c:pt idx="772">
                  <c:v>6825</c:v>
                </c:pt>
                <c:pt idx="773">
                  <c:v>7150</c:v>
                </c:pt>
                <c:pt idx="774">
                  <c:v>7035</c:v>
                </c:pt>
                <c:pt idx="775">
                  <c:v>6072</c:v>
                </c:pt>
                <c:pt idx="776">
                  <c:v>4544</c:v>
                </c:pt>
                <c:pt idx="777">
                  <c:v>5335</c:v>
                </c:pt>
                <c:pt idx="778">
                  <c:v>6822</c:v>
                </c:pt>
                <c:pt idx="779">
                  <c:v>8832</c:v>
                </c:pt>
                <c:pt idx="780">
                  <c:v>11606</c:v>
                </c:pt>
                <c:pt idx="781">
                  <c:v>10763</c:v>
                </c:pt>
                <c:pt idx="782">
                  <c:v>9762</c:v>
                </c:pt>
                <c:pt idx="783">
                  <c:v>10746</c:v>
                </c:pt>
                <c:pt idx="784">
                  <c:v>11015</c:v>
                </c:pt>
                <c:pt idx="785">
                  <c:v>11480</c:v>
                </c:pt>
                <c:pt idx="786">
                  <c:v>9653</c:v>
                </c:pt>
                <c:pt idx="787">
                  <c:v>7553</c:v>
                </c:pt>
                <c:pt idx="788">
                  <c:v>6032</c:v>
                </c:pt>
                <c:pt idx="789">
                  <c:v>6485</c:v>
                </c:pt>
                <c:pt idx="790">
                  <c:v>6180</c:v>
                </c:pt>
                <c:pt idx="791">
                  <c:v>6431</c:v>
                </c:pt>
                <c:pt idx="792">
                  <c:v>10975</c:v>
                </c:pt>
                <c:pt idx="793">
                  <c:v>10715</c:v>
                </c:pt>
                <c:pt idx="794">
                  <c:v>9084</c:v>
                </c:pt>
                <c:pt idx="795">
                  <c:v>8033</c:v>
                </c:pt>
                <c:pt idx="796">
                  <c:v>7080</c:v>
                </c:pt>
                <c:pt idx="797">
                  <c:v>7744</c:v>
                </c:pt>
                <c:pt idx="798">
                  <c:v>6284</c:v>
                </c:pt>
                <c:pt idx="799">
                  <c:v>5449</c:v>
                </c:pt>
                <c:pt idx="800">
                  <c:v>3504</c:v>
                </c:pt>
                <c:pt idx="801">
                  <c:v>3119</c:v>
                </c:pt>
                <c:pt idx="802">
                  <c:v>2847</c:v>
                </c:pt>
                <c:pt idx="803">
                  <c:v>4148</c:v>
                </c:pt>
                <c:pt idx="804">
                  <c:v>8291</c:v>
                </c:pt>
                <c:pt idx="805">
                  <c:v>8838</c:v>
                </c:pt>
                <c:pt idx="806">
                  <c:v>6882</c:v>
                </c:pt>
                <c:pt idx="807">
                  <c:v>4586</c:v>
                </c:pt>
                <c:pt idx="808">
                  <c:v>5131</c:v>
                </c:pt>
                <c:pt idx="809">
                  <c:v>5847</c:v>
                </c:pt>
                <c:pt idx="810">
                  <c:v>7166</c:v>
                </c:pt>
                <c:pt idx="811">
                  <c:v>5519</c:v>
                </c:pt>
                <c:pt idx="812">
                  <c:v>4174</c:v>
                </c:pt>
                <c:pt idx="814">
                  <c:v>2266</c:v>
                </c:pt>
                <c:pt idx="815">
                  <c:v>3641</c:v>
                </c:pt>
                <c:pt idx="816">
                  <c:v>7617</c:v>
                </c:pt>
                <c:pt idx="817">
                  <c:v>10102</c:v>
                </c:pt>
                <c:pt idx="818">
                  <c:v>8705</c:v>
                </c:pt>
                <c:pt idx="819">
                  <c:v>7436</c:v>
                </c:pt>
                <c:pt idx="820">
                  <c:v>8159</c:v>
                </c:pt>
                <c:pt idx="821">
                  <c:v>7789</c:v>
                </c:pt>
                <c:pt idx="822">
                  <c:v>7198</c:v>
                </c:pt>
                <c:pt idx="823">
                  <c:v>5089</c:v>
                </c:pt>
                <c:pt idx="824">
                  <c:v>3392</c:v>
                </c:pt>
                <c:pt idx="825">
                  <c:v>2640</c:v>
                </c:pt>
                <c:pt idx="826">
                  <c:v>3217</c:v>
                </c:pt>
                <c:pt idx="827">
                  <c:v>5320</c:v>
                </c:pt>
                <c:pt idx="828">
                  <c:v>7541</c:v>
                </c:pt>
                <c:pt idx="829">
                  <c:v>7000</c:v>
                </c:pt>
                <c:pt idx="830">
                  <c:v>5507</c:v>
                </c:pt>
                <c:pt idx="831">
                  <c:v>4883</c:v>
                </c:pt>
                <c:pt idx="832">
                  <c:v>4942</c:v>
                </c:pt>
                <c:pt idx="833">
                  <c:v>4665</c:v>
                </c:pt>
                <c:pt idx="834">
                  <c:v>6498</c:v>
                </c:pt>
                <c:pt idx="835">
                  <c:v>6217</c:v>
                </c:pt>
                <c:pt idx="836">
                  <c:v>4691</c:v>
                </c:pt>
                <c:pt idx="837">
                  <c:v>3487</c:v>
                </c:pt>
                <c:pt idx="838">
                  <c:v>3629</c:v>
                </c:pt>
                <c:pt idx="839">
                  <c:v>6392</c:v>
                </c:pt>
                <c:pt idx="840">
                  <c:v>9418</c:v>
                </c:pt>
                <c:pt idx="841">
                  <c:v>9493</c:v>
                </c:pt>
                <c:pt idx="842">
                  <c:v>8127</c:v>
                </c:pt>
                <c:pt idx="843">
                  <c:v>7468</c:v>
                </c:pt>
                <c:pt idx="844">
                  <c:v>7082</c:v>
                </c:pt>
                <c:pt idx="845">
                  <c:v>7487</c:v>
                </c:pt>
                <c:pt idx="846">
                  <c:v>8560</c:v>
                </c:pt>
                <c:pt idx="847">
                  <c:v>6974</c:v>
                </c:pt>
                <c:pt idx="851">
                  <c:v>6042</c:v>
                </c:pt>
                <c:pt idx="852">
                  <c:v>10852</c:v>
                </c:pt>
                <c:pt idx="853">
                  <c:v>11151</c:v>
                </c:pt>
                <c:pt idx="854">
                  <c:v>9207</c:v>
                </c:pt>
                <c:pt idx="855">
                  <c:v>8086</c:v>
                </c:pt>
                <c:pt idx="856">
                  <c:v>7487</c:v>
                </c:pt>
                <c:pt idx="857">
                  <c:v>9520</c:v>
                </c:pt>
                <c:pt idx="858">
                  <c:v>8982</c:v>
                </c:pt>
                <c:pt idx="859">
                  <c:v>6889</c:v>
                </c:pt>
                <c:pt idx="860">
                  <c:v>4846</c:v>
                </c:pt>
                <c:pt idx="863">
                  <c:v>5497</c:v>
                </c:pt>
                <c:pt idx="864">
                  <c:v>8518</c:v>
                </c:pt>
                <c:pt idx="865">
                  <c:v>9599</c:v>
                </c:pt>
                <c:pt idx="866">
                  <c:v>6989</c:v>
                </c:pt>
                <c:pt idx="867">
                  <c:v>6042</c:v>
                </c:pt>
                <c:pt idx="868">
                  <c:v>6155</c:v>
                </c:pt>
                <c:pt idx="869">
                  <c:v>7372</c:v>
                </c:pt>
                <c:pt idx="870">
                  <c:v>9086</c:v>
                </c:pt>
                <c:pt idx="871">
                  <c:v>8425</c:v>
                </c:pt>
                <c:pt idx="872">
                  <c:v>6418</c:v>
                </c:pt>
                <c:pt idx="873">
                  <c:v>5347</c:v>
                </c:pt>
                <c:pt idx="874">
                  <c:v>6596</c:v>
                </c:pt>
                <c:pt idx="875">
                  <c:v>9677</c:v>
                </c:pt>
                <c:pt idx="876">
                  <c:v>11422</c:v>
                </c:pt>
                <c:pt idx="877">
                  <c:v>10606</c:v>
                </c:pt>
                <c:pt idx="878">
                  <c:v>8154</c:v>
                </c:pt>
                <c:pt idx="879">
                  <c:v>7434</c:v>
                </c:pt>
                <c:pt idx="880">
                  <c:v>7356</c:v>
                </c:pt>
                <c:pt idx="881">
                  <c:v>7044</c:v>
                </c:pt>
                <c:pt idx="882">
                  <c:v>10101</c:v>
                </c:pt>
                <c:pt idx="883">
                  <c:v>8773</c:v>
                </c:pt>
                <c:pt idx="884">
                  <c:v>5011</c:v>
                </c:pt>
                <c:pt idx="885">
                  <c:v>3717</c:v>
                </c:pt>
                <c:pt idx="886">
                  <c:v>3111</c:v>
                </c:pt>
                <c:pt idx="887">
                  <c:v>3326</c:v>
                </c:pt>
                <c:pt idx="888">
                  <c:v>5299</c:v>
                </c:pt>
                <c:pt idx="889">
                  <c:v>5356</c:v>
                </c:pt>
                <c:pt idx="890">
                  <c:v>5232</c:v>
                </c:pt>
                <c:pt idx="891">
                  <c:v>4996</c:v>
                </c:pt>
                <c:pt idx="892">
                  <c:v>4872</c:v>
                </c:pt>
                <c:pt idx="893">
                  <c:v>4880</c:v>
                </c:pt>
                <c:pt idx="894">
                  <c:v>4879</c:v>
                </c:pt>
                <c:pt idx="895">
                  <c:v>4867</c:v>
                </c:pt>
                <c:pt idx="896">
                  <c:v>3985</c:v>
                </c:pt>
                <c:pt idx="897">
                  <c:v>3003</c:v>
                </c:pt>
                <c:pt idx="898">
                  <c:v>3707</c:v>
                </c:pt>
                <c:pt idx="899">
                  <c:v>4993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CB-4821-8612-DBFFC48FD1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6886128"/>
        <c:axId val="1506879888"/>
      </c:scatterChart>
      <c:scatterChart>
        <c:scatterStyle val="lineMarker"/>
        <c:varyColors val="0"/>
        <c:ser>
          <c:idx val="1"/>
          <c:order val="1"/>
          <c:tx>
            <c:v>StaHelena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Monthly!$D$2:$D$421</c:f>
              <c:numCache>
                <c:formatCode>0.0</c:formatCode>
                <c:ptCount val="420"/>
                <c:pt idx="0">
                  <c:v>2015.9166666666665</c:v>
                </c:pt>
                <c:pt idx="1">
                  <c:v>2015.8333333333333</c:v>
                </c:pt>
                <c:pt idx="2">
                  <c:v>2015.75</c:v>
                </c:pt>
                <c:pt idx="3">
                  <c:v>2015.6666666666665</c:v>
                </c:pt>
                <c:pt idx="4">
                  <c:v>2015.5833333333333</c:v>
                </c:pt>
                <c:pt idx="5">
                  <c:v>2015.5</c:v>
                </c:pt>
                <c:pt idx="6">
                  <c:v>2015.4166666666665</c:v>
                </c:pt>
                <c:pt idx="7">
                  <c:v>2015.3333333333333</c:v>
                </c:pt>
                <c:pt idx="8">
                  <c:v>2015.25</c:v>
                </c:pt>
                <c:pt idx="9">
                  <c:v>2015.1666666666665</c:v>
                </c:pt>
                <c:pt idx="10">
                  <c:v>2015.0833333333333</c:v>
                </c:pt>
                <c:pt idx="11">
                  <c:v>2015</c:v>
                </c:pt>
                <c:pt idx="12">
                  <c:v>2014.9166666666665</c:v>
                </c:pt>
                <c:pt idx="13">
                  <c:v>2014.8333333333333</c:v>
                </c:pt>
                <c:pt idx="14">
                  <c:v>2014.75</c:v>
                </c:pt>
                <c:pt idx="15">
                  <c:v>2014.6666666666665</c:v>
                </c:pt>
                <c:pt idx="16">
                  <c:v>2014.5833333333333</c:v>
                </c:pt>
                <c:pt idx="17">
                  <c:v>2014.5</c:v>
                </c:pt>
                <c:pt idx="18">
                  <c:v>2014.4166666666665</c:v>
                </c:pt>
                <c:pt idx="19">
                  <c:v>2014.3333333333333</c:v>
                </c:pt>
                <c:pt idx="20">
                  <c:v>2014.25</c:v>
                </c:pt>
                <c:pt idx="21">
                  <c:v>2014.1666666666665</c:v>
                </c:pt>
                <c:pt idx="22">
                  <c:v>2014.0833333333333</c:v>
                </c:pt>
                <c:pt idx="23">
                  <c:v>2014</c:v>
                </c:pt>
                <c:pt idx="24">
                  <c:v>2013.9166666666599</c:v>
                </c:pt>
                <c:pt idx="25">
                  <c:v>2013.8333333333301</c:v>
                </c:pt>
                <c:pt idx="26">
                  <c:v>2013.75</c:v>
                </c:pt>
                <c:pt idx="27">
                  <c:v>2013.6666666666599</c:v>
                </c:pt>
                <c:pt idx="28">
                  <c:v>2013.5833333333301</c:v>
                </c:pt>
                <c:pt idx="29">
                  <c:v>2013.5</c:v>
                </c:pt>
                <c:pt idx="30">
                  <c:v>2013.4166666666599</c:v>
                </c:pt>
                <c:pt idx="31">
                  <c:v>2013.3333333333301</c:v>
                </c:pt>
                <c:pt idx="32">
                  <c:v>2013.25</c:v>
                </c:pt>
                <c:pt idx="33">
                  <c:v>2013.1666666666599</c:v>
                </c:pt>
                <c:pt idx="34">
                  <c:v>2013.0833333333301</c:v>
                </c:pt>
                <c:pt idx="35">
                  <c:v>2013</c:v>
                </c:pt>
                <c:pt idx="36">
                  <c:v>2012.9166666666599</c:v>
                </c:pt>
                <c:pt idx="37">
                  <c:v>2012.8333333333301</c:v>
                </c:pt>
                <c:pt idx="38">
                  <c:v>2012.75</c:v>
                </c:pt>
                <c:pt idx="39">
                  <c:v>2012.6666666666599</c:v>
                </c:pt>
                <c:pt idx="40">
                  <c:v>2012.5833333333301</c:v>
                </c:pt>
                <c:pt idx="41">
                  <c:v>2012.5</c:v>
                </c:pt>
                <c:pt idx="42">
                  <c:v>2012.4166666666599</c:v>
                </c:pt>
                <c:pt idx="43">
                  <c:v>2012.3333333333301</c:v>
                </c:pt>
                <c:pt idx="44">
                  <c:v>2012.24999999999</c:v>
                </c:pt>
                <c:pt idx="45">
                  <c:v>2012.1666666666599</c:v>
                </c:pt>
                <c:pt idx="46">
                  <c:v>2012.0833333333301</c:v>
                </c:pt>
                <c:pt idx="47">
                  <c:v>2012</c:v>
                </c:pt>
                <c:pt idx="48">
                  <c:v>2011.9166666666599</c:v>
                </c:pt>
                <c:pt idx="49">
                  <c:v>2011.8333333333301</c:v>
                </c:pt>
                <c:pt idx="50">
                  <c:v>2011.74999999999</c:v>
                </c:pt>
                <c:pt idx="51">
                  <c:v>2011.6666666666599</c:v>
                </c:pt>
                <c:pt idx="52">
                  <c:v>2011.5833333333301</c:v>
                </c:pt>
                <c:pt idx="53">
                  <c:v>2011.49999999999</c:v>
                </c:pt>
                <c:pt idx="54">
                  <c:v>2011.4166666666599</c:v>
                </c:pt>
                <c:pt idx="55">
                  <c:v>2011.3333333333301</c:v>
                </c:pt>
                <c:pt idx="56">
                  <c:v>2011.24999999999</c:v>
                </c:pt>
                <c:pt idx="57">
                  <c:v>2011.1666666666599</c:v>
                </c:pt>
                <c:pt idx="58">
                  <c:v>2011.0833333333301</c:v>
                </c:pt>
                <c:pt idx="59">
                  <c:v>2011</c:v>
                </c:pt>
                <c:pt idx="60">
                  <c:v>2010.9166666666599</c:v>
                </c:pt>
                <c:pt idx="61">
                  <c:v>2010.8333333333301</c:v>
                </c:pt>
                <c:pt idx="62">
                  <c:v>2010.74999999999</c:v>
                </c:pt>
                <c:pt idx="63">
                  <c:v>2010.6666666666599</c:v>
                </c:pt>
                <c:pt idx="64">
                  <c:v>2010.5833333333301</c:v>
                </c:pt>
                <c:pt idx="65">
                  <c:v>2010.49999999999</c:v>
                </c:pt>
                <c:pt idx="66">
                  <c:v>2010.4166666666599</c:v>
                </c:pt>
                <c:pt idx="67">
                  <c:v>2010.3333333333201</c:v>
                </c:pt>
                <c:pt idx="68">
                  <c:v>2010.24999999999</c:v>
                </c:pt>
                <c:pt idx="69">
                  <c:v>2010.1666666666599</c:v>
                </c:pt>
                <c:pt idx="70">
                  <c:v>2010.0833333333201</c:v>
                </c:pt>
                <c:pt idx="71">
                  <c:v>2010</c:v>
                </c:pt>
                <c:pt idx="72">
                  <c:v>2009.9166666666599</c:v>
                </c:pt>
                <c:pt idx="73">
                  <c:v>2009.8333333333201</c:v>
                </c:pt>
                <c:pt idx="74">
                  <c:v>2009.74999999999</c:v>
                </c:pt>
                <c:pt idx="75">
                  <c:v>2009.6666666666599</c:v>
                </c:pt>
                <c:pt idx="76">
                  <c:v>2009.5833333333201</c:v>
                </c:pt>
                <c:pt idx="77">
                  <c:v>2009.49999999999</c:v>
                </c:pt>
                <c:pt idx="78">
                  <c:v>2009.4166666666599</c:v>
                </c:pt>
                <c:pt idx="79">
                  <c:v>2009.3333333333201</c:v>
                </c:pt>
                <c:pt idx="80">
                  <c:v>2009.24999999999</c:v>
                </c:pt>
                <c:pt idx="81">
                  <c:v>2009.1666666666599</c:v>
                </c:pt>
                <c:pt idx="82">
                  <c:v>2009.0833333333201</c:v>
                </c:pt>
                <c:pt idx="83">
                  <c:v>2009</c:v>
                </c:pt>
                <c:pt idx="84">
                  <c:v>2008.9166666666599</c:v>
                </c:pt>
                <c:pt idx="85">
                  <c:v>2008.8333333333201</c:v>
                </c:pt>
                <c:pt idx="86">
                  <c:v>2008.74999999999</c:v>
                </c:pt>
                <c:pt idx="87">
                  <c:v>2008.6666666666599</c:v>
                </c:pt>
                <c:pt idx="88">
                  <c:v>2008.5833333333201</c:v>
                </c:pt>
                <c:pt idx="89">
                  <c:v>2008.49999999999</c:v>
                </c:pt>
                <c:pt idx="90">
                  <c:v>2008.4166666666499</c:v>
                </c:pt>
                <c:pt idx="91">
                  <c:v>2008.3333333333201</c:v>
                </c:pt>
                <c:pt idx="92">
                  <c:v>2008.24999999999</c:v>
                </c:pt>
                <c:pt idx="93">
                  <c:v>2008.1666666666499</c:v>
                </c:pt>
                <c:pt idx="94">
                  <c:v>2008.0833333333201</c:v>
                </c:pt>
                <c:pt idx="95">
                  <c:v>2008</c:v>
                </c:pt>
                <c:pt idx="96">
                  <c:v>2007.9166666666499</c:v>
                </c:pt>
                <c:pt idx="97">
                  <c:v>2007.8333333333201</c:v>
                </c:pt>
                <c:pt idx="98">
                  <c:v>2007.74999999999</c:v>
                </c:pt>
                <c:pt idx="99">
                  <c:v>2007.6666666666499</c:v>
                </c:pt>
                <c:pt idx="100">
                  <c:v>2007.5833333333201</c:v>
                </c:pt>
                <c:pt idx="101">
                  <c:v>2007.49999999999</c:v>
                </c:pt>
                <c:pt idx="102">
                  <c:v>2007.4166666666499</c:v>
                </c:pt>
                <c:pt idx="103">
                  <c:v>2007.3333333333201</c:v>
                </c:pt>
                <c:pt idx="104">
                  <c:v>2007.24999999999</c:v>
                </c:pt>
                <c:pt idx="105">
                  <c:v>2007.1666666666499</c:v>
                </c:pt>
                <c:pt idx="106">
                  <c:v>2007.0833333333201</c:v>
                </c:pt>
                <c:pt idx="107">
                  <c:v>2007</c:v>
                </c:pt>
                <c:pt idx="108">
                  <c:v>2006.9166666666499</c:v>
                </c:pt>
                <c:pt idx="109">
                  <c:v>2006.8333333333201</c:v>
                </c:pt>
                <c:pt idx="110">
                  <c:v>2006.74999999998</c:v>
                </c:pt>
                <c:pt idx="111">
                  <c:v>2006.6666666666499</c:v>
                </c:pt>
                <c:pt idx="112">
                  <c:v>2006.5833333333201</c:v>
                </c:pt>
                <c:pt idx="113">
                  <c:v>2006.49999999998</c:v>
                </c:pt>
                <c:pt idx="114">
                  <c:v>2006.4166666666499</c:v>
                </c:pt>
                <c:pt idx="115">
                  <c:v>2006.3333333333201</c:v>
                </c:pt>
                <c:pt idx="116">
                  <c:v>2006.24999999998</c:v>
                </c:pt>
                <c:pt idx="117">
                  <c:v>2006.1666666666499</c:v>
                </c:pt>
                <c:pt idx="118">
                  <c:v>2006.0833333333201</c:v>
                </c:pt>
                <c:pt idx="119">
                  <c:v>2006</c:v>
                </c:pt>
                <c:pt idx="120">
                  <c:v>2005.9166666666499</c:v>
                </c:pt>
                <c:pt idx="121">
                  <c:v>2005.8333333333201</c:v>
                </c:pt>
                <c:pt idx="122">
                  <c:v>2005.74999999998</c:v>
                </c:pt>
                <c:pt idx="123">
                  <c:v>2005.6666666666499</c:v>
                </c:pt>
                <c:pt idx="124">
                  <c:v>2005.5833333333201</c:v>
                </c:pt>
                <c:pt idx="125">
                  <c:v>2005.49999999998</c:v>
                </c:pt>
                <c:pt idx="126">
                  <c:v>2005.4166666666499</c:v>
                </c:pt>
                <c:pt idx="127">
                  <c:v>2005.3333333333201</c:v>
                </c:pt>
                <c:pt idx="128">
                  <c:v>2005.24999999998</c:v>
                </c:pt>
                <c:pt idx="129">
                  <c:v>2005.1666666666499</c:v>
                </c:pt>
                <c:pt idx="130">
                  <c:v>2005.0833333333201</c:v>
                </c:pt>
                <c:pt idx="131">
                  <c:v>2005</c:v>
                </c:pt>
                <c:pt idx="132">
                  <c:v>2004.9166666666499</c:v>
                </c:pt>
                <c:pt idx="133">
                  <c:v>2004.8333333333101</c:v>
                </c:pt>
                <c:pt idx="134">
                  <c:v>2004.74999999998</c:v>
                </c:pt>
                <c:pt idx="135">
                  <c:v>2004.6666666666499</c:v>
                </c:pt>
                <c:pt idx="136">
                  <c:v>2004.5833333333101</c:v>
                </c:pt>
                <c:pt idx="137">
                  <c:v>2004.49999999998</c:v>
                </c:pt>
                <c:pt idx="138">
                  <c:v>2004.4166666666499</c:v>
                </c:pt>
                <c:pt idx="139">
                  <c:v>2004.3333333333101</c:v>
                </c:pt>
                <c:pt idx="140">
                  <c:v>2004.24999999998</c:v>
                </c:pt>
                <c:pt idx="141">
                  <c:v>2004.1666666666499</c:v>
                </c:pt>
                <c:pt idx="142">
                  <c:v>2004.0833333333101</c:v>
                </c:pt>
                <c:pt idx="143">
                  <c:v>2004</c:v>
                </c:pt>
                <c:pt idx="144">
                  <c:v>2003.9166666666499</c:v>
                </c:pt>
                <c:pt idx="145">
                  <c:v>2003.8333333333101</c:v>
                </c:pt>
                <c:pt idx="146">
                  <c:v>2003.74999999998</c:v>
                </c:pt>
                <c:pt idx="147">
                  <c:v>2003.6666666666499</c:v>
                </c:pt>
                <c:pt idx="148">
                  <c:v>2003.5833333333101</c:v>
                </c:pt>
                <c:pt idx="149">
                  <c:v>2003.49999999998</c:v>
                </c:pt>
                <c:pt idx="150">
                  <c:v>2003.4166666666499</c:v>
                </c:pt>
                <c:pt idx="151">
                  <c:v>2003.3333333333101</c:v>
                </c:pt>
                <c:pt idx="152">
                  <c:v>2003.24999999998</c:v>
                </c:pt>
                <c:pt idx="153">
                  <c:v>2003.1666666666499</c:v>
                </c:pt>
                <c:pt idx="154">
                  <c:v>2003.0833333333101</c:v>
                </c:pt>
                <c:pt idx="155">
                  <c:v>2003</c:v>
                </c:pt>
                <c:pt idx="156">
                  <c:v>2002.9166666666399</c:v>
                </c:pt>
                <c:pt idx="157">
                  <c:v>2002.8333333333101</c:v>
                </c:pt>
                <c:pt idx="158">
                  <c:v>2002.74999999998</c:v>
                </c:pt>
                <c:pt idx="159">
                  <c:v>2002.6666666666399</c:v>
                </c:pt>
                <c:pt idx="160">
                  <c:v>2002.5833333333101</c:v>
                </c:pt>
                <c:pt idx="161">
                  <c:v>2002.49999999998</c:v>
                </c:pt>
                <c:pt idx="162">
                  <c:v>2002.4166666666399</c:v>
                </c:pt>
                <c:pt idx="163">
                  <c:v>2002.3333333333101</c:v>
                </c:pt>
                <c:pt idx="164">
                  <c:v>2002.24999999998</c:v>
                </c:pt>
                <c:pt idx="165">
                  <c:v>2002.1666666666399</c:v>
                </c:pt>
                <c:pt idx="166">
                  <c:v>2002.0833333333101</c:v>
                </c:pt>
                <c:pt idx="167">
                  <c:v>2002</c:v>
                </c:pt>
                <c:pt idx="168">
                  <c:v>2001.9166666666399</c:v>
                </c:pt>
                <c:pt idx="169">
                  <c:v>2001.8333333333101</c:v>
                </c:pt>
                <c:pt idx="170">
                  <c:v>2001.74999999998</c:v>
                </c:pt>
                <c:pt idx="171">
                  <c:v>2001.6666666666399</c:v>
                </c:pt>
                <c:pt idx="172">
                  <c:v>2001.5833333333101</c:v>
                </c:pt>
                <c:pt idx="173">
                  <c:v>2001.49999999998</c:v>
                </c:pt>
                <c:pt idx="174">
                  <c:v>2001.4166666666399</c:v>
                </c:pt>
                <c:pt idx="175">
                  <c:v>2001.3333333333101</c:v>
                </c:pt>
                <c:pt idx="176">
                  <c:v>2001.24999999997</c:v>
                </c:pt>
                <c:pt idx="177">
                  <c:v>2001.1666666666399</c:v>
                </c:pt>
                <c:pt idx="178">
                  <c:v>2001.0833333333101</c:v>
                </c:pt>
                <c:pt idx="179">
                  <c:v>2001</c:v>
                </c:pt>
                <c:pt idx="180">
                  <c:v>2000.9166666666399</c:v>
                </c:pt>
                <c:pt idx="181">
                  <c:v>2000.8333333333101</c:v>
                </c:pt>
                <c:pt idx="182">
                  <c:v>2000.74999999997</c:v>
                </c:pt>
                <c:pt idx="183">
                  <c:v>2000.6666666666399</c:v>
                </c:pt>
                <c:pt idx="184">
                  <c:v>2000.5833333333101</c:v>
                </c:pt>
                <c:pt idx="185">
                  <c:v>2000.49999999997</c:v>
                </c:pt>
                <c:pt idx="186">
                  <c:v>2000.4166666666399</c:v>
                </c:pt>
                <c:pt idx="187">
                  <c:v>2000.3333333333101</c:v>
                </c:pt>
                <c:pt idx="188">
                  <c:v>2000.24999999997</c:v>
                </c:pt>
                <c:pt idx="189">
                  <c:v>2000.1666666666399</c:v>
                </c:pt>
                <c:pt idx="190">
                  <c:v>2000.0833333333101</c:v>
                </c:pt>
                <c:pt idx="191">
                  <c:v>2000</c:v>
                </c:pt>
                <c:pt idx="192">
                  <c:v>1999.9166666660001</c:v>
                </c:pt>
                <c:pt idx="193">
                  <c:v>1999.83333333264</c:v>
                </c:pt>
                <c:pt idx="194">
                  <c:v>1999.7499999992799</c:v>
                </c:pt>
                <c:pt idx="195">
                  <c:v>1999.66666666592</c:v>
                </c:pt>
                <c:pt idx="196">
                  <c:v>1999.58333333256</c:v>
                </c:pt>
                <c:pt idx="197">
                  <c:v>1999.4999999992001</c:v>
                </c:pt>
                <c:pt idx="198">
                  <c:v>1999.41666666584</c:v>
                </c:pt>
                <c:pt idx="199">
                  <c:v>1999.3333333324799</c:v>
                </c:pt>
                <c:pt idx="200">
                  <c:v>1999.2499999991201</c:v>
                </c:pt>
                <c:pt idx="201">
                  <c:v>1999.16666666576</c:v>
                </c:pt>
                <c:pt idx="202">
                  <c:v>1999.0833333323999</c:v>
                </c:pt>
                <c:pt idx="203">
                  <c:v>1998.99999999904</c:v>
                </c:pt>
                <c:pt idx="204">
                  <c:v>1998.9166666656799</c:v>
                </c:pt>
                <c:pt idx="205">
                  <c:v>1998.8333333323201</c:v>
                </c:pt>
                <c:pt idx="206">
                  <c:v>1998.74999999896</c:v>
                </c:pt>
                <c:pt idx="207">
                  <c:v>1998.6666666655999</c:v>
                </c:pt>
                <c:pt idx="208">
                  <c:v>1998.58333333224</c:v>
                </c:pt>
                <c:pt idx="209">
                  <c:v>1998.49999999888</c:v>
                </c:pt>
                <c:pt idx="210">
                  <c:v>1998.4166666655201</c:v>
                </c:pt>
                <c:pt idx="211">
                  <c:v>1998.33333333216</c:v>
                </c:pt>
                <c:pt idx="212">
                  <c:v>1998.2499999987999</c:v>
                </c:pt>
                <c:pt idx="213">
                  <c:v>1998.1666666654401</c:v>
                </c:pt>
                <c:pt idx="214">
                  <c:v>1998.08333333208</c:v>
                </c:pt>
                <c:pt idx="215">
                  <c:v>1997.9999999987201</c:v>
                </c:pt>
                <c:pt idx="216">
                  <c:v>1997.91666666536</c:v>
                </c:pt>
                <c:pt idx="217">
                  <c:v>1997.8333333319999</c:v>
                </c:pt>
                <c:pt idx="218">
                  <c:v>1997.7499999986401</c:v>
                </c:pt>
                <c:pt idx="219">
                  <c:v>1997.66666666528</c:v>
                </c:pt>
                <c:pt idx="220">
                  <c:v>1997.5833333319199</c:v>
                </c:pt>
                <c:pt idx="221">
                  <c:v>1997.49999999856</c:v>
                </c:pt>
                <c:pt idx="222">
                  <c:v>1997.4166666652</c:v>
                </c:pt>
                <c:pt idx="223">
                  <c:v>1997.3333333318401</c:v>
                </c:pt>
                <c:pt idx="224">
                  <c:v>1997.24999999848</c:v>
                </c:pt>
                <c:pt idx="225">
                  <c:v>1997.1666666651099</c:v>
                </c:pt>
                <c:pt idx="226">
                  <c:v>1997.0833333317501</c:v>
                </c:pt>
                <c:pt idx="227">
                  <c:v>1996.99999999839</c:v>
                </c:pt>
                <c:pt idx="228">
                  <c:v>1996.9166666650301</c:v>
                </c:pt>
                <c:pt idx="229">
                  <c:v>1996.83333333167</c:v>
                </c:pt>
                <c:pt idx="230">
                  <c:v>1996.7499999983099</c:v>
                </c:pt>
                <c:pt idx="231">
                  <c:v>1996.6666666649501</c:v>
                </c:pt>
                <c:pt idx="232">
                  <c:v>1996.58333333159</c:v>
                </c:pt>
                <c:pt idx="233">
                  <c:v>1996.4999999982299</c:v>
                </c:pt>
                <c:pt idx="234">
                  <c:v>1996.41666666487</c:v>
                </c:pt>
                <c:pt idx="235">
                  <c:v>1996.3333333315099</c:v>
                </c:pt>
                <c:pt idx="236">
                  <c:v>1996.2499999981501</c:v>
                </c:pt>
                <c:pt idx="237">
                  <c:v>1996.16666666479</c:v>
                </c:pt>
                <c:pt idx="238">
                  <c:v>1996.0833333314299</c:v>
                </c:pt>
                <c:pt idx="239">
                  <c:v>1995.9999999980701</c:v>
                </c:pt>
                <c:pt idx="240">
                  <c:v>1995.91666666471</c:v>
                </c:pt>
                <c:pt idx="241">
                  <c:v>1995.8333333313501</c:v>
                </c:pt>
                <c:pt idx="242">
                  <c:v>1995.74999999799</c:v>
                </c:pt>
                <c:pt idx="243">
                  <c:v>1995.6666666646299</c:v>
                </c:pt>
                <c:pt idx="244">
                  <c:v>1995.5833333312701</c:v>
                </c:pt>
                <c:pt idx="245">
                  <c:v>1995.49999999791</c:v>
                </c:pt>
                <c:pt idx="246">
                  <c:v>1995.4166666645499</c:v>
                </c:pt>
                <c:pt idx="247">
                  <c:v>1995.33333333119</c:v>
                </c:pt>
                <c:pt idx="248">
                  <c:v>1995.2499999978299</c:v>
                </c:pt>
                <c:pt idx="249">
                  <c:v>1995.1666666644701</c:v>
                </c:pt>
                <c:pt idx="250">
                  <c:v>1995.08333333111</c:v>
                </c:pt>
                <c:pt idx="251">
                  <c:v>1994.9999999977499</c:v>
                </c:pt>
                <c:pt idx="252">
                  <c:v>1994.91666666439</c:v>
                </c:pt>
                <c:pt idx="253">
                  <c:v>1994.83333333103</c:v>
                </c:pt>
                <c:pt idx="254">
                  <c:v>1994.7499999976701</c:v>
                </c:pt>
                <c:pt idx="255">
                  <c:v>1994.66666666431</c:v>
                </c:pt>
                <c:pt idx="256">
                  <c:v>1994.5833333309499</c:v>
                </c:pt>
                <c:pt idx="257">
                  <c:v>1994.4999999975901</c:v>
                </c:pt>
                <c:pt idx="258">
                  <c:v>1994.41666666423</c:v>
                </c:pt>
                <c:pt idx="259">
                  <c:v>1994.3333333308699</c:v>
                </c:pt>
                <c:pt idx="260">
                  <c:v>1994.24999999751</c:v>
                </c:pt>
                <c:pt idx="261">
                  <c:v>1994.1666666641499</c:v>
                </c:pt>
                <c:pt idx="262">
                  <c:v>1994.0833333307901</c:v>
                </c:pt>
                <c:pt idx="263">
                  <c:v>1993.99999999743</c:v>
                </c:pt>
                <c:pt idx="264">
                  <c:v>1993.9166666640699</c:v>
                </c:pt>
                <c:pt idx="265">
                  <c:v>1993.83333333071</c:v>
                </c:pt>
                <c:pt idx="266">
                  <c:v>1993.74999999735</c:v>
                </c:pt>
                <c:pt idx="267">
                  <c:v>1993.6666666639901</c:v>
                </c:pt>
                <c:pt idx="268">
                  <c:v>1993.58333333063</c:v>
                </c:pt>
                <c:pt idx="269">
                  <c:v>1993.4999999972699</c:v>
                </c:pt>
                <c:pt idx="270">
                  <c:v>1993.4166666639101</c:v>
                </c:pt>
                <c:pt idx="271">
                  <c:v>1993.33333333055</c:v>
                </c:pt>
                <c:pt idx="272">
                  <c:v>1993.2499999971899</c:v>
                </c:pt>
                <c:pt idx="273">
                  <c:v>1993.16666666383</c:v>
                </c:pt>
                <c:pt idx="274">
                  <c:v>1993.0833333304699</c:v>
                </c:pt>
                <c:pt idx="275">
                  <c:v>1992.9999999971101</c:v>
                </c:pt>
                <c:pt idx="276">
                  <c:v>1992.91666666375</c:v>
                </c:pt>
                <c:pt idx="277">
                  <c:v>1992.8333333303899</c:v>
                </c:pt>
                <c:pt idx="278">
                  <c:v>1992.74999999703</c:v>
                </c:pt>
                <c:pt idx="279">
                  <c:v>1992.66666666367</c:v>
                </c:pt>
                <c:pt idx="280">
                  <c:v>1992.5833333303101</c:v>
                </c:pt>
                <c:pt idx="281">
                  <c:v>1992.49999999695</c:v>
                </c:pt>
                <c:pt idx="282">
                  <c:v>1992.4166666635899</c:v>
                </c:pt>
                <c:pt idx="283">
                  <c:v>1992.3333333302301</c:v>
                </c:pt>
                <c:pt idx="284">
                  <c:v>1992.24999999687</c:v>
                </c:pt>
                <c:pt idx="285">
                  <c:v>1992.1666666635101</c:v>
                </c:pt>
                <c:pt idx="286">
                  <c:v>1992.08333333015</c:v>
                </c:pt>
                <c:pt idx="287">
                  <c:v>1991.9999999967899</c:v>
                </c:pt>
                <c:pt idx="288">
                  <c:v>1991.9166666634301</c:v>
                </c:pt>
                <c:pt idx="289">
                  <c:v>1991.83333333007</c:v>
                </c:pt>
                <c:pt idx="290">
                  <c:v>1991.7499999967099</c:v>
                </c:pt>
                <c:pt idx="291">
                  <c:v>1991.66666666335</c:v>
                </c:pt>
                <c:pt idx="292">
                  <c:v>1991.58333332999</c:v>
                </c:pt>
                <c:pt idx="293">
                  <c:v>1991.4999999966301</c:v>
                </c:pt>
                <c:pt idx="294">
                  <c:v>1991.41666666327</c:v>
                </c:pt>
                <c:pt idx="295">
                  <c:v>1991.3333333299099</c:v>
                </c:pt>
                <c:pt idx="296">
                  <c:v>1991.2499999965501</c:v>
                </c:pt>
                <c:pt idx="297">
                  <c:v>1991.16666666319</c:v>
                </c:pt>
                <c:pt idx="298">
                  <c:v>1991.0833333298301</c:v>
                </c:pt>
                <c:pt idx="299">
                  <c:v>1990.99999999647</c:v>
                </c:pt>
                <c:pt idx="300">
                  <c:v>1990.9166666631099</c:v>
                </c:pt>
                <c:pt idx="301">
                  <c:v>1990.8333333297501</c:v>
                </c:pt>
                <c:pt idx="302">
                  <c:v>1990.74999999639</c:v>
                </c:pt>
                <c:pt idx="303">
                  <c:v>1990.6666666630299</c:v>
                </c:pt>
                <c:pt idx="304">
                  <c:v>1990.58333332967</c:v>
                </c:pt>
                <c:pt idx="305">
                  <c:v>1990.49999999631</c:v>
                </c:pt>
                <c:pt idx="306">
                  <c:v>1990.4166666629501</c:v>
                </c:pt>
                <c:pt idx="307">
                  <c:v>1990.33333332959</c:v>
                </c:pt>
                <c:pt idx="308">
                  <c:v>1990.2499999962299</c:v>
                </c:pt>
                <c:pt idx="309">
                  <c:v>1990.1666666628701</c:v>
                </c:pt>
                <c:pt idx="310">
                  <c:v>1990.08333332951</c:v>
                </c:pt>
                <c:pt idx="311">
                  <c:v>1989.9999999961501</c:v>
                </c:pt>
                <c:pt idx="312">
                  <c:v>1989.91666666279</c:v>
                </c:pt>
                <c:pt idx="313">
                  <c:v>1989.8333333294299</c:v>
                </c:pt>
                <c:pt idx="314">
                  <c:v>1989.7499999960701</c:v>
                </c:pt>
                <c:pt idx="315">
                  <c:v>1989.66666666271</c:v>
                </c:pt>
                <c:pt idx="316">
                  <c:v>1989.5833333293499</c:v>
                </c:pt>
                <c:pt idx="317">
                  <c:v>1989.49999999599</c:v>
                </c:pt>
                <c:pt idx="318">
                  <c:v>1989.41666666263</c:v>
                </c:pt>
                <c:pt idx="319">
                  <c:v>1989.3333333292701</c:v>
                </c:pt>
                <c:pt idx="320">
                  <c:v>1989.24999999591</c:v>
                </c:pt>
                <c:pt idx="321">
                  <c:v>1989.1666666625499</c:v>
                </c:pt>
                <c:pt idx="322">
                  <c:v>1989.0833333291901</c:v>
                </c:pt>
                <c:pt idx="323">
                  <c:v>1988.99999999583</c:v>
                </c:pt>
                <c:pt idx="324">
                  <c:v>1988.9166666624701</c:v>
                </c:pt>
                <c:pt idx="325">
                  <c:v>1988.83333332911</c:v>
                </c:pt>
                <c:pt idx="326">
                  <c:v>1988.7499999957499</c:v>
                </c:pt>
                <c:pt idx="327">
                  <c:v>1988.6666666623901</c:v>
                </c:pt>
                <c:pt idx="328">
                  <c:v>1988.58333332903</c:v>
                </c:pt>
                <c:pt idx="329">
                  <c:v>1988.4999999956699</c:v>
                </c:pt>
                <c:pt idx="330">
                  <c:v>1988.41666666231</c:v>
                </c:pt>
                <c:pt idx="331">
                  <c:v>1988.3333333289499</c:v>
                </c:pt>
                <c:pt idx="332">
                  <c:v>1988.2499999955901</c:v>
                </c:pt>
                <c:pt idx="333">
                  <c:v>1988.16666666223</c:v>
                </c:pt>
                <c:pt idx="334">
                  <c:v>1988.0833333288699</c:v>
                </c:pt>
                <c:pt idx="335">
                  <c:v>1987.9999999955101</c:v>
                </c:pt>
                <c:pt idx="336">
                  <c:v>1987.91666666215</c:v>
                </c:pt>
                <c:pt idx="337">
                  <c:v>1987.8333333287901</c:v>
                </c:pt>
                <c:pt idx="338">
                  <c:v>1987.74999999543</c:v>
                </c:pt>
                <c:pt idx="339">
                  <c:v>1987.6666666620599</c:v>
                </c:pt>
                <c:pt idx="340">
                  <c:v>1987.5833333287001</c:v>
                </c:pt>
                <c:pt idx="341">
                  <c:v>1987.49999999534</c:v>
                </c:pt>
                <c:pt idx="342">
                  <c:v>1987.4166666619799</c:v>
                </c:pt>
                <c:pt idx="343">
                  <c:v>1987.33333332862</c:v>
                </c:pt>
                <c:pt idx="344">
                  <c:v>1987.2499999952599</c:v>
                </c:pt>
                <c:pt idx="345">
                  <c:v>1987.1666666619001</c:v>
                </c:pt>
                <c:pt idx="346">
                  <c:v>1987.08333332854</c:v>
                </c:pt>
                <c:pt idx="347">
                  <c:v>1986.9999999951799</c:v>
                </c:pt>
                <c:pt idx="348">
                  <c:v>1986.91666666182</c:v>
                </c:pt>
                <c:pt idx="349">
                  <c:v>1986.83333332846</c:v>
                </c:pt>
                <c:pt idx="350">
                  <c:v>1986.7499999951001</c:v>
                </c:pt>
                <c:pt idx="351">
                  <c:v>1986.66666666174</c:v>
                </c:pt>
                <c:pt idx="352">
                  <c:v>1986.5833333283799</c:v>
                </c:pt>
                <c:pt idx="353">
                  <c:v>1986.4999999950201</c:v>
                </c:pt>
                <c:pt idx="354">
                  <c:v>1986.41666666166</c:v>
                </c:pt>
                <c:pt idx="355">
                  <c:v>1986.3333333282999</c:v>
                </c:pt>
                <c:pt idx="356">
                  <c:v>1986.24999999494</c:v>
                </c:pt>
                <c:pt idx="357">
                  <c:v>1986.1666666615799</c:v>
                </c:pt>
                <c:pt idx="358">
                  <c:v>1986.0833333282201</c:v>
                </c:pt>
                <c:pt idx="359">
                  <c:v>1985.99999999486</c:v>
                </c:pt>
                <c:pt idx="360">
                  <c:v>1985.9166666614999</c:v>
                </c:pt>
                <c:pt idx="361">
                  <c:v>1985.83333332814</c:v>
                </c:pt>
                <c:pt idx="362">
                  <c:v>1985.74999999478</c:v>
                </c:pt>
                <c:pt idx="363">
                  <c:v>1985.6666666614201</c:v>
                </c:pt>
                <c:pt idx="364">
                  <c:v>1985.58333332806</c:v>
                </c:pt>
                <c:pt idx="365">
                  <c:v>1985.4999999946999</c:v>
                </c:pt>
                <c:pt idx="366">
                  <c:v>1985.4166666613401</c:v>
                </c:pt>
                <c:pt idx="367">
                  <c:v>1985.33333332798</c:v>
                </c:pt>
                <c:pt idx="368">
                  <c:v>1985.2499999946201</c:v>
                </c:pt>
                <c:pt idx="369">
                  <c:v>1985.16666666126</c:v>
                </c:pt>
                <c:pt idx="370">
                  <c:v>1985.0833333278999</c:v>
                </c:pt>
                <c:pt idx="371">
                  <c:v>1984.9999999945401</c:v>
                </c:pt>
                <c:pt idx="372">
                  <c:v>1984.91666666118</c:v>
                </c:pt>
                <c:pt idx="373">
                  <c:v>1984.8333333278199</c:v>
                </c:pt>
                <c:pt idx="374">
                  <c:v>1984.74999999446</c:v>
                </c:pt>
                <c:pt idx="375">
                  <c:v>1984.6666666611</c:v>
                </c:pt>
                <c:pt idx="376">
                  <c:v>1984.5833333277401</c:v>
                </c:pt>
                <c:pt idx="377">
                  <c:v>1984.49999999438</c:v>
                </c:pt>
                <c:pt idx="378">
                  <c:v>1984.4166666610199</c:v>
                </c:pt>
                <c:pt idx="379">
                  <c:v>1984.3333333276601</c:v>
                </c:pt>
                <c:pt idx="380">
                  <c:v>1984.2499999943</c:v>
                </c:pt>
                <c:pt idx="381">
                  <c:v>1984.1666666609401</c:v>
                </c:pt>
                <c:pt idx="382">
                  <c:v>1984.08333332758</c:v>
                </c:pt>
                <c:pt idx="383">
                  <c:v>1983.9999999942199</c:v>
                </c:pt>
                <c:pt idx="384">
                  <c:v>1983.9166666608601</c:v>
                </c:pt>
                <c:pt idx="385">
                  <c:v>1983.8333333275</c:v>
                </c:pt>
                <c:pt idx="386">
                  <c:v>1983.7499999941399</c:v>
                </c:pt>
                <c:pt idx="387">
                  <c:v>1983.66666666078</c:v>
                </c:pt>
                <c:pt idx="388">
                  <c:v>1983.58333332742</c:v>
                </c:pt>
                <c:pt idx="389">
                  <c:v>1983.4999999940601</c:v>
                </c:pt>
                <c:pt idx="390">
                  <c:v>1983.4166666607</c:v>
                </c:pt>
                <c:pt idx="391">
                  <c:v>1983.3333333273399</c:v>
                </c:pt>
                <c:pt idx="392">
                  <c:v>1983.2499999939801</c:v>
                </c:pt>
                <c:pt idx="393">
                  <c:v>1983.16666666062</c:v>
                </c:pt>
                <c:pt idx="394">
                  <c:v>1983.0833333272601</c:v>
                </c:pt>
                <c:pt idx="395">
                  <c:v>1982.9999999939</c:v>
                </c:pt>
                <c:pt idx="396">
                  <c:v>1982.9166666605399</c:v>
                </c:pt>
                <c:pt idx="397">
                  <c:v>1982.8333333271801</c:v>
                </c:pt>
                <c:pt idx="398">
                  <c:v>1982.74999999382</c:v>
                </c:pt>
                <c:pt idx="399">
                  <c:v>1982.6666666604599</c:v>
                </c:pt>
                <c:pt idx="400">
                  <c:v>1982.5833333271</c:v>
                </c:pt>
                <c:pt idx="401">
                  <c:v>1982.4999999937399</c:v>
                </c:pt>
                <c:pt idx="402">
                  <c:v>1982.4166666603801</c:v>
                </c:pt>
                <c:pt idx="403">
                  <c:v>1982.33333332702</c:v>
                </c:pt>
                <c:pt idx="404">
                  <c:v>1982.2499999936599</c:v>
                </c:pt>
                <c:pt idx="405">
                  <c:v>1982.1666666603001</c:v>
                </c:pt>
                <c:pt idx="406">
                  <c:v>1982.08333332694</c:v>
                </c:pt>
                <c:pt idx="407">
                  <c:v>1981.9999999935801</c:v>
                </c:pt>
                <c:pt idx="408">
                  <c:v>1981.91666666022</c:v>
                </c:pt>
                <c:pt idx="409">
                  <c:v>1981.8333333268599</c:v>
                </c:pt>
                <c:pt idx="410">
                  <c:v>1981.7499999935001</c:v>
                </c:pt>
                <c:pt idx="411">
                  <c:v>1981.66666666014</c:v>
                </c:pt>
                <c:pt idx="412">
                  <c:v>1981.5833333267799</c:v>
                </c:pt>
                <c:pt idx="413">
                  <c:v>1981.49999999342</c:v>
                </c:pt>
                <c:pt idx="414">
                  <c:v>1981.4166666600599</c:v>
                </c:pt>
                <c:pt idx="415">
                  <c:v>1981.3333333267001</c:v>
                </c:pt>
                <c:pt idx="416">
                  <c:v>1981.24999999334</c:v>
                </c:pt>
                <c:pt idx="417">
                  <c:v>1981.1666666599799</c:v>
                </c:pt>
                <c:pt idx="418">
                  <c:v>1981.08333332662</c:v>
                </c:pt>
                <c:pt idx="419">
                  <c:v>1980.99999999326</c:v>
                </c:pt>
              </c:numCache>
            </c:numRef>
          </c:xVal>
          <c:yVal>
            <c:numRef>
              <c:f>Monthly!$F$2:$F$421</c:f>
              <c:numCache>
                <c:formatCode>General</c:formatCode>
                <c:ptCount val="420"/>
                <c:pt idx="0">
                  <c:v>266.3</c:v>
                </c:pt>
                <c:pt idx="1">
                  <c:v>327.5</c:v>
                </c:pt>
                <c:pt idx="2">
                  <c:v>236.6</c:v>
                </c:pt>
                <c:pt idx="3">
                  <c:v>242.4</c:v>
                </c:pt>
                <c:pt idx="4">
                  <c:v>233.5</c:v>
                </c:pt>
                <c:pt idx="5">
                  <c:v>240.5</c:v>
                </c:pt>
                <c:pt idx="6">
                  <c:v>328.8</c:v>
                </c:pt>
                <c:pt idx="7">
                  <c:v>283.8</c:v>
                </c:pt>
                <c:pt idx="8">
                  <c:v>255.8</c:v>
                </c:pt>
                <c:pt idx="9">
                  <c:v>185.7</c:v>
                </c:pt>
                <c:pt idx="10">
                  <c:v>220.7</c:v>
                </c:pt>
                <c:pt idx="11">
                  <c:v>295.3</c:v>
                </c:pt>
                <c:pt idx="12">
                  <c:v>523.29999999999995</c:v>
                </c:pt>
                <c:pt idx="13">
                  <c:v>496.8</c:v>
                </c:pt>
                <c:pt idx="14">
                  <c:v>411.8</c:v>
                </c:pt>
                <c:pt idx="15">
                  <c:v>313.2</c:v>
                </c:pt>
                <c:pt idx="16">
                  <c:v>230.4</c:v>
                </c:pt>
                <c:pt idx="17">
                  <c:v>280.5</c:v>
                </c:pt>
                <c:pt idx="18">
                  <c:v>369.3</c:v>
                </c:pt>
                <c:pt idx="19">
                  <c:v>339.4</c:v>
                </c:pt>
                <c:pt idx="20">
                  <c:v>197.2</c:v>
                </c:pt>
                <c:pt idx="21">
                  <c:v>216.6</c:v>
                </c:pt>
                <c:pt idx="22">
                  <c:v>198.5</c:v>
                </c:pt>
                <c:pt idx="23">
                  <c:v>338.7</c:v>
                </c:pt>
                <c:pt idx="24">
                  <c:v>411.1</c:v>
                </c:pt>
                <c:pt idx="25">
                  <c:v>427.3</c:v>
                </c:pt>
                <c:pt idx="26">
                  <c:v>404.5</c:v>
                </c:pt>
                <c:pt idx="27">
                  <c:v>358</c:v>
                </c:pt>
                <c:pt idx="28">
                  <c:v>272.5</c:v>
                </c:pt>
                <c:pt idx="29">
                  <c:v>317.39999999999998</c:v>
                </c:pt>
                <c:pt idx="30">
                  <c:v>351.5</c:v>
                </c:pt>
                <c:pt idx="31">
                  <c:v>274</c:v>
                </c:pt>
                <c:pt idx="32">
                  <c:v>182</c:v>
                </c:pt>
                <c:pt idx="33">
                  <c:v>178</c:v>
                </c:pt>
                <c:pt idx="34">
                  <c:v>163.4</c:v>
                </c:pt>
                <c:pt idx="35">
                  <c:v>188.9</c:v>
                </c:pt>
                <c:pt idx="36">
                  <c:v>341.8</c:v>
                </c:pt>
                <c:pt idx="37">
                  <c:v>377.8</c:v>
                </c:pt>
                <c:pt idx="38">
                  <c:v>318.2</c:v>
                </c:pt>
                <c:pt idx="39">
                  <c:v>314.5</c:v>
                </c:pt>
                <c:pt idx="40">
                  <c:v>292.89999999999998</c:v>
                </c:pt>
                <c:pt idx="41">
                  <c:v>313.60000000000002</c:v>
                </c:pt>
                <c:pt idx="42">
                  <c:v>427.4</c:v>
                </c:pt>
                <c:pt idx="43">
                  <c:v>427.5</c:v>
                </c:pt>
                <c:pt idx="44">
                  <c:v>275.10000000000002</c:v>
                </c:pt>
                <c:pt idx="45">
                  <c:v>216.9</c:v>
                </c:pt>
                <c:pt idx="46">
                  <c:v>395.8</c:v>
                </c:pt>
                <c:pt idx="47">
                  <c:v>576.20000000000005</c:v>
                </c:pt>
                <c:pt idx="48">
                  <c:v>610.79999999999995</c:v>
                </c:pt>
                <c:pt idx="49">
                  <c:v>531.79999999999995</c:v>
                </c:pt>
                <c:pt idx="50">
                  <c:v>466.5</c:v>
                </c:pt>
                <c:pt idx="51">
                  <c:v>435.2</c:v>
                </c:pt>
                <c:pt idx="52">
                  <c:v>488.5</c:v>
                </c:pt>
                <c:pt idx="53">
                  <c:v>547.29999999999995</c:v>
                </c:pt>
                <c:pt idx="54">
                  <c:v>627.1</c:v>
                </c:pt>
                <c:pt idx="55">
                  <c:v>595</c:v>
                </c:pt>
                <c:pt idx="56">
                  <c:v>395.5</c:v>
                </c:pt>
                <c:pt idx="57">
                  <c:v>336.6</c:v>
                </c:pt>
                <c:pt idx="58">
                  <c:v>435.5</c:v>
                </c:pt>
                <c:pt idx="59">
                  <c:v>720.9</c:v>
                </c:pt>
                <c:pt idx="60">
                  <c:v>835.1</c:v>
                </c:pt>
                <c:pt idx="61">
                  <c:v>699.3</c:v>
                </c:pt>
                <c:pt idx="62">
                  <c:v>668.4</c:v>
                </c:pt>
                <c:pt idx="63">
                  <c:v>633.5</c:v>
                </c:pt>
                <c:pt idx="64">
                  <c:v>641.20000000000005</c:v>
                </c:pt>
                <c:pt idx="65">
                  <c:v>587.70000000000005</c:v>
                </c:pt>
                <c:pt idx="66">
                  <c:v>470.4</c:v>
                </c:pt>
                <c:pt idx="67">
                  <c:v>341.9</c:v>
                </c:pt>
                <c:pt idx="68">
                  <c:v>211.5</c:v>
                </c:pt>
                <c:pt idx="69">
                  <c:v>163.9</c:v>
                </c:pt>
                <c:pt idx="70">
                  <c:v>144.69999999999999</c:v>
                </c:pt>
                <c:pt idx="71">
                  <c:v>186.5</c:v>
                </c:pt>
                <c:pt idx="72">
                  <c:v>335.2</c:v>
                </c:pt>
                <c:pt idx="73">
                  <c:v>418.1</c:v>
                </c:pt>
                <c:pt idx="74">
                  <c:v>323.7</c:v>
                </c:pt>
                <c:pt idx="75">
                  <c:v>369.2</c:v>
                </c:pt>
                <c:pt idx="76">
                  <c:v>369.3</c:v>
                </c:pt>
                <c:pt idx="77">
                  <c:v>460.8</c:v>
                </c:pt>
                <c:pt idx="78">
                  <c:v>476.9</c:v>
                </c:pt>
                <c:pt idx="79">
                  <c:v>454.6</c:v>
                </c:pt>
                <c:pt idx="80">
                  <c:v>394.5</c:v>
                </c:pt>
                <c:pt idx="81">
                  <c:v>359.6</c:v>
                </c:pt>
                <c:pt idx="82">
                  <c:v>479.6</c:v>
                </c:pt>
                <c:pt idx="83">
                  <c:v>589.6</c:v>
                </c:pt>
                <c:pt idx="84">
                  <c:v>668.1</c:v>
                </c:pt>
                <c:pt idx="85">
                  <c:v>679.9</c:v>
                </c:pt>
                <c:pt idx="86">
                  <c:v>653.4</c:v>
                </c:pt>
                <c:pt idx="87">
                  <c:v>649.79999999999995</c:v>
                </c:pt>
                <c:pt idx="88">
                  <c:v>641</c:v>
                </c:pt>
                <c:pt idx="89">
                  <c:v>633.70000000000005</c:v>
                </c:pt>
                <c:pt idx="90">
                  <c:v>578.70000000000005</c:v>
                </c:pt>
                <c:pt idx="91">
                  <c:v>475.4</c:v>
                </c:pt>
                <c:pt idx="92">
                  <c:v>374.5</c:v>
                </c:pt>
                <c:pt idx="93">
                  <c:v>380.6</c:v>
                </c:pt>
                <c:pt idx="94">
                  <c:v>434.3</c:v>
                </c:pt>
                <c:pt idx="95">
                  <c:v>556.6</c:v>
                </c:pt>
                <c:pt idx="96">
                  <c:v>637.9</c:v>
                </c:pt>
                <c:pt idx="97">
                  <c:v>635.79999999999995</c:v>
                </c:pt>
                <c:pt idx="98">
                  <c:v>604.4</c:v>
                </c:pt>
                <c:pt idx="99">
                  <c:v>595.6</c:v>
                </c:pt>
                <c:pt idx="100">
                  <c:v>569.9</c:v>
                </c:pt>
                <c:pt idx="101">
                  <c:v>601.1</c:v>
                </c:pt>
                <c:pt idx="102">
                  <c:v>581.79999999999995</c:v>
                </c:pt>
                <c:pt idx="103">
                  <c:v>478.1</c:v>
                </c:pt>
                <c:pt idx="104">
                  <c:v>346.9</c:v>
                </c:pt>
                <c:pt idx="105">
                  <c:v>190.1</c:v>
                </c:pt>
                <c:pt idx="107">
                  <c:v>540.29999999999995</c:v>
                </c:pt>
                <c:pt idx="108">
                  <c:v>588.6</c:v>
                </c:pt>
                <c:pt idx="109">
                  <c:v>527.4</c:v>
                </c:pt>
                <c:pt idx="110">
                  <c:v>472.9</c:v>
                </c:pt>
                <c:pt idx="111">
                  <c:v>474.7</c:v>
                </c:pt>
                <c:pt idx="112">
                  <c:v>484.6</c:v>
                </c:pt>
                <c:pt idx="113">
                  <c:v>579.9</c:v>
                </c:pt>
                <c:pt idx="114">
                  <c:v>592.9</c:v>
                </c:pt>
                <c:pt idx="115">
                  <c:v>510.2</c:v>
                </c:pt>
                <c:pt idx="116">
                  <c:v>383.4</c:v>
                </c:pt>
                <c:pt idx="117">
                  <c:v>277.7</c:v>
                </c:pt>
                <c:pt idx="118">
                  <c:v>388.1</c:v>
                </c:pt>
                <c:pt idx="119">
                  <c:v>508.5</c:v>
                </c:pt>
                <c:pt idx="120">
                  <c:v>562.79999999999995</c:v>
                </c:pt>
                <c:pt idx="121">
                  <c:v>519.70000000000005</c:v>
                </c:pt>
                <c:pt idx="122">
                  <c:v>442.1</c:v>
                </c:pt>
                <c:pt idx="123">
                  <c:v>389.9</c:v>
                </c:pt>
                <c:pt idx="124">
                  <c:v>397.4</c:v>
                </c:pt>
                <c:pt idx="125">
                  <c:v>466.4</c:v>
                </c:pt>
                <c:pt idx="126">
                  <c:v>463.6</c:v>
                </c:pt>
                <c:pt idx="127">
                  <c:v>380.2</c:v>
                </c:pt>
                <c:pt idx="128">
                  <c:v>255.8</c:v>
                </c:pt>
                <c:pt idx="129">
                  <c:v>219.8</c:v>
                </c:pt>
                <c:pt idx="130">
                  <c:v>291.2</c:v>
                </c:pt>
                <c:pt idx="131">
                  <c:v>432.7</c:v>
                </c:pt>
                <c:pt idx="132">
                  <c:v>527.70000000000005</c:v>
                </c:pt>
                <c:pt idx="133">
                  <c:v>540.70000000000005</c:v>
                </c:pt>
                <c:pt idx="134">
                  <c:v>458.3</c:v>
                </c:pt>
                <c:pt idx="135">
                  <c:v>401</c:v>
                </c:pt>
                <c:pt idx="136">
                  <c:v>381.1</c:v>
                </c:pt>
                <c:pt idx="137">
                  <c:v>380</c:v>
                </c:pt>
                <c:pt idx="138">
                  <c:v>431.1</c:v>
                </c:pt>
                <c:pt idx="139">
                  <c:v>349.9</c:v>
                </c:pt>
                <c:pt idx="140">
                  <c:v>159.30000000000001</c:v>
                </c:pt>
                <c:pt idx="141">
                  <c:v>125.6</c:v>
                </c:pt>
                <c:pt idx="142">
                  <c:v>220.1</c:v>
                </c:pt>
                <c:pt idx="143">
                  <c:v>474.6</c:v>
                </c:pt>
                <c:pt idx="144">
                  <c:v>566.4</c:v>
                </c:pt>
                <c:pt idx="145">
                  <c:v>518</c:v>
                </c:pt>
                <c:pt idx="146">
                  <c:v>467.7</c:v>
                </c:pt>
                <c:pt idx="147">
                  <c:v>400.8</c:v>
                </c:pt>
                <c:pt idx="148">
                  <c:v>443.4</c:v>
                </c:pt>
                <c:pt idx="149">
                  <c:v>449.4</c:v>
                </c:pt>
                <c:pt idx="150">
                  <c:v>392.4</c:v>
                </c:pt>
                <c:pt idx="151">
                  <c:v>324.39999999999998</c:v>
                </c:pt>
                <c:pt idx="153">
                  <c:v>173</c:v>
                </c:pt>
                <c:pt idx="154">
                  <c:v>175.8</c:v>
                </c:pt>
                <c:pt idx="155">
                  <c:v>243.8</c:v>
                </c:pt>
                <c:pt idx="156">
                  <c:v>394.7</c:v>
                </c:pt>
                <c:pt idx="157">
                  <c:v>465.5</c:v>
                </c:pt>
                <c:pt idx="158">
                  <c:v>393.5</c:v>
                </c:pt>
                <c:pt idx="159">
                  <c:v>349</c:v>
                </c:pt>
                <c:pt idx="160">
                  <c:v>339.4</c:v>
                </c:pt>
                <c:pt idx="161">
                  <c:v>432.6</c:v>
                </c:pt>
                <c:pt idx="162">
                  <c:v>445</c:v>
                </c:pt>
                <c:pt idx="163">
                  <c:v>400.9</c:v>
                </c:pt>
                <c:pt idx="164">
                  <c:v>300.2</c:v>
                </c:pt>
                <c:pt idx="165">
                  <c:v>202.3</c:v>
                </c:pt>
                <c:pt idx="166">
                  <c:v>222.4</c:v>
                </c:pt>
                <c:pt idx="167">
                  <c:v>393.2</c:v>
                </c:pt>
                <c:pt idx="168">
                  <c:v>432</c:v>
                </c:pt>
                <c:pt idx="169">
                  <c:v>390.3</c:v>
                </c:pt>
                <c:pt idx="170">
                  <c:v>330.4</c:v>
                </c:pt>
                <c:pt idx="171">
                  <c:v>274.10000000000002</c:v>
                </c:pt>
                <c:pt idx="172">
                  <c:v>260.3</c:v>
                </c:pt>
                <c:pt idx="173">
                  <c:v>291.10000000000002</c:v>
                </c:pt>
                <c:pt idx="174">
                  <c:v>312</c:v>
                </c:pt>
                <c:pt idx="175">
                  <c:v>223</c:v>
                </c:pt>
                <c:pt idx="176">
                  <c:v>183.9</c:v>
                </c:pt>
                <c:pt idx="177">
                  <c:v>182.7</c:v>
                </c:pt>
                <c:pt idx="178">
                  <c:v>187.5</c:v>
                </c:pt>
                <c:pt idx="179">
                  <c:v>350.9</c:v>
                </c:pt>
                <c:pt idx="180">
                  <c:v>559.9</c:v>
                </c:pt>
                <c:pt idx="181">
                  <c:v>591.5</c:v>
                </c:pt>
                <c:pt idx="182">
                  <c:v>571.9</c:v>
                </c:pt>
                <c:pt idx="183">
                  <c:v>525.9</c:v>
                </c:pt>
                <c:pt idx="184">
                  <c:v>558.29999999999995</c:v>
                </c:pt>
                <c:pt idx="185">
                  <c:v>573.20000000000005</c:v>
                </c:pt>
                <c:pt idx="186">
                  <c:v>513.29999999999995</c:v>
                </c:pt>
                <c:pt idx="187">
                  <c:v>421</c:v>
                </c:pt>
                <c:pt idx="188">
                  <c:v>361.7</c:v>
                </c:pt>
                <c:pt idx="189">
                  <c:v>395.6</c:v>
                </c:pt>
                <c:pt idx="190">
                  <c:v>477</c:v>
                </c:pt>
                <c:pt idx="191">
                  <c:v>592</c:v>
                </c:pt>
                <c:pt idx="192">
                  <c:v>628.70000000000005</c:v>
                </c:pt>
                <c:pt idx="193">
                  <c:v>620.9</c:v>
                </c:pt>
                <c:pt idx="194">
                  <c:v>572.79999999999995</c:v>
                </c:pt>
                <c:pt idx="195">
                  <c:v>552.9</c:v>
                </c:pt>
                <c:pt idx="196">
                  <c:v>548.9</c:v>
                </c:pt>
                <c:pt idx="197">
                  <c:v>548.6</c:v>
                </c:pt>
                <c:pt idx="198">
                  <c:v>533.29999999999995</c:v>
                </c:pt>
                <c:pt idx="199">
                  <c:v>513.1</c:v>
                </c:pt>
                <c:pt idx="200">
                  <c:v>471.8</c:v>
                </c:pt>
                <c:pt idx="201">
                  <c:v>463.5</c:v>
                </c:pt>
                <c:pt idx="202">
                  <c:v>465.3</c:v>
                </c:pt>
                <c:pt idx="203">
                  <c:v>534.20000000000005</c:v>
                </c:pt>
                <c:pt idx="204">
                  <c:v>539.79999999999995</c:v>
                </c:pt>
                <c:pt idx="205">
                  <c:v>521.29999999999995</c:v>
                </c:pt>
                <c:pt idx="206">
                  <c:v>499.5</c:v>
                </c:pt>
                <c:pt idx="207">
                  <c:v>477.7</c:v>
                </c:pt>
                <c:pt idx="208">
                  <c:v>465</c:v>
                </c:pt>
                <c:pt idx="209">
                  <c:v>449.2</c:v>
                </c:pt>
                <c:pt idx="210">
                  <c:v>402.8</c:v>
                </c:pt>
                <c:pt idx="211">
                  <c:v>319</c:v>
                </c:pt>
                <c:pt idx="212">
                  <c:v>204.5</c:v>
                </c:pt>
                <c:pt idx="213">
                  <c:v>142.1</c:v>
                </c:pt>
                <c:pt idx="214">
                  <c:v>135.80000000000001</c:v>
                </c:pt>
                <c:pt idx="215">
                  <c:v>143.4</c:v>
                </c:pt>
                <c:pt idx="216">
                  <c:v>251</c:v>
                </c:pt>
                <c:pt idx="217">
                  <c:v>280.3</c:v>
                </c:pt>
                <c:pt idx="218">
                  <c:v>251</c:v>
                </c:pt>
                <c:pt idx="219">
                  <c:v>188.8</c:v>
                </c:pt>
                <c:pt idx="220">
                  <c:v>188.8</c:v>
                </c:pt>
                <c:pt idx="221">
                  <c:v>251.2</c:v>
                </c:pt>
                <c:pt idx="222">
                  <c:v>219.6</c:v>
                </c:pt>
                <c:pt idx="223">
                  <c:v>173.5</c:v>
                </c:pt>
                <c:pt idx="224">
                  <c:v>131.80000000000001</c:v>
                </c:pt>
                <c:pt idx="225">
                  <c:v>132.69999999999999</c:v>
                </c:pt>
                <c:pt idx="226">
                  <c:v>218.1</c:v>
                </c:pt>
                <c:pt idx="227">
                  <c:v>288.60000000000002</c:v>
                </c:pt>
                <c:pt idx="228">
                  <c:v>438.6</c:v>
                </c:pt>
                <c:pt idx="229">
                  <c:v>456.4</c:v>
                </c:pt>
                <c:pt idx="230">
                  <c:v>452.9</c:v>
                </c:pt>
                <c:pt idx="231">
                  <c:v>460.3</c:v>
                </c:pt>
                <c:pt idx="232">
                  <c:v>478.5</c:v>
                </c:pt>
                <c:pt idx="233">
                  <c:v>464.1</c:v>
                </c:pt>
                <c:pt idx="234">
                  <c:v>428.3</c:v>
                </c:pt>
                <c:pt idx="235">
                  <c:v>368.6</c:v>
                </c:pt>
                <c:pt idx="236">
                  <c:v>349.2</c:v>
                </c:pt>
                <c:pt idx="237">
                  <c:v>313.39999999999998</c:v>
                </c:pt>
                <c:pt idx="238">
                  <c:v>298.2</c:v>
                </c:pt>
                <c:pt idx="239">
                  <c:v>380.6</c:v>
                </c:pt>
                <c:pt idx="240">
                  <c:v>543.9</c:v>
                </c:pt>
                <c:pt idx="241">
                  <c:v>571.5</c:v>
                </c:pt>
                <c:pt idx="242">
                  <c:v>565.20000000000005</c:v>
                </c:pt>
                <c:pt idx="243">
                  <c:v>577.79999999999995</c:v>
                </c:pt>
                <c:pt idx="244">
                  <c:v>528.79999999999995</c:v>
                </c:pt>
                <c:pt idx="245">
                  <c:v>439.9</c:v>
                </c:pt>
                <c:pt idx="246">
                  <c:v>370.4</c:v>
                </c:pt>
                <c:pt idx="247">
                  <c:v>289.89999999999998</c:v>
                </c:pt>
                <c:pt idx="248">
                  <c:v>182.4</c:v>
                </c:pt>
                <c:pt idx="249">
                  <c:v>135.19999999999999</c:v>
                </c:pt>
                <c:pt idx="250">
                  <c:v>148.6</c:v>
                </c:pt>
                <c:pt idx="251">
                  <c:v>344.7</c:v>
                </c:pt>
                <c:pt idx="252">
                  <c:v>485.2</c:v>
                </c:pt>
                <c:pt idx="253">
                  <c:v>473.5</c:v>
                </c:pt>
                <c:pt idx="254">
                  <c:v>413</c:v>
                </c:pt>
                <c:pt idx="255">
                  <c:v>350.3</c:v>
                </c:pt>
                <c:pt idx="256">
                  <c:v>377.2</c:v>
                </c:pt>
                <c:pt idx="257">
                  <c:v>446.2</c:v>
                </c:pt>
                <c:pt idx="258">
                  <c:v>444.4</c:v>
                </c:pt>
                <c:pt idx="259">
                  <c:v>379.7</c:v>
                </c:pt>
                <c:pt idx="260">
                  <c:v>304.2</c:v>
                </c:pt>
                <c:pt idx="261">
                  <c:v>232.3</c:v>
                </c:pt>
                <c:pt idx="262">
                  <c:v>270.10000000000002</c:v>
                </c:pt>
                <c:pt idx="263">
                  <c:v>443.9</c:v>
                </c:pt>
                <c:pt idx="264">
                  <c:v>456.5</c:v>
                </c:pt>
                <c:pt idx="265">
                  <c:v>432.1</c:v>
                </c:pt>
                <c:pt idx="266">
                  <c:v>407.6</c:v>
                </c:pt>
                <c:pt idx="267">
                  <c:v>351.7</c:v>
                </c:pt>
                <c:pt idx="268">
                  <c:v>328.7</c:v>
                </c:pt>
                <c:pt idx="269">
                  <c:v>385.8</c:v>
                </c:pt>
                <c:pt idx="270">
                  <c:v>397.4</c:v>
                </c:pt>
                <c:pt idx="271">
                  <c:v>340.4</c:v>
                </c:pt>
                <c:pt idx="272">
                  <c:v>223.8</c:v>
                </c:pt>
                <c:pt idx="273">
                  <c:v>143.9</c:v>
                </c:pt>
                <c:pt idx="274">
                  <c:v>169.5</c:v>
                </c:pt>
                <c:pt idx="275">
                  <c:v>252.6</c:v>
                </c:pt>
                <c:pt idx="276">
                  <c:v>348.1</c:v>
                </c:pt>
                <c:pt idx="277">
                  <c:v>350.6</c:v>
                </c:pt>
                <c:pt idx="278">
                  <c:v>385</c:v>
                </c:pt>
                <c:pt idx="279">
                  <c:v>304.7</c:v>
                </c:pt>
                <c:pt idx="280">
                  <c:v>272.89999999999998</c:v>
                </c:pt>
                <c:pt idx="281">
                  <c:v>224.9</c:v>
                </c:pt>
                <c:pt idx="282">
                  <c:v>263.10000000000002</c:v>
                </c:pt>
                <c:pt idx="283">
                  <c:v>199.3</c:v>
                </c:pt>
                <c:pt idx="284">
                  <c:v>130.30000000000001</c:v>
                </c:pt>
                <c:pt idx="285">
                  <c:v>128.9</c:v>
                </c:pt>
                <c:pt idx="286">
                  <c:v>140.1</c:v>
                </c:pt>
                <c:pt idx="287">
                  <c:v>238.2</c:v>
                </c:pt>
                <c:pt idx="288">
                  <c:v>311.2</c:v>
                </c:pt>
                <c:pt idx="289">
                  <c:v>311.39999999999998</c:v>
                </c:pt>
                <c:pt idx="290">
                  <c:v>290.89999999999998</c:v>
                </c:pt>
                <c:pt idx="291">
                  <c:v>212.1</c:v>
                </c:pt>
                <c:pt idx="292">
                  <c:v>250.5</c:v>
                </c:pt>
                <c:pt idx="293">
                  <c:v>267.10000000000002</c:v>
                </c:pt>
                <c:pt idx="294">
                  <c:v>268.8</c:v>
                </c:pt>
                <c:pt idx="295">
                  <c:v>232.1</c:v>
                </c:pt>
                <c:pt idx="296">
                  <c:v>171.9</c:v>
                </c:pt>
                <c:pt idx="297">
                  <c:v>157.69999999999999</c:v>
                </c:pt>
                <c:pt idx="298">
                  <c:v>157.6</c:v>
                </c:pt>
                <c:pt idx="299">
                  <c:v>282.3</c:v>
                </c:pt>
                <c:pt idx="300">
                  <c:v>479.1</c:v>
                </c:pt>
                <c:pt idx="301">
                  <c:v>455.1</c:v>
                </c:pt>
                <c:pt idx="302">
                  <c:v>365.6</c:v>
                </c:pt>
                <c:pt idx="303">
                  <c:v>304.10000000000002</c:v>
                </c:pt>
                <c:pt idx="304">
                  <c:v>294.8</c:v>
                </c:pt>
                <c:pt idx="305">
                  <c:v>325.10000000000002</c:v>
                </c:pt>
                <c:pt idx="306">
                  <c:v>335.2</c:v>
                </c:pt>
                <c:pt idx="307">
                  <c:v>306.89999999999998</c:v>
                </c:pt>
                <c:pt idx="308">
                  <c:v>204.3</c:v>
                </c:pt>
                <c:pt idx="309">
                  <c:v>184.1</c:v>
                </c:pt>
                <c:pt idx="310">
                  <c:v>208.9</c:v>
                </c:pt>
                <c:pt idx="311">
                  <c:v>330.1</c:v>
                </c:pt>
                <c:pt idx="312">
                  <c:v>522.4</c:v>
                </c:pt>
                <c:pt idx="313">
                  <c:v>529.4</c:v>
                </c:pt>
                <c:pt idx="314">
                  <c:v>453.6</c:v>
                </c:pt>
                <c:pt idx="315">
                  <c:v>356.6</c:v>
                </c:pt>
                <c:pt idx="316">
                  <c:v>305.7</c:v>
                </c:pt>
                <c:pt idx="317">
                  <c:v>318.2</c:v>
                </c:pt>
                <c:pt idx="318">
                  <c:v>313</c:v>
                </c:pt>
                <c:pt idx="319">
                  <c:v>237.3</c:v>
                </c:pt>
                <c:pt idx="320">
                  <c:v>219.7</c:v>
                </c:pt>
                <c:pt idx="321">
                  <c:v>254.9</c:v>
                </c:pt>
                <c:pt idx="322">
                  <c:v>374</c:v>
                </c:pt>
                <c:pt idx="323">
                  <c:v>546.9</c:v>
                </c:pt>
                <c:pt idx="324">
                  <c:v>670</c:v>
                </c:pt>
                <c:pt idx="325">
                  <c:v>677.1</c:v>
                </c:pt>
                <c:pt idx="326">
                  <c:v>683.7</c:v>
                </c:pt>
                <c:pt idx="327">
                  <c:v>623.9</c:v>
                </c:pt>
                <c:pt idx="328">
                  <c:v>555.29999999999995</c:v>
                </c:pt>
                <c:pt idx="329">
                  <c:v>473.6</c:v>
                </c:pt>
                <c:pt idx="330">
                  <c:v>347</c:v>
                </c:pt>
                <c:pt idx="331">
                  <c:v>286.3</c:v>
                </c:pt>
                <c:pt idx="332">
                  <c:v>175</c:v>
                </c:pt>
                <c:pt idx="333">
                  <c:v>123.6</c:v>
                </c:pt>
                <c:pt idx="334">
                  <c:v>192.3</c:v>
                </c:pt>
                <c:pt idx="335">
                  <c:v>438.4</c:v>
                </c:pt>
                <c:pt idx="336">
                  <c:v>603.29999999999995</c:v>
                </c:pt>
                <c:pt idx="337">
                  <c:v>547.29999999999995</c:v>
                </c:pt>
                <c:pt idx="338">
                  <c:v>456.9</c:v>
                </c:pt>
                <c:pt idx="339">
                  <c:v>385.4</c:v>
                </c:pt>
                <c:pt idx="340">
                  <c:v>350.9</c:v>
                </c:pt>
                <c:pt idx="341">
                  <c:v>279.7</c:v>
                </c:pt>
                <c:pt idx="342">
                  <c:v>321.3</c:v>
                </c:pt>
                <c:pt idx="343">
                  <c:v>247.8</c:v>
                </c:pt>
                <c:pt idx="344">
                  <c:v>118.8</c:v>
                </c:pt>
                <c:pt idx="345">
                  <c:v>79</c:v>
                </c:pt>
                <c:pt idx="346">
                  <c:v>105.7</c:v>
                </c:pt>
                <c:pt idx="347">
                  <c:v>254.4</c:v>
                </c:pt>
                <c:pt idx="348">
                  <c:v>476.3</c:v>
                </c:pt>
                <c:pt idx="349">
                  <c:v>460.5</c:v>
                </c:pt>
                <c:pt idx="350">
                  <c:v>337.8</c:v>
                </c:pt>
                <c:pt idx="351">
                  <c:v>245.5</c:v>
                </c:pt>
                <c:pt idx="352">
                  <c:v>270.3</c:v>
                </c:pt>
                <c:pt idx="353">
                  <c:v>389.3</c:v>
                </c:pt>
                <c:pt idx="354">
                  <c:v>386.4</c:v>
                </c:pt>
                <c:pt idx="355">
                  <c:v>326.8</c:v>
                </c:pt>
                <c:pt idx="356">
                  <c:v>233.3</c:v>
                </c:pt>
                <c:pt idx="357">
                  <c:v>192.4</c:v>
                </c:pt>
                <c:pt idx="358">
                  <c:v>181.2</c:v>
                </c:pt>
                <c:pt idx="359">
                  <c:v>307.5</c:v>
                </c:pt>
                <c:pt idx="360">
                  <c:v>478.3</c:v>
                </c:pt>
                <c:pt idx="361">
                  <c:v>459.5</c:v>
                </c:pt>
                <c:pt idx="362">
                  <c:v>406.3</c:v>
                </c:pt>
                <c:pt idx="363">
                  <c:v>345.3</c:v>
                </c:pt>
                <c:pt idx="364">
                  <c:v>265.8</c:v>
                </c:pt>
                <c:pt idx="365">
                  <c:v>214.8</c:v>
                </c:pt>
                <c:pt idx="366">
                  <c:v>280.2</c:v>
                </c:pt>
                <c:pt idx="367">
                  <c:v>227.4</c:v>
                </c:pt>
                <c:pt idx="368">
                  <c:v>165.8</c:v>
                </c:pt>
                <c:pt idx="369">
                  <c:v>142.1</c:v>
                </c:pt>
                <c:pt idx="370">
                  <c:v>227.1</c:v>
                </c:pt>
                <c:pt idx="371">
                  <c:v>435.8</c:v>
                </c:pt>
                <c:pt idx="372">
                  <c:v>629</c:v>
                </c:pt>
                <c:pt idx="373">
                  <c:v>576</c:v>
                </c:pt>
                <c:pt idx="374">
                  <c:v>474.2</c:v>
                </c:pt>
                <c:pt idx="375">
                  <c:v>426.4</c:v>
                </c:pt>
                <c:pt idx="376">
                  <c:v>438.9</c:v>
                </c:pt>
                <c:pt idx="377">
                  <c:v>390.4</c:v>
                </c:pt>
                <c:pt idx="378">
                  <c:v>321.7</c:v>
                </c:pt>
                <c:pt idx="379">
                  <c:v>219.3</c:v>
                </c:pt>
                <c:pt idx="380">
                  <c:v>131.1</c:v>
                </c:pt>
                <c:pt idx="381">
                  <c:v>173.2</c:v>
                </c:pt>
                <c:pt idx="382">
                  <c:v>223.7</c:v>
                </c:pt>
                <c:pt idx="383">
                  <c:v>347.1</c:v>
                </c:pt>
                <c:pt idx="384">
                  <c:v>310.5</c:v>
                </c:pt>
                <c:pt idx="385">
                  <c:v>313.10000000000002</c:v>
                </c:pt>
                <c:pt idx="386">
                  <c:v>272.2</c:v>
                </c:pt>
                <c:pt idx="387">
                  <c:v>224.2</c:v>
                </c:pt>
                <c:pt idx="388">
                  <c:v>209.2</c:v>
                </c:pt>
                <c:pt idx="389">
                  <c:v>141.80000000000001</c:v>
                </c:pt>
                <c:pt idx="390">
                  <c:v>104.4</c:v>
                </c:pt>
                <c:pt idx="391">
                  <c:v>81.27</c:v>
                </c:pt>
                <c:pt idx="392">
                  <c:v>62.67</c:v>
                </c:pt>
                <c:pt idx="393">
                  <c:v>39.31</c:v>
                </c:pt>
                <c:pt idx="394">
                  <c:v>40.630000000000003</c:v>
                </c:pt>
                <c:pt idx="395">
                  <c:v>84.92</c:v>
                </c:pt>
                <c:pt idx="396">
                  <c:v>264.39999999999998</c:v>
                </c:pt>
                <c:pt idx="397">
                  <c:v>299.5</c:v>
                </c:pt>
                <c:pt idx="398">
                  <c:v>221</c:v>
                </c:pt>
                <c:pt idx="399">
                  <c:v>170.1</c:v>
                </c:pt>
                <c:pt idx="400">
                  <c:v>220.8</c:v>
                </c:pt>
                <c:pt idx="401">
                  <c:v>348.8</c:v>
                </c:pt>
                <c:pt idx="402">
                  <c:v>352.6</c:v>
                </c:pt>
                <c:pt idx="403">
                  <c:v>242.5</c:v>
                </c:pt>
                <c:pt idx="404">
                  <c:v>149.6</c:v>
                </c:pt>
                <c:pt idx="405">
                  <c:v>120.9</c:v>
                </c:pt>
                <c:pt idx="406">
                  <c:v>188.5</c:v>
                </c:pt>
                <c:pt idx="407">
                  <c:v>297.8</c:v>
                </c:pt>
                <c:pt idx="408">
                  <c:v>341.9</c:v>
                </c:pt>
                <c:pt idx="409">
                  <c:v>320.60000000000002</c:v>
                </c:pt>
                <c:pt idx="410">
                  <c:v>303.7</c:v>
                </c:pt>
                <c:pt idx="411">
                  <c:v>310</c:v>
                </c:pt>
                <c:pt idx="412">
                  <c:v>346.6</c:v>
                </c:pt>
                <c:pt idx="413">
                  <c:v>385.8</c:v>
                </c:pt>
                <c:pt idx="414">
                  <c:v>351.2</c:v>
                </c:pt>
                <c:pt idx="415">
                  <c:v>219.4</c:v>
                </c:pt>
                <c:pt idx="416">
                  <c:v>106</c:v>
                </c:pt>
                <c:pt idx="417">
                  <c:v>97.09</c:v>
                </c:pt>
                <c:pt idx="418">
                  <c:v>88.46</c:v>
                </c:pt>
                <c:pt idx="419">
                  <c:v>204.2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8CB-4821-8612-DBFFC48FD16D}"/>
            </c:ext>
          </c:extLst>
        </c:ser>
        <c:ser>
          <c:idx val="2"/>
          <c:order val="2"/>
          <c:tx>
            <c:v>StaHelena_Model</c:v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xVal>
            <c:numRef>
              <c:f>Monthly!$D$421:$D$901</c:f>
              <c:numCache>
                <c:formatCode>0.0</c:formatCode>
                <c:ptCount val="481"/>
                <c:pt idx="0">
                  <c:v>1980.99999999326</c:v>
                </c:pt>
                <c:pt idx="1">
                  <c:v>1980.9166666599001</c:v>
                </c:pt>
                <c:pt idx="2">
                  <c:v>1980.83333332654</c:v>
                </c:pt>
                <c:pt idx="3">
                  <c:v>1980.7499999931799</c:v>
                </c:pt>
                <c:pt idx="4">
                  <c:v>1980.6666666598201</c:v>
                </c:pt>
                <c:pt idx="5">
                  <c:v>1980.58333332646</c:v>
                </c:pt>
                <c:pt idx="6">
                  <c:v>1980.4999999930999</c:v>
                </c:pt>
                <c:pt idx="7">
                  <c:v>1980.41666665974</c:v>
                </c:pt>
                <c:pt idx="8">
                  <c:v>1980.3333333263799</c:v>
                </c:pt>
                <c:pt idx="9">
                  <c:v>1980.2499999930201</c:v>
                </c:pt>
                <c:pt idx="10">
                  <c:v>1980.16666665966</c:v>
                </c:pt>
                <c:pt idx="11">
                  <c:v>1980.0833333262999</c:v>
                </c:pt>
                <c:pt idx="12">
                  <c:v>1979.99999999294</c:v>
                </c:pt>
                <c:pt idx="13">
                  <c:v>1979.91666665958</c:v>
                </c:pt>
                <c:pt idx="14">
                  <c:v>1979.8333333262201</c:v>
                </c:pt>
                <c:pt idx="15">
                  <c:v>1979.74999999286</c:v>
                </c:pt>
                <c:pt idx="16">
                  <c:v>1979.6666666594999</c:v>
                </c:pt>
                <c:pt idx="17">
                  <c:v>1979.5833333261401</c:v>
                </c:pt>
                <c:pt idx="18">
                  <c:v>1979.49999999278</c:v>
                </c:pt>
                <c:pt idx="19">
                  <c:v>1979.4166666594199</c:v>
                </c:pt>
                <c:pt idx="20">
                  <c:v>1979.33333332606</c:v>
                </c:pt>
                <c:pt idx="21">
                  <c:v>1979.2499999926999</c:v>
                </c:pt>
                <c:pt idx="22">
                  <c:v>1979.1666666593401</c:v>
                </c:pt>
                <c:pt idx="23">
                  <c:v>1979.08333332598</c:v>
                </c:pt>
                <c:pt idx="24">
                  <c:v>1978.9999999926199</c:v>
                </c:pt>
                <c:pt idx="25">
                  <c:v>1978.91666665926</c:v>
                </c:pt>
                <c:pt idx="26">
                  <c:v>1978.8333333259</c:v>
                </c:pt>
                <c:pt idx="27">
                  <c:v>1978.7499999925401</c:v>
                </c:pt>
                <c:pt idx="28">
                  <c:v>1978.66666665918</c:v>
                </c:pt>
                <c:pt idx="29">
                  <c:v>1978.5833333258199</c:v>
                </c:pt>
                <c:pt idx="30">
                  <c:v>1978.4999999924601</c:v>
                </c:pt>
                <c:pt idx="31">
                  <c:v>1978.4166666591</c:v>
                </c:pt>
                <c:pt idx="32">
                  <c:v>1978.3333333257401</c:v>
                </c:pt>
                <c:pt idx="33">
                  <c:v>1978.24999999238</c:v>
                </c:pt>
                <c:pt idx="34">
                  <c:v>1978.1666666590099</c:v>
                </c:pt>
                <c:pt idx="35">
                  <c:v>1978.0833333256501</c:v>
                </c:pt>
                <c:pt idx="36">
                  <c:v>1977.99999999229</c:v>
                </c:pt>
                <c:pt idx="37">
                  <c:v>1977.9166666589299</c:v>
                </c:pt>
                <c:pt idx="38">
                  <c:v>1977.83333332557</c:v>
                </c:pt>
                <c:pt idx="39">
                  <c:v>1977.74999999221</c:v>
                </c:pt>
                <c:pt idx="40">
                  <c:v>1977.6666666588501</c:v>
                </c:pt>
                <c:pt idx="41">
                  <c:v>1977.58333332549</c:v>
                </c:pt>
                <c:pt idx="42">
                  <c:v>1977.4999999921299</c:v>
                </c:pt>
                <c:pt idx="43">
                  <c:v>1977.4166666587701</c:v>
                </c:pt>
                <c:pt idx="44">
                  <c:v>1977.33333332541</c:v>
                </c:pt>
                <c:pt idx="45">
                  <c:v>1977.2499999920501</c:v>
                </c:pt>
                <c:pt idx="46">
                  <c:v>1977.16666665869</c:v>
                </c:pt>
                <c:pt idx="47">
                  <c:v>1977.0833333253299</c:v>
                </c:pt>
                <c:pt idx="48">
                  <c:v>1976.9999999919701</c:v>
                </c:pt>
                <c:pt idx="49">
                  <c:v>1976.91666665861</c:v>
                </c:pt>
                <c:pt idx="50">
                  <c:v>1976.8333333252499</c:v>
                </c:pt>
                <c:pt idx="51">
                  <c:v>1976.74999999189</c:v>
                </c:pt>
                <c:pt idx="52">
                  <c:v>1976.6666666585299</c:v>
                </c:pt>
                <c:pt idx="53">
                  <c:v>1976.5833333251701</c:v>
                </c:pt>
                <c:pt idx="54">
                  <c:v>1976.49999999181</c:v>
                </c:pt>
                <c:pt idx="55">
                  <c:v>1976.4166666584499</c:v>
                </c:pt>
                <c:pt idx="56">
                  <c:v>1976.3333333250901</c:v>
                </c:pt>
                <c:pt idx="57">
                  <c:v>1976.24999999173</c:v>
                </c:pt>
                <c:pt idx="58">
                  <c:v>1976.1666666583701</c:v>
                </c:pt>
                <c:pt idx="59">
                  <c:v>1976.08333332501</c:v>
                </c:pt>
                <c:pt idx="60">
                  <c:v>1975.9999999916499</c:v>
                </c:pt>
                <c:pt idx="61">
                  <c:v>1975.9166666582901</c:v>
                </c:pt>
                <c:pt idx="62">
                  <c:v>1975.83333332493</c:v>
                </c:pt>
                <c:pt idx="63">
                  <c:v>1975.7499999915699</c:v>
                </c:pt>
                <c:pt idx="64">
                  <c:v>1975.66666665821</c:v>
                </c:pt>
                <c:pt idx="65">
                  <c:v>1975.5833333248499</c:v>
                </c:pt>
                <c:pt idx="66">
                  <c:v>1975.4999999914901</c:v>
                </c:pt>
                <c:pt idx="67">
                  <c:v>1975.41666665813</c:v>
                </c:pt>
                <c:pt idx="68">
                  <c:v>1975.3333333247699</c:v>
                </c:pt>
                <c:pt idx="69">
                  <c:v>1975.24999999141</c:v>
                </c:pt>
                <c:pt idx="70">
                  <c:v>1975.16666665805</c:v>
                </c:pt>
                <c:pt idx="71">
                  <c:v>1975.0833333246901</c:v>
                </c:pt>
                <c:pt idx="72">
                  <c:v>1974.99999999133</c:v>
                </c:pt>
                <c:pt idx="73">
                  <c:v>1974.9166666579699</c:v>
                </c:pt>
                <c:pt idx="74">
                  <c:v>1974.8333333246101</c:v>
                </c:pt>
                <c:pt idx="75">
                  <c:v>1974.74999999125</c:v>
                </c:pt>
                <c:pt idx="76">
                  <c:v>1974.6666666578899</c:v>
                </c:pt>
                <c:pt idx="77">
                  <c:v>1974.58333332453</c:v>
                </c:pt>
                <c:pt idx="78">
                  <c:v>1974.4999999911699</c:v>
                </c:pt>
                <c:pt idx="79">
                  <c:v>1974.4166666578101</c:v>
                </c:pt>
                <c:pt idx="80">
                  <c:v>1974.33333332445</c:v>
                </c:pt>
                <c:pt idx="81">
                  <c:v>1974.2499999910899</c:v>
                </c:pt>
                <c:pt idx="82">
                  <c:v>1974.16666665773</c:v>
                </c:pt>
                <c:pt idx="83">
                  <c:v>1974.08333332437</c:v>
                </c:pt>
                <c:pt idx="84">
                  <c:v>1973.9999999910101</c:v>
                </c:pt>
                <c:pt idx="85">
                  <c:v>1973.91666665765</c:v>
                </c:pt>
                <c:pt idx="86">
                  <c:v>1973.8333333242899</c:v>
                </c:pt>
                <c:pt idx="87">
                  <c:v>1973.7499999909301</c:v>
                </c:pt>
                <c:pt idx="88">
                  <c:v>1973.66666665757</c:v>
                </c:pt>
                <c:pt idx="89">
                  <c:v>1973.5833333242099</c:v>
                </c:pt>
                <c:pt idx="90">
                  <c:v>1973.49999999085</c:v>
                </c:pt>
                <c:pt idx="91">
                  <c:v>1973.4166666574899</c:v>
                </c:pt>
                <c:pt idx="92">
                  <c:v>1973.3333333241301</c:v>
                </c:pt>
                <c:pt idx="93">
                  <c:v>1973.24999999077</c:v>
                </c:pt>
                <c:pt idx="94">
                  <c:v>1973.1666666574099</c:v>
                </c:pt>
                <c:pt idx="95">
                  <c:v>1973.08333332405</c:v>
                </c:pt>
                <c:pt idx="96">
                  <c:v>1972.99999999069</c:v>
                </c:pt>
                <c:pt idx="97">
                  <c:v>1972.9166666573301</c:v>
                </c:pt>
                <c:pt idx="98">
                  <c:v>1972.83333332397</c:v>
                </c:pt>
                <c:pt idx="99">
                  <c:v>1972.7499999906099</c:v>
                </c:pt>
                <c:pt idx="100">
                  <c:v>1972.6666666572501</c:v>
                </c:pt>
                <c:pt idx="101">
                  <c:v>1972.58333332389</c:v>
                </c:pt>
                <c:pt idx="102">
                  <c:v>1972.4999999905299</c:v>
                </c:pt>
                <c:pt idx="103">
                  <c:v>1972.41666665717</c:v>
                </c:pt>
                <c:pt idx="104">
                  <c:v>1972.3333333238099</c:v>
                </c:pt>
                <c:pt idx="105">
                  <c:v>1972.2499999904501</c:v>
                </c:pt>
                <c:pt idx="106">
                  <c:v>1972.16666665709</c:v>
                </c:pt>
                <c:pt idx="107">
                  <c:v>1972.0833333237299</c:v>
                </c:pt>
                <c:pt idx="108">
                  <c:v>1971.99999999037</c:v>
                </c:pt>
                <c:pt idx="109">
                  <c:v>1971.91666665701</c:v>
                </c:pt>
                <c:pt idx="110">
                  <c:v>1971.8333333236501</c:v>
                </c:pt>
                <c:pt idx="111">
                  <c:v>1971.74999999029</c:v>
                </c:pt>
                <c:pt idx="112">
                  <c:v>1971.6666666569299</c:v>
                </c:pt>
                <c:pt idx="113">
                  <c:v>1971.5833333235701</c:v>
                </c:pt>
                <c:pt idx="114">
                  <c:v>1971.49999999021</c:v>
                </c:pt>
                <c:pt idx="115">
                  <c:v>1971.4166666568501</c:v>
                </c:pt>
                <c:pt idx="116">
                  <c:v>1971.33333332349</c:v>
                </c:pt>
                <c:pt idx="117">
                  <c:v>1971.2499999901299</c:v>
                </c:pt>
                <c:pt idx="118">
                  <c:v>1971.1666666567701</c:v>
                </c:pt>
                <c:pt idx="119">
                  <c:v>1971.08333332341</c:v>
                </c:pt>
                <c:pt idx="120">
                  <c:v>1970.9999999900499</c:v>
                </c:pt>
                <c:pt idx="121">
                  <c:v>1970.91666665669</c:v>
                </c:pt>
                <c:pt idx="122">
                  <c:v>1970.83333332333</c:v>
                </c:pt>
                <c:pt idx="123">
                  <c:v>1970.7499999899701</c:v>
                </c:pt>
                <c:pt idx="124">
                  <c:v>1970.66666665661</c:v>
                </c:pt>
                <c:pt idx="125">
                  <c:v>1970.5833333232499</c:v>
                </c:pt>
                <c:pt idx="126">
                  <c:v>1970.4999999898901</c:v>
                </c:pt>
                <c:pt idx="127">
                  <c:v>1970.41666665653</c:v>
                </c:pt>
                <c:pt idx="128">
                  <c:v>1970.3333333231701</c:v>
                </c:pt>
                <c:pt idx="129">
                  <c:v>1970.24999998981</c:v>
                </c:pt>
                <c:pt idx="130">
                  <c:v>1970.1666666564499</c:v>
                </c:pt>
                <c:pt idx="131">
                  <c:v>1970.0833333230901</c:v>
                </c:pt>
                <c:pt idx="132">
                  <c:v>1969.99999998973</c:v>
                </c:pt>
                <c:pt idx="133">
                  <c:v>1969.9166666563699</c:v>
                </c:pt>
                <c:pt idx="134">
                  <c:v>1969.83333332301</c:v>
                </c:pt>
                <c:pt idx="135">
                  <c:v>1969.74999998965</c:v>
                </c:pt>
                <c:pt idx="136">
                  <c:v>1969.6666666562901</c:v>
                </c:pt>
                <c:pt idx="137">
                  <c:v>1969.58333332293</c:v>
                </c:pt>
                <c:pt idx="138">
                  <c:v>1969.4999999895699</c:v>
                </c:pt>
                <c:pt idx="139">
                  <c:v>1969.4166666562101</c:v>
                </c:pt>
                <c:pt idx="140">
                  <c:v>1969.33333332285</c:v>
                </c:pt>
                <c:pt idx="141">
                  <c:v>1969.2499999894901</c:v>
                </c:pt>
                <c:pt idx="142">
                  <c:v>1969.16666665613</c:v>
                </c:pt>
                <c:pt idx="143">
                  <c:v>1969.0833333227699</c:v>
                </c:pt>
                <c:pt idx="144">
                  <c:v>1968.9999999894101</c:v>
                </c:pt>
                <c:pt idx="145">
                  <c:v>1968.91666665605</c:v>
                </c:pt>
                <c:pt idx="146">
                  <c:v>1968.8333333226899</c:v>
                </c:pt>
                <c:pt idx="147">
                  <c:v>1968.74999998933</c:v>
                </c:pt>
                <c:pt idx="148">
                  <c:v>1968.6666666559599</c:v>
                </c:pt>
                <c:pt idx="149">
                  <c:v>1968.5833333226001</c:v>
                </c:pt>
                <c:pt idx="150">
                  <c:v>1968.49999998924</c:v>
                </c:pt>
                <c:pt idx="151">
                  <c:v>1968.4166666558799</c:v>
                </c:pt>
                <c:pt idx="152">
                  <c:v>1968.33333332252</c:v>
                </c:pt>
                <c:pt idx="153">
                  <c:v>1968.24999998916</c:v>
                </c:pt>
                <c:pt idx="154">
                  <c:v>1968.1666666558001</c:v>
                </c:pt>
                <c:pt idx="155">
                  <c:v>1968.08333332244</c:v>
                </c:pt>
                <c:pt idx="156">
                  <c:v>1967.9999999890799</c:v>
                </c:pt>
                <c:pt idx="157">
                  <c:v>1967.9166666557201</c:v>
                </c:pt>
                <c:pt idx="158">
                  <c:v>1967.83333332236</c:v>
                </c:pt>
                <c:pt idx="159">
                  <c:v>1967.7499999889999</c:v>
                </c:pt>
                <c:pt idx="160">
                  <c:v>1967.66666665564</c:v>
                </c:pt>
                <c:pt idx="161">
                  <c:v>1967.5833333222799</c:v>
                </c:pt>
                <c:pt idx="162">
                  <c:v>1967.4999999889201</c:v>
                </c:pt>
                <c:pt idx="163">
                  <c:v>1967.41666665556</c:v>
                </c:pt>
                <c:pt idx="164">
                  <c:v>1967.3333333221999</c:v>
                </c:pt>
                <c:pt idx="165">
                  <c:v>1967.24999998884</c:v>
                </c:pt>
                <c:pt idx="166">
                  <c:v>1967.16666665548</c:v>
                </c:pt>
                <c:pt idx="167">
                  <c:v>1967.0833333221201</c:v>
                </c:pt>
                <c:pt idx="168">
                  <c:v>1966.99999998876</c:v>
                </c:pt>
                <c:pt idx="169">
                  <c:v>1966.9166666553999</c:v>
                </c:pt>
                <c:pt idx="170">
                  <c:v>1966.8333333220401</c:v>
                </c:pt>
                <c:pt idx="171">
                  <c:v>1966.74999998868</c:v>
                </c:pt>
                <c:pt idx="172">
                  <c:v>1966.6666666553199</c:v>
                </c:pt>
                <c:pt idx="173">
                  <c:v>1966.58333332196</c:v>
                </c:pt>
                <c:pt idx="174">
                  <c:v>1966.4999999885999</c:v>
                </c:pt>
                <c:pt idx="175">
                  <c:v>1966.4166666552401</c:v>
                </c:pt>
                <c:pt idx="176">
                  <c:v>1966.33333332188</c:v>
                </c:pt>
                <c:pt idx="177">
                  <c:v>1966.2499999885199</c:v>
                </c:pt>
                <c:pt idx="178">
                  <c:v>1966.16666665516</c:v>
                </c:pt>
                <c:pt idx="179">
                  <c:v>1966.0833333218</c:v>
                </c:pt>
                <c:pt idx="180">
                  <c:v>1965.9999999884401</c:v>
                </c:pt>
                <c:pt idx="181">
                  <c:v>1965.91666665508</c:v>
                </c:pt>
                <c:pt idx="182">
                  <c:v>1965.8333333217199</c:v>
                </c:pt>
                <c:pt idx="183">
                  <c:v>1965.7499999883601</c:v>
                </c:pt>
                <c:pt idx="184">
                  <c:v>1965.666666655</c:v>
                </c:pt>
                <c:pt idx="185">
                  <c:v>1965.5833333216401</c:v>
                </c:pt>
                <c:pt idx="186">
                  <c:v>1965.49999998828</c:v>
                </c:pt>
                <c:pt idx="187">
                  <c:v>1965.4166666549199</c:v>
                </c:pt>
                <c:pt idx="188">
                  <c:v>1965.3333333215601</c:v>
                </c:pt>
                <c:pt idx="189">
                  <c:v>1965.2499999882</c:v>
                </c:pt>
                <c:pt idx="190">
                  <c:v>1965.1666666548399</c:v>
                </c:pt>
                <c:pt idx="191">
                  <c:v>1965.08333332148</c:v>
                </c:pt>
                <c:pt idx="192">
                  <c:v>1964.99999998812</c:v>
                </c:pt>
                <c:pt idx="193">
                  <c:v>1964.9166666547601</c:v>
                </c:pt>
                <c:pt idx="194">
                  <c:v>1964.8333333214</c:v>
                </c:pt>
                <c:pt idx="195">
                  <c:v>1964.7499999880399</c:v>
                </c:pt>
                <c:pt idx="196">
                  <c:v>1964.6666666546801</c:v>
                </c:pt>
                <c:pt idx="197">
                  <c:v>1964.58333332132</c:v>
                </c:pt>
                <c:pt idx="198">
                  <c:v>1964.4999999879601</c:v>
                </c:pt>
                <c:pt idx="199">
                  <c:v>1964.4166666546</c:v>
                </c:pt>
                <c:pt idx="200">
                  <c:v>1964.3333333212399</c:v>
                </c:pt>
                <c:pt idx="201">
                  <c:v>1964.2499999878801</c:v>
                </c:pt>
                <c:pt idx="202">
                  <c:v>1964.16666665452</c:v>
                </c:pt>
                <c:pt idx="203">
                  <c:v>1964.0833333211599</c:v>
                </c:pt>
                <c:pt idx="204">
                  <c:v>1963.9999999878</c:v>
                </c:pt>
                <c:pt idx="205">
                  <c:v>1963.91666665444</c:v>
                </c:pt>
                <c:pt idx="206">
                  <c:v>1963.8333333210801</c:v>
                </c:pt>
                <c:pt idx="207">
                  <c:v>1963.74999998772</c:v>
                </c:pt>
                <c:pt idx="208">
                  <c:v>1963.6666666543599</c:v>
                </c:pt>
                <c:pt idx="209">
                  <c:v>1963.5833333210001</c:v>
                </c:pt>
                <c:pt idx="210">
                  <c:v>1963.49999998764</c:v>
                </c:pt>
                <c:pt idx="211">
                  <c:v>1963.4166666542801</c:v>
                </c:pt>
                <c:pt idx="212">
                  <c:v>1963.33333332092</c:v>
                </c:pt>
                <c:pt idx="213">
                  <c:v>1963.2499999875599</c:v>
                </c:pt>
                <c:pt idx="214">
                  <c:v>1963.1666666542001</c:v>
                </c:pt>
                <c:pt idx="215">
                  <c:v>1963.08333332084</c:v>
                </c:pt>
                <c:pt idx="216">
                  <c:v>1962.9999999874799</c:v>
                </c:pt>
                <c:pt idx="217">
                  <c:v>1962.91666665412</c:v>
                </c:pt>
                <c:pt idx="218">
                  <c:v>1962.8333333207599</c:v>
                </c:pt>
                <c:pt idx="219">
                  <c:v>1962.7499999874001</c:v>
                </c:pt>
                <c:pt idx="220">
                  <c:v>1962.66666665404</c:v>
                </c:pt>
                <c:pt idx="221">
                  <c:v>1962.5833333206799</c:v>
                </c:pt>
                <c:pt idx="222">
                  <c:v>1962.4999999873201</c:v>
                </c:pt>
                <c:pt idx="223">
                  <c:v>1962.41666665396</c:v>
                </c:pt>
                <c:pt idx="224">
                  <c:v>1962.3333333206001</c:v>
                </c:pt>
                <c:pt idx="225">
                  <c:v>1962.24999998724</c:v>
                </c:pt>
                <c:pt idx="226">
                  <c:v>1962.1666666538799</c:v>
                </c:pt>
                <c:pt idx="227">
                  <c:v>1962.0833333205201</c:v>
                </c:pt>
                <c:pt idx="228">
                  <c:v>1961.99999998716</c:v>
                </c:pt>
                <c:pt idx="229">
                  <c:v>1961.9166666537999</c:v>
                </c:pt>
                <c:pt idx="230">
                  <c:v>1961.83333332044</c:v>
                </c:pt>
                <c:pt idx="231">
                  <c:v>1961.7499999870799</c:v>
                </c:pt>
                <c:pt idx="232">
                  <c:v>1961.6666666537201</c:v>
                </c:pt>
                <c:pt idx="233">
                  <c:v>1961.58333332036</c:v>
                </c:pt>
                <c:pt idx="234">
                  <c:v>1961.4999999869999</c:v>
                </c:pt>
                <c:pt idx="235">
                  <c:v>1961.41666665364</c:v>
                </c:pt>
                <c:pt idx="236">
                  <c:v>1961.33333332028</c:v>
                </c:pt>
                <c:pt idx="237">
                  <c:v>1961.2499999869201</c:v>
                </c:pt>
                <c:pt idx="238">
                  <c:v>1961.16666665356</c:v>
                </c:pt>
                <c:pt idx="239">
                  <c:v>1961.0833333201999</c:v>
                </c:pt>
                <c:pt idx="240">
                  <c:v>1960.9999999868401</c:v>
                </c:pt>
                <c:pt idx="241">
                  <c:v>1960.91666665348</c:v>
                </c:pt>
                <c:pt idx="242">
                  <c:v>1960.8333333201199</c:v>
                </c:pt>
                <c:pt idx="243">
                  <c:v>1960.74999998676</c:v>
                </c:pt>
                <c:pt idx="244">
                  <c:v>1960.6666666533999</c:v>
                </c:pt>
                <c:pt idx="245">
                  <c:v>1960.5833333200401</c:v>
                </c:pt>
                <c:pt idx="246">
                  <c:v>1960.49999998668</c:v>
                </c:pt>
                <c:pt idx="247">
                  <c:v>1960.4166666533199</c:v>
                </c:pt>
                <c:pt idx="248">
                  <c:v>1960.33333331996</c:v>
                </c:pt>
                <c:pt idx="249">
                  <c:v>1960.2499999866</c:v>
                </c:pt>
                <c:pt idx="250">
                  <c:v>1960.1666666532401</c:v>
                </c:pt>
                <c:pt idx="251">
                  <c:v>1960.08333331988</c:v>
                </c:pt>
                <c:pt idx="252">
                  <c:v>1959.9999999865199</c:v>
                </c:pt>
                <c:pt idx="253">
                  <c:v>1959.9166666531601</c:v>
                </c:pt>
                <c:pt idx="254">
                  <c:v>1959.8333333198</c:v>
                </c:pt>
                <c:pt idx="255">
                  <c:v>1959.7499999864399</c:v>
                </c:pt>
                <c:pt idx="256">
                  <c:v>1959.66666665308</c:v>
                </c:pt>
                <c:pt idx="257">
                  <c:v>1959.5833333197199</c:v>
                </c:pt>
                <c:pt idx="258">
                  <c:v>1959.4999999863601</c:v>
                </c:pt>
                <c:pt idx="259">
                  <c:v>1959.416666653</c:v>
                </c:pt>
                <c:pt idx="260">
                  <c:v>1959.3333333196399</c:v>
                </c:pt>
                <c:pt idx="261">
                  <c:v>1959.24999998628</c:v>
                </c:pt>
                <c:pt idx="262">
                  <c:v>1959.16666665291</c:v>
                </c:pt>
                <c:pt idx="263">
                  <c:v>1959.0833333195501</c:v>
                </c:pt>
                <c:pt idx="264">
                  <c:v>1958.99999998619</c:v>
                </c:pt>
                <c:pt idx="265">
                  <c:v>1958.9166666528299</c:v>
                </c:pt>
                <c:pt idx="266">
                  <c:v>1958.8333333194701</c:v>
                </c:pt>
                <c:pt idx="267">
                  <c:v>1958.74999998611</c:v>
                </c:pt>
                <c:pt idx="268">
                  <c:v>1958.6666666527501</c:v>
                </c:pt>
                <c:pt idx="269">
                  <c:v>1958.58333331939</c:v>
                </c:pt>
                <c:pt idx="270">
                  <c:v>1958.4999999860299</c:v>
                </c:pt>
                <c:pt idx="271">
                  <c:v>1958.4166666526701</c:v>
                </c:pt>
                <c:pt idx="272">
                  <c:v>1958.33333331931</c:v>
                </c:pt>
                <c:pt idx="273">
                  <c:v>1958.2499999859499</c:v>
                </c:pt>
                <c:pt idx="274">
                  <c:v>1958.16666665259</c:v>
                </c:pt>
                <c:pt idx="275">
                  <c:v>1958.08333331923</c:v>
                </c:pt>
                <c:pt idx="276">
                  <c:v>1957.9999999858701</c:v>
                </c:pt>
                <c:pt idx="277">
                  <c:v>1957.91666665251</c:v>
                </c:pt>
                <c:pt idx="278">
                  <c:v>1957.8333333191499</c:v>
                </c:pt>
                <c:pt idx="279">
                  <c:v>1957.7499999857901</c:v>
                </c:pt>
                <c:pt idx="280">
                  <c:v>1957.66666665243</c:v>
                </c:pt>
                <c:pt idx="281">
                  <c:v>1957.5833333190701</c:v>
                </c:pt>
                <c:pt idx="282">
                  <c:v>1957.49999998571</c:v>
                </c:pt>
                <c:pt idx="283">
                  <c:v>1957.4166666523499</c:v>
                </c:pt>
                <c:pt idx="284">
                  <c:v>1957.3333333189901</c:v>
                </c:pt>
                <c:pt idx="285">
                  <c:v>1957.24999998563</c:v>
                </c:pt>
                <c:pt idx="286">
                  <c:v>1957.1666666522699</c:v>
                </c:pt>
                <c:pt idx="287">
                  <c:v>1957.08333331891</c:v>
                </c:pt>
                <c:pt idx="288">
                  <c:v>1956.9999999855499</c:v>
                </c:pt>
                <c:pt idx="289">
                  <c:v>1956.9166666521901</c:v>
                </c:pt>
                <c:pt idx="290">
                  <c:v>1956.83333331883</c:v>
                </c:pt>
                <c:pt idx="291">
                  <c:v>1956.7499999854699</c:v>
                </c:pt>
                <c:pt idx="292">
                  <c:v>1956.6666666521101</c:v>
                </c:pt>
                <c:pt idx="293">
                  <c:v>1956.58333331875</c:v>
                </c:pt>
                <c:pt idx="294">
                  <c:v>1956.4999999853901</c:v>
                </c:pt>
                <c:pt idx="295">
                  <c:v>1956.41666665203</c:v>
                </c:pt>
                <c:pt idx="296">
                  <c:v>1956.3333333186699</c:v>
                </c:pt>
                <c:pt idx="297">
                  <c:v>1956.2499999853101</c:v>
                </c:pt>
                <c:pt idx="298">
                  <c:v>1956.16666665195</c:v>
                </c:pt>
                <c:pt idx="299">
                  <c:v>1956.0833333185899</c:v>
                </c:pt>
                <c:pt idx="300">
                  <c:v>1955.99999998523</c:v>
                </c:pt>
                <c:pt idx="301">
                  <c:v>1955.9166666518699</c:v>
                </c:pt>
                <c:pt idx="302">
                  <c:v>1955.8333333185101</c:v>
                </c:pt>
                <c:pt idx="303">
                  <c:v>1955.74999998515</c:v>
                </c:pt>
                <c:pt idx="304">
                  <c:v>1955.6666666517899</c:v>
                </c:pt>
                <c:pt idx="305">
                  <c:v>1955.58333331843</c:v>
                </c:pt>
                <c:pt idx="306">
                  <c:v>1955.49999998507</c:v>
                </c:pt>
                <c:pt idx="307">
                  <c:v>1955.4166666517101</c:v>
                </c:pt>
                <c:pt idx="308">
                  <c:v>1955.33333331835</c:v>
                </c:pt>
                <c:pt idx="309">
                  <c:v>1955.2499999849899</c:v>
                </c:pt>
                <c:pt idx="310">
                  <c:v>1955.1666666516301</c:v>
                </c:pt>
                <c:pt idx="311">
                  <c:v>1955.08333331827</c:v>
                </c:pt>
                <c:pt idx="312">
                  <c:v>1954.9999999849099</c:v>
                </c:pt>
                <c:pt idx="313">
                  <c:v>1954.91666665155</c:v>
                </c:pt>
                <c:pt idx="314">
                  <c:v>1954.8333333181899</c:v>
                </c:pt>
                <c:pt idx="315">
                  <c:v>1954.7499999848301</c:v>
                </c:pt>
                <c:pt idx="316">
                  <c:v>1954.66666665147</c:v>
                </c:pt>
                <c:pt idx="317">
                  <c:v>1954.5833333181099</c:v>
                </c:pt>
                <c:pt idx="318">
                  <c:v>1954.49999998475</c:v>
                </c:pt>
                <c:pt idx="319">
                  <c:v>1954.41666665139</c:v>
                </c:pt>
                <c:pt idx="320">
                  <c:v>1954.3333333180301</c:v>
                </c:pt>
                <c:pt idx="321">
                  <c:v>1954.24999998467</c:v>
                </c:pt>
                <c:pt idx="322">
                  <c:v>1954.1666666513099</c:v>
                </c:pt>
                <c:pt idx="323">
                  <c:v>1954.0833333179501</c:v>
                </c:pt>
                <c:pt idx="324">
                  <c:v>1953.99999998459</c:v>
                </c:pt>
                <c:pt idx="325">
                  <c:v>1953.9166666512299</c:v>
                </c:pt>
                <c:pt idx="326">
                  <c:v>1953.83333331787</c:v>
                </c:pt>
                <c:pt idx="327">
                  <c:v>1953.7499999845099</c:v>
                </c:pt>
                <c:pt idx="328">
                  <c:v>1953.6666666511501</c:v>
                </c:pt>
                <c:pt idx="329">
                  <c:v>1953.58333331779</c:v>
                </c:pt>
                <c:pt idx="330">
                  <c:v>1953.4999999844299</c:v>
                </c:pt>
                <c:pt idx="331">
                  <c:v>1953.41666665107</c:v>
                </c:pt>
                <c:pt idx="332">
                  <c:v>1953.33333331771</c:v>
                </c:pt>
                <c:pt idx="333">
                  <c:v>1953.2499999843501</c:v>
                </c:pt>
                <c:pt idx="334">
                  <c:v>1953.16666665099</c:v>
                </c:pt>
                <c:pt idx="335">
                  <c:v>1953.0833333176299</c:v>
                </c:pt>
                <c:pt idx="336">
                  <c:v>1952.9999999842701</c:v>
                </c:pt>
                <c:pt idx="337">
                  <c:v>1952.91666665091</c:v>
                </c:pt>
                <c:pt idx="338">
                  <c:v>1952.8333333175499</c:v>
                </c:pt>
                <c:pt idx="339">
                  <c:v>1952.74999998419</c:v>
                </c:pt>
                <c:pt idx="340">
                  <c:v>1952.6666666508299</c:v>
                </c:pt>
                <c:pt idx="341">
                  <c:v>1952.5833333174701</c:v>
                </c:pt>
                <c:pt idx="342">
                  <c:v>1952.49999998411</c:v>
                </c:pt>
                <c:pt idx="343">
                  <c:v>1952.4166666507499</c:v>
                </c:pt>
                <c:pt idx="344">
                  <c:v>1952.33333331739</c:v>
                </c:pt>
                <c:pt idx="345">
                  <c:v>1952.24999998403</c:v>
                </c:pt>
                <c:pt idx="346">
                  <c:v>1952.1666666506701</c:v>
                </c:pt>
                <c:pt idx="347">
                  <c:v>1952.08333331731</c:v>
                </c:pt>
                <c:pt idx="348">
                  <c:v>1951.9999999839499</c:v>
                </c:pt>
                <c:pt idx="349">
                  <c:v>1951.9166666505901</c:v>
                </c:pt>
                <c:pt idx="350">
                  <c:v>1951.83333331723</c:v>
                </c:pt>
                <c:pt idx="351">
                  <c:v>1951.7499999838701</c:v>
                </c:pt>
                <c:pt idx="352">
                  <c:v>1951.66666665051</c:v>
                </c:pt>
                <c:pt idx="353">
                  <c:v>1951.5833333171499</c:v>
                </c:pt>
                <c:pt idx="354">
                  <c:v>1951.4999999837901</c:v>
                </c:pt>
                <c:pt idx="355">
                  <c:v>1951.41666665043</c:v>
                </c:pt>
                <c:pt idx="356">
                  <c:v>1951.3333333170699</c:v>
                </c:pt>
                <c:pt idx="357">
                  <c:v>1951.24999998371</c:v>
                </c:pt>
                <c:pt idx="358">
                  <c:v>1951.16666665035</c:v>
                </c:pt>
                <c:pt idx="359">
                  <c:v>1951.0833333169901</c:v>
                </c:pt>
                <c:pt idx="360">
                  <c:v>1950.99999998363</c:v>
                </c:pt>
                <c:pt idx="361">
                  <c:v>1950.9166666502699</c:v>
                </c:pt>
                <c:pt idx="362">
                  <c:v>1950.8333333169101</c:v>
                </c:pt>
                <c:pt idx="363">
                  <c:v>1950.74999998355</c:v>
                </c:pt>
                <c:pt idx="364">
                  <c:v>1950.6666666501901</c:v>
                </c:pt>
                <c:pt idx="365">
                  <c:v>1950.58333331683</c:v>
                </c:pt>
                <c:pt idx="366">
                  <c:v>1950.4999999834699</c:v>
                </c:pt>
                <c:pt idx="367">
                  <c:v>1950.4166666501101</c:v>
                </c:pt>
                <c:pt idx="368">
                  <c:v>1950.33333331675</c:v>
                </c:pt>
                <c:pt idx="369">
                  <c:v>1950.2499999833899</c:v>
                </c:pt>
                <c:pt idx="370">
                  <c:v>1950.16666665003</c:v>
                </c:pt>
                <c:pt idx="371">
                  <c:v>1950.08333331667</c:v>
                </c:pt>
                <c:pt idx="372">
                  <c:v>1949.9999999833101</c:v>
                </c:pt>
                <c:pt idx="373">
                  <c:v>1949.91666664995</c:v>
                </c:pt>
                <c:pt idx="374">
                  <c:v>1949.8333333165899</c:v>
                </c:pt>
                <c:pt idx="375">
                  <c:v>1949.7499999832301</c:v>
                </c:pt>
                <c:pt idx="376">
                  <c:v>1949.66666664986</c:v>
                </c:pt>
                <c:pt idx="377">
                  <c:v>1949.5833333165001</c:v>
                </c:pt>
                <c:pt idx="378">
                  <c:v>1949.49999998314</c:v>
                </c:pt>
                <c:pt idx="379">
                  <c:v>1949.4166666497799</c:v>
                </c:pt>
                <c:pt idx="380">
                  <c:v>1949.3333333164201</c:v>
                </c:pt>
                <c:pt idx="381">
                  <c:v>1949.24999998306</c:v>
                </c:pt>
                <c:pt idx="382">
                  <c:v>1949.1666666496999</c:v>
                </c:pt>
                <c:pt idx="383">
                  <c:v>1949.08333331634</c:v>
                </c:pt>
                <c:pt idx="384">
                  <c:v>1948.9999999829799</c:v>
                </c:pt>
                <c:pt idx="385">
                  <c:v>1948.9166666496201</c:v>
                </c:pt>
                <c:pt idx="386">
                  <c:v>1948.83333331626</c:v>
                </c:pt>
                <c:pt idx="387">
                  <c:v>1948.7499999828999</c:v>
                </c:pt>
                <c:pt idx="388">
                  <c:v>1948.66666664954</c:v>
                </c:pt>
                <c:pt idx="389">
                  <c:v>1948.58333331618</c:v>
                </c:pt>
                <c:pt idx="390">
                  <c:v>1948.4999999828201</c:v>
                </c:pt>
                <c:pt idx="391">
                  <c:v>1948.41666664946</c:v>
                </c:pt>
                <c:pt idx="392">
                  <c:v>1948.3333333160999</c:v>
                </c:pt>
                <c:pt idx="393">
                  <c:v>1948.2499999827401</c:v>
                </c:pt>
                <c:pt idx="394">
                  <c:v>1948.16666664938</c:v>
                </c:pt>
                <c:pt idx="395">
                  <c:v>1948.0833333160199</c:v>
                </c:pt>
                <c:pt idx="396">
                  <c:v>1947.99999998266</c:v>
                </c:pt>
                <c:pt idx="397">
                  <c:v>1947.9166666492999</c:v>
                </c:pt>
                <c:pt idx="398">
                  <c:v>1947.8333333159401</c:v>
                </c:pt>
                <c:pt idx="399">
                  <c:v>1947.74999998258</c:v>
                </c:pt>
                <c:pt idx="400">
                  <c:v>1947.6666666492199</c:v>
                </c:pt>
                <c:pt idx="401">
                  <c:v>1947.58333331586</c:v>
                </c:pt>
                <c:pt idx="402">
                  <c:v>1947.4999999825</c:v>
                </c:pt>
                <c:pt idx="403">
                  <c:v>1947.4166666491401</c:v>
                </c:pt>
                <c:pt idx="404">
                  <c:v>1947.33333331578</c:v>
                </c:pt>
                <c:pt idx="405">
                  <c:v>1947.2499999824199</c:v>
                </c:pt>
                <c:pt idx="406">
                  <c:v>1947.1666666490601</c:v>
                </c:pt>
                <c:pt idx="407">
                  <c:v>1947.0833333157</c:v>
                </c:pt>
                <c:pt idx="408">
                  <c:v>1946.9999999823399</c:v>
                </c:pt>
                <c:pt idx="409">
                  <c:v>1946.91666664898</c:v>
                </c:pt>
                <c:pt idx="410">
                  <c:v>1946.8333333156199</c:v>
                </c:pt>
                <c:pt idx="411">
                  <c:v>1946.7499999822601</c:v>
                </c:pt>
                <c:pt idx="412">
                  <c:v>1946.6666666489</c:v>
                </c:pt>
                <c:pt idx="413">
                  <c:v>1946.5833333155399</c:v>
                </c:pt>
                <c:pt idx="414">
                  <c:v>1946.49999998218</c:v>
                </c:pt>
                <c:pt idx="415">
                  <c:v>1946.41666664882</c:v>
                </c:pt>
                <c:pt idx="416">
                  <c:v>1946.3333333154601</c:v>
                </c:pt>
                <c:pt idx="417">
                  <c:v>1946.2499999821</c:v>
                </c:pt>
                <c:pt idx="418">
                  <c:v>1946.1666666487399</c:v>
                </c:pt>
                <c:pt idx="419">
                  <c:v>1946.0833333153801</c:v>
                </c:pt>
                <c:pt idx="420">
                  <c:v>1945.99999998202</c:v>
                </c:pt>
                <c:pt idx="421">
                  <c:v>1945.9166666486601</c:v>
                </c:pt>
                <c:pt idx="422">
                  <c:v>1945.8333333153</c:v>
                </c:pt>
                <c:pt idx="423">
                  <c:v>1945.7499999819399</c:v>
                </c:pt>
                <c:pt idx="424">
                  <c:v>1945.6666666485801</c:v>
                </c:pt>
                <c:pt idx="425">
                  <c:v>1945.58333331522</c:v>
                </c:pt>
                <c:pt idx="426">
                  <c:v>1945.4999999818599</c:v>
                </c:pt>
                <c:pt idx="427">
                  <c:v>1945.4166666485</c:v>
                </c:pt>
                <c:pt idx="428">
                  <c:v>1945.33333331514</c:v>
                </c:pt>
                <c:pt idx="429">
                  <c:v>1945.2499999817801</c:v>
                </c:pt>
                <c:pt idx="430">
                  <c:v>1945.16666664842</c:v>
                </c:pt>
                <c:pt idx="431">
                  <c:v>1945.0833333150599</c:v>
                </c:pt>
                <c:pt idx="432">
                  <c:v>1944.9999999817001</c:v>
                </c:pt>
                <c:pt idx="433">
                  <c:v>1944.91666664834</c:v>
                </c:pt>
                <c:pt idx="434">
                  <c:v>1944.8333333149801</c:v>
                </c:pt>
                <c:pt idx="435">
                  <c:v>1944.74999998162</c:v>
                </c:pt>
                <c:pt idx="436">
                  <c:v>1944.6666666482599</c:v>
                </c:pt>
                <c:pt idx="437">
                  <c:v>1944.5833333149001</c:v>
                </c:pt>
                <c:pt idx="438">
                  <c:v>1944.49999998154</c:v>
                </c:pt>
                <c:pt idx="439">
                  <c:v>1944.4166666481799</c:v>
                </c:pt>
                <c:pt idx="440">
                  <c:v>1944.33333331482</c:v>
                </c:pt>
                <c:pt idx="441">
                  <c:v>1944.24999998146</c:v>
                </c:pt>
                <c:pt idx="442">
                  <c:v>1944.1666666481001</c:v>
                </c:pt>
                <c:pt idx="443">
                  <c:v>1944.08333331474</c:v>
                </c:pt>
                <c:pt idx="444">
                  <c:v>1943.9999999813799</c:v>
                </c:pt>
                <c:pt idx="445">
                  <c:v>1943.9166666480201</c:v>
                </c:pt>
                <c:pt idx="446">
                  <c:v>1943.83333331466</c:v>
                </c:pt>
                <c:pt idx="447">
                  <c:v>1943.7499999813001</c:v>
                </c:pt>
                <c:pt idx="448">
                  <c:v>1943.66666664794</c:v>
                </c:pt>
                <c:pt idx="449">
                  <c:v>1943.5833333145799</c:v>
                </c:pt>
                <c:pt idx="450">
                  <c:v>1943.4999999812201</c:v>
                </c:pt>
                <c:pt idx="451">
                  <c:v>1943.41666664786</c:v>
                </c:pt>
                <c:pt idx="452">
                  <c:v>1943.3333333144999</c:v>
                </c:pt>
                <c:pt idx="453">
                  <c:v>1943.24999998114</c:v>
                </c:pt>
                <c:pt idx="454">
                  <c:v>1943.1666666477799</c:v>
                </c:pt>
                <c:pt idx="455">
                  <c:v>1943.0833333144201</c:v>
                </c:pt>
                <c:pt idx="456">
                  <c:v>1942.99999998106</c:v>
                </c:pt>
                <c:pt idx="457">
                  <c:v>1942.9166666476999</c:v>
                </c:pt>
                <c:pt idx="458">
                  <c:v>1942.8333333143401</c:v>
                </c:pt>
                <c:pt idx="459">
                  <c:v>1942.74999998098</c:v>
                </c:pt>
                <c:pt idx="460">
                  <c:v>1942.6666666476201</c:v>
                </c:pt>
                <c:pt idx="461">
                  <c:v>1942.58333331426</c:v>
                </c:pt>
                <c:pt idx="462">
                  <c:v>1942.4999999808999</c:v>
                </c:pt>
                <c:pt idx="463">
                  <c:v>1942.4166666475401</c:v>
                </c:pt>
                <c:pt idx="464">
                  <c:v>1942.33333331418</c:v>
                </c:pt>
                <c:pt idx="465">
                  <c:v>1942.2499999808199</c:v>
                </c:pt>
                <c:pt idx="466">
                  <c:v>1942.16666664746</c:v>
                </c:pt>
                <c:pt idx="467">
                  <c:v>1942.0833333140999</c:v>
                </c:pt>
                <c:pt idx="468">
                  <c:v>1941.9999999807401</c:v>
                </c:pt>
                <c:pt idx="469">
                  <c:v>1941.91666664738</c:v>
                </c:pt>
                <c:pt idx="470">
                  <c:v>1941.8333333140199</c:v>
                </c:pt>
                <c:pt idx="471">
                  <c:v>1941.74999998066</c:v>
                </c:pt>
                <c:pt idx="472">
                  <c:v>1941.6666666473</c:v>
                </c:pt>
                <c:pt idx="473">
                  <c:v>1941.5833333139401</c:v>
                </c:pt>
                <c:pt idx="474">
                  <c:v>1941.49999998058</c:v>
                </c:pt>
                <c:pt idx="475">
                  <c:v>1941.4166666472199</c:v>
                </c:pt>
                <c:pt idx="476">
                  <c:v>1941.3333333138601</c:v>
                </c:pt>
                <c:pt idx="477">
                  <c:v>1941.2499999805</c:v>
                </c:pt>
                <c:pt idx="478">
                  <c:v>1941.1666666471399</c:v>
                </c:pt>
                <c:pt idx="479">
                  <c:v>1941.08333331378</c:v>
                </c:pt>
                <c:pt idx="480">
                  <c:v>1940.9999999804199</c:v>
                </c:pt>
              </c:numCache>
            </c:numRef>
          </c:xVal>
          <c:yVal>
            <c:numRef>
              <c:f>Monthly!$F$421:$F$901</c:f>
              <c:numCache>
                <c:formatCode>0.0</c:formatCode>
                <c:ptCount val="481"/>
                <c:pt idx="0" formatCode="General">
                  <c:v>204.2</c:v>
                </c:pt>
                <c:pt idx="1">
                  <c:v>252.85769999999997</c:v>
                </c:pt>
                <c:pt idx="2">
                  <c:v>263.5831</c:v>
                </c:pt>
                <c:pt idx="3">
                  <c:v>229.79479999999995</c:v>
                </c:pt>
                <c:pt idx="4">
                  <c:v>168.07439999999997</c:v>
                </c:pt>
                <c:pt idx="5">
                  <c:v>172.154</c:v>
                </c:pt>
                <c:pt idx="6">
                  <c:v>160.17840000000001</c:v>
                </c:pt>
                <c:pt idx="7">
                  <c:v>184.52440000000001</c:v>
                </c:pt>
                <c:pt idx="8">
                  <c:v>135.2731</c:v>
                </c:pt>
                <c:pt idx="9">
                  <c:v>76.480800000000002</c:v>
                </c:pt>
                <c:pt idx="10">
                  <c:v>70.131100000000004</c:v>
                </c:pt>
                <c:pt idx="11">
                  <c:v>119.3824</c:v>
                </c:pt>
                <c:pt idx="12">
                  <c:v>213.0487</c:v>
                </c:pt>
                <c:pt idx="13">
                  <c:v>372.21889999999996</c:v>
                </c:pt>
                <c:pt idx="14">
                  <c:v>323.59269999999998</c:v>
                </c:pt>
                <c:pt idx="15">
                  <c:v>266.84019999999998</c:v>
                </c:pt>
                <c:pt idx="16">
                  <c:v>235.5523</c:v>
                </c:pt>
                <c:pt idx="17">
                  <c:v>194.03249999999997</c:v>
                </c:pt>
                <c:pt idx="18">
                  <c:v>255.35809999999998</c:v>
                </c:pt>
                <c:pt idx="19">
                  <c:v>256.54249999999996</c:v>
                </c:pt>
                <c:pt idx="20">
                  <c:v>195.24979999999999</c:v>
                </c:pt>
                <c:pt idx="21">
                  <c:v>106.25529999999999</c:v>
                </c:pt>
                <c:pt idx="22">
                  <c:v>75.987300000000005</c:v>
                </c:pt>
                <c:pt idx="23">
                  <c:v>59.175399999999996</c:v>
                </c:pt>
                <c:pt idx="24">
                  <c:v>146.19589999999999</c:v>
                </c:pt>
                <c:pt idx="25">
                  <c:v>267.33369999999996</c:v>
                </c:pt>
                <c:pt idx="26">
                  <c:v>279.40799999999996</c:v>
                </c:pt>
                <c:pt idx="27">
                  <c:v>227.09699999999998</c:v>
                </c:pt>
                <c:pt idx="28">
                  <c:v>181.7937</c:v>
                </c:pt>
                <c:pt idx="29">
                  <c:v>196.66449999999998</c:v>
                </c:pt>
                <c:pt idx="30">
                  <c:v>252.52869999999996</c:v>
                </c:pt>
                <c:pt idx="31">
                  <c:v>263.41859999999997</c:v>
                </c:pt>
                <c:pt idx="32">
                  <c:v>241.73749999999995</c:v>
                </c:pt>
                <c:pt idx="33">
                  <c:v>160.83639999999997</c:v>
                </c:pt>
                <c:pt idx="34">
                  <c:v>54.931299999999993</c:v>
                </c:pt>
                <c:pt idx="35">
                  <c:v>57.5304</c:v>
                </c:pt>
                <c:pt idx="36">
                  <c:v>135.53629999999998</c:v>
                </c:pt>
                <c:pt idx="37">
                  <c:v>292.20609999999999</c:v>
                </c:pt>
                <c:pt idx="38">
                  <c:v>305.99119999999999</c:v>
                </c:pt>
                <c:pt idx="39">
                  <c:v>238.44749999999999</c:v>
                </c:pt>
                <c:pt idx="40">
                  <c:v>154.71699999999998</c:v>
                </c:pt>
                <c:pt idx="41">
                  <c:v>176.20069999999998</c:v>
                </c:pt>
                <c:pt idx="42">
                  <c:v>173.10809999999998</c:v>
                </c:pt>
                <c:pt idx="43">
                  <c:v>189.13040000000001</c:v>
                </c:pt>
                <c:pt idx="44">
                  <c:v>123.0672</c:v>
                </c:pt>
                <c:pt idx="45">
                  <c:v>63.353700000000003</c:v>
                </c:pt>
                <c:pt idx="46">
                  <c:v>30.453699999999998</c:v>
                </c:pt>
                <c:pt idx="47">
                  <c:v>35.947999999999993</c:v>
                </c:pt>
                <c:pt idx="48">
                  <c:v>69.242800000000003</c:v>
                </c:pt>
                <c:pt idx="49">
                  <c:v>194.72339999999997</c:v>
                </c:pt>
                <c:pt idx="50">
                  <c:v>263.68179999999995</c:v>
                </c:pt>
                <c:pt idx="51">
                  <c:v>203.40899999999999</c:v>
                </c:pt>
                <c:pt idx="52">
                  <c:v>116.6846</c:v>
                </c:pt>
                <c:pt idx="53">
                  <c:v>150.2097</c:v>
                </c:pt>
                <c:pt idx="54">
                  <c:v>210.48250000000002</c:v>
                </c:pt>
                <c:pt idx="55">
                  <c:v>239.50029999999998</c:v>
                </c:pt>
                <c:pt idx="56">
                  <c:v>226.01130000000001</c:v>
                </c:pt>
                <c:pt idx="57">
                  <c:v>163.13940000000002</c:v>
                </c:pt>
                <c:pt idx="58">
                  <c:v>144.4522</c:v>
                </c:pt>
                <c:pt idx="59">
                  <c:v>165.34370000000001</c:v>
                </c:pt>
                <c:pt idx="60">
                  <c:v>309.51149999999996</c:v>
                </c:pt>
                <c:pt idx="61">
                  <c:v>471.97169999999994</c:v>
                </c:pt>
                <c:pt idx="62">
                  <c:v>472.26779999999997</c:v>
                </c:pt>
                <c:pt idx="63">
                  <c:v>383.99709999999999</c:v>
                </c:pt>
                <c:pt idx="64">
                  <c:v>318.13129999999995</c:v>
                </c:pt>
                <c:pt idx="65">
                  <c:v>268.61679999999996</c:v>
                </c:pt>
                <c:pt idx="66">
                  <c:v>252.69319999999999</c:v>
                </c:pt>
                <c:pt idx="67">
                  <c:v>222.35939999999999</c:v>
                </c:pt>
                <c:pt idx="68">
                  <c:v>170.90379999999999</c:v>
                </c:pt>
                <c:pt idx="69">
                  <c:v>105.76180000000001</c:v>
                </c:pt>
                <c:pt idx="70">
                  <c:v>127.27839999999999</c:v>
                </c:pt>
                <c:pt idx="71">
                  <c:v>93.852000000000004</c:v>
                </c:pt>
                <c:pt idx="72">
                  <c:v>196.99349999999998</c:v>
                </c:pt>
                <c:pt idx="73">
                  <c:v>432.03109999999998</c:v>
                </c:pt>
                <c:pt idx="74">
                  <c:v>442.42749999999995</c:v>
                </c:pt>
                <c:pt idx="75">
                  <c:v>314.7097</c:v>
                </c:pt>
                <c:pt idx="76">
                  <c:v>206.89639999999997</c:v>
                </c:pt>
                <c:pt idx="77">
                  <c:v>197.28960000000001</c:v>
                </c:pt>
                <c:pt idx="78">
                  <c:v>204.82369999999997</c:v>
                </c:pt>
                <c:pt idx="79">
                  <c:v>227.9853</c:v>
                </c:pt>
                <c:pt idx="80">
                  <c:v>218.14819999999997</c:v>
                </c:pt>
                <c:pt idx="81">
                  <c:v>170.44319999999999</c:v>
                </c:pt>
                <c:pt idx="82">
                  <c:v>178.37209999999999</c:v>
                </c:pt>
                <c:pt idx="83">
                  <c:v>206.10680000000002</c:v>
                </c:pt>
                <c:pt idx="84">
                  <c:v>311.4855</c:v>
                </c:pt>
                <c:pt idx="85">
                  <c:v>385.04989999999998</c:v>
                </c:pt>
                <c:pt idx="86">
                  <c:v>374.02839999999998</c:v>
                </c:pt>
                <c:pt idx="87">
                  <c:v>340.40459999999996</c:v>
                </c:pt>
                <c:pt idx="88">
                  <c:v>266.54409999999996</c:v>
                </c:pt>
                <c:pt idx="89">
                  <c:v>210.21929999999998</c:v>
                </c:pt>
                <c:pt idx="90">
                  <c:v>181.5634</c:v>
                </c:pt>
                <c:pt idx="91">
                  <c:v>145.2747</c:v>
                </c:pt>
                <c:pt idx="92">
                  <c:v>115.2041</c:v>
                </c:pt>
                <c:pt idx="93">
                  <c:v>63.584000000000003</c:v>
                </c:pt>
                <c:pt idx="94">
                  <c:v>42.001599999999996</c:v>
                </c:pt>
                <c:pt idx="95">
                  <c:v>46.344399999999993</c:v>
                </c:pt>
                <c:pt idx="96">
                  <c:v>103.06400000000001</c:v>
                </c:pt>
                <c:pt idx="97">
                  <c:v>214.69369999999998</c:v>
                </c:pt>
                <c:pt idx="98">
                  <c:v>230.58439999999996</c:v>
                </c:pt>
                <c:pt idx="99">
                  <c:v>198.17789999999997</c:v>
                </c:pt>
                <c:pt idx="100">
                  <c:v>183.01099999999997</c:v>
                </c:pt>
                <c:pt idx="101">
                  <c:v>181.89240000000001</c:v>
                </c:pt>
                <c:pt idx="102">
                  <c:v>279.76989999999995</c:v>
                </c:pt>
                <c:pt idx="103">
                  <c:v>291.48229999999995</c:v>
                </c:pt>
                <c:pt idx="104">
                  <c:v>228.3143</c:v>
                </c:pt>
                <c:pt idx="105">
                  <c:v>144.71539999999999</c:v>
                </c:pt>
                <c:pt idx="106">
                  <c:v>109.2163</c:v>
                </c:pt>
                <c:pt idx="107">
                  <c:v>160.90219999999999</c:v>
                </c:pt>
                <c:pt idx="108">
                  <c:v>203.83670000000001</c:v>
                </c:pt>
                <c:pt idx="109">
                  <c:v>318.92089999999996</c:v>
                </c:pt>
                <c:pt idx="110">
                  <c:v>361.88829999999996</c:v>
                </c:pt>
                <c:pt idx="111">
                  <c:v>338.46349999999995</c:v>
                </c:pt>
                <c:pt idx="112">
                  <c:v>314.64389999999997</c:v>
                </c:pt>
                <c:pt idx="113">
                  <c:v>287.53429999999997</c:v>
                </c:pt>
                <c:pt idx="114">
                  <c:v>325.82989999999995</c:v>
                </c:pt>
                <c:pt idx="115">
                  <c:v>343.46429999999998</c:v>
                </c:pt>
                <c:pt idx="116">
                  <c:v>294.21299999999997</c:v>
                </c:pt>
                <c:pt idx="117">
                  <c:v>263.51729999999998</c:v>
                </c:pt>
                <c:pt idx="118">
                  <c:v>231.86749999999995</c:v>
                </c:pt>
                <c:pt idx="119">
                  <c:v>264.86619999999999</c:v>
                </c:pt>
                <c:pt idx="120">
                  <c:v>323.95459999999997</c:v>
                </c:pt>
                <c:pt idx="121">
                  <c:v>311.09069999999997</c:v>
                </c:pt>
                <c:pt idx="122">
                  <c:v>314.57809999999995</c:v>
                </c:pt>
                <c:pt idx="123">
                  <c:v>330.13979999999998</c:v>
                </c:pt>
                <c:pt idx="124">
                  <c:v>298.45709999999997</c:v>
                </c:pt>
                <c:pt idx="125">
                  <c:v>265.62289999999996</c:v>
                </c:pt>
                <c:pt idx="126">
                  <c:v>254.79879999999997</c:v>
                </c:pt>
                <c:pt idx="127">
                  <c:v>262.46449999999999</c:v>
                </c:pt>
                <c:pt idx="128">
                  <c:v>201.96139999999997</c:v>
                </c:pt>
                <c:pt idx="129">
                  <c:v>129.74590000000001</c:v>
                </c:pt>
                <c:pt idx="130">
                  <c:v>115.7634</c:v>
                </c:pt>
                <c:pt idx="131">
                  <c:v>154.74989999999997</c:v>
                </c:pt>
                <c:pt idx="132">
                  <c:v>266.93889999999999</c:v>
                </c:pt>
                <c:pt idx="133">
                  <c:v>350.07719999999995</c:v>
                </c:pt>
                <c:pt idx="134">
                  <c:v>333.36399999999998</c:v>
                </c:pt>
                <c:pt idx="135">
                  <c:v>269.04449999999997</c:v>
                </c:pt>
                <c:pt idx="136">
                  <c:v>209.72579999999999</c:v>
                </c:pt>
                <c:pt idx="137">
                  <c:v>184.45859999999999</c:v>
                </c:pt>
                <c:pt idx="138">
                  <c:v>213.18029999999999</c:v>
                </c:pt>
                <c:pt idx="139">
                  <c:v>249.07419999999996</c:v>
                </c:pt>
                <c:pt idx="140">
                  <c:v>219.06939999999997</c:v>
                </c:pt>
                <c:pt idx="141">
                  <c:v>136.95100000000002</c:v>
                </c:pt>
                <c:pt idx="142">
                  <c:v>86.284999999999997</c:v>
                </c:pt>
                <c:pt idx="143">
                  <c:v>101.55059999999999</c:v>
                </c:pt>
                <c:pt idx="144">
                  <c:v>173.27260000000001</c:v>
                </c:pt>
                <c:pt idx="145">
                  <c:v>309.21539999999999</c:v>
                </c:pt>
                <c:pt idx="146">
                  <c:v>308.78769999999997</c:v>
                </c:pt>
                <c:pt idx="147">
                  <c:v>273.45309999999995</c:v>
                </c:pt>
                <c:pt idx="148">
                  <c:v>247.3963</c:v>
                </c:pt>
                <c:pt idx="149">
                  <c:v>237.3947</c:v>
                </c:pt>
                <c:pt idx="150">
                  <c:v>249.20579999999995</c:v>
                </c:pt>
                <c:pt idx="151">
                  <c:v>222.98449999999997</c:v>
                </c:pt>
                <c:pt idx="152">
                  <c:v>174.42410000000001</c:v>
                </c:pt>
                <c:pt idx="153">
                  <c:v>120.1391</c:v>
                </c:pt>
                <c:pt idx="154">
                  <c:v>82.238299999999995</c:v>
                </c:pt>
                <c:pt idx="155">
                  <c:v>86.581099999999992</c:v>
                </c:pt>
                <c:pt idx="156">
                  <c:v>121.81699999999999</c:v>
                </c:pt>
                <c:pt idx="157">
                  <c:v>237.03279999999995</c:v>
                </c:pt>
                <c:pt idx="158">
                  <c:v>248.44909999999999</c:v>
                </c:pt>
                <c:pt idx="159">
                  <c:v>200.80989999999997</c:v>
                </c:pt>
                <c:pt idx="160">
                  <c:v>198.01339999999999</c:v>
                </c:pt>
                <c:pt idx="161">
                  <c:v>212.3578</c:v>
                </c:pt>
                <c:pt idx="162">
                  <c:v>250.32439999999997</c:v>
                </c:pt>
                <c:pt idx="163">
                  <c:v>235.81549999999999</c:v>
                </c:pt>
                <c:pt idx="164">
                  <c:v>185.7088</c:v>
                </c:pt>
                <c:pt idx="165">
                  <c:v>120.3694</c:v>
                </c:pt>
                <c:pt idx="166">
                  <c:v>117.70450000000001</c:v>
                </c:pt>
                <c:pt idx="167">
                  <c:v>166.8571</c:v>
                </c:pt>
                <c:pt idx="168">
                  <c:v>293.29179999999997</c:v>
                </c:pt>
                <c:pt idx="169">
                  <c:v>317.83519999999999</c:v>
                </c:pt>
                <c:pt idx="170">
                  <c:v>284.21139999999997</c:v>
                </c:pt>
                <c:pt idx="171">
                  <c:v>249.40319999999997</c:v>
                </c:pt>
                <c:pt idx="172">
                  <c:v>239.63189999999997</c:v>
                </c:pt>
                <c:pt idx="173">
                  <c:v>238.41459999999995</c:v>
                </c:pt>
                <c:pt idx="174">
                  <c:v>250.98239999999998</c:v>
                </c:pt>
                <c:pt idx="175">
                  <c:v>211.37079999999997</c:v>
                </c:pt>
                <c:pt idx="176">
                  <c:v>140.57</c:v>
                </c:pt>
                <c:pt idx="177">
                  <c:v>83.620099999999994</c:v>
                </c:pt>
                <c:pt idx="178">
                  <c:v>68.683499999999995</c:v>
                </c:pt>
                <c:pt idx="179">
                  <c:v>102.0441</c:v>
                </c:pt>
                <c:pt idx="180">
                  <c:v>222.62259999999998</c:v>
                </c:pt>
                <c:pt idx="181">
                  <c:v>292.17319999999995</c:v>
                </c:pt>
                <c:pt idx="182">
                  <c:v>247.9556</c:v>
                </c:pt>
                <c:pt idx="183">
                  <c:v>203.57349999999997</c:v>
                </c:pt>
                <c:pt idx="184">
                  <c:v>160.47449999999998</c:v>
                </c:pt>
                <c:pt idx="185">
                  <c:v>138.56310000000002</c:v>
                </c:pt>
                <c:pt idx="186">
                  <c:v>126.25849999999998</c:v>
                </c:pt>
                <c:pt idx="187">
                  <c:v>175.9375</c:v>
                </c:pt>
                <c:pt idx="188">
                  <c:v>159.3888</c:v>
                </c:pt>
                <c:pt idx="189">
                  <c:v>97.273600000000002</c:v>
                </c:pt>
                <c:pt idx="190">
                  <c:v>61.412599999999998</c:v>
                </c:pt>
                <c:pt idx="191">
                  <c:v>73.750100000000003</c:v>
                </c:pt>
                <c:pt idx="192">
                  <c:v>150.9006</c:v>
                </c:pt>
                <c:pt idx="193">
                  <c:v>267.10339999999997</c:v>
                </c:pt>
                <c:pt idx="194">
                  <c:v>315.43349999999998</c:v>
                </c:pt>
                <c:pt idx="195">
                  <c:v>295.39739999999995</c:v>
                </c:pt>
                <c:pt idx="196">
                  <c:v>300.13499999999999</c:v>
                </c:pt>
                <c:pt idx="197">
                  <c:v>293.09439999999995</c:v>
                </c:pt>
                <c:pt idx="198">
                  <c:v>272.16999999999996</c:v>
                </c:pt>
                <c:pt idx="199">
                  <c:v>219.66159999999996</c:v>
                </c:pt>
                <c:pt idx="200">
                  <c:v>151.26249999999999</c:v>
                </c:pt>
                <c:pt idx="201">
                  <c:v>101.91250000000001</c:v>
                </c:pt>
                <c:pt idx="202">
                  <c:v>57.629099999999994</c:v>
                </c:pt>
                <c:pt idx="203">
                  <c:v>58.287099999999995</c:v>
                </c:pt>
                <c:pt idx="204">
                  <c:v>140.80029999999999</c:v>
                </c:pt>
                <c:pt idx="205">
                  <c:v>269.57089999999999</c:v>
                </c:pt>
                <c:pt idx="206">
                  <c:v>263.5831</c:v>
                </c:pt>
                <c:pt idx="207">
                  <c:v>222.52389999999997</c:v>
                </c:pt>
                <c:pt idx="208">
                  <c:v>211.53530000000001</c:v>
                </c:pt>
                <c:pt idx="209">
                  <c:v>238.05269999999996</c:v>
                </c:pt>
                <c:pt idx="210">
                  <c:v>259.86539999999997</c:v>
                </c:pt>
                <c:pt idx="211">
                  <c:v>275.26259999999996</c:v>
                </c:pt>
                <c:pt idx="212">
                  <c:v>238.64489999999995</c:v>
                </c:pt>
                <c:pt idx="213">
                  <c:v>175.87169999999998</c:v>
                </c:pt>
                <c:pt idx="214">
                  <c:v>118.5928</c:v>
                </c:pt>
                <c:pt idx="215">
                  <c:v>114.01969999999999</c:v>
                </c:pt>
                <c:pt idx="216">
                  <c:v>165.17919999999998</c:v>
                </c:pt>
                <c:pt idx="217">
                  <c:v>277.03919999999999</c:v>
                </c:pt>
                <c:pt idx="218">
                  <c:v>294.54199999999997</c:v>
                </c:pt>
                <c:pt idx="219">
                  <c:v>268.22199999999998</c:v>
                </c:pt>
                <c:pt idx="220">
                  <c:v>269.93279999999999</c:v>
                </c:pt>
                <c:pt idx="221">
                  <c:v>285.85639999999995</c:v>
                </c:pt>
                <c:pt idx="222">
                  <c:v>296.97659999999996</c:v>
                </c:pt>
                <c:pt idx="223">
                  <c:v>269.24189999999999</c:v>
                </c:pt>
                <c:pt idx="224">
                  <c:v>204.72499999999997</c:v>
                </c:pt>
                <c:pt idx="225">
                  <c:v>125.04119999999999</c:v>
                </c:pt>
                <c:pt idx="226">
                  <c:v>98.819900000000004</c:v>
                </c:pt>
                <c:pt idx="227">
                  <c:v>101.15579999999999</c:v>
                </c:pt>
                <c:pt idx="228">
                  <c:v>201.13889999999998</c:v>
                </c:pt>
                <c:pt idx="229">
                  <c:v>322.21089999999998</c:v>
                </c:pt>
                <c:pt idx="230">
                  <c:v>285.26419999999996</c:v>
                </c:pt>
                <c:pt idx="231">
                  <c:v>212.62099999999998</c:v>
                </c:pt>
                <c:pt idx="232">
                  <c:v>189.82130000000001</c:v>
                </c:pt>
                <c:pt idx="233">
                  <c:v>159.3888</c:v>
                </c:pt>
                <c:pt idx="234">
                  <c:v>167.58089999999999</c:v>
                </c:pt>
                <c:pt idx="235">
                  <c:v>156.09879999999998</c:v>
                </c:pt>
                <c:pt idx="236">
                  <c:v>153.79579999999999</c:v>
                </c:pt>
                <c:pt idx="237">
                  <c:v>111.19029999999999</c:v>
                </c:pt>
                <c:pt idx="238">
                  <c:v>68.124200000000002</c:v>
                </c:pt>
                <c:pt idx="239">
                  <c:v>108.26219999999999</c:v>
                </c:pt>
                <c:pt idx="240">
                  <c:v>212.8184</c:v>
                </c:pt>
                <c:pt idx="241">
                  <c:v>306.38599999999997</c:v>
                </c:pt>
                <c:pt idx="242">
                  <c:v>274.76909999999998</c:v>
                </c:pt>
                <c:pt idx="243">
                  <c:v>215.74649999999997</c:v>
                </c:pt>
                <c:pt idx="244">
                  <c:v>223.24769999999995</c:v>
                </c:pt>
                <c:pt idx="245">
                  <c:v>201.6653</c:v>
                </c:pt>
                <c:pt idx="246">
                  <c:v>225.35329999999999</c:v>
                </c:pt>
                <c:pt idx="247">
                  <c:v>225.35329999999999</c:v>
                </c:pt>
                <c:pt idx="248">
                  <c:v>194.06540000000001</c:v>
                </c:pt>
                <c:pt idx="249">
                  <c:v>121.65249999999999</c:v>
                </c:pt>
                <c:pt idx="250">
                  <c:v>88.653800000000004</c:v>
                </c:pt>
                <c:pt idx="251">
                  <c:v>124.3832</c:v>
                </c:pt>
                <c:pt idx="252">
                  <c:v>188.63689999999997</c:v>
                </c:pt>
                <c:pt idx="253">
                  <c:v>259.86539999999997</c:v>
                </c:pt>
                <c:pt idx="254">
                  <c:v>266.54409999999996</c:v>
                </c:pt>
                <c:pt idx="255">
                  <c:v>206.00810000000001</c:v>
                </c:pt>
                <c:pt idx="256">
                  <c:v>170.7722</c:v>
                </c:pt>
                <c:pt idx="257">
                  <c:v>166.75839999999999</c:v>
                </c:pt>
                <c:pt idx="258">
                  <c:v>193.99959999999999</c:v>
                </c:pt>
                <c:pt idx="259">
                  <c:v>189.98579999999998</c:v>
                </c:pt>
                <c:pt idx="260">
                  <c:v>157.94119999999998</c:v>
                </c:pt>
                <c:pt idx="261">
                  <c:v>68.124200000000002</c:v>
                </c:pt>
                <c:pt idx="262">
                  <c:v>41.837100000000007</c:v>
                </c:pt>
                <c:pt idx="263">
                  <c:v>36.540199999999999</c:v>
                </c:pt>
                <c:pt idx="264">
                  <c:v>79.836600000000004</c:v>
                </c:pt>
                <c:pt idx="265">
                  <c:v>149.18979999999999</c:v>
                </c:pt>
                <c:pt idx="266">
                  <c:v>203.34319999999997</c:v>
                </c:pt>
                <c:pt idx="267">
                  <c:v>152.5127</c:v>
                </c:pt>
                <c:pt idx="268">
                  <c:v>131.32510000000002</c:v>
                </c:pt>
                <c:pt idx="269">
                  <c:v>150.6703</c:v>
                </c:pt>
                <c:pt idx="270">
                  <c:v>122.40919999999998</c:v>
                </c:pt>
                <c:pt idx="271">
                  <c:v>178.14179999999999</c:v>
                </c:pt>
                <c:pt idx="272">
                  <c:v>152.67719999999997</c:v>
                </c:pt>
                <c:pt idx="273">
                  <c:v>79.408900000000003</c:v>
                </c:pt>
                <c:pt idx="274">
                  <c:v>49.338300000000004</c:v>
                </c:pt>
                <c:pt idx="275">
                  <c:v>53.417900000000003</c:v>
                </c:pt>
                <c:pt idx="276">
                  <c:v>86.482399999999998</c:v>
                </c:pt>
                <c:pt idx="277">
                  <c:v>176.99029999999999</c:v>
                </c:pt>
                <c:pt idx="278">
                  <c:v>201.99430000000001</c:v>
                </c:pt>
                <c:pt idx="279">
                  <c:v>172.9436</c:v>
                </c:pt>
                <c:pt idx="280">
                  <c:v>135.17439999999999</c:v>
                </c:pt>
                <c:pt idx="281">
                  <c:v>141.1293</c:v>
                </c:pt>
                <c:pt idx="282">
                  <c:v>176.00329999999997</c:v>
                </c:pt>
                <c:pt idx="283">
                  <c:v>225.97839999999997</c:v>
                </c:pt>
                <c:pt idx="284">
                  <c:v>157.71089999999998</c:v>
                </c:pt>
                <c:pt idx="285">
                  <c:v>108.8873</c:v>
                </c:pt>
                <c:pt idx="286">
                  <c:v>92.470199999999991</c:v>
                </c:pt>
                <c:pt idx="287">
                  <c:v>104.8077</c:v>
                </c:pt>
                <c:pt idx="288">
                  <c:v>235.61809999999997</c:v>
                </c:pt>
                <c:pt idx="291">
                  <c:v>287.86329999999998</c:v>
                </c:pt>
                <c:pt idx="292">
                  <c:v>245.19199999999995</c:v>
                </c:pt>
                <c:pt idx="293">
                  <c:v>239.03969999999998</c:v>
                </c:pt>
                <c:pt idx="294">
                  <c:v>291.54809999999998</c:v>
                </c:pt>
                <c:pt idx="295">
                  <c:v>278.61839999999995</c:v>
                </c:pt>
                <c:pt idx="296">
                  <c:v>205.18559999999997</c:v>
                </c:pt>
                <c:pt idx="297">
                  <c:v>180.74090000000001</c:v>
                </c:pt>
                <c:pt idx="298">
                  <c:v>199.00040000000001</c:v>
                </c:pt>
                <c:pt idx="299">
                  <c:v>235.45359999999999</c:v>
                </c:pt>
                <c:pt idx="300">
                  <c:v>317.70359999999999</c:v>
                </c:pt>
                <c:pt idx="303">
                  <c:v>315.66379999999998</c:v>
                </c:pt>
                <c:pt idx="304">
                  <c:v>300.52979999999997</c:v>
                </c:pt>
                <c:pt idx="305">
                  <c:v>303.49079999999998</c:v>
                </c:pt>
                <c:pt idx="306">
                  <c:v>299.87179999999995</c:v>
                </c:pt>
                <c:pt idx="307">
                  <c:v>276.84179999999998</c:v>
                </c:pt>
                <c:pt idx="308">
                  <c:v>240.91499999999996</c:v>
                </c:pt>
                <c:pt idx="309">
                  <c:v>179.392</c:v>
                </c:pt>
                <c:pt idx="310">
                  <c:v>115.40149999999998</c:v>
                </c:pt>
                <c:pt idx="311">
                  <c:v>129.81169999999997</c:v>
                </c:pt>
                <c:pt idx="312">
                  <c:v>277.3682</c:v>
                </c:pt>
                <c:pt idx="313">
                  <c:v>343.16819999999996</c:v>
                </c:pt>
                <c:pt idx="314">
                  <c:v>327.73809999999997</c:v>
                </c:pt>
                <c:pt idx="315">
                  <c:v>279.93439999999998</c:v>
                </c:pt>
                <c:pt idx="316">
                  <c:v>268.32069999999999</c:v>
                </c:pt>
                <c:pt idx="317">
                  <c:v>308.78769999999997</c:v>
                </c:pt>
                <c:pt idx="318">
                  <c:v>285.36289999999997</c:v>
                </c:pt>
                <c:pt idx="319">
                  <c:v>225.84679999999997</c:v>
                </c:pt>
                <c:pt idx="320">
                  <c:v>186.10359999999997</c:v>
                </c:pt>
                <c:pt idx="321">
                  <c:v>112.4405</c:v>
                </c:pt>
                <c:pt idx="322">
                  <c:v>82.468599999999995</c:v>
                </c:pt>
                <c:pt idx="323">
                  <c:v>92.963700000000003</c:v>
                </c:pt>
                <c:pt idx="324">
                  <c:v>195.54590000000002</c:v>
                </c:pt>
                <c:pt idx="325">
                  <c:v>248.71229999999997</c:v>
                </c:pt>
                <c:pt idx="326">
                  <c:v>240.25700000000001</c:v>
                </c:pt>
                <c:pt idx="327">
                  <c:v>197.51990000000001</c:v>
                </c:pt>
                <c:pt idx="328">
                  <c:v>137.6748</c:v>
                </c:pt>
                <c:pt idx="329">
                  <c:v>135.70080000000002</c:v>
                </c:pt>
                <c:pt idx="330">
                  <c:v>181.30020000000002</c:v>
                </c:pt>
                <c:pt idx="331">
                  <c:v>209.85739999999998</c:v>
                </c:pt>
                <c:pt idx="332">
                  <c:v>163.5342</c:v>
                </c:pt>
                <c:pt idx="333">
                  <c:v>115.03959999999999</c:v>
                </c:pt>
                <c:pt idx="334">
                  <c:v>72.203800000000001</c:v>
                </c:pt>
                <c:pt idx="335">
                  <c:v>114.77640000000001</c:v>
                </c:pt>
                <c:pt idx="336">
                  <c:v>177.97730000000001</c:v>
                </c:pt>
                <c:pt idx="337">
                  <c:v>240.9479</c:v>
                </c:pt>
                <c:pt idx="338">
                  <c:v>225.38619999999997</c:v>
                </c:pt>
                <c:pt idx="339">
                  <c:v>199.9545</c:v>
                </c:pt>
                <c:pt idx="340">
                  <c:v>177.64830000000001</c:v>
                </c:pt>
                <c:pt idx="341">
                  <c:v>194.46019999999999</c:v>
                </c:pt>
                <c:pt idx="342">
                  <c:v>197.91469999999998</c:v>
                </c:pt>
                <c:pt idx="343">
                  <c:v>197.38830000000002</c:v>
                </c:pt>
                <c:pt idx="344">
                  <c:v>180.1816</c:v>
                </c:pt>
                <c:pt idx="345">
                  <c:v>92.568899999999999</c:v>
                </c:pt>
                <c:pt idx="346">
                  <c:v>66.906899999999993</c:v>
                </c:pt>
                <c:pt idx="347">
                  <c:v>83.7517</c:v>
                </c:pt>
                <c:pt idx="348">
                  <c:v>176.69419999999997</c:v>
                </c:pt>
                <c:pt idx="349">
                  <c:v>261.642</c:v>
                </c:pt>
                <c:pt idx="350">
                  <c:v>240.7176</c:v>
                </c:pt>
                <c:pt idx="351">
                  <c:v>208.34399999999999</c:v>
                </c:pt>
                <c:pt idx="352">
                  <c:v>204.29730000000001</c:v>
                </c:pt>
                <c:pt idx="353">
                  <c:v>190.74250000000001</c:v>
                </c:pt>
                <c:pt idx="354">
                  <c:v>201.435</c:v>
                </c:pt>
                <c:pt idx="355">
                  <c:v>197.6515</c:v>
                </c:pt>
                <c:pt idx="356">
                  <c:v>165.96879999999999</c:v>
                </c:pt>
                <c:pt idx="357">
                  <c:v>115.69760000000001</c:v>
                </c:pt>
                <c:pt idx="358">
                  <c:v>141.72149999999999</c:v>
                </c:pt>
                <c:pt idx="359">
                  <c:v>190.6438</c:v>
                </c:pt>
                <c:pt idx="360">
                  <c:v>256.77279999999996</c:v>
                </c:pt>
                <c:pt idx="361">
                  <c:v>348.03739999999999</c:v>
                </c:pt>
                <c:pt idx="362">
                  <c:v>320.30269999999996</c:v>
                </c:pt>
                <c:pt idx="363">
                  <c:v>287.3698</c:v>
                </c:pt>
                <c:pt idx="364">
                  <c:v>319.74339999999995</c:v>
                </c:pt>
                <c:pt idx="365">
                  <c:v>328.59349999999995</c:v>
                </c:pt>
                <c:pt idx="366">
                  <c:v>343.892</c:v>
                </c:pt>
                <c:pt idx="367">
                  <c:v>283.78369999999995</c:v>
                </c:pt>
                <c:pt idx="368">
                  <c:v>214.69369999999998</c:v>
                </c:pt>
                <c:pt idx="369">
                  <c:v>164.65280000000001</c:v>
                </c:pt>
                <c:pt idx="370">
                  <c:v>179.55649999999997</c:v>
                </c:pt>
                <c:pt idx="371">
                  <c:v>169.52199999999999</c:v>
                </c:pt>
                <c:pt idx="372">
                  <c:v>177.7799</c:v>
                </c:pt>
                <c:pt idx="373">
                  <c:v>327.27749999999997</c:v>
                </c:pt>
                <c:pt idx="374">
                  <c:v>318.7235</c:v>
                </c:pt>
                <c:pt idx="375">
                  <c:v>265.06359999999995</c:v>
                </c:pt>
                <c:pt idx="376">
                  <c:v>230.48569999999995</c:v>
                </c:pt>
                <c:pt idx="377">
                  <c:v>199.13200000000001</c:v>
                </c:pt>
                <c:pt idx="378">
                  <c:v>220.9776</c:v>
                </c:pt>
                <c:pt idx="379">
                  <c:v>172.9436</c:v>
                </c:pt>
                <c:pt idx="380">
                  <c:v>145.47210000000001</c:v>
                </c:pt>
                <c:pt idx="381">
                  <c:v>81.4816</c:v>
                </c:pt>
                <c:pt idx="382">
                  <c:v>68.815100000000001</c:v>
                </c:pt>
                <c:pt idx="383">
                  <c:v>59.866299999999995</c:v>
                </c:pt>
                <c:pt idx="384">
                  <c:v>102.6692</c:v>
                </c:pt>
                <c:pt idx="385">
                  <c:v>238.97389999999996</c:v>
                </c:pt>
                <c:pt idx="386">
                  <c:v>256.97019999999998</c:v>
                </c:pt>
                <c:pt idx="387">
                  <c:v>192.61779999999999</c:v>
                </c:pt>
                <c:pt idx="388">
                  <c:v>117.07940000000001</c:v>
                </c:pt>
                <c:pt idx="389">
                  <c:v>135.00990000000002</c:v>
                </c:pt>
                <c:pt idx="390">
                  <c:v>158.56630000000001</c:v>
                </c:pt>
                <c:pt idx="391">
                  <c:v>201.96139999999997</c:v>
                </c:pt>
                <c:pt idx="392">
                  <c:v>147.77510000000001</c:v>
                </c:pt>
                <c:pt idx="393">
                  <c:v>103.52460000000001</c:v>
                </c:pt>
                <c:pt idx="395">
                  <c:v>40.751400000000004</c:v>
                </c:pt>
                <c:pt idx="396">
                  <c:v>85.988900000000001</c:v>
                </c:pt>
                <c:pt idx="397">
                  <c:v>216.79930000000002</c:v>
                </c:pt>
                <c:pt idx="398">
                  <c:v>298.55579999999998</c:v>
                </c:pt>
                <c:pt idx="399">
                  <c:v>252.59449999999998</c:v>
                </c:pt>
                <c:pt idx="400">
                  <c:v>210.84440000000001</c:v>
                </c:pt>
                <c:pt idx="401">
                  <c:v>234.6311</c:v>
                </c:pt>
                <c:pt idx="402">
                  <c:v>222.4581</c:v>
                </c:pt>
                <c:pt idx="403">
                  <c:v>203.01420000000002</c:v>
                </c:pt>
                <c:pt idx="404">
                  <c:v>133.62810000000002</c:v>
                </c:pt>
                <c:pt idx="405">
                  <c:v>77.796800000000005</c:v>
                </c:pt>
                <c:pt idx="406">
                  <c:v>53.055999999999997</c:v>
                </c:pt>
                <c:pt idx="407">
                  <c:v>72.039299999999997</c:v>
                </c:pt>
                <c:pt idx="408">
                  <c:v>141.22800000000001</c:v>
                </c:pt>
                <c:pt idx="409">
                  <c:v>214.2989</c:v>
                </c:pt>
                <c:pt idx="410">
                  <c:v>196.5</c:v>
                </c:pt>
                <c:pt idx="411">
                  <c:v>147.38029999999998</c:v>
                </c:pt>
                <c:pt idx="412">
                  <c:v>126.8507</c:v>
                </c:pt>
                <c:pt idx="413">
                  <c:v>128.79180000000002</c:v>
                </c:pt>
                <c:pt idx="414">
                  <c:v>119.6785</c:v>
                </c:pt>
                <c:pt idx="415">
                  <c:v>179.98419999999999</c:v>
                </c:pt>
                <c:pt idx="416">
                  <c:v>170.73930000000001</c:v>
                </c:pt>
                <c:pt idx="417">
                  <c:v>120.5339</c:v>
                </c:pt>
                <c:pt idx="418">
                  <c:v>80.922299999999993</c:v>
                </c:pt>
                <c:pt idx="419">
                  <c:v>85.594099999999997</c:v>
                </c:pt>
                <c:pt idx="420">
                  <c:v>176.49680000000001</c:v>
                </c:pt>
                <c:pt idx="421">
                  <c:v>276.05219999999997</c:v>
                </c:pt>
                <c:pt idx="422">
                  <c:v>278.5197</c:v>
                </c:pt>
                <c:pt idx="423">
                  <c:v>233.57829999999996</c:v>
                </c:pt>
                <c:pt idx="424">
                  <c:v>211.8972</c:v>
                </c:pt>
                <c:pt idx="425">
                  <c:v>199.19779999999997</c:v>
                </c:pt>
                <c:pt idx="426">
                  <c:v>212.52229999999997</c:v>
                </c:pt>
                <c:pt idx="427">
                  <c:v>247.82399999999996</c:v>
                </c:pt>
                <c:pt idx="428">
                  <c:v>195.64459999999997</c:v>
                </c:pt>
                <c:pt idx="432">
                  <c:v>164.98180000000002</c:v>
                </c:pt>
                <c:pt idx="433">
                  <c:v>323.23079999999999</c:v>
                </c:pt>
                <c:pt idx="434">
                  <c:v>333.06789999999995</c:v>
                </c:pt>
                <c:pt idx="435">
                  <c:v>269.1103</c:v>
                </c:pt>
                <c:pt idx="436">
                  <c:v>232.2294</c:v>
                </c:pt>
                <c:pt idx="437">
                  <c:v>212.52229999999997</c:v>
                </c:pt>
                <c:pt idx="438">
                  <c:v>279.40799999999996</c:v>
                </c:pt>
                <c:pt idx="439">
                  <c:v>261.70779999999996</c:v>
                </c:pt>
                <c:pt idx="440">
                  <c:v>192.84809999999999</c:v>
                </c:pt>
                <c:pt idx="441">
                  <c:v>125.63340000000001</c:v>
                </c:pt>
                <c:pt idx="444">
                  <c:v>147.05129999999997</c:v>
                </c:pt>
                <c:pt idx="445">
                  <c:v>246.44219999999996</c:v>
                </c:pt>
                <c:pt idx="446">
                  <c:v>282.00709999999998</c:v>
                </c:pt>
                <c:pt idx="447">
                  <c:v>196.13810000000001</c:v>
                </c:pt>
                <c:pt idx="448">
                  <c:v>164.98180000000002</c:v>
                </c:pt>
                <c:pt idx="449">
                  <c:v>168.6995</c:v>
                </c:pt>
                <c:pt idx="450">
                  <c:v>208.73879999999997</c:v>
                </c:pt>
                <c:pt idx="451">
                  <c:v>265.12939999999998</c:v>
                </c:pt>
                <c:pt idx="452">
                  <c:v>243.38249999999999</c:v>
                </c:pt>
                <c:pt idx="453">
                  <c:v>177.35219999999998</c:v>
                </c:pt>
                <c:pt idx="454">
                  <c:v>142.11630000000002</c:v>
                </c:pt>
                <c:pt idx="455">
                  <c:v>183.20839999999998</c:v>
                </c:pt>
                <c:pt idx="456">
                  <c:v>284.57329999999996</c:v>
                </c:pt>
                <c:pt idx="457">
                  <c:v>341.98379999999997</c:v>
                </c:pt>
                <c:pt idx="458">
                  <c:v>315.13739999999996</c:v>
                </c:pt>
                <c:pt idx="459">
                  <c:v>234.46659999999997</c:v>
                </c:pt>
                <c:pt idx="460">
                  <c:v>210.77859999999998</c:v>
                </c:pt>
                <c:pt idx="461">
                  <c:v>208.2124</c:v>
                </c:pt>
                <c:pt idx="462">
                  <c:v>197.94759999999997</c:v>
                </c:pt>
                <c:pt idx="463">
                  <c:v>298.52289999999999</c:v>
                </c:pt>
                <c:pt idx="464">
                  <c:v>254.83169999999996</c:v>
                </c:pt>
                <c:pt idx="465">
                  <c:v>131.06189999999998</c:v>
                </c:pt>
                <c:pt idx="466">
                  <c:v>88.4893</c:v>
                </c:pt>
                <c:pt idx="467">
                  <c:v>68.551900000000003</c:v>
                </c:pt>
                <c:pt idx="468">
                  <c:v>75.625399999999999</c:v>
                </c:pt>
                <c:pt idx="469">
                  <c:v>140.53710000000001</c:v>
                </c:pt>
                <c:pt idx="470">
                  <c:v>142.41239999999999</c:v>
                </c:pt>
                <c:pt idx="471">
                  <c:v>138.33280000000002</c:v>
                </c:pt>
                <c:pt idx="472">
                  <c:v>130.5684</c:v>
                </c:pt>
                <c:pt idx="473">
                  <c:v>126.48879999999998</c:v>
                </c:pt>
                <c:pt idx="474">
                  <c:v>126.752</c:v>
                </c:pt>
                <c:pt idx="475">
                  <c:v>126.71909999999998</c:v>
                </c:pt>
                <c:pt idx="476">
                  <c:v>126.32430000000001</c:v>
                </c:pt>
                <c:pt idx="477">
                  <c:v>97.306499999999986</c:v>
                </c:pt>
                <c:pt idx="478">
                  <c:v>64.998699999999999</c:v>
                </c:pt>
                <c:pt idx="479">
                  <c:v>88.160299999999992</c:v>
                </c:pt>
                <c:pt idx="480">
                  <c:v>130.46969999999999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8CB-4821-8612-DBFFC48FD1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9255119"/>
        <c:axId val="1569248399"/>
      </c:scatterChart>
      <c:valAx>
        <c:axId val="1506886128"/>
        <c:scaling>
          <c:orientation val="minMax"/>
          <c:max val="2015"/>
          <c:min val="19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6879888"/>
        <c:crosses val="autoZero"/>
        <c:crossBetween val="midCat"/>
      </c:valAx>
      <c:valAx>
        <c:axId val="1506879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>
                    <a:solidFill>
                      <a:schemeClr val="tx1"/>
                    </a:solidFill>
                  </a:rPr>
                  <a:t>Calamar (m3/s)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6886128"/>
        <c:crosses val="autoZero"/>
        <c:crossBetween val="midCat"/>
      </c:valAx>
      <c:valAx>
        <c:axId val="1569248399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>
                    <a:solidFill>
                      <a:schemeClr val="tx1"/>
                    </a:solidFill>
                  </a:rPr>
                  <a:t>StaHelena (m3/s)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9255119"/>
        <c:crosses val="max"/>
        <c:crossBetween val="midCat"/>
        <c:majorUnit val="100"/>
      </c:valAx>
      <c:valAx>
        <c:axId val="1569255119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15692483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1984-2015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3175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8669991251093613"/>
                  <c:y val="-3.328922426363371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Monthly!$E$2:$E$385</c:f>
              <c:numCache>
                <c:formatCode>General</c:formatCode>
                <c:ptCount val="384"/>
                <c:pt idx="0">
                  <c:v>4444</c:v>
                </c:pt>
                <c:pt idx="1">
                  <c:v>5803</c:v>
                </c:pt>
                <c:pt idx="2">
                  <c:v>4343</c:v>
                </c:pt>
                <c:pt idx="3">
                  <c:v>4394</c:v>
                </c:pt>
                <c:pt idx="4">
                  <c:v>4127</c:v>
                </c:pt>
                <c:pt idx="5">
                  <c:v>4341</c:v>
                </c:pt>
                <c:pt idx="6">
                  <c:v>5904</c:v>
                </c:pt>
                <c:pt idx="7">
                  <c:v>5097</c:v>
                </c:pt>
                <c:pt idx="8">
                  <c:v>4877</c:v>
                </c:pt>
                <c:pt idx="9">
                  <c:v>3399</c:v>
                </c:pt>
                <c:pt idx="10">
                  <c:v>3990</c:v>
                </c:pt>
                <c:pt idx="11">
                  <c:v>4582</c:v>
                </c:pt>
                <c:pt idx="12">
                  <c:v>8477</c:v>
                </c:pt>
                <c:pt idx="13">
                  <c:v>8321</c:v>
                </c:pt>
                <c:pt idx="14">
                  <c:v>7039</c:v>
                </c:pt>
                <c:pt idx="15">
                  <c:v>5495</c:v>
                </c:pt>
                <c:pt idx="16">
                  <c:v>4197</c:v>
                </c:pt>
                <c:pt idx="17">
                  <c:v>4744</c:v>
                </c:pt>
                <c:pt idx="18">
                  <c:v>6647</c:v>
                </c:pt>
                <c:pt idx="19">
                  <c:v>6475</c:v>
                </c:pt>
                <c:pt idx="20">
                  <c:v>4075</c:v>
                </c:pt>
                <c:pt idx="21">
                  <c:v>4551</c:v>
                </c:pt>
                <c:pt idx="22">
                  <c:v>3771</c:v>
                </c:pt>
                <c:pt idx="23">
                  <c:v>5797</c:v>
                </c:pt>
                <c:pt idx="24">
                  <c:v>8407</c:v>
                </c:pt>
                <c:pt idx="25">
                  <c:v>8535</c:v>
                </c:pt>
                <c:pt idx="26">
                  <c:v>7850</c:v>
                </c:pt>
                <c:pt idx="27">
                  <c:v>7369</c:v>
                </c:pt>
                <c:pt idx="28">
                  <c:v>5564</c:v>
                </c:pt>
                <c:pt idx="29">
                  <c:v>6649</c:v>
                </c:pt>
                <c:pt idx="30">
                  <c:v>8229</c:v>
                </c:pt>
                <c:pt idx="31">
                  <c:v>6259</c:v>
                </c:pt>
                <c:pt idx="32">
                  <c:v>4229</c:v>
                </c:pt>
                <c:pt idx="33">
                  <c:v>3792</c:v>
                </c:pt>
                <c:pt idx="34">
                  <c:v>3205</c:v>
                </c:pt>
                <c:pt idx="35">
                  <c:v>3669</c:v>
                </c:pt>
                <c:pt idx="36">
                  <c:v>6855</c:v>
                </c:pt>
                <c:pt idx="37">
                  <c:v>7858</c:v>
                </c:pt>
                <c:pt idx="38">
                  <c:v>6414</c:v>
                </c:pt>
                <c:pt idx="39">
                  <c:v>6502</c:v>
                </c:pt>
                <c:pt idx="40">
                  <c:v>6193</c:v>
                </c:pt>
                <c:pt idx="41">
                  <c:v>6418</c:v>
                </c:pt>
                <c:pt idx="42">
                  <c:v>9001</c:v>
                </c:pt>
                <c:pt idx="43">
                  <c:v>9668</c:v>
                </c:pt>
                <c:pt idx="44">
                  <c:v>6585</c:v>
                </c:pt>
                <c:pt idx="45">
                  <c:v>4540</c:v>
                </c:pt>
                <c:pt idx="46">
                  <c:v>6968</c:v>
                </c:pt>
                <c:pt idx="47">
                  <c:v>11336</c:v>
                </c:pt>
                <c:pt idx="48">
                  <c:v>13395</c:v>
                </c:pt>
                <c:pt idx="49">
                  <c:v>11402</c:v>
                </c:pt>
                <c:pt idx="50">
                  <c:v>9565</c:v>
                </c:pt>
                <c:pt idx="51">
                  <c:v>9130</c:v>
                </c:pt>
                <c:pt idx="52">
                  <c:v>10126</c:v>
                </c:pt>
                <c:pt idx="53">
                  <c:v>11226</c:v>
                </c:pt>
                <c:pt idx="54">
                  <c:v>12827</c:v>
                </c:pt>
                <c:pt idx="55">
                  <c:v>11996</c:v>
                </c:pt>
                <c:pt idx="56">
                  <c:v>8274</c:v>
                </c:pt>
                <c:pt idx="57">
                  <c:v>6595</c:v>
                </c:pt>
                <c:pt idx="58">
                  <c:v>6721</c:v>
                </c:pt>
                <c:pt idx="59">
                  <c:v>11430</c:v>
                </c:pt>
                <c:pt idx="60">
                  <c:v>13942</c:v>
                </c:pt>
                <c:pt idx="61">
                  <c:v>13717</c:v>
                </c:pt>
                <c:pt idx="62">
                  <c:v>13685</c:v>
                </c:pt>
                <c:pt idx="63">
                  <c:v>12839</c:v>
                </c:pt>
                <c:pt idx="64">
                  <c:v>12741</c:v>
                </c:pt>
                <c:pt idx="65">
                  <c:v>10972</c:v>
                </c:pt>
                <c:pt idx="66">
                  <c:v>9275</c:v>
                </c:pt>
                <c:pt idx="67">
                  <c:v>7182</c:v>
                </c:pt>
                <c:pt idx="68">
                  <c:v>4545</c:v>
                </c:pt>
                <c:pt idx="69">
                  <c:v>3222</c:v>
                </c:pt>
                <c:pt idx="70">
                  <c:v>2579</c:v>
                </c:pt>
                <c:pt idx="71">
                  <c:v>3447</c:v>
                </c:pt>
                <c:pt idx="72">
                  <c:v>6163</c:v>
                </c:pt>
                <c:pt idx="73">
                  <c:v>7123</c:v>
                </c:pt>
                <c:pt idx="74">
                  <c:v>5289</c:v>
                </c:pt>
                <c:pt idx="75">
                  <c:v>6082</c:v>
                </c:pt>
                <c:pt idx="76">
                  <c:v>6035</c:v>
                </c:pt>
                <c:pt idx="77">
                  <c:v>7401</c:v>
                </c:pt>
                <c:pt idx="78">
                  <c:v>7787</c:v>
                </c:pt>
                <c:pt idx="79">
                  <c:v>7850</c:v>
                </c:pt>
                <c:pt idx="80">
                  <c:v>6948</c:v>
                </c:pt>
                <c:pt idx="81">
                  <c:v>5643</c:v>
                </c:pt>
                <c:pt idx="82">
                  <c:v>6777</c:v>
                </c:pt>
                <c:pt idx="83">
                  <c:v>10257</c:v>
                </c:pt>
                <c:pt idx="84">
                  <c:v>14438</c:v>
                </c:pt>
                <c:pt idx="85">
                  <c:v>13323</c:v>
                </c:pt>
                <c:pt idx="86">
                  <c:v>12038</c:v>
                </c:pt>
                <c:pt idx="87">
                  <c:v>12125</c:v>
                </c:pt>
                <c:pt idx="88">
                  <c:v>11936</c:v>
                </c:pt>
                <c:pt idx="89">
                  <c:v>11525</c:v>
                </c:pt>
                <c:pt idx="90">
                  <c:v>9974</c:v>
                </c:pt>
                <c:pt idx="91">
                  <c:v>7711</c:v>
                </c:pt>
                <c:pt idx="92">
                  <c:v>5673</c:v>
                </c:pt>
                <c:pt idx="93">
                  <c:v>5420</c:v>
                </c:pt>
                <c:pt idx="94">
                  <c:v>5442</c:v>
                </c:pt>
                <c:pt idx="95">
                  <c:v>8936</c:v>
                </c:pt>
                <c:pt idx="96">
                  <c:v>12511</c:v>
                </c:pt>
                <c:pt idx="97">
                  <c:v>13131</c:v>
                </c:pt>
                <c:pt idx="98">
                  <c:v>10444</c:v>
                </c:pt>
                <c:pt idx="99">
                  <c:v>10419</c:v>
                </c:pt>
                <c:pt idx="100">
                  <c:v>9304</c:v>
                </c:pt>
                <c:pt idx="101">
                  <c:v>11100</c:v>
                </c:pt>
                <c:pt idx="102">
                  <c:v>11263</c:v>
                </c:pt>
                <c:pt idx="103">
                  <c:v>8442</c:v>
                </c:pt>
                <c:pt idx="104">
                  <c:v>5658</c:v>
                </c:pt>
                <c:pt idx="105">
                  <c:v>2916</c:v>
                </c:pt>
                <c:pt idx="106">
                  <c:v>3754</c:v>
                </c:pt>
                <c:pt idx="107">
                  <c:v>7909</c:v>
                </c:pt>
                <c:pt idx="108">
                  <c:v>10575</c:v>
                </c:pt>
                <c:pt idx="109">
                  <c:v>9114</c:v>
                </c:pt>
                <c:pt idx="110">
                  <c:v>7218</c:v>
                </c:pt>
                <c:pt idx="111">
                  <c:v>7058</c:v>
                </c:pt>
                <c:pt idx="112">
                  <c:v>6984</c:v>
                </c:pt>
                <c:pt idx="113">
                  <c:v>10159</c:v>
                </c:pt>
                <c:pt idx="114">
                  <c:v>11047</c:v>
                </c:pt>
                <c:pt idx="115">
                  <c:v>8757</c:v>
                </c:pt>
                <c:pt idx="116">
                  <c:v>6292</c:v>
                </c:pt>
                <c:pt idx="117">
                  <c:v>4329</c:v>
                </c:pt>
                <c:pt idx="118">
                  <c:v>5532</c:v>
                </c:pt>
                <c:pt idx="119">
                  <c:v>9204</c:v>
                </c:pt>
                <c:pt idx="120">
                  <c:v>12700</c:v>
                </c:pt>
                <c:pt idx="121">
                  <c:v>10060</c:v>
                </c:pt>
                <c:pt idx="122">
                  <c:v>7510</c:v>
                </c:pt>
                <c:pt idx="123">
                  <c:v>6318</c:v>
                </c:pt>
                <c:pt idx="124">
                  <c:v>6664</c:v>
                </c:pt>
                <c:pt idx="125">
                  <c:v>8273</c:v>
                </c:pt>
                <c:pt idx="126">
                  <c:v>8434</c:v>
                </c:pt>
                <c:pt idx="127">
                  <c:v>6630</c:v>
                </c:pt>
                <c:pt idx="128">
                  <c:v>4448</c:v>
                </c:pt>
                <c:pt idx="129">
                  <c:v>3838</c:v>
                </c:pt>
                <c:pt idx="130">
                  <c:v>4568</c:v>
                </c:pt>
                <c:pt idx="131">
                  <c:v>7079</c:v>
                </c:pt>
                <c:pt idx="132">
                  <c:v>11106</c:v>
                </c:pt>
                <c:pt idx="133">
                  <c:v>10161</c:v>
                </c:pt>
                <c:pt idx="134">
                  <c:v>8047</c:v>
                </c:pt>
                <c:pt idx="135">
                  <c:v>6271</c:v>
                </c:pt>
                <c:pt idx="136">
                  <c:v>5941</c:v>
                </c:pt>
                <c:pt idx="137">
                  <c:v>6195</c:v>
                </c:pt>
                <c:pt idx="138">
                  <c:v>7558</c:v>
                </c:pt>
                <c:pt idx="139">
                  <c:v>6011</c:v>
                </c:pt>
                <c:pt idx="140">
                  <c:v>3609</c:v>
                </c:pt>
                <c:pt idx="141">
                  <c:v>2916</c:v>
                </c:pt>
                <c:pt idx="142">
                  <c:v>3724</c:v>
                </c:pt>
                <c:pt idx="143">
                  <c:v>8355</c:v>
                </c:pt>
                <c:pt idx="144">
                  <c:v>11146</c:v>
                </c:pt>
                <c:pt idx="145">
                  <c:v>10016</c:v>
                </c:pt>
                <c:pt idx="146">
                  <c:v>7897</c:v>
                </c:pt>
                <c:pt idx="147">
                  <c:v>6140</c:v>
                </c:pt>
                <c:pt idx="148">
                  <c:v>6910</c:v>
                </c:pt>
                <c:pt idx="149">
                  <c:v>7712</c:v>
                </c:pt>
                <c:pt idx="150">
                  <c:v>7152</c:v>
                </c:pt>
                <c:pt idx="151">
                  <c:v>5959</c:v>
                </c:pt>
                <c:pt idx="152">
                  <c:v>3815</c:v>
                </c:pt>
                <c:pt idx="153">
                  <c:v>2684</c:v>
                </c:pt>
                <c:pt idx="154">
                  <c:v>2566</c:v>
                </c:pt>
                <c:pt idx="155">
                  <c:v>3527</c:v>
                </c:pt>
                <c:pt idx="156">
                  <c:v>6225</c:v>
                </c:pt>
                <c:pt idx="157">
                  <c:v>7592</c:v>
                </c:pt>
                <c:pt idx="158">
                  <c:v>5094</c:v>
                </c:pt>
                <c:pt idx="159">
                  <c:v>4585</c:v>
                </c:pt>
                <c:pt idx="160">
                  <c:v>4440</c:v>
                </c:pt>
                <c:pt idx="161">
                  <c:v>6751</c:v>
                </c:pt>
                <c:pt idx="162">
                  <c:v>7583</c:v>
                </c:pt>
                <c:pt idx="163">
                  <c:v>5955</c:v>
                </c:pt>
                <c:pt idx="164">
                  <c:v>4518</c:v>
                </c:pt>
                <c:pt idx="165">
                  <c:v>2893</c:v>
                </c:pt>
                <c:pt idx="166">
                  <c:v>3326</c:v>
                </c:pt>
                <c:pt idx="167">
                  <c:v>6717</c:v>
                </c:pt>
                <c:pt idx="168">
                  <c:v>8537</c:v>
                </c:pt>
                <c:pt idx="169">
                  <c:v>7734</c:v>
                </c:pt>
                <c:pt idx="170">
                  <c:v>6229</c:v>
                </c:pt>
                <c:pt idx="171">
                  <c:v>4589</c:v>
                </c:pt>
                <c:pt idx="172">
                  <c:v>4293</c:v>
                </c:pt>
                <c:pt idx="173">
                  <c:v>4890</c:v>
                </c:pt>
                <c:pt idx="174">
                  <c:v>5872</c:v>
                </c:pt>
                <c:pt idx="175">
                  <c:v>4556</c:v>
                </c:pt>
                <c:pt idx="176">
                  <c:v>3761</c:v>
                </c:pt>
                <c:pt idx="177">
                  <c:v>3288</c:v>
                </c:pt>
                <c:pt idx="178">
                  <c:v>2960</c:v>
                </c:pt>
                <c:pt idx="179">
                  <c:v>5239</c:v>
                </c:pt>
                <c:pt idx="180">
                  <c:v>9162</c:v>
                </c:pt>
                <c:pt idx="181">
                  <c:v>10570</c:v>
                </c:pt>
                <c:pt idx="182">
                  <c:v>10234</c:v>
                </c:pt>
                <c:pt idx="183">
                  <c:v>8572</c:v>
                </c:pt>
                <c:pt idx="184">
                  <c:v>8562</c:v>
                </c:pt>
                <c:pt idx="185">
                  <c:v>9573</c:v>
                </c:pt>
                <c:pt idx="186">
                  <c:v>8971</c:v>
                </c:pt>
                <c:pt idx="187">
                  <c:v>6923</c:v>
                </c:pt>
                <c:pt idx="188">
                  <c:v>5630</c:v>
                </c:pt>
                <c:pt idx="189">
                  <c:v>5976</c:v>
                </c:pt>
                <c:pt idx="190">
                  <c:v>6093</c:v>
                </c:pt>
                <c:pt idx="191">
                  <c:v>10812</c:v>
                </c:pt>
                <c:pt idx="192">
                  <c:v>13023</c:v>
                </c:pt>
                <c:pt idx="193">
                  <c:v>13378</c:v>
                </c:pt>
                <c:pt idx="194">
                  <c:v>11434</c:v>
                </c:pt>
                <c:pt idx="195">
                  <c:v>9594</c:v>
                </c:pt>
                <c:pt idx="196">
                  <c:v>9733</c:v>
                </c:pt>
                <c:pt idx="197">
                  <c:v>10986</c:v>
                </c:pt>
                <c:pt idx="198">
                  <c:v>10328</c:v>
                </c:pt>
                <c:pt idx="199">
                  <c:v>9334</c:v>
                </c:pt>
                <c:pt idx="200">
                  <c:v>8431</c:v>
                </c:pt>
                <c:pt idx="201">
                  <c:v>8077</c:v>
                </c:pt>
                <c:pt idx="202">
                  <c:v>7315</c:v>
                </c:pt>
                <c:pt idx="203">
                  <c:v>9849</c:v>
                </c:pt>
                <c:pt idx="204">
                  <c:v>11020</c:v>
                </c:pt>
                <c:pt idx="205">
                  <c:v>9981</c:v>
                </c:pt>
                <c:pt idx="206">
                  <c:v>9307</c:v>
                </c:pt>
                <c:pt idx="207">
                  <c:v>8481</c:v>
                </c:pt>
                <c:pt idx="208">
                  <c:v>8307</c:v>
                </c:pt>
                <c:pt idx="209">
                  <c:v>8634</c:v>
                </c:pt>
                <c:pt idx="210">
                  <c:v>8008</c:v>
                </c:pt>
                <c:pt idx="211">
                  <c:v>6514</c:v>
                </c:pt>
                <c:pt idx="212">
                  <c:v>4127</c:v>
                </c:pt>
                <c:pt idx="213">
                  <c:v>2533</c:v>
                </c:pt>
                <c:pt idx="214">
                  <c:v>2746</c:v>
                </c:pt>
                <c:pt idx="215">
                  <c:v>2626</c:v>
                </c:pt>
                <c:pt idx="216">
                  <c:v>4819</c:v>
                </c:pt>
                <c:pt idx="217">
                  <c:v>5662</c:v>
                </c:pt>
                <c:pt idx="218">
                  <c:v>5039</c:v>
                </c:pt>
                <c:pt idx="219">
                  <c:v>3661</c:v>
                </c:pt>
                <c:pt idx="220">
                  <c:v>3728</c:v>
                </c:pt>
                <c:pt idx="221">
                  <c:v>5066</c:v>
                </c:pt>
                <c:pt idx="222">
                  <c:v>5438</c:v>
                </c:pt>
                <c:pt idx="223">
                  <c:v>4582</c:v>
                </c:pt>
                <c:pt idx="224">
                  <c:v>3704</c:v>
                </c:pt>
                <c:pt idx="225">
                  <c:v>3689</c:v>
                </c:pt>
                <c:pt idx="226">
                  <c:v>4934</c:v>
                </c:pt>
                <c:pt idx="227">
                  <c:v>5692</c:v>
                </c:pt>
                <c:pt idx="228">
                  <c:v>9402</c:v>
                </c:pt>
                <c:pt idx="229">
                  <c:v>10511</c:v>
                </c:pt>
                <c:pt idx="230">
                  <c:v>9896</c:v>
                </c:pt>
                <c:pt idx="231">
                  <c:v>10234</c:v>
                </c:pt>
                <c:pt idx="232">
                  <c:v>11122</c:v>
                </c:pt>
                <c:pt idx="233">
                  <c:v>11029</c:v>
                </c:pt>
                <c:pt idx="234">
                  <c:v>9225</c:v>
                </c:pt>
                <c:pt idx="235">
                  <c:v>7209</c:v>
                </c:pt>
                <c:pt idx="236">
                  <c:v>6627</c:v>
                </c:pt>
                <c:pt idx="237">
                  <c:v>5883</c:v>
                </c:pt>
                <c:pt idx="238">
                  <c:v>4982</c:v>
                </c:pt>
                <c:pt idx="239">
                  <c:v>6822</c:v>
                </c:pt>
                <c:pt idx="240">
                  <c:v>9349</c:v>
                </c:pt>
                <c:pt idx="241">
                  <c:v>10028</c:v>
                </c:pt>
                <c:pt idx="242">
                  <c:v>9163</c:v>
                </c:pt>
                <c:pt idx="243">
                  <c:v>9493</c:v>
                </c:pt>
                <c:pt idx="244">
                  <c:v>8850</c:v>
                </c:pt>
                <c:pt idx="245">
                  <c:v>7742</c:v>
                </c:pt>
                <c:pt idx="246">
                  <c:v>7234</c:v>
                </c:pt>
                <c:pt idx="247">
                  <c:v>5822</c:v>
                </c:pt>
                <c:pt idx="248">
                  <c:v>3689</c:v>
                </c:pt>
                <c:pt idx="249">
                  <c:v>2623</c:v>
                </c:pt>
                <c:pt idx="250">
                  <c:v>2534</c:v>
                </c:pt>
                <c:pt idx="251">
                  <c:v>5247</c:v>
                </c:pt>
                <c:pt idx="252">
                  <c:v>9946</c:v>
                </c:pt>
                <c:pt idx="253">
                  <c:v>9541</c:v>
                </c:pt>
                <c:pt idx="254">
                  <c:v>7921</c:v>
                </c:pt>
                <c:pt idx="255">
                  <c:v>6575</c:v>
                </c:pt>
                <c:pt idx="256">
                  <c:v>6866</c:v>
                </c:pt>
                <c:pt idx="257">
                  <c:v>8376</c:v>
                </c:pt>
                <c:pt idx="258">
                  <c:v>9082</c:v>
                </c:pt>
                <c:pt idx="259">
                  <c:v>8074</c:v>
                </c:pt>
                <c:pt idx="260">
                  <c:v>6451</c:v>
                </c:pt>
                <c:pt idx="261">
                  <c:v>5146</c:v>
                </c:pt>
                <c:pt idx="262">
                  <c:v>5154</c:v>
                </c:pt>
                <c:pt idx="263">
                  <c:v>8045</c:v>
                </c:pt>
                <c:pt idx="264">
                  <c:v>10012</c:v>
                </c:pt>
                <c:pt idx="265">
                  <c:v>8982</c:v>
                </c:pt>
                <c:pt idx="266">
                  <c:v>8268</c:v>
                </c:pt>
                <c:pt idx="267">
                  <c:v>7237</c:v>
                </c:pt>
                <c:pt idx="268">
                  <c:v>6275</c:v>
                </c:pt>
                <c:pt idx="269">
                  <c:v>7770</c:v>
                </c:pt>
                <c:pt idx="270">
                  <c:v>8567</c:v>
                </c:pt>
                <c:pt idx="271">
                  <c:v>7418</c:v>
                </c:pt>
                <c:pt idx="272">
                  <c:v>5266</c:v>
                </c:pt>
                <c:pt idx="273">
                  <c:v>3587</c:v>
                </c:pt>
                <c:pt idx="274">
                  <c:v>3850</c:v>
                </c:pt>
                <c:pt idx="275">
                  <c:v>5111</c:v>
                </c:pt>
                <c:pt idx="276">
                  <c:v>7096</c:v>
                </c:pt>
                <c:pt idx="277">
                  <c:v>6914</c:v>
                </c:pt>
                <c:pt idx="278">
                  <c:v>6908</c:v>
                </c:pt>
                <c:pt idx="279">
                  <c:v>6075</c:v>
                </c:pt>
                <c:pt idx="280">
                  <c:v>5718</c:v>
                </c:pt>
                <c:pt idx="281">
                  <c:v>4899</c:v>
                </c:pt>
                <c:pt idx="282">
                  <c:v>5507</c:v>
                </c:pt>
                <c:pt idx="283">
                  <c:v>4617</c:v>
                </c:pt>
                <c:pt idx="284">
                  <c:v>2844</c:v>
                </c:pt>
                <c:pt idx="285">
                  <c:v>2884</c:v>
                </c:pt>
                <c:pt idx="286">
                  <c:v>3068</c:v>
                </c:pt>
                <c:pt idx="287">
                  <c:v>4552</c:v>
                </c:pt>
                <c:pt idx="288">
                  <c:v>8438</c:v>
                </c:pt>
                <c:pt idx="289">
                  <c:v>8240</c:v>
                </c:pt>
                <c:pt idx="290">
                  <c:v>7768</c:v>
                </c:pt>
                <c:pt idx="291">
                  <c:v>5396</c:v>
                </c:pt>
                <c:pt idx="292">
                  <c:v>6347</c:v>
                </c:pt>
                <c:pt idx="293">
                  <c:v>6740</c:v>
                </c:pt>
                <c:pt idx="294">
                  <c:v>7130</c:v>
                </c:pt>
                <c:pt idx="295">
                  <c:v>6418</c:v>
                </c:pt>
                <c:pt idx="296">
                  <c:v>4843</c:v>
                </c:pt>
                <c:pt idx="297">
                  <c:v>4155</c:v>
                </c:pt>
                <c:pt idx="298">
                  <c:v>3696</c:v>
                </c:pt>
                <c:pt idx="299">
                  <c:v>7050</c:v>
                </c:pt>
                <c:pt idx="300">
                  <c:v>10194</c:v>
                </c:pt>
                <c:pt idx="301">
                  <c:v>9891</c:v>
                </c:pt>
                <c:pt idx="302">
                  <c:v>7998</c:v>
                </c:pt>
                <c:pt idx="303">
                  <c:v>6606</c:v>
                </c:pt>
                <c:pt idx="304">
                  <c:v>6335</c:v>
                </c:pt>
                <c:pt idx="305">
                  <c:v>7090</c:v>
                </c:pt>
                <c:pt idx="306">
                  <c:v>7707</c:v>
                </c:pt>
                <c:pt idx="307">
                  <c:v>7401</c:v>
                </c:pt>
                <c:pt idx="308">
                  <c:v>5276</c:v>
                </c:pt>
                <c:pt idx="309">
                  <c:v>4684</c:v>
                </c:pt>
                <c:pt idx="310">
                  <c:v>5057</c:v>
                </c:pt>
                <c:pt idx="311">
                  <c:v>6673</c:v>
                </c:pt>
                <c:pt idx="312">
                  <c:v>10709</c:v>
                </c:pt>
                <c:pt idx="313">
                  <c:v>12046</c:v>
                </c:pt>
                <c:pt idx="314">
                  <c:v>10531</c:v>
                </c:pt>
                <c:pt idx="315">
                  <c:v>8298</c:v>
                </c:pt>
                <c:pt idx="316">
                  <c:v>6889</c:v>
                </c:pt>
                <c:pt idx="317">
                  <c:v>7218</c:v>
                </c:pt>
                <c:pt idx="318">
                  <c:v>7546</c:v>
                </c:pt>
                <c:pt idx="319">
                  <c:v>6464</c:v>
                </c:pt>
                <c:pt idx="320">
                  <c:v>5862</c:v>
                </c:pt>
                <c:pt idx="321">
                  <c:v>6120</c:v>
                </c:pt>
                <c:pt idx="322">
                  <c:v>7224</c:v>
                </c:pt>
                <c:pt idx="323">
                  <c:v>11564</c:v>
                </c:pt>
                <c:pt idx="324">
                  <c:v>13531</c:v>
                </c:pt>
                <c:pt idx="325">
                  <c:v>13160</c:v>
                </c:pt>
                <c:pt idx="326">
                  <c:v>12893</c:v>
                </c:pt>
                <c:pt idx="327">
                  <c:v>11519</c:v>
                </c:pt>
                <c:pt idx="328">
                  <c:v>9669</c:v>
                </c:pt>
                <c:pt idx="329">
                  <c:v>8636</c:v>
                </c:pt>
                <c:pt idx="330">
                  <c:v>6416</c:v>
                </c:pt>
                <c:pt idx="331">
                  <c:v>5725</c:v>
                </c:pt>
                <c:pt idx="332">
                  <c:v>4695</c:v>
                </c:pt>
                <c:pt idx="333">
                  <c:v>4152</c:v>
                </c:pt>
                <c:pt idx="334">
                  <c:v>4394</c:v>
                </c:pt>
                <c:pt idx="335">
                  <c:v>6517</c:v>
                </c:pt>
                <c:pt idx="336">
                  <c:v>11132</c:v>
                </c:pt>
                <c:pt idx="337">
                  <c:v>11086</c:v>
                </c:pt>
                <c:pt idx="338">
                  <c:v>8922</c:v>
                </c:pt>
                <c:pt idx="339">
                  <c:v>7653</c:v>
                </c:pt>
                <c:pt idx="340">
                  <c:v>7564</c:v>
                </c:pt>
                <c:pt idx="341">
                  <c:v>5945</c:v>
                </c:pt>
                <c:pt idx="342">
                  <c:v>6982</c:v>
                </c:pt>
                <c:pt idx="343">
                  <c:v>6149</c:v>
                </c:pt>
                <c:pt idx="344">
                  <c:v>4451</c:v>
                </c:pt>
                <c:pt idx="345">
                  <c:v>4114</c:v>
                </c:pt>
                <c:pt idx="346">
                  <c:v>4222</c:v>
                </c:pt>
                <c:pt idx="347">
                  <c:v>5075</c:v>
                </c:pt>
                <c:pt idx="348">
                  <c:v>9594</c:v>
                </c:pt>
                <c:pt idx="349">
                  <c:v>10628</c:v>
                </c:pt>
                <c:pt idx="350">
                  <c:v>8391</c:v>
                </c:pt>
                <c:pt idx="351">
                  <c:v>6190</c:v>
                </c:pt>
                <c:pt idx="352">
                  <c:v>6205</c:v>
                </c:pt>
                <c:pt idx="353">
                  <c:v>8717</c:v>
                </c:pt>
                <c:pt idx="354">
                  <c:v>9229</c:v>
                </c:pt>
                <c:pt idx="355">
                  <c:v>8347</c:v>
                </c:pt>
                <c:pt idx="356">
                  <c:v>6552</c:v>
                </c:pt>
                <c:pt idx="357">
                  <c:v>5667</c:v>
                </c:pt>
                <c:pt idx="358">
                  <c:v>5097</c:v>
                </c:pt>
                <c:pt idx="359">
                  <c:v>6525</c:v>
                </c:pt>
                <c:pt idx="360">
                  <c:v>9753</c:v>
                </c:pt>
                <c:pt idx="361">
                  <c:v>9907</c:v>
                </c:pt>
                <c:pt idx="362">
                  <c:v>9087</c:v>
                </c:pt>
                <c:pt idx="363">
                  <c:v>7842</c:v>
                </c:pt>
                <c:pt idx="364">
                  <c:v>6058</c:v>
                </c:pt>
                <c:pt idx="365">
                  <c:v>4730</c:v>
                </c:pt>
                <c:pt idx="366">
                  <c:v>6206</c:v>
                </c:pt>
                <c:pt idx="367">
                  <c:v>5521</c:v>
                </c:pt>
                <c:pt idx="368">
                  <c:v>3974</c:v>
                </c:pt>
                <c:pt idx="369">
                  <c:v>3001</c:v>
                </c:pt>
                <c:pt idx="370">
                  <c:v>3917</c:v>
                </c:pt>
                <c:pt idx="371">
                  <c:v>7954</c:v>
                </c:pt>
                <c:pt idx="372">
                  <c:v>12508</c:v>
                </c:pt>
                <c:pt idx="373">
                  <c:v>12762</c:v>
                </c:pt>
                <c:pt idx="374">
                  <c:v>11298</c:v>
                </c:pt>
                <c:pt idx="375">
                  <c:v>10112</c:v>
                </c:pt>
                <c:pt idx="376">
                  <c:v>10415</c:v>
                </c:pt>
                <c:pt idx="377">
                  <c:v>10403</c:v>
                </c:pt>
                <c:pt idx="378">
                  <c:v>9164</c:v>
                </c:pt>
                <c:pt idx="379">
                  <c:v>6784</c:v>
                </c:pt>
                <c:pt idx="380">
                  <c:v>4613</c:v>
                </c:pt>
                <c:pt idx="381">
                  <c:v>5016</c:v>
                </c:pt>
                <c:pt idx="382">
                  <c:v>5769</c:v>
                </c:pt>
                <c:pt idx="383">
                  <c:v>7046</c:v>
                </c:pt>
              </c:numCache>
            </c:numRef>
          </c:xVal>
          <c:yVal>
            <c:numRef>
              <c:f>Monthly!$F$2:$F$385</c:f>
              <c:numCache>
                <c:formatCode>General</c:formatCode>
                <c:ptCount val="384"/>
                <c:pt idx="0">
                  <c:v>266.3</c:v>
                </c:pt>
                <c:pt idx="1">
                  <c:v>327.5</c:v>
                </c:pt>
                <c:pt idx="2">
                  <c:v>236.6</c:v>
                </c:pt>
                <c:pt idx="3">
                  <c:v>242.4</c:v>
                </c:pt>
                <c:pt idx="4">
                  <c:v>233.5</c:v>
                </c:pt>
                <c:pt idx="5">
                  <c:v>240.5</c:v>
                </c:pt>
                <c:pt idx="6">
                  <c:v>328.8</c:v>
                </c:pt>
                <c:pt idx="7">
                  <c:v>283.8</c:v>
                </c:pt>
                <c:pt idx="8">
                  <c:v>255.8</c:v>
                </c:pt>
                <c:pt idx="9">
                  <c:v>185.7</c:v>
                </c:pt>
                <c:pt idx="10">
                  <c:v>220.7</c:v>
                </c:pt>
                <c:pt idx="11">
                  <c:v>295.3</c:v>
                </c:pt>
                <c:pt idx="12">
                  <c:v>523.29999999999995</c:v>
                </c:pt>
                <c:pt idx="13">
                  <c:v>496.8</c:v>
                </c:pt>
                <c:pt idx="14">
                  <c:v>411.8</c:v>
                </c:pt>
                <c:pt idx="15">
                  <c:v>313.2</c:v>
                </c:pt>
                <c:pt idx="16">
                  <c:v>230.4</c:v>
                </c:pt>
                <c:pt idx="17">
                  <c:v>280.5</c:v>
                </c:pt>
                <c:pt idx="18">
                  <c:v>369.3</c:v>
                </c:pt>
                <c:pt idx="19">
                  <c:v>339.4</c:v>
                </c:pt>
                <c:pt idx="20">
                  <c:v>197.2</c:v>
                </c:pt>
                <c:pt idx="21">
                  <c:v>216.6</c:v>
                </c:pt>
                <c:pt idx="22">
                  <c:v>198.5</c:v>
                </c:pt>
                <c:pt idx="23">
                  <c:v>338.7</c:v>
                </c:pt>
                <c:pt idx="24">
                  <c:v>411.1</c:v>
                </c:pt>
                <c:pt idx="25">
                  <c:v>427.3</c:v>
                </c:pt>
                <c:pt idx="26">
                  <c:v>404.5</c:v>
                </c:pt>
                <c:pt idx="27">
                  <c:v>358</c:v>
                </c:pt>
                <c:pt idx="28">
                  <c:v>272.5</c:v>
                </c:pt>
                <c:pt idx="29">
                  <c:v>317.39999999999998</c:v>
                </c:pt>
                <c:pt idx="30">
                  <c:v>351.5</c:v>
                </c:pt>
                <c:pt idx="31">
                  <c:v>274</c:v>
                </c:pt>
                <c:pt idx="32">
                  <c:v>182</c:v>
                </c:pt>
                <c:pt idx="33">
                  <c:v>178</c:v>
                </c:pt>
                <c:pt idx="34">
                  <c:v>163.4</c:v>
                </c:pt>
                <c:pt idx="35">
                  <c:v>188.9</c:v>
                </c:pt>
                <c:pt idx="36">
                  <c:v>341.8</c:v>
                </c:pt>
                <c:pt idx="37">
                  <c:v>377.8</c:v>
                </c:pt>
                <c:pt idx="38">
                  <c:v>318.2</c:v>
                </c:pt>
                <c:pt idx="39">
                  <c:v>314.5</c:v>
                </c:pt>
                <c:pt idx="40">
                  <c:v>292.89999999999998</c:v>
                </c:pt>
                <c:pt idx="41">
                  <c:v>313.60000000000002</c:v>
                </c:pt>
                <c:pt idx="42">
                  <c:v>427.4</c:v>
                </c:pt>
                <c:pt idx="43">
                  <c:v>427.5</c:v>
                </c:pt>
                <c:pt idx="44">
                  <c:v>275.10000000000002</c:v>
                </c:pt>
                <c:pt idx="45">
                  <c:v>216.9</c:v>
                </c:pt>
                <c:pt idx="46">
                  <c:v>395.8</c:v>
                </c:pt>
                <c:pt idx="47">
                  <c:v>576.20000000000005</c:v>
                </c:pt>
                <c:pt idx="48">
                  <c:v>610.79999999999995</c:v>
                </c:pt>
                <c:pt idx="49">
                  <c:v>531.79999999999995</c:v>
                </c:pt>
                <c:pt idx="50">
                  <c:v>466.5</c:v>
                </c:pt>
                <c:pt idx="51">
                  <c:v>435.2</c:v>
                </c:pt>
                <c:pt idx="52">
                  <c:v>488.5</c:v>
                </c:pt>
                <c:pt idx="53">
                  <c:v>547.29999999999995</c:v>
                </c:pt>
                <c:pt idx="54">
                  <c:v>627.1</c:v>
                </c:pt>
                <c:pt idx="55">
                  <c:v>595</c:v>
                </c:pt>
                <c:pt idx="56">
                  <c:v>395.5</c:v>
                </c:pt>
                <c:pt idx="57">
                  <c:v>336.6</c:v>
                </c:pt>
                <c:pt idx="58">
                  <c:v>435.5</c:v>
                </c:pt>
                <c:pt idx="59">
                  <c:v>720.9</c:v>
                </c:pt>
                <c:pt idx="60">
                  <c:v>835.1</c:v>
                </c:pt>
                <c:pt idx="61">
                  <c:v>699.3</c:v>
                </c:pt>
                <c:pt idx="62">
                  <c:v>668.4</c:v>
                </c:pt>
                <c:pt idx="63">
                  <c:v>633.5</c:v>
                </c:pt>
                <c:pt idx="64">
                  <c:v>641.20000000000005</c:v>
                </c:pt>
                <c:pt idx="65">
                  <c:v>587.70000000000005</c:v>
                </c:pt>
                <c:pt idx="66">
                  <c:v>470.4</c:v>
                </c:pt>
                <c:pt idx="67">
                  <c:v>341.9</c:v>
                </c:pt>
                <c:pt idx="68">
                  <c:v>211.5</c:v>
                </c:pt>
                <c:pt idx="69">
                  <c:v>163.9</c:v>
                </c:pt>
                <c:pt idx="70">
                  <c:v>144.69999999999999</c:v>
                </c:pt>
                <c:pt idx="71">
                  <c:v>186.5</c:v>
                </c:pt>
                <c:pt idx="72">
                  <c:v>335.2</c:v>
                </c:pt>
                <c:pt idx="73">
                  <c:v>418.1</c:v>
                </c:pt>
                <c:pt idx="74">
                  <c:v>323.7</c:v>
                </c:pt>
                <c:pt idx="75">
                  <c:v>369.2</c:v>
                </c:pt>
                <c:pt idx="76">
                  <c:v>369.3</c:v>
                </c:pt>
                <c:pt idx="77">
                  <c:v>460.8</c:v>
                </c:pt>
                <c:pt idx="78">
                  <c:v>476.9</c:v>
                </c:pt>
                <c:pt idx="79">
                  <c:v>454.6</c:v>
                </c:pt>
                <c:pt idx="80">
                  <c:v>394.5</c:v>
                </c:pt>
                <c:pt idx="81">
                  <c:v>359.6</c:v>
                </c:pt>
                <c:pt idx="82">
                  <c:v>479.6</c:v>
                </c:pt>
                <c:pt idx="83">
                  <c:v>589.6</c:v>
                </c:pt>
                <c:pt idx="84">
                  <c:v>668.1</c:v>
                </c:pt>
                <c:pt idx="85">
                  <c:v>679.9</c:v>
                </c:pt>
                <c:pt idx="86">
                  <c:v>653.4</c:v>
                </c:pt>
                <c:pt idx="87">
                  <c:v>649.79999999999995</c:v>
                </c:pt>
                <c:pt idx="88">
                  <c:v>641</c:v>
                </c:pt>
                <c:pt idx="89">
                  <c:v>633.70000000000005</c:v>
                </c:pt>
                <c:pt idx="90">
                  <c:v>578.70000000000005</c:v>
                </c:pt>
                <c:pt idx="91">
                  <c:v>475.4</c:v>
                </c:pt>
                <c:pt idx="92">
                  <c:v>374.5</c:v>
                </c:pt>
                <c:pt idx="93">
                  <c:v>380.6</c:v>
                </c:pt>
                <c:pt idx="94">
                  <c:v>434.3</c:v>
                </c:pt>
                <c:pt idx="95">
                  <c:v>556.6</c:v>
                </c:pt>
                <c:pt idx="96">
                  <c:v>637.9</c:v>
                </c:pt>
                <c:pt idx="97">
                  <c:v>635.79999999999995</c:v>
                </c:pt>
                <c:pt idx="98">
                  <c:v>604.4</c:v>
                </c:pt>
                <c:pt idx="99">
                  <c:v>595.6</c:v>
                </c:pt>
                <c:pt idx="100">
                  <c:v>569.9</c:v>
                </c:pt>
                <c:pt idx="101">
                  <c:v>601.1</c:v>
                </c:pt>
                <c:pt idx="102">
                  <c:v>581.79999999999995</c:v>
                </c:pt>
                <c:pt idx="103">
                  <c:v>478.1</c:v>
                </c:pt>
                <c:pt idx="104">
                  <c:v>346.9</c:v>
                </c:pt>
                <c:pt idx="105">
                  <c:v>190.1</c:v>
                </c:pt>
                <c:pt idx="107">
                  <c:v>540.29999999999995</c:v>
                </c:pt>
                <c:pt idx="108">
                  <c:v>588.6</c:v>
                </c:pt>
                <c:pt idx="109">
                  <c:v>527.4</c:v>
                </c:pt>
                <c:pt idx="110">
                  <c:v>472.9</c:v>
                </c:pt>
                <c:pt idx="111">
                  <c:v>474.7</c:v>
                </c:pt>
                <c:pt idx="112">
                  <c:v>484.6</c:v>
                </c:pt>
                <c:pt idx="113">
                  <c:v>579.9</c:v>
                </c:pt>
                <c:pt idx="114">
                  <c:v>592.9</c:v>
                </c:pt>
                <c:pt idx="115">
                  <c:v>510.2</c:v>
                </c:pt>
                <c:pt idx="116">
                  <c:v>383.4</c:v>
                </c:pt>
                <c:pt idx="117">
                  <c:v>277.7</c:v>
                </c:pt>
                <c:pt idx="118">
                  <c:v>388.1</c:v>
                </c:pt>
                <c:pt idx="119">
                  <c:v>508.5</c:v>
                </c:pt>
                <c:pt idx="120">
                  <c:v>562.79999999999995</c:v>
                </c:pt>
                <c:pt idx="121">
                  <c:v>519.70000000000005</c:v>
                </c:pt>
                <c:pt idx="122">
                  <c:v>442.1</c:v>
                </c:pt>
                <c:pt idx="123">
                  <c:v>389.9</c:v>
                </c:pt>
                <c:pt idx="124">
                  <c:v>397.4</c:v>
                </c:pt>
                <c:pt idx="125">
                  <c:v>466.4</c:v>
                </c:pt>
                <c:pt idx="126">
                  <c:v>463.6</c:v>
                </c:pt>
                <c:pt idx="127">
                  <c:v>380.2</c:v>
                </c:pt>
                <c:pt idx="128">
                  <c:v>255.8</c:v>
                </c:pt>
                <c:pt idx="129">
                  <c:v>219.8</c:v>
                </c:pt>
                <c:pt idx="130">
                  <c:v>291.2</c:v>
                </c:pt>
                <c:pt idx="131">
                  <c:v>432.7</c:v>
                </c:pt>
                <c:pt idx="132">
                  <c:v>527.70000000000005</c:v>
                </c:pt>
                <c:pt idx="133">
                  <c:v>540.70000000000005</c:v>
                </c:pt>
                <c:pt idx="134">
                  <c:v>458.3</c:v>
                </c:pt>
                <c:pt idx="135">
                  <c:v>401</c:v>
                </c:pt>
                <c:pt idx="136">
                  <c:v>381.1</c:v>
                </c:pt>
                <c:pt idx="137">
                  <c:v>380</c:v>
                </c:pt>
                <c:pt idx="138">
                  <c:v>431.1</c:v>
                </c:pt>
                <c:pt idx="139">
                  <c:v>349.9</c:v>
                </c:pt>
                <c:pt idx="140">
                  <c:v>159.30000000000001</c:v>
                </c:pt>
                <c:pt idx="141">
                  <c:v>125.6</c:v>
                </c:pt>
                <c:pt idx="142">
                  <c:v>220.1</c:v>
                </c:pt>
                <c:pt idx="143">
                  <c:v>474.6</c:v>
                </c:pt>
                <c:pt idx="144">
                  <c:v>566.4</c:v>
                </c:pt>
                <c:pt idx="145">
                  <c:v>518</c:v>
                </c:pt>
                <c:pt idx="146">
                  <c:v>467.7</c:v>
                </c:pt>
                <c:pt idx="147">
                  <c:v>400.8</c:v>
                </c:pt>
                <c:pt idx="148">
                  <c:v>443.4</c:v>
                </c:pt>
                <c:pt idx="149">
                  <c:v>449.4</c:v>
                </c:pt>
                <c:pt idx="150">
                  <c:v>392.4</c:v>
                </c:pt>
                <c:pt idx="151">
                  <c:v>324.39999999999998</c:v>
                </c:pt>
                <c:pt idx="153">
                  <c:v>173</c:v>
                </c:pt>
                <c:pt idx="154">
                  <c:v>175.8</c:v>
                </c:pt>
                <c:pt idx="155">
                  <c:v>243.8</c:v>
                </c:pt>
                <c:pt idx="156">
                  <c:v>394.7</c:v>
                </c:pt>
                <c:pt idx="157">
                  <c:v>465.5</c:v>
                </c:pt>
                <c:pt idx="158">
                  <c:v>393.5</c:v>
                </c:pt>
                <c:pt idx="159">
                  <c:v>349</c:v>
                </c:pt>
                <c:pt idx="160">
                  <c:v>339.4</c:v>
                </c:pt>
                <c:pt idx="161">
                  <c:v>432.6</c:v>
                </c:pt>
                <c:pt idx="162">
                  <c:v>445</c:v>
                </c:pt>
                <c:pt idx="163">
                  <c:v>400.9</c:v>
                </c:pt>
                <c:pt idx="164">
                  <c:v>300.2</c:v>
                </c:pt>
                <c:pt idx="165">
                  <c:v>202.3</c:v>
                </c:pt>
                <c:pt idx="166">
                  <c:v>222.4</c:v>
                </c:pt>
                <c:pt idx="167">
                  <c:v>393.2</c:v>
                </c:pt>
                <c:pt idx="168">
                  <c:v>432</c:v>
                </c:pt>
                <c:pt idx="169">
                  <c:v>390.3</c:v>
                </c:pt>
                <c:pt idx="170">
                  <c:v>330.4</c:v>
                </c:pt>
                <c:pt idx="171">
                  <c:v>274.10000000000002</c:v>
                </c:pt>
                <c:pt idx="172">
                  <c:v>260.3</c:v>
                </c:pt>
                <c:pt idx="173">
                  <c:v>291.10000000000002</c:v>
                </c:pt>
                <c:pt idx="174">
                  <c:v>312</c:v>
                </c:pt>
                <c:pt idx="175">
                  <c:v>223</c:v>
                </c:pt>
                <c:pt idx="176">
                  <c:v>183.9</c:v>
                </c:pt>
                <c:pt idx="177">
                  <c:v>182.7</c:v>
                </c:pt>
                <c:pt idx="178">
                  <c:v>187.5</c:v>
                </c:pt>
                <c:pt idx="179">
                  <c:v>350.9</c:v>
                </c:pt>
                <c:pt idx="180">
                  <c:v>559.9</c:v>
                </c:pt>
                <c:pt idx="181">
                  <c:v>591.5</c:v>
                </c:pt>
                <c:pt idx="182">
                  <c:v>571.9</c:v>
                </c:pt>
                <c:pt idx="183">
                  <c:v>525.9</c:v>
                </c:pt>
                <c:pt idx="184">
                  <c:v>558.29999999999995</c:v>
                </c:pt>
                <c:pt idx="185">
                  <c:v>573.20000000000005</c:v>
                </c:pt>
                <c:pt idx="186">
                  <c:v>513.29999999999995</c:v>
                </c:pt>
                <c:pt idx="187">
                  <c:v>421</c:v>
                </c:pt>
                <c:pt idx="188">
                  <c:v>361.7</c:v>
                </c:pt>
                <c:pt idx="189">
                  <c:v>395.6</c:v>
                </c:pt>
                <c:pt idx="190">
                  <c:v>477</c:v>
                </c:pt>
                <c:pt idx="191">
                  <c:v>592</c:v>
                </c:pt>
                <c:pt idx="192">
                  <c:v>628.70000000000005</c:v>
                </c:pt>
                <c:pt idx="193">
                  <c:v>620.9</c:v>
                </c:pt>
                <c:pt idx="194">
                  <c:v>572.79999999999995</c:v>
                </c:pt>
                <c:pt idx="195">
                  <c:v>552.9</c:v>
                </c:pt>
                <c:pt idx="196">
                  <c:v>548.9</c:v>
                </c:pt>
                <c:pt idx="197">
                  <c:v>548.6</c:v>
                </c:pt>
                <c:pt idx="198">
                  <c:v>533.29999999999995</c:v>
                </c:pt>
                <c:pt idx="199">
                  <c:v>513.1</c:v>
                </c:pt>
                <c:pt idx="200">
                  <c:v>471.8</c:v>
                </c:pt>
                <c:pt idx="201">
                  <c:v>463.5</c:v>
                </c:pt>
                <c:pt idx="202">
                  <c:v>465.3</c:v>
                </c:pt>
                <c:pt idx="203">
                  <c:v>534.20000000000005</c:v>
                </c:pt>
                <c:pt idx="204">
                  <c:v>539.79999999999995</c:v>
                </c:pt>
                <c:pt idx="205">
                  <c:v>521.29999999999995</c:v>
                </c:pt>
                <c:pt idx="206">
                  <c:v>499.5</c:v>
                </c:pt>
                <c:pt idx="207">
                  <c:v>477.7</c:v>
                </c:pt>
                <c:pt idx="208">
                  <c:v>465</c:v>
                </c:pt>
                <c:pt idx="209">
                  <c:v>449.2</c:v>
                </c:pt>
                <c:pt idx="210">
                  <c:v>402.8</c:v>
                </c:pt>
                <c:pt idx="211">
                  <c:v>319</c:v>
                </c:pt>
                <c:pt idx="212">
                  <c:v>204.5</c:v>
                </c:pt>
                <c:pt idx="213">
                  <c:v>142.1</c:v>
                </c:pt>
                <c:pt idx="214">
                  <c:v>135.80000000000001</c:v>
                </c:pt>
                <c:pt idx="215">
                  <c:v>143.4</c:v>
                </c:pt>
                <c:pt idx="216">
                  <c:v>251</c:v>
                </c:pt>
                <c:pt idx="217">
                  <c:v>280.3</c:v>
                </c:pt>
                <c:pt idx="218">
                  <c:v>251</c:v>
                </c:pt>
                <c:pt idx="219">
                  <c:v>188.8</c:v>
                </c:pt>
                <c:pt idx="220">
                  <c:v>188.8</c:v>
                </c:pt>
                <c:pt idx="221">
                  <c:v>251.2</c:v>
                </c:pt>
                <c:pt idx="222">
                  <c:v>219.6</c:v>
                </c:pt>
                <c:pt idx="223">
                  <c:v>173.5</c:v>
                </c:pt>
                <c:pt idx="224">
                  <c:v>131.80000000000001</c:v>
                </c:pt>
                <c:pt idx="225">
                  <c:v>132.69999999999999</c:v>
                </c:pt>
                <c:pt idx="226">
                  <c:v>218.1</c:v>
                </c:pt>
                <c:pt idx="227">
                  <c:v>288.60000000000002</c:v>
                </c:pt>
                <c:pt idx="228">
                  <c:v>438.6</c:v>
                </c:pt>
                <c:pt idx="229">
                  <c:v>456.4</c:v>
                </c:pt>
                <c:pt idx="230">
                  <c:v>452.9</c:v>
                </c:pt>
                <c:pt idx="231">
                  <c:v>460.3</c:v>
                </c:pt>
                <c:pt idx="232">
                  <c:v>478.5</c:v>
                </c:pt>
                <c:pt idx="233">
                  <c:v>464.1</c:v>
                </c:pt>
                <c:pt idx="234">
                  <c:v>428.3</c:v>
                </c:pt>
                <c:pt idx="235">
                  <c:v>368.6</c:v>
                </c:pt>
                <c:pt idx="236">
                  <c:v>349.2</c:v>
                </c:pt>
                <c:pt idx="237">
                  <c:v>313.39999999999998</c:v>
                </c:pt>
                <c:pt idx="238">
                  <c:v>298.2</c:v>
                </c:pt>
                <c:pt idx="239">
                  <c:v>380.6</c:v>
                </c:pt>
                <c:pt idx="240">
                  <c:v>543.9</c:v>
                </c:pt>
                <c:pt idx="241">
                  <c:v>571.5</c:v>
                </c:pt>
                <c:pt idx="242">
                  <c:v>565.20000000000005</c:v>
                </c:pt>
                <c:pt idx="243">
                  <c:v>577.79999999999995</c:v>
                </c:pt>
                <c:pt idx="244">
                  <c:v>528.79999999999995</c:v>
                </c:pt>
                <c:pt idx="245">
                  <c:v>439.9</c:v>
                </c:pt>
                <c:pt idx="246">
                  <c:v>370.4</c:v>
                </c:pt>
                <c:pt idx="247">
                  <c:v>289.89999999999998</c:v>
                </c:pt>
                <c:pt idx="248">
                  <c:v>182.4</c:v>
                </c:pt>
                <c:pt idx="249">
                  <c:v>135.19999999999999</c:v>
                </c:pt>
                <c:pt idx="250">
                  <c:v>148.6</c:v>
                </c:pt>
                <c:pt idx="251">
                  <c:v>344.7</c:v>
                </c:pt>
                <c:pt idx="252">
                  <c:v>485.2</c:v>
                </c:pt>
                <c:pt idx="253">
                  <c:v>473.5</c:v>
                </c:pt>
                <c:pt idx="254">
                  <c:v>413</c:v>
                </c:pt>
                <c:pt idx="255">
                  <c:v>350.3</c:v>
                </c:pt>
                <c:pt idx="256">
                  <c:v>377.2</c:v>
                </c:pt>
                <c:pt idx="257">
                  <c:v>446.2</c:v>
                </c:pt>
                <c:pt idx="258">
                  <c:v>444.4</c:v>
                </c:pt>
                <c:pt idx="259">
                  <c:v>379.7</c:v>
                </c:pt>
                <c:pt idx="260">
                  <c:v>304.2</c:v>
                </c:pt>
                <c:pt idx="261">
                  <c:v>232.3</c:v>
                </c:pt>
                <c:pt idx="262">
                  <c:v>270.10000000000002</c:v>
                </c:pt>
                <c:pt idx="263">
                  <c:v>443.9</c:v>
                </c:pt>
                <c:pt idx="264">
                  <c:v>456.5</c:v>
                </c:pt>
                <c:pt idx="265">
                  <c:v>432.1</c:v>
                </c:pt>
                <c:pt idx="266">
                  <c:v>407.6</c:v>
                </c:pt>
                <c:pt idx="267">
                  <c:v>351.7</c:v>
                </c:pt>
                <c:pt idx="268">
                  <c:v>328.7</c:v>
                </c:pt>
                <c:pt idx="269">
                  <c:v>385.8</c:v>
                </c:pt>
                <c:pt idx="270">
                  <c:v>397.4</c:v>
                </c:pt>
                <c:pt idx="271">
                  <c:v>340.4</c:v>
                </c:pt>
                <c:pt idx="272">
                  <c:v>223.8</c:v>
                </c:pt>
                <c:pt idx="273">
                  <c:v>143.9</c:v>
                </c:pt>
                <c:pt idx="274">
                  <c:v>169.5</c:v>
                </c:pt>
                <c:pt idx="275">
                  <c:v>252.6</c:v>
                </c:pt>
                <c:pt idx="276">
                  <c:v>348.1</c:v>
                </c:pt>
                <c:pt idx="277">
                  <c:v>350.6</c:v>
                </c:pt>
                <c:pt idx="278">
                  <c:v>385</c:v>
                </c:pt>
                <c:pt idx="279">
                  <c:v>304.7</c:v>
                </c:pt>
                <c:pt idx="280">
                  <c:v>272.89999999999998</c:v>
                </c:pt>
                <c:pt idx="281">
                  <c:v>224.9</c:v>
                </c:pt>
                <c:pt idx="282">
                  <c:v>263.10000000000002</c:v>
                </c:pt>
                <c:pt idx="283">
                  <c:v>199.3</c:v>
                </c:pt>
                <c:pt idx="284">
                  <c:v>130.30000000000001</c:v>
                </c:pt>
                <c:pt idx="285">
                  <c:v>128.9</c:v>
                </c:pt>
                <c:pt idx="286">
                  <c:v>140.1</c:v>
                </c:pt>
                <c:pt idx="287">
                  <c:v>238.2</c:v>
                </c:pt>
                <c:pt idx="288">
                  <c:v>311.2</c:v>
                </c:pt>
                <c:pt idx="289">
                  <c:v>311.39999999999998</c:v>
                </c:pt>
                <c:pt idx="290">
                  <c:v>290.89999999999998</c:v>
                </c:pt>
                <c:pt idx="291">
                  <c:v>212.1</c:v>
                </c:pt>
                <c:pt idx="292">
                  <c:v>250.5</c:v>
                </c:pt>
                <c:pt idx="293">
                  <c:v>267.10000000000002</c:v>
                </c:pt>
                <c:pt idx="294">
                  <c:v>268.8</c:v>
                </c:pt>
                <c:pt idx="295">
                  <c:v>232.1</c:v>
                </c:pt>
                <c:pt idx="296">
                  <c:v>171.9</c:v>
                </c:pt>
                <c:pt idx="297">
                  <c:v>157.69999999999999</c:v>
                </c:pt>
                <c:pt idx="298">
                  <c:v>157.6</c:v>
                </c:pt>
                <c:pt idx="299">
                  <c:v>282.3</c:v>
                </c:pt>
                <c:pt idx="300">
                  <c:v>479.1</c:v>
                </c:pt>
                <c:pt idx="301">
                  <c:v>455.1</c:v>
                </c:pt>
                <c:pt idx="302">
                  <c:v>365.6</c:v>
                </c:pt>
                <c:pt idx="303">
                  <c:v>304.10000000000002</c:v>
                </c:pt>
                <c:pt idx="304">
                  <c:v>294.8</c:v>
                </c:pt>
                <c:pt idx="305">
                  <c:v>325.10000000000002</c:v>
                </c:pt>
                <c:pt idx="306">
                  <c:v>335.2</c:v>
                </c:pt>
                <c:pt idx="307">
                  <c:v>306.89999999999998</c:v>
                </c:pt>
                <c:pt idx="308">
                  <c:v>204.3</c:v>
                </c:pt>
                <c:pt idx="309">
                  <c:v>184.1</c:v>
                </c:pt>
                <c:pt idx="310">
                  <c:v>208.9</c:v>
                </c:pt>
                <c:pt idx="311">
                  <c:v>330.1</c:v>
                </c:pt>
                <c:pt idx="312">
                  <c:v>522.4</c:v>
                </c:pt>
                <c:pt idx="313">
                  <c:v>529.4</c:v>
                </c:pt>
                <c:pt idx="314">
                  <c:v>453.6</c:v>
                </c:pt>
                <c:pt idx="315">
                  <c:v>356.6</c:v>
                </c:pt>
                <c:pt idx="316">
                  <c:v>305.7</c:v>
                </c:pt>
                <c:pt idx="317">
                  <c:v>318.2</c:v>
                </c:pt>
                <c:pt idx="318">
                  <c:v>313</c:v>
                </c:pt>
                <c:pt idx="319">
                  <c:v>237.3</c:v>
                </c:pt>
                <c:pt idx="320">
                  <c:v>219.7</c:v>
                </c:pt>
                <c:pt idx="321">
                  <c:v>254.9</c:v>
                </c:pt>
                <c:pt idx="322">
                  <c:v>374</c:v>
                </c:pt>
                <c:pt idx="323">
                  <c:v>546.9</c:v>
                </c:pt>
                <c:pt idx="324">
                  <c:v>670</c:v>
                </c:pt>
                <c:pt idx="325">
                  <c:v>677.1</c:v>
                </c:pt>
                <c:pt idx="326">
                  <c:v>683.7</c:v>
                </c:pt>
                <c:pt idx="327">
                  <c:v>623.9</c:v>
                </c:pt>
                <c:pt idx="328">
                  <c:v>555.29999999999995</c:v>
                </c:pt>
                <c:pt idx="329">
                  <c:v>473.6</c:v>
                </c:pt>
                <c:pt idx="330">
                  <c:v>347</c:v>
                </c:pt>
                <c:pt idx="331">
                  <c:v>286.3</c:v>
                </c:pt>
                <c:pt idx="332">
                  <c:v>175</c:v>
                </c:pt>
                <c:pt idx="333">
                  <c:v>123.6</c:v>
                </c:pt>
                <c:pt idx="334">
                  <c:v>192.3</c:v>
                </c:pt>
                <c:pt idx="335">
                  <c:v>438.4</c:v>
                </c:pt>
                <c:pt idx="336">
                  <c:v>603.29999999999995</c:v>
                </c:pt>
                <c:pt idx="337">
                  <c:v>547.29999999999995</c:v>
                </c:pt>
                <c:pt idx="338">
                  <c:v>456.9</c:v>
                </c:pt>
                <c:pt idx="339">
                  <c:v>385.4</c:v>
                </c:pt>
                <c:pt idx="340">
                  <c:v>350.9</c:v>
                </c:pt>
                <c:pt idx="341">
                  <c:v>279.7</c:v>
                </c:pt>
                <c:pt idx="342">
                  <c:v>321.3</c:v>
                </c:pt>
                <c:pt idx="343">
                  <c:v>247.8</c:v>
                </c:pt>
                <c:pt idx="344">
                  <c:v>118.8</c:v>
                </c:pt>
                <c:pt idx="345">
                  <c:v>79</c:v>
                </c:pt>
                <c:pt idx="346">
                  <c:v>105.7</c:v>
                </c:pt>
                <c:pt idx="347">
                  <c:v>254.4</c:v>
                </c:pt>
                <c:pt idx="348">
                  <c:v>476.3</c:v>
                </c:pt>
                <c:pt idx="349">
                  <c:v>460.5</c:v>
                </c:pt>
                <c:pt idx="350">
                  <c:v>337.8</c:v>
                </c:pt>
                <c:pt idx="351">
                  <c:v>245.5</c:v>
                </c:pt>
                <c:pt idx="352">
                  <c:v>270.3</c:v>
                </c:pt>
                <c:pt idx="353">
                  <c:v>389.3</c:v>
                </c:pt>
                <c:pt idx="354">
                  <c:v>386.4</c:v>
                </c:pt>
                <c:pt idx="355">
                  <c:v>326.8</c:v>
                </c:pt>
                <c:pt idx="356">
                  <c:v>233.3</c:v>
                </c:pt>
                <c:pt idx="357">
                  <c:v>192.4</c:v>
                </c:pt>
                <c:pt idx="358">
                  <c:v>181.2</c:v>
                </c:pt>
                <c:pt idx="359">
                  <c:v>307.5</c:v>
                </c:pt>
                <c:pt idx="360">
                  <c:v>478.3</c:v>
                </c:pt>
                <c:pt idx="361">
                  <c:v>459.5</c:v>
                </c:pt>
                <c:pt idx="362">
                  <c:v>406.3</c:v>
                </c:pt>
                <c:pt idx="363">
                  <c:v>345.3</c:v>
                </c:pt>
                <c:pt idx="364">
                  <c:v>265.8</c:v>
                </c:pt>
                <c:pt idx="365">
                  <c:v>214.8</c:v>
                </c:pt>
                <c:pt idx="366">
                  <c:v>280.2</c:v>
                </c:pt>
                <c:pt idx="367">
                  <c:v>227.4</c:v>
                </c:pt>
                <c:pt idx="368">
                  <c:v>165.8</c:v>
                </c:pt>
                <c:pt idx="369">
                  <c:v>142.1</c:v>
                </c:pt>
                <c:pt idx="370">
                  <c:v>227.1</c:v>
                </c:pt>
                <c:pt idx="371">
                  <c:v>435.8</c:v>
                </c:pt>
                <c:pt idx="372">
                  <c:v>629</c:v>
                </c:pt>
                <c:pt idx="373">
                  <c:v>576</c:v>
                </c:pt>
                <c:pt idx="374">
                  <c:v>474.2</c:v>
                </c:pt>
                <c:pt idx="375">
                  <c:v>426.4</c:v>
                </c:pt>
                <c:pt idx="376">
                  <c:v>438.9</c:v>
                </c:pt>
                <c:pt idx="377">
                  <c:v>390.4</c:v>
                </c:pt>
                <c:pt idx="378">
                  <c:v>321.7</c:v>
                </c:pt>
                <c:pt idx="379">
                  <c:v>219.3</c:v>
                </c:pt>
                <c:pt idx="380">
                  <c:v>131.1</c:v>
                </c:pt>
                <c:pt idx="381">
                  <c:v>173.2</c:v>
                </c:pt>
                <c:pt idx="382">
                  <c:v>223.7</c:v>
                </c:pt>
                <c:pt idx="383">
                  <c:v>347.1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A3-47DC-B699-ECB25FFFC008}"/>
            </c:ext>
          </c:extLst>
        </c:ser>
        <c:ser>
          <c:idx val="1"/>
          <c:order val="1"/>
          <c:tx>
            <c:v>1981-1983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31750" cap="rnd">
                <a:solidFill>
                  <a:srgbClr val="7030A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6022528433945751E-2"/>
                  <c:y val="0.2063086905803441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Monthly!$E$386:$E$421</c:f>
              <c:numCache>
                <c:formatCode>General</c:formatCode>
                <c:ptCount val="36"/>
                <c:pt idx="0">
                  <c:v>7490</c:v>
                </c:pt>
                <c:pt idx="1">
                  <c:v>8007</c:v>
                </c:pt>
                <c:pt idx="2">
                  <c:v>7230</c:v>
                </c:pt>
                <c:pt idx="3">
                  <c:v>6475</c:v>
                </c:pt>
                <c:pt idx="4">
                  <c:v>5830</c:v>
                </c:pt>
                <c:pt idx="5">
                  <c:v>6361</c:v>
                </c:pt>
                <c:pt idx="6">
                  <c:v>8204</c:v>
                </c:pt>
                <c:pt idx="7">
                  <c:v>7320</c:v>
                </c:pt>
                <c:pt idx="8">
                  <c:v>4473</c:v>
                </c:pt>
                <c:pt idx="9">
                  <c:v>2714</c:v>
                </c:pt>
                <c:pt idx="10">
                  <c:v>2490</c:v>
                </c:pt>
                <c:pt idx="11">
                  <c:v>4439</c:v>
                </c:pt>
                <c:pt idx="12">
                  <c:v>7576</c:v>
                </c:pt>
                <c:pt idx="13">
                  <c:v>9399</c:v>
                </c:pt>
                <c:pt idx="14">
                  <c:v>7715</c:v>
                </c:pt>
                <c:pt idx="15">
                  <c:v>6023</c:v>
                </c:pt>
                <c:pt idx="16">
                  <c:v>6893</c:v>
                </c:pt>
                <c:pt idx="17">
                  <c:v>9569</c:v>
                </c:pt>
                <c:pt idx="18">
                  <c:v>11092</c:v>
                </c:pt>
                <c:pt idx="19">
                  <c:v>9027</c:v>
                </c:pt>
                <c:pt idx="20">
                  <c:v>6370</c:v>
                </c:pt>
                <c:pt idx="21">
                  <c:v>5140</c:v>
                </c:pt>
                <c:pt idx="22">
                  <c:v>5825</c:v>
                </c:pt>
                <c:pt idx="23">
                  <c:v>8325</c:v>
                </c:pt>
                <c:pt idx="24">
                  <c:v>11579</c:v>
                </c:pt>
                <c:pt idx="25">
                  <c:v>11148</c:v>
                </c:pt>
                <c:pt idx="26">
                  <c:v>9926</c:v>
                </c:pt>
                <c:pt idx="27">
                  <c:v>10343</c:v>
                </c:pt>
                <c:pt idx="28">
                  <c:v>10851</c:v>
                </c:pt>
                <c:pt idx="29">
                  <c:v>13567</c:v>
                </c:pt>
                <c:pt idx="30">
                  <c:v>13531</c:v>
                </c:pt>
                <c:pt idx="31">
                  <c:v>9666</c:v>
                </c:pt>
                <c:pt idx="32">
                  <c:v>5002</c:v>
                </c:pt>
                <c:pt idx="33">
                  <c:v>4969</c:v>
                </c:pt>
                <c:pt idx="34">
                  <c:v>3794</c:v>
                </c:pt>
                <c:pt idx="35">
                  <c:v>6688</c:v>
                </c:pt>
              </c:numCache>
            </c:numRef>
          </c:xVal>
          <c:yVal>
            <c:numRef>
              <c:f>Monthly!$F$386:$F$421</c:f>
              <c:numCache>
                <c:formatCode>General</c:formatCode>
                <c:ptCount val="36"/>
                <c:pt idx="0">
                  <c:v>310.5</c:v>
                </c:pt>
                <c:pt idx="1">
                  <c:v>313.10000000000002</c:v>
                </c:pt>
                <c:pt idx="2">
                  <c:v>272.2</c:v>
                </c:pt>
                <c:pt idx="3">
                  <c:v>224.2</c:v>
                </c:pt>
                <c:pt idx="4">
                  <c:v>209.2</c:v>
                </c:pt>
                <c:pt idx="5">
                  <c:v>141.80000000000001</c:v>
                </c:pt>
                <c:pt idx="6">
                  <c:v>104.4</c:v>
                </c:pt>
                <c:pt idx="7">
                  <c:v>81.27</c:v>
                </c:pt>
                <c:pt idx="8">
                  <c:v>62.67</c:v>
                </c:pt>
                <c:pt idx="9">
                  <c:v>39.31</c:v>
                </c:pt>
                <c:pt idx="10">
                  <c:v>40.630000000000003</c:v>
                </c:pt>
                <c:pt idx="11">
                  <c:v>84.92</c:v>
                </c:pt>
                <c:pt idx="12">
                  <c:v>264.39999999999998</c:v>
                </c:pt>
                <c:pt idx="13">
                  <c:v>299.5</c:v>
                </c:pt>
                <c:pt idx="14">
                  <c:v>221</c:v>
                </c:pt>
                <c:pt idx="15">
                  <c:v>170.1</c:v>
                </c:pt>
                <c:pt idx="16">
                  <c:v>220.8</c:v>
                </c:pt>
                <c:pt idx="17">
                  <c:v>348.8</c:v>
                </c:pt>
                <c:pt idx="18">
                  <c:v>352.6</c:v>
                </c:pt>
                <c:pt idx="19">
                  <c:v>242.5</c:v>
                </c:pt>
                <c:pt idx="20">
                  <c:v>149.6</c:v>
                </c:pt>
                <c:pt idx="21">
                  <c:v>120.9</c:v>
                </c:pt>
                <c:pt idx="22">
                  <c:v>188.5</c:v>
                </c:pt>
                <c:pt idx="23">
                  <c:v>297.8</c:v>
                </c:pt>
                <c:pt idx="24">
                  <c:v>341.9</c:v>
                </c:pt>
                <c:pt idx="25">
                  <c:v>320.60000000000002</c:v>
                </c:pt>
                <c:pt idx="26">
                  <c:v>303.7</c:v>
                </c:pt>
                <c:pt idx="27">
                  <c:v>310</c:v>
                </c:pt>
                <c:pt idx="28">
                  <c:v>346.6</c:v>
                </c:pt>
                <c:pt idx="29">
                  <c:v>385.8</c:v>
                </c:pt>
                <c:pt idx="30">
                  <c:v>351.2</c:v>
                </c:pt>
                <c:pt idx="31">
                  <c:v>219.4</c:v>
                </c:pt>
                <c:pt idx="32">
                  <c:v>106</c:v>
                </c:pt>
                <c:pt idx="33">
                  <c:v>97.09</c:v>
                </c:pt>
                <c:pt idx="34">
                  <c:v>88.46</c:v>
                </c:pt>
                <c:pt idx="35">
                  <c:v>204.2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AA3-47DC-B699-ECB25FFFC0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5275935"/>
        <c:axId val="1569400079"/>
      </c:scatterChart>
      <c:valAx>
        <c:axId val="2025275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9400079"/>
        <c:crosses val="autoZero"/>
        <c:crossBetween val="midCat"/>
      </c:valAx>
      <c:valAx>
        <c:axId val="1569400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52759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Ratio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Monthly!$D$2:$D$421</c:f>
              <c:numCache>
                <c:formatCode>0.0</c:formatCode>
                <c:ptCount val="420"/>
                <c:pt idx="0">
                  <c:v>2015.9166666666665</c:v>
                </c:pt>
                <c:pt idx="1">
                  <c:v>2015.8333333333333</c:v>
                </c:pt>
                <c:pt idx="2">
                  <c:v>2015.75</c:v>
                </c:pt>
                <c:pt idx="3">
                  <c:v>2015.6666666666665</c:v>
                </c:pt>
                <c:pt idx="4">
                  <c:v>2015.5833333333333</c:v>
                </c:pt>
                <c:pt idx="5">
                  <c:v>2015.5</c:v>
                </c:pt>
                <c:pt idx="6">
                  <c:v>2015.4166666666665</c:v>
                </c:pt>
                <c:pt idx="7">
                  <c:v>2015.3333333333333</c:v>
                </c:pt>
                <c:pt idx="8">
                  <c:v>2015.25</c:v>
                </c:pt>
                <c:pt idx="9">
                  <c:v>2015.1666666666665</c:v>
                </c:pt>
                <c:pt idx="10">
                  <c:v>2015.0833333333333</c:v>
                </c:pt>
                <c:pt idx="11">
                  <c:v>2015</c:v>
                </c:pt>
                <c:pt idx="12">
                  <c:v>2014.9166666666665</c:v>
                </c:pt>
                <c:pt idx="13">
                  <c:v>2014.8333333333333</c:v>
                </c:pt>
                <c:pt idx="14">
                  <c:v>2014.75</c:v>
                </c:pt>
                <c:pt idx="15">
                  <c:v>2014.6666666666665</c:v>
                </c:pt>
                <c:pt idx="16">
                  <c:v>2014.5833333333333</c:v>
                </c:pt>
                <c:pt idx="17">
                  <c:v>2014.5</c:v>
                </c:pt>
                <c:pt idx="18">
                  <c:v>2014.4166666666665</c:v>
                </c:pt>
                <c:pt idx="19">
                  <c:v>2014.3333333333333</c:v>
                </c:pt>
                <c:pt idx="20">
                  <c:v>2014.25</c:v>
                </c:pt>
                <c:pt idx="21">
                  <c:v>2014.1666666666665</c:v>
                </c:pt>
                <c:pt idx="22">
                  <c:v>2014.0833333333333</c:v>
                </c:pt>
                <c:pt idx="23">
                  <c:v>2014</c:v>
                </c:pt>
                <c:pt idx="24">
                  <c:v>2013.9166666666599</c:v>
                </c:pt>
                <c:pt idx="25">
                  <c:v>2013.8333333333301</c:v>
                </c:pt>
                <c:pt idx="26">
                  <c:v>2013.75</c:v>
                </c:pt>
                <c:pt idx="27">
                  <c:v>2013.6666666666599</c:v>
                </c:pt>
                <c:pt idx="28">
                  <c:v>2013.5833333333301</c:v>
                </c:pt>
                <c:pt idx="29">
                  <c:v>2013.5</c:v>
                </c:pt>
                <c:pt idx="30">
                  <c:v>2013.4166666666599</c:v>
                </c:pt>
                <c:pt idx="31">
                  <c:v>2013.3333333333301</c:v>
                </c:pt>
                <c:pt idx="32">
                  <c:v>2013.25</c:v>
                </c:pt>
                <c:pt idx="33">
                  <c:v>2013.1666666666599</c:v>
                </c:pt>
                <c:pt idx="34">
                  <c:v>2013.0833333333301</c:v>
                </c:pt>
                <c:pt idx="35">
                  <c:v>2013</c:v>
                </c:pt>
                <c:pt idx="36">
                  <c:v>2012.9166666666599</c:v>
                </c:pt>
                <c:pt idx="37">
                  <c:v>2012.8333333333301</c:v>
                </c:pt>
                <c:pt idx="38">
                  <c:v>2012.75</c:v>
                </c:pt>
                <c:pt idx="39">
                  <c:v>2012.6666666666599</c:v>
                </c:pt>
                <c:pt idx="40">
                  <c:v>2012.5833333333301</c:v>
                </c:pt>
                <c:pt idx="41">
                  <c:v>2012.5</c:v>
                </c:pt>
                <c:pt idx="42">
                  <c:v>2012.4166666666599</c:v>
                </c:pt>
                <c:pt idx="43">
                  <c:v>2012.3333333333301</c:v>
                </c:pt>
                <c:pt idx="44">
                  <c:v>2012.24999999999</c:v>
                </c:pt>
                <c:pt idx="45">
                  <c:v>2012.1666666666599</c:v>
                </c:pt>
                <c:pt idx="46">
                  <c:v>2012.0833333333301</c:v>
                </c:pt>
                <c:pt idx="47">
                  <c:v>2012</c:v>
                </c:pt>
                <c:pt idx="48">
                  <c:v>2011.9166666666599</c:v>
                </c:pt>
                <c:pt idx="49">
                  <c:v>2011.8333333333301</c:v>
                </c:pt>
                <c:pt idx="50">
                  <c:v>2011.74999999999</c:v>
                </c:pt>
                <c:pt idx="51">
                  <c:v>2011.6666666666599</c:v>
                </c:pt>
                <c:pt idx="52">
                  <c:v>2011.5833333333301</c:v>
                </c:pt>
                <c:pt idx="53">
                  <c:v>2011.49999999999</c:v>
                </c:pt>
                <c:pt idx="54">
                  <c:v>2011.4166666666599</c:v>
                </c:pt>
                <c:pt idx="55">
                  <c:v>2011.3333333333301</c:v>
                </c:pt>
                <c:pt idx="56">
                  <c:v>2011.24999999999</c:v>
                </c:pt>
                <c:pt idx="57">
                  <c:v>2011.1666666666599</c:v>
                </c:pt>
                <c:pt idx="58">
                  <c:v>2011.0833333333301</c:v>
                </c:pt>
                <c:pt idx="59">
                  <c:v>2011</c:v>
                </c:pt>
                <c:pt idx="60">
                  <c:v>2010.9166666666599</c:v>
                </c:pt>
                <c:pt idx="61">
                  <c:v>2010.8333333333301</c:v>
                </c:pt>
                <c:pt idx="62">
                  <c:v>2010.74999999999</c:v>
                </c:pt>
                <c:pt idx="63">
                  <c:v>2010.6666666666599</c:v>
                </c:pt>
                <c:pt idx="64">
                  <c:v>2010.5833333333301</c:v>
                </c:pt>
                <c:pt idx="65">
                  <c:v>2010.49999999999</c:v>
                </c:pt>
                <c:pt idx="66">
                  <c:v>2010.4166666666599</c:v>
                </c:pt>
                <c:pt idx="67">
                  <c:v>2010.3333333333201</c:v>
                </c:pt>
                <c:pt idx="68">
                  <c:v>2010.24999999999</c:v>
                </c:pt>
                <c:pt idx="69">
                  <c:v>2010.1666666666599</c:v>
                </c:pt>
                <c:pt idx="70">
                  <c:v>2010.0833333333201</c:v>
                </c:pt>
                <c:pt idx="71">
                  <c:v>2010</c:v>
                </c:pt>
                <c:pt idx="72">
                  <c:v>2009.9166666666599</c:v>
                </c:pt>
                <c:pt idx="73">
                  <c:v>2009.8333333333201</c:v>
                </c:pt>
                <c:pt idx="74">
                  <c:v>2009.74999999999</c:v>
                </c:pt>
                <c:pt idx="75">
                  <c:v>2009.6666666666599</c:v>
                </c:pt>
                <c:pt idx="76">
                  <c:v>2009.5833333333201</c:v>
                </c:pt>
                <c:pt idx="77">
                  <c:v>2009.49999999999</c:v>
                </c:pt>
                <c:pt idx="78">
                  <c:v>2009.4166666666599</c:v>
                </c:pt>
                <c:pt idx="79">
                  <c:v>2009.3333333333201</c:v>
                </c:pt>
                <c:pt idx="80">
                  <c:v>2009.24999999999</c:v>
                </c:pt>
                <c:pt idx="81">
                  <c:v>2009.1666666666599</c:v>
                </c:pt>
                <c:pt idx="82">
                  <c:v>2009.0833333333201</c:v>
                </c:pt>
                <c:pt idx="83">
                  <c:v>2009</c:v>
                </c:pt>
                <c:pt idx="84">
                  <c:v>2008.9166666666599</c:v>
                </c:pt>
                <c:pt idx="85">
                  <c:v>2008.8333333333201</c:v>
                </c:pt>
                <c:pt idx="86">
                  <c:v>2008.74999999999</c:v>
                </c:pt>
                <c:pt idx="87">
                  <c:v>2008.6666666666599</c:v>
                </c:pt>
                <c:pt idx="88">
                  <c:v>2008.5833333333201</c:v>
                </c:pt>
                <c:pt idx="89">
                  <c:v>2008.49999999999</c:v>
                </c:pt>
                <c:pt idx="90">
                  <c:v>2008.4166666666499</c:v>
                </c:pt>
                <c:pt idx="91">
                  <c:v>2008.3333333333201</c:v>
                </c:pt>
                <c:pt idx="92">
                  <c:v>2008.24999999999</c:v>
                </c:pt>
                <c:pt idx="93">
                  <c:v>2008.1666666666499</c:v>
                </c:pt>
                <c:pt idx="94">
                  <c:v>2008.0833333333201</c:v>
                </c:pt>
                <c:pt idx="95">
                  <c:v>2008</c:v>
                </c:pt>
                <c:pt idx="96">
                  <c:v>2007.9166666666499</c:v>
                </c:pt>
                <c:pt idx="97">
                  <c:v>2007.8333333333201</c:v>
                </c:pt>
                <c:pt idx="98">
                  <c:v>2007.74999999999</c:v>
                </c:pt>
                <c:pt idx="99">
                  <c:v>2007.6666666666499</c:v>
                </c:pt>
                <c:pt idx="100">
                  <c:v>2007.5833333333201</c:v>
                </c:pt>
                <c:pt idx="101">
                  <c:v>2007.49999999999</c:v>
                </c:pt>
                <c:pt idx="102">
                  <c:v>2007.4166666666499</c:v>
                </c:pt>
                <c:pt idx="103">
                  <c:v>2007.3333333333201</c:v>
                </c:pt>
                <c:pt idx="104">
                  <c:v>2007.24999999999</c:v>
                </c:pt>
                <c:pt idx="105">
                  <c:v>2007.1666666666499</c:v>
                </c:pt>
                <c:pt idx="106">
                  <c:v>2007.0833333333201</c:v>
                </c:pt>
                <c:pt idx="107">
                  <c:v>2007</c:v>
                </c:pt>
                <c:pt idx="108">
                  <c:v>2006.9166666666499</c:v>
                </c:pt>
                <c:pt idx="109">
                  <c:v>2006.8333333333201</c:v>
                </c:pt>
                <c:pt idx="110">
                  <c:v>2006.74999999998</c:v>
                </c:pt>
                <c:pt idx="111">
                  <c:v>2006.6666666666499</c:v>
                </c:pt>
                <c:pt idx="112">
                  <c:v>2006.5833333333201</c:v>
                </c:pt>
                <c:pt idx="113">
                  <c:v>2006.49999999998</c:v>
                </c:pt>
                <c:pt idx="114">
                  <c:v>2006.4166666666499</c:v>
                </c:pt>
                <c:pt idx="115">
                  <c:v>2006.3333333333201</c:v>
                </c:pt>
                <c:pt idx="116">
                  <c:v>2006.24999999998</c:v>
                </c:pt>
                <c:pt idx="117">
                  <c:v>2006.1666666666499</c:v>
                </c:pt>
                <c:pt idx="118">
                  <c:v>2006.0833333333201</c:v>
                </c:pt>
                <c:pt idx="119">
                  <c:v>2006</c:v>
                </c:pt>
                <c:pt idx="120">
                  <c:v>2005.9166666666499</c:v>
                </c:pt>
                <c:pt idx="121">
                  <c:v>2005.8333333333201</c:v>
                </c:pt>
                <c:pt idx="122">
                  <c:v>2005.74999999998</c:v>
                </c:pt>
                <c:pt idx="123">
                  <c:v>2005.6666666666499</c:v>
                </c:pt>
                <c:pt idx="124">
                  <c:v>2005.5833333333201</c:v>
                </c:pt>
                <c:pt idx="125">
                  <c:v>2005.49999999998</c:v>
                </c:pt>
                <c:pt idx="126">
                  <c:v>2005.4166666666499</c:v>
                </c:pt>
                <c:pt idx="127">
                  <c:v>2005.3333333333201</c:v>
                </c:pt>
                <c:pt idx="128">
                  <c:v>2005.24999999998</c:v>
                </c:pt>
                <c:pt idx="129">
                  <c:v>2005.1666666666499</c:v>
                </c:pt>
                <c:pt idx="130">
                  <c:v>2005.0833333333201</c:v>
                </c:pt>
                <c:pt idx="131">
                  <c:v>2005</c:v>
                </c:pt>
                <c:pt idx="132">
                  <c:v>2004.9166666666499</c:v>
                </c:pt>
                <c:pt idx="133">
                  <c:v>2004.8333333333101</c:v>
                </c:pt>
                <c:pt idx="134">
                  <c:v>2004.74999999998</c:v>
                </c:pt>
                <c:pt idx="135">
                  <c:v>2004.6666666666499</c:v>
                </c:pt>
                <c:pt idx="136">
                  <c:v>2004.5833333333101</c:v>
                </c:pt>
                <c:pt idx="137">
                  <c:v>2004.49999999998</c:v>
                </c:pt>
                <c:pt idx="138">
                  <c:v>2004.4166666666499</c:v>
                </c:pt>
                <c:pt idx="139">
                  <c:v>2004.3333333333101</c:v>
                </c:pt>
                <c:pt idx="140">
                  <c:v>2004.24999999998</c:v>
                </c:pt>
                <c:pt idx="141">
                  <c:v>2004.1666666666499</c:v>
                </c:pt>
                <c:pt idx="142">
                  <c:v>2004.0833333333101</c:v>
                </c:pt>
                <c:pt idx="143">
                  <c:v>2004</c:v>
                </c:pt>
                <c:pt idx="144">
                  <c:v>2003.9166666666499</c:v>
                </c:pt>
                <c:pt idx="145">
                  <c:v>2003.8333333333101</c:v>
                </c:pt>
                <c:pt idx="146">
                  <c:v>2003.74999999998</c:v>
                </c:pt>
                <c:pt idx="147">
                  <c:v>2003.6666666666499</c:v>
                </c:pt>
                <c:pt idx="148">
                  <c:v>2003.5833333333101</c:v>
                </c:pt>
                <c:pt idx="149">
                  <c:v>2003.49999999998</c:v>
                </c:pt>
                <c:pt idx="150">
                  <c:v>2003.4166666666499</c:v>
                </c:pt>
                <c:pt idx="151">
                  <c:v>2003.3333333333101</c:v>
                </c:pt>
                <c:pt idx="152">
                  <c:v>2003.24999999998</c:v>
                </c:pt>
                <c:pt idx="153">
                  <c:v>2003.1666666666499</c:v>
                </c:pt>
                <c:pt idx="154">
                  <c:v>2003.0833333333101</c:v>
                </c:pt>
                <c:pt idx="155">
                  <c:v>2003</c:v>
                </c:pt>
                <c:pt idx="156">
                  <c:v>2002.9166666666399</c:v>
                </c:pt>
                <c:pt idx="157">
                  <c:v>2002.8333333333101</c:v>
                </c:pt>
                <c:pt idx="158">
                  <c:v>2002.74999999998</c:v>
                </c:pt>
                <c:pt idx="159">
                  <c:v>2002.6666666666399</c:v>
                </c:pt>
                <c:pt idx="160">
                  <c:v>2002.5833333333101</c:v>
                </c:pt>
                <c:pt idx="161">
                  <c:v>2002.49999999998</c:v>
                </c:pt>
                <c:pt idx="162">
                  <c:v>2002.4166666666399</c:v>
                </c:pt>
                <c:pt idx="163">
                  <c:v>2002.3333333333101</c:v>
                </c:pt>
                <c:pt idx="164">
                  <c:v>2002.24999999998</c:v>
                </c:pt>
                <c:pt idx="165">
                  <c:v>2002.1666666666399</c:v>
                </c:pt>
                <c:pt idx="166">
                  <c:v>2002.0833333333101</c:v>
                </c:pt>
                <c:pt idx="167">
                  <c:v>2002</c:v>
                </c:pt>
                <c:pt idx="168">
                  <c:v>2001.9166666666399</c:v>
                </c:pt>
                <c:pt idx="169">
                  <c:v>2001.8333333333101</c:v>
                </c:pt>
                <c:pt idx="170">
                  <c:v>2001.74999999998</c:v>
                </c:pt>
                <c:pt idx="171">
                  <c:v>2001.6666666666399</c:v>
                </c:pt>
                <c:pt idx="172">
                  <c:v>2001.5833333333101</c:v>
                </c:pt>
                <c:pt idx="173">
                  <c:v>2001.49999999998</c:v>
                </c:pt>
                <c:pt idx="174">
                  <c:v>2001.4166666666399</c:v>
                </c:pt>
                <c:pt idx="175">
                  <c:v>2001.3333333333101</c:v>
                </c:pt>
                <c:pt idx="176">
                  <c:v>2001.24999999997</c:v>
                </c:pt>
                <c:pt idx="177">
                  <c:v>2001.1666666666399</c:v>
                </c:pt>
                <c:pt idx="178">
                  <c:v>2001.0833333333101</c:v>
                </c:pt>
                <c:pt idx="179">
                  <c:v>2001</c:v>
                </c:pt>
                <c:pt idx="180">
                  <c:v>2000.9166666666399</c:v>
                </c:pt>
                <c:pt idx="181">
                  <c:v>2000.8333333333101</c:v>
                </c:pt>
                <c:pt idx="182">
                  <c:v>2000.74999999997</c:v>
                </c:pt>
                <c:pt idx="183">
                  <c:v>2000.6666666666399</c:v>
                </c:pt>
                <c:pt idx="184">
                  <c:v>2000.5833333333101</c:v>
                </c:pt>
                <c:pt idx="185">
                  <c:v>2000.49999999997</c:v>
                </c:pt>
                <c:pt idx="186">
                  <c:v>2000.4166666666399</c:v>
                </c:pt>
                <c:pt idx="187">
                  <c:v>2000.3333333333101</c:v>
                </c:pt>
                <c:pt idx="188">
                  <c:v>2000.24999999997</c:v>
                </c:pt>
                <c:pt idx="189">
                  <c:v>2000.1666666666399</c:v>
                </c:pt>
                <c:pt idx="190">
                  <c:v>2000.0833333333101</c:v>
                </c:pt>
                <c:pt idx="191">
                  <c:v>2000</c:v>
                </c:pt>
                <c:pt idx="192">
                  <c:v>1999.9166666660001</c:v>
                </c:pt>
                <c:pt idx="193">
                  <c:v>1999.83333333264</c:v>
                </c:pt>
                <c:pt idx="194">
                  <c:v>1999.7499999992799</c:v>
                </c:pt>
                <c:pt idx="195">
                  <c:v>1999.66666666592</c:v>
                </c:pt>
                <c:pt idx="196">
                  <c:v>1999.58333333256</c:v>
                </c:pt>
                <c:pt idx="197">
                  <c:v>1999.4999999992001</c:v>
                </c:pt>
                <c:pt idx="198">
                  <c:v>1999.41666666584</c:v>
                </c:pt>
                <c:pt idx="199">
                  <c:v>1999.3333333324799</c:v>
                </c:pt>
                <c:pt idx="200">
                  <c:v>1999.2499999991201</c:v>
                </c:pt>
                <c:pt idx="201">
                  <c:v>1999.16666666576</c:v>
                </c:pt>
                <c:pt idx="202">
                  <c:v>1999.0833333323999</c:v>
                </c:pt>
                <c:pt idx="203">
                  <c:v>1998.99999999904</c:v>
                </c:pt>
                <c:pt idx="204">
                  <c:v>1998.9166666656799</c:v>
                </c:pt>
                <c:pt idx="205">
                  <c:v>1998.8333333323201</c:v>
                </c:pt>
                <c:pt idx="206">
                  <c:v>1998.74999999896</c:v>
                </c:pt>
                <c:pt idx="207">
                  <c:v>1998.6666666655999</c:v>
                </c:pt>
                <c:pt idx="208">
                  <c:v>1998.58333333224</c:v>
                </c:pt>
                <c:pt idx="209">
                  <c:v>1998.49999999888</c:v>
                </c:pt>
                <c:pt idx="210">
                  <c:v>1998.4166666655201</c:v>
                </c:pt>
                <c:pt idx="211">
                  <c:v>1998.33333333216</c:v>
                </c:pt>
                <c:pt idx="212">
                  <c:v>1998.2499999987999</c:v>
                </c:pt>
                <c:pt idx="213">
                  <c:v>1998.1666666654401</c:v>
                </c:pt>
                <c:pt idx="214">
                  <c:v>1998.08333333208</c:v>
                </c:pt>
                <c:pt idx="215">
                  <c:v>1997.9999999987201</c:v>
                </c:pt>
                <c:pt idx="216">
                  <c:v>1997.91666666536</c:v>
                </c:pt>
                <c:pt idx="217">
                  <c:v>1997.8333333319999</c:v>
                </c:pt>
                <c:pt idx="218">
                  <c:v>1997.7499999986401</c:v>
                </c:pt>
                <c:pt idx="219">
                  <c:v>1997.66666666528</c:v>
                </c:pt>
                <c:pt idx="220">
                  <c:v>1997.5833333319199</c:v>
                </c:pt>
                <c:pt idx="221">
                  <c:v>1997.49999999856</c:v>
                </c:pt>
                <c:pt idx="222">
                  <c:v>1997.4166666652</c:v>
                </c:pt>
                <c:pt idx="223">
                  <c:v>1997.3333333318401</c:v>
                </c:pt>
                <c:pt idx="224">
                  <c:v>1997.24999999848</c:v>
                </c:pt>
                <c:pt idx="225">
                  <c:v>1997.1666666651099</c:v>
                </c:pt>
                <c:pt idx="226">
                  <c:v>1997.0833333317501</c:v>
                </c:pt>
                <c:pt idx="227">
                  <c:v>1996.99999999839</c:v>
                </c:pt>
                <c:pt idx="228">
                  <c:v>1996.9166666650301</c:v>
                </c:pt>
                <c:pt idx="229">
                  <c:v>1996.83333333167</c:v>
                </c:pt>
                <c:pt idx="230">
                  <c:v>1996.7499999983099</c:v>
                </c:pt>
                <c:pt idx="231">
                  <c:v>1996.6666666649501</c:v>
                </c:pt>
                <c:pt idx="232">
                  <c:v>1996.58333333159</c:v>
                </c:pt>
                <c:pt idx="233">
                  <c:v>1996.4999999982299</c:v>
                </c:pt>
                <c:pt idx="234">
                  <c:v>1996.41666666487</c:v>
                </c:pt>
                <c:pt idx="235">
                  <c:v>1996.3333333315099</c:v>
                </c:pt>
                <c:pt idx="236">
                  <c:v>1996.2499999981501</c:v>
                </c:pt>
                <c:pt idx="237">
                  <c:v>1996.16666666479</c:v>
                </c:pt>
                <c:pt idx="238">
                  <c:v>1996.0833333314299</c:v>
                </c:pt>
                <c:pt idx="239">
                  <c:v>1995.9999999980701</c:v>
                </c:pt>
                <c:pt idx="240">
                  <c:v>1995.91666666471</c:v>
                </c:pt>
                <c:pt idx="241">
                  <c:v>1995.8333333313501</c:v>
                </c:pt>
                <c:pt idx="242">
                  <c:v>1995.74999999799</c:v>
                </c:pt>
                <c:pt idx="243">
                  <c:v>1995.6666666646299</c:v>
                </c:pt>
                <c:pt idx="244">
                  <c:v>1995.5833333312701</c:v>
                </c:pt>
                <c:pt idx="245">
                  <c:v>1995.49999999791</c:v>
                </c:pt>
                <c:pt idx="246">
                  <c:v>1995.4166666645499</c:v>
                </c:pt>
                <c:pt idx="247">
                  <c:v>1995.33333333119</c:v>
                </c:pt>
                <c:pt idx="248">
                  <c:v>1995.2499999978299</c:v>
                </c:pt>
                <c:pt idx="249">
                  <c:v>1995.1666666644701</c:v>
                </c:pt>
                <c:pt idx="250">
                  <c:v>1995.08333333111</c:v>
                </c:pt>
                <c:pt idx="251">
                  <c:v>1994.9999999977499</c:v>
                </c:pt>
                <c:pt idx="252">
                  <c:v>1994.91666666439</c:v>
                </c:pt>
                <c:pt idx="253">
                  <c:v>1994.83333333103</c:v>
                </c:pt>
                <c:pt idx="254">
                  <c:v>1994.7499999976701</c:v>
                </c:pt>
                <c:pt idx="255">
                  <c:v>1994.66666666431</c:v>
                </c:pt>
                <c:pt idx="256">
                  <c:v>1994.5833333309499</c:v>
                </c:pt>
                <c:pt idx="257">
                  <c:v>1994.4999999975901</c:v>
                </c:pt>
                <c:pt idx="258">
                  <c:v>1994.41666666423</c:v>
                </c:pt>
                <c:pt idx="259">
                  <c:v>1994.3333333308699</c:v>
                </c:pt>
                <c:pt idx="260">
                  <c:v>1994.24999999751</c:v>
                </c:pt>
                <c:pt idx="261">
                  <c:v>1994.1666666641499</c:v>
                </c:pt>
                <c:pt idx="262">
                  <c:v>1994.0833333307901</c:v>
                </c:pt>
                <c:pt idx="263">
                  <c:v>1993.99999999743</c:v>
                </c:pt>
                <c:pt idx="264">
                  <c:v>1993.9166666640699</c:v>
                </c:pt>
                <c:pt idx="265">
                  <c:v>1993.83333333071</c:v>
                </c:pt>
                <c:pt idx="266">
                  <c:v>1993.74999999735</c:v>
                </c:pt>
                <c:pt idx="267">
                  <c:v>1993.6666666639901</c:v>
                </c:pt>
                <c:pt idx="268">
                  <c:v>1993.58333333063</c:v>
                </c:pt>
                <c:pt idx="269">
                  <c:v>1993.4999999972699</c:v>
                </c:pt>
                <c:pt idx="270">
                  <c:v>1993.4166666639101</c:v>
                </c:pt>
                <c:pt idx="271">
                  <c:v>1993.33333333055</c:v>
                </c:pt>
                <c:pt idx="272">
                  <c:v>1993.2499999971899</c:v>
                </c:pt>
                <c:pt idx="273">
                  <c:v>1993.16666666383</c:v>
                </c:pt>
                <c:pt idx="274">
                  <c:v>1993.0833333304699</c:v>
                </c:pt>
                <c:pt idx="275">
                  <c:v>1992.9999999971101</c:v>
                </c:pt>
                <c:pt idx="276">
                  <c:v>1992.91666666375</c:v>
                </c:pt>
                <c:pt idx="277">
                  <c:v>1992.8333333303899</c:v>
                </c:pt>
                <c:pt idx="278">
                  <c:v>1992.74999999703</c:v>
                </c:pt>
                <c:pt idx="279">
                  <c:v>1992.66666666367</c:v>
                </c:pt>
                <c:pt idx="280">
                  <c:v>1992.5833333303101</c:v>
                </c:pt>
                <c:pt idx="281">
                  <c:v>1992.49999999695</c:v>
                </c:pt>
                <c:pt idx="282">
                  <c:v>1992.4166666635899</c:v>
                </c:pt>
                <c:pt idx="283">
                  <c:v>1992.3333333302301</c:v>
                </c:pt>
                <c:pt idx="284">
                  <c:v>1992.24999999687</c:v>
                </c:pt>
                <c:pt idx="285">
                  <c:v>1992.1666666635101</c:v>
                </c:pt>
                <c:pt idx="286">
                  <c:v>1992.08333333015</c:v>
                </c:pt>
                <c:pt idx="287">
                  <c:v>1991.9999999967899</c:v>
                </c:pt>
                <c:pt idx="288">
                  <c:v>1991.9166666634301</c:v>
                </c:pt>
                <c:pt idx="289">
                  <c:v>1991.83333333007</c:v>
                </c:pt>
                <c:pt idx="290">
                  <c:v>1991.7499999967099</c:v>
                </c:pt>
                <c:pt idx="291">
                  <c:v>1991.66666666335</c:v>
                </c:pt>
                <c:pt idx="292">
                  <c:v>1991.58333332999</c:v>
                </c:pt>
                <c:pt idx="293">
                  <c:v>1991.4999999966301</c:v>
                </c:pt>
                <c:pt idx="294">
                  <c:v>1991.41666666327</c:v>
                </c:pt>
                <c:pt idx="295">
                  <c:v>1991.3333333299099</c:v>
                </c:pt>
                <c:pt idx="296">
                  <c:v>1991.2499999965501</c:v>
                </c:pt>
                <c:pt idx="297">
                  <c:v>1991.16666666319</c:v>
                </c:pt>
                <c:pt idx="298">
                  <c:v>1991.0833333298301</c:v>
                </c:pt>
                <c:pt idx="299">
                  <c:v>1990.99999999647</c:v>
                </c:pt>
                <c:pt idx="300">
                  <c:v>1990.9166666631099</c:v>
                </c:pt>
                <c:pt idx="301">
                  <c:v>1990.8333333297501</c:v>
                </c:pt>
                <c:pt idx="302">
                  <c:v>1990.74999999639</c:v>
                </c:pt>
                <c:pt idx="303">
                  <c:v>1990.6666666630299</c:v>
                </c:pt>
                <c:pt idx="304">
                  <c:v>1990.58333332967</c:v>
                </c:pt>
                <c:pt idx="305">
                  <c:v>1990.49999999631</c:v>
                </c:pt>
                <c:pt idx="306">
                  <c:v>1990.4166666629501</c:v>
                </c:pt>
                <c:pt idx="307">
                  <c:v>1990.33333332959</c:v>
                </c:pt>
                <c:pt idx="308">
                  <c:v>1990.2499999962299</c:v>
                </c:pt>
                <c:pt idx="309">
                  <c:v>1990.1666666628701</c:v>
                </c:pt>
                <c:pt idx="310">
                  <c:v>1990.08333332951</c:v>
                </c:pt>
                <c:pt idx="311">
                  <c:v>1989.9999999961501</c:v>
                </c:pt>
                <c:pt idx="312">
                  <c:v>1989.91666666279</c:v>
                </c:pt>
                <c:pt idx="313">
                  <c:v>1989.8333333294299</c:v>
                </c:pt>
                <c:pt idx="314">
                  <c:v>1989.7499999960701</c:v>
                </c:pt>
                <c:pt idx="315">
                  <c:v>1989.66666666271</c:v>
                </c:pt>
                <c:pt idx="316">
                  <c:v>1989.5833333293499</c:v>
                </c:pt>
                <c:pt idx="317">
                  <c:v>1989.49999999599</c:v>
                </c:pt>
                <c:pt idx="318">
                  <c:v>1989.41666666263</c:v>
                </c:pt>
                <c:pt idx="319">
                  <c:v>1989.3333333292701</c:v>
                </c:pt>
                <c:pt idx="320">
                  <c:v>1989.24999999591</c:v>
                </c:pt>
                <c:pt idx="321">
                  <c:v>1989.1666666625499</c:v>
                </c:pt>
                <c:pt idx="322">
                  <c:v>1989.0833333291901</c:v>
                </c:pt>
                <c:pt idx="323">
                  <c:v>1988.99999999583</c:v>
                </c:pt>
                <c:pt idx="324">
                  <c:v>1988.9166666624701</c:v>
                </c:pt>
                <c:pt idx="325">
                  <c:v>1988.83333332911</c:v>
                </c:pt>
                <c:pt idx="326">
                  <c:v>1988.7499999957499</c:v>
                </c:pt>
                <c:pt idx="327">
                  <c:v>1988.6666666623901</c:v>
                </c:pt>
                <c:pt idx="328">
                  <c:v>1988.58333332903</c:v>
                </c:pt>
                <c:pt idx="329">
                  <c:v>1988.4999999956699</c:v>
                </c:pt>
                <c:pt idx="330">
                  <c:v>1988.41666666231</c:v>
                </c:pt>
                <c:pt idx="331">
                  <c:v>1988.3333333289499</c:v>
                </c:pt>
                <c:pt idx="332">
                  <c:v>1988.2499999955901</c:v>
                </c:pt>
                <c:pt idx="333">
                  <c:v>1988.16666666223</c:v>
                </c:pt>
                <c:pt idx="334">
                  <c:v>1988.0833333288699</c:v>
                </c:pt>
                <c:pt idx="335">
                  <c:v>1987.9999999955101</c:v>
                </c:pt>
                <c:pt idx="336">
                  <c:v>1987.91666666215</c:v>
                </c:pt>
                <c:pt idx="337">
                  <c:v>1987.8333333287901</c:v>
                </c:pt>
                <c:pt idx="338">
                  <c:v>1987.74999999543</c:v>
                </c:pt>
                <c:pt idx="339">
                  <c:v>1987.6666666620599</c:v>
                </c:pt>
                <c:pt idx="340">
                  <c:v>1987.5833333287001</c:v>
                </c:pt>
                <c:pt idx="341">
                  <c:v>1987.49999999534</c:v>
                </c:pt>
                <c:pt idx="342">
                  <c:v>1987.4166666619799</c:v>
                </c:pt>
                <c:pt idx="343">
                  <c:v>1987.33333332862</c:v>
                </c:pt>
                <c:pt idx="344">
                  <c:v>1987.2499999952599</c:v>
                </c:pt>
                <c:pt idx="345">
                  <c:v>1987.1666666619001</c:v>
                </c:pt>
                <c:pt idx="346">
                  <c:v>1987.08333332854</c:v>
                </c:pt>
                <c:pt idx="347">
                  <c:v>1986.9999999951799</c:v>
                </c:pt>
                <c:pt idx="348">
                  <c:v>1986.91666666182</c:v>
                </c:pt>
                <c:pt idx="349">
                  <c:v>1986.83333332846</c:v>
                </c:pt>
                <c:pt idx="350">
                  <c:v>1986.7499999951001</c:v>
                </c:pt>
                <c:pt idx="351">
                  <c:v>1986.66666666174</c:v>
                </c:pt>
                <c:pt idx="352">
                  <c:v>1986.5833333283799</c:v>
                </c:pt>
                <c:pt idx="353">
                  <c:v>1986.4999999950201</c:v>
                </c:pt>
                <c:pt idx="354">
                  <c:v>1986.41666666166</c:v>
                </c:pt>
                <c:pt idx="355">
                  <c:v>1986.3333333282999</c:v>
                </c:pt>
                <c:pt idx="356">
                  <c:v>1986.24999999494</c:v>
                </c:pt>
                <c:pt idx="357">
                  <c:v>1986.1666666615799</c:v>
                </c:pt>
                <c:pt idx="358">
                  <c:v>1986.0833333282201</c:v>
                </c:pt>
                <c:pt idx="359">
                  <c:v>1985.99999999486</c:v>
                </c:pt>
                <c:pt idx="360">
                  <c:v>1985.9166666614999</c:v>
                </c:pt>
                <c:pt idx="361">
                  <c:v>1985.83333332814</c:v>
                </c:pt>
                <c:pt idx="362">
                  <c:v>1985.74999999478</c:v>
                </c:pt>
                <c:pt idx="363">
                  <c:v>1985.6666666614201</c:v>
                </c:pt>
                <c:pt idx="364">
                  <c:v>1985.58333332806</c:v>
                </c:pt>
                <c:pt idx="365">
                  <c:v>1985.4999999946999</c:v>
                </c:pt>
                <c:pt idx="366">
                  <c:v>1985.4166666613401</c:v>
                </c:pt>
                <c:pt idx="367">
                  <c:v>1985.33333332798</c:v>
                </c:pt>
                <c:pt idx="368">
                  <c:v>1985.2499999946201</c:v>
                </c:pt>
                <c:pt idx="369">
                  <c:v>1985.16666666126</c:v>
                </c:pt>
                <c:pt idx="370">
                  <c:v>1985.0833333278999</c:v>
                </c:pt>
                <c:pt idx="371">
                  <c:v>1984.9999999945401</c:v>
                </c:pt>
                <c:pt idx="372">
                  <c:v>1984.91666666118</c:v>
                </c:pt>
                <c:pt idx="373">
                  <c:v>1984.8333333278199</c:v>
                </c:pt>
                <c:pt idx="374">
                  <c:v>1984.74999999446</c:v>
                </c:pt>
                <c:pt idx="375">
                  <c:v>1984.6666666611</c:v>
                </c:pt>
                <c:pt idx="376">
                  <c:v>1984.5833333277401</c:v>
                </c:pt>
                <c:pt idx="377">
                  <c:v>1984.49999999438</c:v>
                </c:pt>
                <c:pt idx="378">
                  <c:v>1984.4166666610199</c:v>
                </c:pt>
                <c:pt idx="379">
                  <c:v>1984.3333333276601</c:v>
                </c:pt>
                <c:pt idx="380">
                  <c:v>1984.2499999943</c:v>
                </c:pt>
                <c:pt idx="381">
                  <c:v>1984.1666666609401</c:v>
                </c:pt>
                <c:pt idx="382">
                  <c:v>1984.08333332758</c:v>
                </c:pt>
                <c:pt idx="383">
                  <c:v>1983.9999999942199</c:v>
                </c:pt>
                <c:pt idx="384">
                  <c:v>1983.9166666608601</c:v>
                </c:pt>
                <c:pt idx="385">
                  <c:v>1983.8333333275</c:v>
                </c:pt>
                <c:pt idx="386">
                  <c:v>1983.7499999941399</c:v>
                </c:pt>
                <c:pt idx="387">
                  <c:v>1983.66666666078</c:v>
                </c:pt>
                <c:pt idx="388">
                  <c:v>1983.58333332742</c:v>
                </c:pt>
                <c:pt idx="389">
                  <c:v>1983.4999999940601</c:v>
                </c:pt>
                <c:pt idx="390">
                  <c:v>1983.4166666607</c:v>
                </c:pt>
                <c:pt idx="391">
                  <c:v>1983.3333333273399</c:v>
                </c:pt>
                <c:pt idx="392">
                  <c:v>1983.2499999939801</c:v>
                </c:pt>
                <c:pt idx="393">
                  <c:v>1983.16666666062</c:v>
                </c:pt>
                <c:pt idx="394">
                  <c:v>1983.0833333272601</c:v>
                </c:pt>
                <c:pt idx="395">
                  <c:v>1982.9999999939</c:v>
                </c:pt>
                <c:pt idx="396">
                  <c:v>1982.9166666605399</c:v>
                </c:pt>
                <c:pt idx="397">
                  <c:v>1982.8333333271801</c:v>
                </c:pt>
                <c:pt idx="398">
                  <c:v>1982.74999999382</c:v>
                </c:pt>
                <c:pt idx="399">
                  <c:v>1982.6666666604599</c:v>
                </c:pt>
                <c:pt idx="400">
                  <c:v>1982.5833333271</c:v>
                </c:pt>
                <c:pt idx="401">
                  <c:v>1982.4999999937399</c:v>
                </c:pt>
                <c:pt idx="402">
                  <c:v>1982.4166666603801</c:v>
                </c:pt>
                <c:pt idx="403">
                  <c:v>1982.33333332702</c:v>
                </c:pt>
                <c:pt idx="404">
                  <c:v>1982.2499999936599</c:v>
                </c:pt>
                <c:pt idx="405">
                  <c:v>1982.1666666603001</c:v>
                </c:pt>
                <c:pt idx="406">
                  <c:v>1982.08333332694</c:v>
                </c:pt>
                <c:pt idx="407">
                  <c:v>1981.9999999935801</c:v>
                </c:pt>
                <c:pt idx="408">
                  <c:v>1981.91666666022</c:v>
                </c:pt>
                <c:pt idx="409">
                  <c:v>1981.8333333268599</c:v>
                </c:pt>
                <c:pt idx="410">
                  <c:v>1981.7499999935001</c:v>
                </c:pt>
                <c:pt idx="411">
                  <c:v>1981.66666666014</c:v>
                </c:pt>
                <c:pt idx="412">
                  <c:v>1981.5833333267799</c:v>
                </c:pt>
                <c:pt idx="413">
                  <c:v>1981.49999999342</c:v>
                </c:pt>
                <c:pt idx="414">
                  <c:v>1981.4166666600599</c:v>
                </c:pt>
                <c:pt idx="415">
                  <c:v>1981.3333333267001</c:v>
                </c:pt>
                <c:pt idx="416">
                  <c:v>1981.24999999334</c:v>
                </c:pt>
                <c:pt idx="417">
                  <c:v>1981.1666666599799</c:v>
                </c:pt>
                <c:pt idx="418">
                  <c:v>1981.08333332662</c:v>
                </c:pt>
                <c:pt idx="419">
                  <c:v>1980.99999999326</c:v>
                </c:pt>
              </c:numCache>
            </c:numRef>
          </c:xVal>
          <c:yVal>
            <c:numRef>
              <c:f>Monthly!$I$2:$I$421</c:f>
              <c:numCache>
                <c:formatCode>0.0</c:formatCode>
                <c:ptCount val="420"/>
                <c:pt idx="0">
                  <c:v>5.992349234923493</c:v>
                </c:pt>
                <c:pt idx="1">
                  <c:v>5.6436326038256075</c:v>
                </c:pt>
                <c:pt idx="2">
                  <c:v>5.4478471102924244</c:v>
                </c:pt>
                <c:pt idx="3">
                  <c:v>5.516613563950842</c:v>
                </c:pt>
                <c:pt idx="4">
                  <c:v>5.6578628543736365</c:v>
                </c:pt>
                <c:pt idx="5">
                  <c:v>5.5401981110343241</c:v>
                </c:pt>
                <c:pt idx="6">
                  <c:v>5.5691056910569108</c:v>
                </c:pt>
                <c:pt idx="7">
                  <c:v>5.5679811653914069</c:v>
                </c:pt>
                <c:pt idx="8">
                  <c:v>5.2450276809514049</c:v>
                </c:pt>
                <c:pt idx="9">
                  <c:v>5.4633715798764335</c:v>
                </c:pt>
                <c:pt idx="10">
                  <c:v>5.5313283208020048</c:v>
                </c:pt>
                <c:pt idx="11">
                  <c:v>6.4447839371453517</c:v>
                </c:pt>
                <c:pt idx="12">
                  <c:v>6.1731744721009782</c:v>
                </c:pt>
                <c:pt idx="13">
                  <c:v>5.9704362456435529</c:v>
                </c:pt>
                <c:pt idx="14">
                  <c:v>5.850262821423498</c:v>
                </c:pt>
                <c:pt idx="15">
                  <c:v>5.699727024567788</c:v>
                </c:pt>
                <c:pt idx="16">
                  <c:v>5.48963545389564</c:v>
                </c:pt>
                <c:pt idx="17">
                  <c:v>5.912731871838111</c:v>
                </c:pt>
                <c:pt idx="18">
                  <c:v>5.5558898751316388</c:v>
                </c:pt>
                <c:pt idx="19">
                  <c:v>5.2416988416988417</c:v>
                </c:pt>
                <c:pt idx="20">
                  <c:v>4.8392638036809812</c:v>
                </c:pt>
                <c:pt idx="21">
                  <c:v>4.7593935398813443</c:v>
                </c:pt>
                <c:pt idx="22">
                  <c:v>5.2638557411827103</c:v>
                </c:pt>
                <c:pt idx="23">
                  <c:v>5.84267724685182</c:v>
                </c:pt>
                <c:pt idx="24">
                  <c:v>4.8899726418460814</c:v>
                </c:pt>
                <c:pt idx="25">
                  <c:v>5.0064440538957236</c:v>
                </c:pt>
                <c:pt idx="26">
                  <c:v>5.1528662420382165</c:v>
                </c:pt>
                <c:pt idx="27">
                  <c:v>4.8581897136653547</c:v>
                </c:pt>
                <c:pt idx="28">
                  <c:v>4.8975557153127252</c:v>
                </c:pt>
                <c:pt idx="29">
                  <c:v>4.7736501729583392</c:v>
                </c:pt>
                <c:pt idx="30">
                  <c:v>4.2714789160286797</c:v>
                </c:pt>
                <c:pt idx="31">
                  <c:v>4.3776961175906699</c:v>
                </c:pt>
                <c:pt idx="32">
                  <c:v>4.3036178765665642</c:v>
                </c:pt>
                <c:pt idx="33">
                  <c:v>4.6940928270042193</c:v>
                </c:pt>
                <c:pt idx="34">
                  <c:v>5.0982839313572548</c:v>
                </c:pt>
                <c:pt idx="35">
                  <c:v>5.14854183701281</c:v>
                </c:pt>
                <c:pt idx="36">
                  <c:v>4.986141502552881</c:v>
                </c:pt>
                <c:pt idx="37">
                  <c:v>4.8078391448205648</c:v>
                </c:pt>
                <c:pt idx="38">
                  <c:v>4.9610227627065795</c:v>
                </c:pt>
                <c:pt idx="39">
                  <c:v>4.8369732390033837</c:v>
                </c:pt>
                <c:pt idx="40">
                  <c:v>4.7295333440981757</c:v>
                </c:pt>
                <c:pt idx="41">
                  <c:v>4.8862574010595203</c:v>
                </c:pt>
                <c:pt idx="42">
                  <c:v>4.7483612931896451</c:v>
                </c:pt>
                <c:pt idx="43">
                  <c:v>4.4218038891187428</c:v>
                </c:pt>
                <c:pt idx="44">
                  <c:v>4.1776765375854215</c:v>
                </c:pt>
                <c:pt idx="45">
                  <c:v>4.7775330396475777</c:v>
                </c:pt>
                <c:pt idx="46">
                  <c:v>5.6802525832376576</c:v>
                </c:pt>
                <c:pt idx="47">
                  <c:v>5.0829216654904732</c:v>
                </c:pt>
                <c:pt idx="48">
                  <c:v>4.5599104143337064</c:v>
                </c:pt>
                <c:pt idx="49">
                  <c:v>4.6640940185932287</c:v>
                </c:pt>
                <c:pt idx="50">
                  <c:v>4.8771562990067956</c:v>
                </c:pt>
                <c:pt idx="51">
                  <c:v>4.7667031763417311</c:v>
                </c:pt>
                <c:pt idx="52">
                  <c:v>4.8242148923563111</c:v>
                </c:pt>
                <c:pt idx="53">
                  <c:v>4.875289506502761</c:v>
                </c:pt>
                <c:pt idx="54">
                  <c:v>4.888906213455992</c:v>
                </c:pt>
                <c:pt idx="55">
                  <c:v>4.9599866622207403</c:v>
                </c:pt>
                <c:pt idx="56">
                  <c:v>4.7800338409475467</c:v>
                </c:pt>
                <c:pt idx="57">
                  <c:v>5.1038665655799846</c:v>
                </c:pt>
                <c:pt idx="58">
                  <c:v>6.4796905222437138</c:v>
                </c:pt>
                <c:pt idx="59">
                  <c:v>6.3070866141732278</c:v>
                </c:pt>
                <c:pt idx="60">
                  <c:v>5.989814947640224</c:v>
                </c:pt>
                <c:pt idx="61">
                  <c:v>5.0980535102427647</c:v>
                </c:pt>
                <c:pt idx="62">
                  <c:v>4.8841797588600651</c:v>
                </c:pt>
                <c:pt idx="63">
                  <c:v>4.934184905366461</c:v>
                </c:pt>
                <c:pt idx="64">
                  <c:v>5.0325720116160433</c:v>
                </c:pt>
                <c:pt idx="65">
                  <c:v>5.3563616478308429</c:v>
                </c:pt>
                <c:pt idx="66">
                  <c:v>5.0716981132075469</c:v>
                </c:pt>
                <c:pt idx="67">
                  <c:v>4.7605123920913393</c:v>
                </c:pt>
                <c:pt idx="68">
                  <c:v>4.6534653465346532</c:v>
                </c:pt>
                <c:pt idx="69">
                  <c:v>5.0869025450031042</c:v>
                </c:pt>
                <c:pt idx="70">
                  <c:v>5.6107018224117873</c:v>
                </c:pt>
                <c:pt idx="71">
                  <c:v>5.4105018856977081</c:v>
                </c:pt>
                <c:pt idx="72">
                  <c:v>5.438909621937368</c:v>
                </c:pt>
                <c:pt idx="73">
                  <c:v>5.8697178155271663</c:v>
                </c:pt>
                <c:pt idx="74">
                  <c:v>6.1202495745887688</c:v>
                </c:pt>
                <c:pt idx="75">
                  <c:v>6.0703715882933249</c:v>
                </c:pt>
                <c:pt idx="76">
                  <c:v>6.1193040596520305</c:v>
                </c:pt>
                <c:pt idx="77">
                  <c:v>6.2261856505877589</c:v>
                </c:pt>
                <c:pt idx="78">
                  <c:v>6.1243097470142542</c:v>
                </c:pt>
                <c:pt idx="79">
                  <c:v>5.7910828025477707</c:v>
                </c:pt>
                <c:pt idx="80">
                  <c:v>5.6778929188255614</c:v>
                </c:pt>
                <c:pt idx="81">
                  <c:v>6.3724968988126891</c:v>
                </c:pt>
                <c:pt idx="82">
                  <c:v>7.0768776744872364</c:v>
                </c:pt>
                <c:pt idx="83">
                  <c:v>5.7482694745052161</c:v>
                </c:pt>
                <c:pt idx="84">
                  <c:v>4.6273722122177592</c:v>
                </c:pt>
                <c:pt idx="85">
                  <c:v>5.1032049838624927</c:v>
                </c:pt>
                <c:pt idx="86">
                  <c:v>5.4278119288918427</c:v>
                </c:pt>
                <c:pt idx="87">
                  <c:v>5.359175257731958</c:v>
                </c:pt>
                <c:pt idx="88">
                  <c:v>5.3703083109919572</c:v>
                </c:pt>
                <c:pt idx="89">
                  <c:v>5.4984815618221266</c:v>
                </c:pt>
                <c:pt idx="90">
                  <c:v>5.8020854220974538</c:v>
                </c:pt>
                <c:pt idx="91">
                  <c:v>6.1652185189988327</c:v>
                </c:pt>
                <c:pt idx="92">
                  <c:v>6.6014454433280454</c:v>
                </c:pt>
                <c:pt idx="93">
                  <c:v>7.0221402214022151</c:v>
                </c:pt>
                <c:pt idx="94">
                  <c:v>7.980521866960677</c:v>
                </c:pt>
                <c:pt idx="95">
                  <c:v>6.2287376902417186</c:v>
                </c:pt>
                <c:pt idx="96">
                  <c:v>5.09871313244345</c:v>
                </c:pt>
                <c:pt idx="97">
                  <c:v>4.8419770009900231</c:v>
                </c:pt>
                <c:pt idx="98">
                  <c:v>5.7870547682880122</c:v>
                </c:pt>
                <c:pt idx="99">
                  <c:v>5.7164795085900764</c:v>
                </c:pt>
                <c:pt idx="100">
                  <c:v>6.1253224419604475</c:v>
                </c:pt>
                <c:pt idx="101">
                  <c:v>5.4153153153153148</c:v>
                </c:pt>
                <c:pt idx="102">
                  <c:v>5.1655864334546742</c:v>
                </c:pt>
                <c:pt idx="103">
                  <c:v>5.66334991708126</c:v>
                </c:pt>
                <c:pt idx="104">
                  <c:v>6.1311417462000701</c:v>
                </c:pt>
                <c:pt idx="105">
                  <c:v>6.5192043895747593</c:v>
                </c:pt>
                <c:pt idx="107">
                  <c:v>6.8314578328486526</c:v>
                </c:pt>
                <c:pt idx="108">
                  <c:v>5.5659574468085111</c:v>
                </c:pt>
                <c:pt idx="109">
                  <c:v>5.7867017774851881</c:v>
                </c:pt>
                <c:pt idx="110">
                  <c:v>6.5516763646439449</c:v>
                </c:pt>
                <c:pt idx="111">
                  <c:v>6.7257013318220453</c:v>
                </c:pt>
                <c:pt idx="112">
                  <c:v>6.9387170675830472</c:v>
                </c:pt>
                <c:pt idx="113">
                  <c:v>5.7082389999015648</c:v>
                </c:pt>
                <c:pt idx="114">
                  <c:v>5.3670679822576259</c:v>
                </c:pt>
                <c:pt idx="115">
                  <c:v>5.8261961859084161</c:v>
                </c:pt>
                <c:pt idx="116">
                  <c:v>6.0934520025429117</c:v>
                </c:pt>
                <c:pt idx="117">
                  <c:v>6.4148764148764155</c:v>
                </c:pt>
                <c:pt idx="118">
                  <c:v>7.0155459146782366</c:v>
                </c:pt>
                <c:pt idx="119">
                  <c:v>5.5247718383311604</c:v>
                </c:pt>
                <c:pt idx="120">
                  <c:v>4.4314960629921254</c:v>
                </c:pt>
                <c:pt idx="121">
                  <c:v>5.1660039761431413</c:v>
                </c:pt>
                <c:pt idx="122">
                  <c:v>5.8868175765645807</c:v>
                </c:pt>
                <c:pt idx="123">
                  <c:v>6.171256726812282</c:v>
                </c:pt>
                <c:pt idx="124">
                  <c:v>5.9633853541416562</c:v>
                </c:pt>
                <c:pt idx="125">
                  <c:v>5.6376163423183847</c:v>
                </c:pt>
                <c:pt idx="126">
                  <c:v>5.4967986720417361</c:v>
                </c:pt>
                <c:pt idx="127">
                  <c:v>5.7345399698340875</c:v>
                </c:pt>
                <c:pt idx="128">
                  <c:v>5.7508992805755392</c:v>
                </c:pt>
                <c:pt idx="129">
                  <c:v>5.7269411151641485</c:v>
                </c:pt>
                <c:pt idx="130">
                  <c:v>6.3747810858143596</c:v>
                </c:pt>
                <c:pt idx="131">
                  <c:v>6.1124452606300324</c:v>
                </c:pt>
                <c:pt idx="132">
                  <c:v>4.7514856834143711</c:v>
                </c:pt>
                <c:pt idx="133">
                  <c:v>5.3213266410786346</c:v>
                </c:pt>
                <c:pt idx="134">
                  <c:v>5.6952901702497822</c:v>
                </c:pt>
                <c:pt idx="135">
                  <c:v>6.3945144315101263</c:v>
                </c:pt>
                <c:pt idx="136">
                  <c:v>6.4147449924255184</c:v>
                </c:pt>
                <c:pt idx="137">
                  <c:v>6.1339790153349476</c:v>
                </c:pt>
                <c:pt idx="138">
                  <c:v>5.7038899179677163</c:v>
                </c:pt>
                <c:pt idx="139">
                  <c:v>5.8209948427882212</c:v>
                </c:pt>
                <c:pt idx="140">
                  <c:v>4.4139650872817962</c:v>
                </c:pt>
                <c:pt idx="141">
                  <c:v>4.3072702331961583</c:v>
                </c:pt>
                <c:pt idx="142">
                  <c:v>5.9103114930182592</c:v>
                </c:pt>
                <c:pt idx="143">
                  <c:v>5.6804308797127474</c:v>
                </c:pt>
                <c:pt idx="144">
                  <c:v>5.081643638973623</c:v>
                </c:pt>
                <c:pt idx="145">
                  <c:v>5.1717252396166131</c:v>
                </c:pt>
                <c:pt idx="146">
                  <c:v>5.922502216031404</c:v>
                </c:pt>
                <c:pt idx="147">
                  <c:v>6.5276872964169383</c:v>
                </c:pt>
                <c:pt idx="148">
                  <c:v>6.4167872648335749</c:v>
                </c:pt>
                <c:pt idx="149">
                  <c:v>5.8272821576763478</c:v>
                </c:pt>
                <c:pt idx="150">
                  <c:v>5.4865771812080535</c:v>
                </c:pt>
                <c:pt idx="151">
                  <c:v>5.4438664205403589</c:v>
                </c:pt>
                <c:pt idx="153">
                  <c:v>6.4456035767511173</c:v>
                </c:pt>
                <c:pt idx="154">
                  <c:v>6.8511301636788788</c:v>
                </c:pt>
                <c:pt idx="155">
                  <c:v>6.912390133257726</c:v>
                </c:pt>
                <c:pt idx="156">
                  <c:v>6.3405622489959832</c:v>
                </c:pt>
                <c:pt idx="157">
                  <c:v>6.1314541622760803</c:v>
                </c:pt>
                <c:pt idx="158">
                  <c:v>7.7247742442088736</c:v>
                </c:pt>
                <c:pt idx="159">
                  <c:v>7.6117775354416581</c:v>
                </c:pt>
                <c:pt idx="160">
                  <c:v>7.6441441441441436</c:v>
                </c:pt>
                <c:pt idx="161">
                  <c:v>6.4079395645089621</c:v>
                </c:pt>
                <c:pt idx="162">
                  <c:v>5.8683898193327177</c:v>
                </c:pt>
                <c:pt idx="163">
                  <c:v>6.73215785054576</c:v>
                </c:pt>
                <c:pt idx="164">
                  <c:v>6.6445329791943344</c:v>
                </c:pt>
                <c:pt idx="165">
                  <c:v>6.9927410992049781</c:v>
                </c:pt>
                <c:pt idx="166">
                  <c:v>6.6867107636800966</c:v>
                </c:pt>
                <c:pt idx="167">
                  <c:v>5.8538037814500514</c:v>
                </c:pt>
                <c:pt idx="168">
                  <c:v>5.0603256413259929</c:v>
                </c:pt>
                <c:pt idx="169">
                  <c:v>5.0465477114041892</c:v>
                </c:pt>
                <c:pt idx="170">
                  <c:v>5.3042221865467969</c:v>
                </c:pt>
                <c:pt idx="171">
                  <c:v>5.9729788624972766</c:v>
                </c:pt>
                <c:pt idx="172">
                  <c:v>6.0633589564407178</c:v>
                </c:pt>
                <c:pt idx="173">
                  <c:v>5.9529652351738243</c:v>
                </c:pt>
                <c:pt idx="174">
                  <c:v>5.3133514986376023</c:v>
                </c:pt>
                <c:pt idx="175">
                  <c:v>4.8946444249341523</c:v>
                </c:pt>
                <c:pt idx="176">
                  <c:v>4.889657006115395</c:v>
                </c:pt>
                <c:pt idx="177">
                  <c:v>5.5565693430656937</c:v>
                </c:pt>
                <c:pt idx="178">
                  <c:v>6.3344594594594597</c:v>
                </c:pt>
                <c:pt idx="179">
                  <c:v>6.6978430998282112</c:v>
                </c:pt>
                <c:pt idx="180">
                  <c:v>6.1111111111111107</c:v>
                </c:pt>
                <c:pt idx="181">
                  <c:v>5.5960264900662251</c:v>
                </c:pt>
                <c:pt idx="182">
                  <c:v>5.5882352941176467</c:v>
                </c:pt>
                <c:pt idx="183">
                  <c:v>6.135090993933737</c:v>
                </c:pt>
                <c:pt idx="184">
                  <c:v>6.5206727400140148</c:v>
                </c:pt>
                <c:pt idx="185">
                  <c:v>5.9876736655176019</c:v>
                </c:pt>
                <c:pt idx="186">
                  <c:v>5.721770148255489</c:v>
                </c:pt>
                <c:pt idx="187">
                  <c:v>6.0811786797631084</c:v>
                </c:pt>
                <c:pt idx="188">
                  <c:v>6.4245115452930728</c:v>
                </c:pt>
                <c:pt idx="189">
                  <c:v>6.619812583668006</c:v>
                </c:pt>
                <c:pt idx="190">
                  <c:v>7.8286558345642536</c:v>
                </c:pt>
                <c:pt idx="191">
                  <c:v>5.4753977062523118</c:v>
                </c:pt>
                <c:pt idx="192">
                  <c:v>4.827612685249175</c:v>
                </c:pt>
                <c:pt idx="193">
                  <c:v>4.6412019733891459</c:v>
                </c:pt>
                <c:pt idx="194">
                  <c:v>5.0096204302956089</c:v>
                </c:pt>
                <c:pt idx="195">
                  <c:v>5.7629768605378358</c:v>
                </c:pt>
                <c:pt idx="196">
                  <c:v>5.6395766978321173</c:v>
                </c:pt>
                <c:pt idx="197">
                  <c:v>4.993628254141635</c:v>
                </c:pt>
                <c:pt idx="198">
                  <c:v>5.1636328427575515</c:v>
                </c:pt>
                <c:pt idx="199">
                  <c:v>5.4971073494750371</c:v>
                </c:pt>
                <c:pt idx="200">
                  <c:v>5.5960147076266162</c:v>
                </c:pt>
                <c:pt idx="201">
                  <c:v>5.7385167760307043</c:v>
                </c:pt>
                <c:pt idx="202">
                  <c:v>6.3609022556390977</c:v>
                </c:pt>
                <c:pt idx="203">
                  <c:v>5.4239009036450403</c:v>
                </c:pt>
                <c:pt idx="204">
                  <c:v>4.8983666061705984</c:v>
                </c:pt>
                <c:pt idx="205">
                  <c:v>5.2229235547540327</c:v>
                </c:pt>
                <c:pt idx="206">
                  <c:v>5.3669281186203932</c:v>
                </c:pt>
                <c:pt idx="207">
                  <c:v>5.6325904964037257</c:v>
                </c:pt>
                <c:pt idx="208">
                  <c:v>5.5976886962802457</c:v>
                </c:pt>
                <c:pt idx="209">
                  <c:v>5.2026870511929575</c:v>
                </c:pt>
                <c:pt idx="210">
                  <c:v>5.0299700299700305</c:v>
                </c:pt>
                <c:pt idx="211">
                  <c:v>4.8971446116057722</c:v>
                </c:pt>
                <c:pt idx="212">
                  <c:v>4.9551732493336571</c:v>
                </c:pt>
                <c:pt idx="213">
                  <c:v>5.6099486774575604</c:v>
                </c:pt>
                <c:pt idx="214">
                  <c:v>4.9453750910415151</c:v>
                </c:pt>
                <c:pt idx="215">
                  <c:v>5.4607768469154614</c:v>
                </c:pt>
                <c:pt idx="216">
                  <c:v>5.2085494915957664</c:v>
                </c:pt>
                <c:pt idx="217">
                  <c:v>4.9505475097138829</c:v>
                </c:pt>
                <c:pt idx="218">
                  <c:v>4.9811470529867039</c:v>
                </c:pt>
                <c:pt idx="219">
                  <c:v>5.1570609123190385</c:v>
                </c:pt>
                <c:pt idx="220">
                  <c:v>5.0643776824034337</c:v>
                </c:pt>
                <c:pt idx="221">
                  <c:v>4.9585471772601659</c:v>
                </c:pt>
                <c:pt idx="222">
                  <c:v>4.0382493563810229</c:v>
                </c:pt>
                <c:pt idx="223">
                  <c:v>3.786556089044085</c:v>
                </c:pt>
                <c:pt idx="224">
                  <c:v>3.5583153347732184</c:v>
                </c:pt>
                <c:pt idx="225">
                  <c:v>3.5971808078069936</c:v>
                </c:pt>
                <c:pt idx="226">
                  <c:v>4.4203486015403328</c:v>
                </c:pt>
                <c:pt idx="227">
                  <c:v>5.0702740688685886</c:v>
                </c:pt>
                <c:pt idx="228">
                  <c:v>4.6649649010848764</c:v>
                </c:pt>
                <c:pt idx="229">
                  <c:v>4.3421177813718961</c:v>
                </c:pt>
                <c:pt idx="230">
                  <c:v>4.5765966046887634</c:v>
                </c:pt>
                <c:pt idx="231">
                  <c:v>4.4977525894078569</c:v>
                </c:pt>
                <c:pt idx="232">
                  <c:v>4.3022837619133254</c:v>
                </c:pt>
                <c:pt idx="233">
                  <c:v>4.2079970985583461</c:v>
                </c:pt>
                <c:pt idx="234">
                  <c:v>4.6428184281842819</c:v>
                </c:pt>
                <c:pt idx="235">
                  <c:v>5.1130531280344016</c:v>
                </c:pt>
                <c:pt idx="236">
                  <c:v>5.2693526482571302</c:v>
                </c:pt>
                <c:pt idx="237">
                  <c:v>5.3272140064592888</c:v>
                </c:pt>
                <c:pt idx="238">
                  <c:v>5.9855479727017258</c:v>
                </c:pt>
                <c:pt idx="239">
                  <c:v>5.5790090882439172</c:v>
                </c:pt>
                <c:pt idx="240">
                  <c:v>5.8177345170606483</c:v>
                </c:pt>
                <c:pt idx="241">
                  <c:v>5.6990426804946148</c:v>
                </c:pt>
                <c:pt idx="242">
                  <c:v>6.1682854960165887</c:v>
                </c:pt>
                <c:pt idx="243">
                  <c:v>6.086590119035078</c:v>
                </c:pt>
                <c:pt idx="244">
                  <c:v>5.9751412429378519</c:v>
                </c:pt>
                <c:pt idx="245">
                  <c:v>5.681994316714027</c:v>
                </c:pt>
                <c:pt idx="246">
                  <c:v>5.1202654133259609</c:v>
                </c:pt>
                <c:pt idx="247">
                  <c:v>4.9793885262796289</c:v>
                </c:pt>
                <c:pt idx="248">
                  <c:v>4.9444293846570888</c:v>
                </c:pt>
                <c:pt idx="249">
                  <c:v>5.1544033549370951</c:v>
                </c:pt>
                <c:pt idx="250">
                  <c:v>5.8642462509865823</c:v>
                </c:pt>
                <c:pt idx="251">
                  <c:v>6.5694682675814757</c:v>
                </c:pt>
                <c:pt idx="252">
                  <c:v>4.8783430524834106</c:v>
                </c:pt>
                <c:pt idx="253">
                  <c:v>4.9627921601509275</c:v>
                </c:pt>
                <c:pt idx="254">
                  <c:v>5.2139881328115134</c:v>
                </c:pt>
                <c:pt idx="255">
                  <c:v>5.3277566539923962</c:v>
                </c:pt>
                <c:pt idx="256">
                  <c:v>5.4937372560442759</c:v>
                </c:pt>
                <c:pt idx="257">
                  <c:v>5.3271251193887297</c:v>
                </c:pt>
                <c:pt idx="258">
                  <c:v>4.8931953314247965</c:v>
                </c:pt>
                <c:pt idx="259">
                  <c:v>4.7027495665097838</c:v>
                </c:pt>
                <c:pt idx="260">
                  <c:v>4.7155479770578204</c:v>
                </c:pt>
                <c:pt idx="261">
                  <c:v>4.5141857753595023</c:v>
                </c:pt>
                <c:pt idx="262">
                  <c:v>5.2405898331393104</c:v>
                </c:pt>
                <c:pt idx="263">
                  <c:v>5.5177128651336238</c:v>
                </c:pt>
                <c:pt idx="264">
                  <c:v>4.5595285657211351</c:v>
                </c:pt>
                <c:pt idx="265">
                  <c:v>4.8107325762636384</c:v>
                </c:pt>
                <c:pt idx="266">
                  <c:v>4.9298500241896468</c:v>
                </c:pt>
                <c:pt idx="267">
                  <c:v>4.8597485145778636</c:v>
                </c:pt>
                <c:pt idx="268">
                  <c:v>5.2382470119521916</c:v>
                </c:pt>
                <c:pt idx="269">
                  <c:v>4.9652509652509655</c:v>
                </c:pt>
                <c:pt idx="270">
                  <c:v>4.6387300105054274</c:v>
                </c:pt>
                <c:pt idx="271">
                  <c:v>4.5888379617147477</c:v>
                </c:pt>
                <c:pt idx="272">
                  <c:v>4.2499050512723135</c:v>
                </c:pt>
                <c:pt idx="273">
                  <c:v>4.0117089489824371</c:v>
                </c:pt>
                <c:pt idx="274">
                  <c:v>4.4025974025974026</c:v>
                </c:pt>
                <c:pt idx="275">
                  <c:v>4.9422813539424775</c:v>
                </c:pt>
                <c:pt idx="276">
                  <c:v>4.9055806087936871</c:v>
                </c:pt>
                <c:pt idx="277">
                  <c:v>5.0708706971362458</c:v>
                </c:pt>
                <c:pt idx="278">
                  <c:v>5.5732484076433124</c:v>
                </c:pt>
                <c:pt idx="279">
                  <c:v>5.0156378600823048</c:v>
                </c:pt>
                <c:pt idx="280">
                  <c:v>4.7726477789436856</c:v>
                </c:pt>
                <c:pt idx="281">
                  <c:v>4.5907328026127781</c:v>
                </c:pt>
                <c:pt idx="282">
                  <c:v>4.777555838024333</c:v>
                </c:pt>
                <c:pt idx="283">
                  <c:v>4.3166558371236734</c:v>
                </c:pt>
                <c:pt idx="284">
                  <c:v>4.5815752461322088</c:v>
                </c:pt>
                <c:pt idx="285">
                  <c:v>4.4694868238557559</c:v>
                </c:pt>
                <c:pt idx="286">
                  <c:v>4.5664928292046936</c:v>
                </c:pt>
                <c:pt idx="287">
                  <c:v>5.2328646748681891</c:v>
                </c:pt>
                <c:pt idx="288">
                  <c:v>3.6880777435411232</c:v>
                </c:pt>
                <c:pt idx="289">
                  <c:v>3.779126213592233</c:v>
                </c:pt>
                <c:pt idx="290">
                  <c:v>3.7448506694129762</c:v>
                </c:pt>
                <c:pt idx="291">
                  <c:v>3.9306893995552263</c:v>
                </c:pt>
                <c:pt idx="292">
                  <c:v>3.9467464944068062</c:v>
                </c:pt>
                <c:pt idx="293">
                  <c:v>3.9629080118694362</c:v>
                </c:pt>
                <c:pt idx="294">
                  <c:v>3.7699859747545581</c:v>
                </c:pt>
                <c:pt idx="295">
                  <c:v>3.6163913991897787</c:v>
                </c:pt>
                <c:pt idx="296">
                  <c:v>3.5494528185009289</c:v>
                </c:pt>
                <c:pt idx="297">
                  <c:v>3.7954271961492174</c:v>
                </c:pt>
                <c:pt idx="298">
                  <c:v>4.2640692640692635</c:v>
                </c:pt>
                <c:pt idx="299">
                  <c:v>4.0042553191489363</c:v>
                </c:pt>
                <c:pt idx="300">
                  <c:v>4.6998234255444382</c:v>
                </c:pt>
                <c:pt idx="301">
                  <c:v>4.6011525629360026</c:v>
                </c:pt>
                <c:pt idx="302">
                  <c:v>4.5711427856964244</c:v>
                </c:pt>
                <c:pt idx="303">
                  <c:v>4.6033908567968513</c:v>
                </c:pt>
                <c:pt idx="304">
                  <c:v>4.653512233622731</c:v>
                </c:pt>
                <c:pt idx="305">
                  <c:v>4.5853314527503528</c:v>
                </c:pt>
                <c:pt idx="306">
                  <c:v>4.3492928506552477</c:v>
                </c:pt>
                <c:pt idx="307">
                  <c:v>4.1467369274422374</c:v>
                </c:pt>
                <c:pt idx="308">
                  <c:v>3.8722517058377557</c:v>
                </c:pt>
                <c:pt idx="309">
                  <c:v>3.9304013663535442</c:v>
                </c:pt>
                <c:pt idx="310">
                  <c:v>4.1309076527585527</c:v>
                </c:pt>
                <c:pt idx="311">
                  <c:v>4.9468005394874872</c:v>
                </c:pt>
                <c:pt idx="312">
                  <c:v>4.8781398823419551</c:v>
                </c:pt>
                <c:pt idx="313">
                  <c:v>4.3948198572140127</c:v>
                </c:pt>
                <c:pt idx="314">
                  <c:v>4.3072832589497683</c:v>
                </c:pt>
                <c:pt idx="315">
                  <c:v>4.2974210653169438</c:v>
                </c:pt>
                <c:pt idx="316">
                  <c:v>4.4375090724343158</c:v>
                </c:pt>
                <c:pt idx="317">
                  <c:v>4.4084233859794955</c:v>
                </c:pt>
                <c:pt idx="318">
                  <c:v>4.1478929234031279</c:v>
                </c:pt>
                <c:pt idx="319">
                  <c:v>3.6711014851485153</c:v>
                </c:pt>
                <c:pt idx="320">
                  <c:v>3.7478676219720231</c:v>
                </c:pt>
                <c:pt idx="321">
                  <c:v>4.1650326797385624</c:v>
                </c:pt>
                <c:pt idx="322">
                  <c:v>5.1771871539313397</c:v>
                </c:pt>
                <c:pt idx="323">
                  <c:v>4.729332410930474</c:v>
                </c:pt>
                <c:pt idx="324">
                  <c:v>4.9515926391249723</c:v>
                </c:pt>
                <c:pt idx="325">
                  <c:v>5.1451367781155017</c:v>
                </c:pt>
                <c:pt idx="326">
                  <c:v>5.3028775304428759</c:v>
                </c:pt>
                <c:pt idx="327">
                  <c:v>5.4162687733310184</c:v>
                </c:pt>
                <c:pt idx="328">
                  <c:v>5.7430964939497358</c:v>
                </c:pt>
                <c:pt idx="329">
                  <c:v>5.4840203798054654</c:v>
                </c:pt>
                <c:pt idx="330">
                  <c:v>5.4083541147132168</c:v>
                </c:pt>
                <c:pt idx="331">
                  <c:v>5.0008733624454145</c:v>
                </c:pt>
                <c:pt idx="332">
                  <c:v>3.727369542066028</c:v>
                </c:pt>
                <c:pt idx="333">
                  <c:v>2.9768786127167628</c:v>
                </c:pt>
                <c:pt idx="334">
                  <c:v>4.3764223941738738</c:v>
                </c:pt>
                <c:pt idx="335">
                  <c:v>6.7270216357219583</c:v>
                </c:pt>
                <c:pt idx="336">
                  <c:v>5.4195113187208044</c:v>
                </c:pt>
                <c:pt idx="337">
                  <c:v>4.9368572974923319</c:v>
                </c:pt>
                <c:pt idx="338">
                  <c:v>5.121049092131809</c:v>
                </c:pt>
                <c:pt idx="339">
                  <c:v>5.0359336208022993</c:v>
                </c:pt>
                <c:pt idx="340">
                  <c:v>4.6390798519301955</c:v>
                </c:pt>
                <c:pt idx="341">
                  <c:v>4.7047939444911684</c:v>
                </c:pt>
                <c:pt idx="342">
                  <c:v>4.6018332855915212</c:v>
                </c:pt>
                <c:pt idx="343">
                  <c:v>4.0299235648072864</c:v>
                </c:pt>
                <c:pt idx="344">
                  <c:v>2.6690631318804763</c:v>
                </c:pt>
                <c:pt idx="345">
                  <c:v>1.9202722411278561</c:v>
                </c:pt>
                <c:pt idx="346">
                  <c:v>2.5035528185693985</c:v>
                </c:pt>
                <c:pt idx="347">
                  <c:v>5.0128078817733988</c:v>
                </c:pt>
                <c:pt idx="348">
                  <c:v>4.9645611840733794</c:v>
                </c:pt>
                <c:pt idx="349">
                  <c:v>4.332894241625894</c:v>
                </c:pt>
                <c:pt idx="350">
                  <c:v>4.0257418662853057</c:v>
                </c:pt>
                <c:pt idx="351">
                  <c:v>3.9660743134087237</c:v>
                </c:pt>
                <c:pt idx="352">
                  <c:v>4.3561643835616444</c:v>
                </c:pt>
                <c:pt idx="353">
                  <c:v>4.4659860043592978</c:v>
                </c:pt>
                <c:pt idx="354">
                  <c:v>4.1868024704735074</c:v>
                </c:pt>
                <c:pt idx="355">
                  <c:v>3.9151791062657244</c:v>
                </c:pt>
                <c:pt idx="356">
                  <c:v>3.5607448107448105</c:v>
                </c:pt>
                <c:pt idx="357">
                  <c:v>3.395094406211399</c:v>
                </c:pt>
                <c:pt idx="358">
                  <c:v>3.5550323719835193</c:v>
                </c:pt>
                <c:pt idx="359">
                  <c:v>4.7126436781609193</c:v>
                </c:pt>
                <c:pt idx="360">
                  <c:v>4.9041320619296629</c:v>
                </c:pt>
                <c:pt idx="361">
                  <c:v>4.6381346522660749</c:v>
                </c:pt>
                <c:pt idx="362">
                  <c:v>4.4712226257290633</c:v>
                </c:pt>
                <c:pt idx="363">
                  <c:v>4.4032134659525637</c:v>
                </c:pt>
                <c:pt idx="364">
                  <c:v>4.3875866622647735</c:v>
                </c:pt>
                <c:pt idx="365">
                  <c:v>4.5412262156448202</c:v>
                </c:pt>
                <c:pt idx="366">
                  <c:v>4.5149854979052533</c:v>
                </c:pt>
                <c:pt idx="367">
                  <c:v>4.1188190545191086</c:v>
                </c:pt>
                <c:pt idx="368">
                  <c:v>4.1721187720181181</c:v>
                </c:pt>
                <c:pt idx="369">
                  <c:v>4.7350883038987002</c:v>
                </c:pt>
                <c:pt idx="370">
                  <c:v>5.797804442175134</c:v>
                </c:pt>
                <c:pt idx="371">
                  <c:v>5.4790042745788279</c:v>
                </c:pt>
                <c:pt idx="372">
                  <c:v>5.0287815797889355</c:v>
                </c:pt>
                <c:pt idx="373">
                  <c:v>4.5133991537376588</c:v>
                </c:pt>
                <c:pt idx="374">
                  <c:v>4.1972030447866873</c:v>
                </c:pt>
                <c:pt idx="375">
                  <c:v>4.2167721518987333</c:v>
                </c:pt>
                <c:pt idx="376">
                  <c:v>4.2141142582813247</c:v>
                </c:pt>
                <c:pt idx="377">
                  <c:v>3.7527636258771508</c:v>
                </c:pt>
                <c:pt idx="378">
                  <c:v>3.5104757747708422</c:v>
                </c:pt>
                <c:pt idx="379">
                  <c:v>3.232606132075472</c:v>
                </c:pt>
                <c:pt idx="380">
                  <c:v>2.8419683503143287</c:v>
                </c:pt>
                <c:pt idx="381">
                  <c:v>3.4529505582137161</c:v>
                </c:pt>
                <c:pt idx="382">
                  <c:v>3.8776217715375281</c:v>
                </c:pt>
                <c:pt idx="383">
                  <c:v>4.9261992619926209</c:v>
                </c:pt>
                <c:pt idx="384">
                  <c:v>4.1455273698264348</c:v>
                </c:pt>
                <c:pt idx="385">
                  <c:v>3.910328462595229</c:v>
                </c:pt>
                <c:pt idx="386">
                  <c:v>3.7648686030428764</c:v>
                </c:pt>
                <c:pt idx="387">
                  <c:v>3.4625482625482622</c:v>
                </c:pt>
                <c:pt idx="388">
                  <c:v>3.5883361921097769</c:v>
                </c:pt>
                <c:pt idx="389">
                  <c:v>2.2292092438295867</c:v>
                </c:pt>
                <c:pt idx="390">
                  <c:v>1.2725499756216481</c:v>
                </c:pt>
                <c:pt idx="391">
                  <c:v>1.1102459016393442</c:v>
                </c:pt>
                <c:pt idx="392">
                  <c:v>1.4010731052984575</c:v>
                </c:pt>
                <c:pt idx="393">
                  <c:v>1.4484156226971261</c:v>
                </c:pt>
                <c:pt idx="394">
                  <c:v>1.6317269076305221</c:v>
                </c:pt>
                <c:pt idx="395">
                  <c:v>1.9130434782608694</c:v>
                </c:pt>
                <c:pt idx="396">
                  <c:v>3.4899683210137269</c:v>
                </c:pt>
                <c:pt idx="397">
                  <c:v>3.1865092031067133</c:v>
                </c:pt>
                <c:pt idx="398">
                  <c:v>2.8645495787427091</c:v>
                </c:pt>
                <c:pt idx="399">
                  <c:v>2.8241739996679396</c:v>
                </c:pt>
                <c:pt idx="400">
                  <c:v>3.2032496735818947</c:v>
                </c:pt>
                <c:pt idx="401">
                  <c:v>3.6451039816072734</c:v>
                </c:pt>
                <c:pt idx="402">
                  <c:v>3.1788676523620629</c:v>
                </c:pt>
                <c:pt idx="403">
                  <c:v>2.6863852885787085</c:v>
                </c:pt>
                <c:pt idx="404">
                  <c:v>2.3485086342229198</c:v>
                </c:pt>
                <c:pt idx="405">
                  <c:v>2.3521400778210118</c:v>
                </c:pt>
                <c:pt idx="406">
                  <c:v>3.2360515021459229</c:v>
                </c:pt>
                <c:pt idx="407">
                  <c:v>3.5771771771771772</c:v>
                </c:pt>
                <c:pt idx="408">
                  <c:v>2.9527593056395194</c:v>
                </c:pt>
                <c:pt idx="409">
                  <c:v>2.8758521707929674</c:v>
                </c:pt>
                <c:pt idx="410">
                  <c:v>3.0596413459601046</c:v>
                </c:pt>
                <c:pt idx="411">
                  <c:v>2.9971961713236004</c:v>
                </c:pt>
                <c:pt idx="412">
                  <c:v>3.1941756520136395</c:v>
                </c:pt>
                <c:pt idx="413">
                  <c:v>2.8436647748212573</c:v>
                </c:pt>
                <c:pt idx="414">
                  <c:v>2.5955213953144631</c:v>
                </c:pt>
                <c:pt idx="415">
                  <c:v>2.2698117111524931</c:v>
                </c:pt>
                <c:pt idx="416">
                  <c:v>2.1191523390643745</c:v>
                </c:pt>
                <c:pt idx="417">
                  <c:v>1.9539142684644799</c:v>
                </c:pt>
                <c:pt idx="418">
                  <c:v>2.3315761729045859</c:v>
                </c:pt>
                <c:pt idx="419">
                  <c:v>3.0532296650717701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D7-4624-9D0B-4FF7972A0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9177536"/>
        <c:axId val="242437104"/>
      </c:scatterChart>
      <c:valAx>
        <c:axId val="619177536"/>
        <c:scaling>
          <c:orientation val="minMax"/>
          <c:max val="2015"/>
          <c:min val="19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437104"/>
        <c:crosses val="autoZero"/>
        <c:crossBetween val="midCat"/>
      </c:valAx>
      <c:valAx>
        <c:axId val="242437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177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Climatology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Climatology!$B$1</c:f>
              <c:strCache>
                <c:ptCount val="1"/>
                <c:pt idx="0">
                  <c:v>Calamar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strRef>
              <c:f>Climatology!$A$2:$A$13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xVal>
          <c:yVal>
            <c:numRef>
              <c:f>Climatology!$B$2:$B$13</c:f>
              <c:numCache>
                <c:formatCode>0.0</c:formatCode>
                <c:ptCount val="12"/>
                <c:pt idx="0">
                  <c:v>6818.2</c:v>
                </c:pt>
                <c:pt idx="1">
                  <c:v>4453.0958904109593</c:v>
                </c:pt>
                <c:pt idx="2">
                  <c:v>4119.6527777777774</c:v>
                </c:pt>
                <c:pt idx="3">
                  <c:v>4937.094594594595</c:v>
                </c:pt>
                <c:pt idx="4">
                  <c:v>6854.7066666666669</c:v>
                </c:pt>
                <c:pt idx="5">
                  <c:v>8152.9466666666667</c:v>
                </c:pt>
                <c:pt idx="6">
                  <c:v>7908.4533333333329</c:v>
                </c:pt>
                <c:pt idx="7">
                  <c:v>7331.7733333333335</c:v>
                </c:pt>
                <c:pt idx="8">
                  <c:v>7503.2133333333331</c:v>
                </c:pt>
                <c:pt idx="9">
                  <c:v>8468.2133333333331</c:v>
                </c:pt>
                <c:pt idx="10">
                  <c:v>9824.5068493150684</c:v>
                </c:pt>
                <c:pt idx="11">
                  <c:v>9767.7260273972606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F90-456E-9C35-5ABD553BEB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3704176"/>
        <c:axId val="643694336"/>
      </c:scatterChart>
      <c:scatterChart>
        <c:scatterStyle val="lineMarker"/>
        <c:varyColors val="0"/>
        <c:ser>
          <c:idx val="0"/>
          <c:order val="0"/>
          <c:tx>
            <c:strRef>
              <c:f>Climatology!$D$1</c:f>
              <c:strCache>
                <c:ptCount val="1"/>
                <c:pt idx="0">
                  <c:v>StaHelena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Annual!$N$2:$N$13</c:f>
                <c:numCache>
                  <c:formatCode>General</c:formatCode>
                  <c:ptCount val="12"/>
                </c:numCache>
              </c:numRef>
            </c:plus>
            <c:minus>
              <c:numRef>
                <c:f>Annual!$N$2:$N$13</c:f>
                <c:numCache>
                  <c:formatCode>General</c:formatCode>
                  <c:ptCount val="12"/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strRef>
              <c:f>Climatology!$A$2:$A$13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xVal>
          <c:yVal>
            <c:numRef>
              <c:f>Climatology!$D$2:$D$13</c:f>
              <c:numCache>
                <c:formatCode>0.00</c:formatCode>
                <c:ptCount val="12"/>
                <c:pt idx="0">
                  <c:v>375.55199999999996</c:v>
                </c:pt>
                <c:pt idx="1">
                  <c:v>243.18794117647062</c:v>
                </c:pt>
                <c:pt idx="2">
                  <c:v>201.7428571428571</c:v>
                </c:pt>
                <c:pt idx="3">
                  <c:v>235.69029411764708</c:v>
                </c:pt>
                <c:pt idx="4">
                  <c:v>328.28199999999981</c:v>
                </c:pt>
                <c:pt idx="5">
                  <c:v>394.38000000000005</c:v>
                </c:pt>
                <c:pt idx="6">
                  <c:v>397.13428571428568</c:v>
                </c:pt>
                <c:pt idx="7">
                  <c:v>380.03714285714278</c:v>
                </c:pt>
                <c:pt idx="8">
                  <c:v>388.41714285714289</c:v>
                </c:pt>
                <c:pt idx="9">
                  <c:v>429.63428571428574</c:v>
                </c:pt>
                <c:pt idx="10">
                  <c:v>480.09999999999991</c:v>
                </c:pt>
                <c:pt idx="11">
                  <c:v>486.85428571428577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90-456E-9C35-5ABD553BEB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9261839"/>
        <c:axId val="1569267599"/>
      </c:scatterChart>
      <c:valAx>
        <c:axId val="643704176"/>
        <c:scaling>
          <c:orientation val="minMax"/>
          <c:max val="12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694336"/>
        <c:crosses val="autoZero"/>
        <c:crossBetween val="midCat"/>
        <c:majorUnit val="1"/>
      </c:valAx>
      <c:valAx>
        <c:axId val="64369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704176"/>
        <c:crosses val="autoZero"/>
        <c:crossBetween val="midCat"/>
      </c:valAx>
      <c:valAx>
        <c:axId val="1569267599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9261839"/>
        <c:crosses val="max"/>
        <c:crossBetween val="midCat"/>
      </c:valAx>
      <c:valAx>
        <c:axId val="1569261839"/>
        <c:scaling>
          <c:orientation val="minMax"/>
        </c:scaling>
        <c:delete val="1"/>
        <c:axPos val="b"/>
        <c:majorTickMark val="out"/>
        <c:minorTickMark val="none"/>
        <c:tickLblPos val="nextTo"/>
        <c:crossAx val="15692675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Climatology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Climatology!$F$1</c:f>
              <c:strCache>
                <c:ptCount val="1"/>
                <c:pt idx="0">
                  <c:v>StaHelena-before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Annual!$N$2:$N$13</c:f>
                <c:numCache>
                  <c:formatCode>General</c:formatCode>
                  <c:ptCount val="12"/>
                </c:numCache>
              </c:numRef>
            </c:plus>
            <c:minus>
              <c:numRef>
                <c:f>Annual!$N$2:$N$13</c:f>
                <c:numCache>
                  <c:formatCode>General</c:formatCode>
                  <c:ptCount val="12"/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strRef>
              <c:f>Climatology!$A$2:$A$13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xVal>
          <c:yVal>
            <c:numRef>
              <c:f>Climatology!$F$2:$F$13</c:f>
              <c:numCache>
                <c:formatCode>0.00</c:formatCode>
                <c:ptCount val="12"/>
                <c:pt idx="0">
                  <c:v>195.64000000000001</c:v>
                </c:pt>
                <c:pt idx="1">
                  <c:v>85.766666666666666</c:v>
                </c:pt>
                <c:pt idx="2">
                  <c:v>181.05666666666664</c:v>
                </c:pt>
                <c:pt idx="3">
                  <c:v>292.13333333333338</c:v>
                </c:pt>
                <c:pt idx="4">
                  <c:v>234.76666666666665</c:v>
                </c:pt>
                <c:pt idx="5">
                  <c:v>311.06666666666666</c:v>
                </c:pt>
                <c:pt idx="6">
                  <c:v>195.64000000000001</c:v>
                </c:pt>
                <c:pt idx="7">
                  <c:v>85.766666666666666</c:v>
                </c:pt>
                <c:pt idx="8">
                  <c:v>181.05666666666664</c:v>
                </c:pt>
                <c:pt idx="9">
                  <c:v>292.13333333333338</c:v>
                </c:pt>
                <c:pt idx="10">
                  <c:v>234.76666666666665</c:v>
                </c:pt>
                <c:pt idx="11">
                  <c:v>311.06666666666666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B40-4E66-A270-2849DF43892F}"/>
            </c:ext>
          </c:extLst>
        </c:ser>
        <c:ser>
          <c:idx val="1"/>
          <c:order val="1"/>
          <c:tx>
            <c:strRef>
              <c:f>Climatology!$G$1</c:f>
              <c:strCache>
                <c:ptCount val="1"/>
                <c:pt idx="0">
                  <c:v>StaHelena-after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strRef>
              <c:f>Climatology!$A$2:$A$13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xVal>
          <c:yVal>
            <c:numRef>
              <c:f>Climatology!$G$2:$G$13</c:f>
              <c:numCache>
                <c:formatCode>0.00</c:formatCode>
                <c:ptCount val="12"/>
                <c:pt idx="0">
                  <c:v>392.41874999999999</c:v>
                </c:pt>
                <c:pt idx="1">
                  <c:v>256.47741935483879</c:v>
                </c:pt>
                <c:pt idx="2">
                  <c:v>212.61562499999997</c:v>
                </c:pt>
                <c:pt idx="3">
                  <c:v>248.23225806451615</c:v>
                </c:pt>
                <c:pt idx="4">
                  <c:v>342.0843749999998</c:v>
                </c:pt>
                <c:pt idx="5">
                  <c:v>406.09687500000001</c:v>
                </c:pt>
                <c:pt idx="6">
                  <c:v>406.97812500000003</c:v>
                </c:pt>
                <c:pt idx="7">
                  <c:v>391.39687499999991</c:v>
                </c:pt>
                <c:pt idx="8">
                  <c:v>402.82187499999998</c:v>
                </c:pt>
                <c:pt idx="9">
                  <c:v>445.00937499999998</c:v>
                </c:pt>
                <c:pt idx="10">
                  <c:v>490.40606060606052</c:v>
                </c:pt>
                <c:pt idx="11">
                  <c:v>497.98787878787874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40-4E66-A270-2849DF4389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3704176"/>
        <c:axId val="643694336"/>
      </c:scatterChart>
      <c:valAx>
        <c:axId val="643704176"/>
        <c:scaling>
          <c:orientation val="minMax"/>
          <c:max val="12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694336"/>
        <c:crosses val="autoZero"/>
        <c:crossBetween val="midCat"/>
        <c:majorUnit val="1"/>
      </c:valAx>
      <c:valAx>
        <c:axId val="64369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7041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618564</xdr:colOff>
      <xdr:row>1</xdr:row>
      <xdr:rowOff>134472</xdr:rowOff>
    </xdr:from>
    <xdr:to>
      <xdr:col>25</xdr:col>
      <xdr:colOff>197222</xdr:colOff>
      <xdr:row>19</xdr:row>
      <xdr:rowOff>11206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3945191-5A47-4AB2-BBF4-118D619135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578222</xdr:colOff>
      <xdr:row>20</xdr:row>
      <xdr:rowOff>44825</xdr:rowOff>
    </xdr:from>
    <xdr:to>
      <xdr:col>17</xdr:col>
      <xdr:colOff>300316</xdr:colOff>
      <xdr:row>35</xdr:row>
      <xdr:rowOff>98613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68A7EBF-D4CD-7D75-AE26-603D903C6F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466164</xdr:colOff>
      <xdr:row>20</xdr:row>
      <xdr:rowOff>89648</xdr:rowOff>
    </xdr:from>
    <xdr:to>
      <xdr:col>23</xdr:col>
      <xdr:colOff>304799</xdr:colOff>
      <xdr:row>35</xdr:row>
      <xdr:rowOff>143436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CD25912-549E-41B2-BB44-A4B9FF0933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259080</xdr:colOff>
      <xdr:row>1</xdr:row>
      <xdr:rowOff>144780</xdr:rowOff>
    </xdr:from>
    <xdr:to>
      <xdr:col>15</xdr:col>
      <xdr:colOff>76199</xdr:colOff>
      <xdr:row>13</xdr:row>
      <xdr:rowOff>121920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564525B-4BF1-4680-BBB5-551D225411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228600</xdr:colOff>
      <xdr:row>14</xdr:row>
      <xdr:rowOff>38100</xdr:rowOff>
    </xdr:from>
    <xdr:to>
      <xdr:col>15</xdr:col>
      <xdr:colOff>45719</xdr:colOff>
      <xdr:row>27</xdr:row>
      <xdr:rowOff>22860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80AAA49-F044-48B4-BEA6-91B1D040DF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E65FA-6CE1-41FA-9216-FC0BE1AFB515}">
  <dimension ref="A1:P901"/>
  <sheetViews>
    <sheetView tabSelected="1" zoomScale="85" zoomScaleNormal="85" workbookViewId="0">
      <selection activeCell="F11" sqref="F11"/>
    </sheetView>
  </sheetViews>
  <sheetFormatPr baseColWidth="10" defaultRowHeight="14.4" x14ac:dyDescent="0.3"/>
  <cols>
    <col min="2" max="2" width="6.88671875" customWidth="1"/>
    <col min="4" max="4" width="8.6640625" customWidth="1"/>
    <col min="5" max="5" width="12" customWidth="1"/>
    <col min="6" max="6" width="12.88671875" customWidth="1"/>
    <col min="7" max="7" width="12.5546875" customWidth="1"/>
    <col min="8" max="8" width="10.5546875" customWidth="1"/>
    <col min="9" max="9" width="6.5546875" customWidth="1"/>
    <col min="10" max="10" width="11.6640625" customWidth="1"/>
    <col min="11" max="11" width="9.6640625" customWidth="1"/>
    <col min="12" max="12" width="7.6640625" customWidth="1"/>
    <col min="13" max="13" width="6.33203125" customWidth="1"/>
    <col min="14" max="14" width="7" customWidth="1"/>
    <col min="15" max="15" width="9.44140625" customWidth="1"/>
    <col min="16" max="16" width="7.44140625" customWidth="1"/>
  </cols>
  <sheetData>
    <row r="1" spans="1:16" x14ac:dyDescent="0.3">
      <c r="A1" s="2" t="s">
        <v>30</v>
      </c>
      <c r="B1" s="2" t="s">
        <v>29</v>
      </c>
      <c r="C1" s="2" t="s">
        <v>16</v>
      </c>
      <c r="D1" s="2" t="s">
        <v>31</v>
      </c>
      <c r="E1" s="2" t="s">
        <v>32</v>
      </c>
      <c r="F1" s="2" t="s">
        <v>33</v>
      </c>
      <c r="G1" s="2" t="s">
        <v>34</v>
      </c>
      <c r="H1" s="2" t="s">
        <v>35</v>
      </c>
      <c r="I1" s="2" t="s">
        <v>38</v>
      </c>
      <c r="J1" s="2"/>
      <c r="K1" s="2"/>
      <c r="L1" s="2"/>
      <c r="N1" s="2"/>
      <c r="O1" s="2"/>
      <c r="P1" s="2"/>
    </row>
    <row r="2" spans="1:16" x14ac:dyDescent="0.3">
      <c r="A2" s="10">
        <v>42339</v>
      </c>
      <c r="B2">
        <v>2015</v>
      </c>
      <c r="C2" t="s">
        <v>17</v>
      </c>
      <c r="D2" s="6">
        <v>2015.9166666666665</v>
      </c>
      <c r="E2">
        <v>4444</v>
      </c>
      <c r="F2">
        <v>266.3</v>
      </c>
      <c r="G2" s="7">
        <f>STANDARDIZE(E2,Climatology!B$13,Climatology!C$13)</f>
        <v>-1.901008445350244</v>
      </c>
      <c r="H2" s="6">
        <f>STANDARDIZE(F2,Climatology!D$13,Climatology!E$13)</f>
        <v>-1.6093317792039776</v>
      </c>
      <c r="I2" s="6">
        <f>F2/E2*100</f>
        <v>5.992349234923493</v>
      </c>
      <c r="J2" s="11"/>
      <c r="K2" s="7"/>
      <c r="L2" s="7"/>
      <c r="P2" s="7"/>
    </row>
    <row r="3" spans="1:16" x14ac:dyDescent="0.3">
      <c r="A3" s="10">
        <v>42309</v>
      </c>
      <c r="B3">
        <v>2015</v>
      </c>
      <c r="C3" t="s">
        <v>18</v>
      </c>
      <c r="D3" s="6">
        <v>2015.8333333333333</v>
      </c>
      <c r="E3">
        <v>5803</v>
      </c>
      <c r="F3">
        <v>327.5</v>
      </c>
      <c r="G3" s="7">
        <f>STANDARDIZE(E3,Climatology!B$12,Climatology!C$12)</f>
        <v>-1.5800333479981303</v>
      </c>
      <c r="H3" s="6">
        <f>STANDARDIZE(F3,Climatology!D$12,Climatology!E$12)</f>
        <v>-1.3332502995224502</v>
      </c>
      <c r="I3" s="6">
        <f t="shared" ref="I3:I66" si="0">F3/E3*100</f>
        <v>5.6436326038256075</v>
      </c>
      <c r="J3" s="11"/>
      <c r="K3" s="7"/>
      <c r="L3" s="7"/>
      <c r="P3" s="7"/>
    </row>
    <row r="4" spans="1:16" x14ac:dyDescent="0.3">
      <c r="A4" s="10">
        <v>42278</v>
      </c>
      <c r="B4">
        <v>2015</v>
      </c>
      <c r="C4" t="s">
        <v>19</v>
      </c>
      <c r="D4" s="6">
        <v>2015.75</v>
      </c>
      <c r="E4">
        <v>4343</v>
      </c>
      <c r="F4">
        <v>236.6</v>
      </c>
      <c r="G4" s="7">
        <f>STANDARDIZE(E4,Climatology!B$11,Climatology!C$11)</f>
        <v>-2.1254077043383601</v>
      </c>
      <c r="H4" s="6">
        <f>STANDARDIZE(F4,Climatology!D$11,Climatology!E$11)</f>
        <v>-1.5920586706383215</v>
      </c>
      <c r="I4" s="6">
        <f t="shared" si="0"/>
        <v>5.4478471102924244</v>
      </c>
      <c r="J4" s="11"/>
      <c r="K4" s="7"/>
      <c r="L4" s="7"/>
      <c r="P4" s="7"/>
    </row>
    <row r="5" spans="1:16" x14ac:dyDescent="0.3">
      <c r="A5" s="10">
        <v>42248</v>
      </c>
      <c r="B5">
        <v>2015</v>
      </c>
      <c r="C5" t="s">
        <v>20</v>
      </c>
      <c r="D5" s="6">
        <v>2015.6666666666665</v>
      </c>
      <c r="E5">
        <v>4394</v>
      </c>
      <c r="F5">
        <v>242.4</v>
      </c>
      <c r="G5" s="7">
        <f>STANDARDIZE(E5,Climatology!B$10,Climatology!C$10)</f>
        <v>-1.5363843091772598</v>
      </c>
      <c r="H5" s="6">
        <f>STANDARDIZE(F5,Climatology!D$10,Climatology!E$10)</f>
        <v>-1.1243722263734561</v>
      </c>
      <c r="I5" s="6">
        <f t="shared" si="0"/>
        <v>5.516613563950842</v>
      </c>
      <c r="J5" s="11"/>
      <c r="K5" s="7"/>
      <c r="L5" s="7"/>
      <c r="P5" s="7"/>
    </row>
    <row r="6" spans="1:16" x14ac:dyDescent="0.3">
      <c r="A6" s="10">
        <v>42217</v>
      </c>
      <c r="B6">
        <v>2015</v>
      </c>
      <c r="C6" t="s">
        <v>21</v>
      </c>
      <c r="D6" s="6">
        <v>2015.5833333333333</v>
      </c>
      <c r="E6">
        <v>4127</v>
      </c>
      <c r="F6">
        <v>233.5</v>
      </c>
      <c r="G6" s="7">
        <f>STANDARDIZE(E6,Climatology!B$9,Climatology!C$9)</f>
        <v>-1.6158210352566782</v>
      </c>
      <c r="H6" s="6">
        <f>STANDARDIZE(F6,Climatology!D$9,Climatology!E$9)</f>
        <v>-1.127915695574756</v>
      </c>
      <c r="I6" s="6">
        <f t="shared" si="0"/>
        <v>5.6578628543736365</v>
      </c>
      <c r="J6" s="11"/>
      <c r="K6" s="7"/>
      <c r="L6" s="7"/>
      <c r="P6" s="7"/>
    </row>
    <row r="7" spans="1:16" x14ac:dyDescent="0.3">
      <c r="A7" s="10">
        <v>42186</v>
      </c>
      <c r="B7">
        <v>2015</v>
      </c>
      <c r="C7" t="s">
        <v>22</v>
      </c>
      <c r="D7" s="6">
        <v>2015.5</v>
      </c>
      <c r="E7">
        <v>4341</v>
      </c>
      <c r="F7">
        <v>240.5</v>
      </c>
      <c r="G7" s="7">
        <f>STANDARDIZE(E7,Climatology!B$8,Climatology!C$8)</f>
        <v>-1.7579770432547599</v>
      </c>
      <c r="H7" s="6">
        <f>STANDARDIZE(F7,Climatology!D$8,Climatology!E$8)</f>
        <v>-1.2532204122353272</v>
      </c>
      <c r="I7" s="6">
        <f t="shared" si="0"/>
        <v>5.5401981110343241</v>
      </c>
      <c r="J7" s="11"/>
      <c r="K7" s="7"/>
      <c r="L7" s="7"/>
      <c r="P7" s="7"/>
    </row>
    <row r="8" spans="1:16" x14ac:dyDescent="0.3">
      <c r="A8" s="10">
        <v>42156</v>
      </c>
      <c r="B8">
        <v>2015</v>
      </c>
      <c r="C8" t="s">
        <v>23</v>
      </c>
      <c r="D8" s="6">
        <v>2015.4166666666665</v>
      </c>
      <c r="E8">
        <v>5904</v>
      </c>
      <c r="F8">
        <v>328.8</v>
      </c>
      <c r="G8" s="7">
        <f>STANDARDIZE(E8,Climatology!B$7,Climatology!C$7)</f>
        <v>-1.3341593992494809</v>
      </c>
      <c r="H8" s="6">
        <f>STANDARDIZE(F8,Climatology!D$7,Climatology!E$7)</f>
        <v>-0.58746304819791273</v>
      </c>
      <c r="I8" s="6">
        <f t="shared" si="0"/>
        <v>5.5691056910569108</v>
      </c>
      <c r="J8" s="11"/>
      <c r="K8" s="7"/>
      <c r="L8" s="7"/>
      <c r="P8" s="7"/>
    </row>
    <row r="9" spans="1:16" x14ac:dyDescent="0.3">
      <c r="A9" s="10">
        <v>42125</v>
      </c>
      <c r="B9">
        <v>2015</v>
      </c>
      <c r="C9" t="s">
        <v>24</v>
      </c>
      <c r="D9" s="6">
        <v>2015.3333333333333</v>
      </c>
      <c r="E9">
        <v>5097</v>
      </c>
      <c r="F9">
        <v>283.8</v>
      </c>
      <c r="G9" s="7">
        <f>STANDARDIZE(E9,Climatology!B$6,Climatology!C$6)</f>
        <v>-1.2137009517451729</v>
      </c>
      <c r="H9" s="6">
        <f>STANDARDIZE(F9,Climatology!D$6,Climatology!E$6)</f>
        <v>-0.40178906848718038</v>
      </c>
      <c r="I9" s="6">
        <f t="shared" si="0"/>
        <v>5.5679811653914069</v>
      </c>
      <c r="J9" s="11"/>
      <c r="K9" s="7"/>
      <c r="L9" s="7"/>
      <c r="P9" s="7"/>
    </row>
    <row r="10" spans="1:16" x14ac:dyDescent="0.3">
      <c r="A10" s="10">
        <v>42095</v>
      </c>
      <c r="B10">
        <v>2015</v>
      </c>
      <c r="C10" t="s">
        <v>25</v>
      </c>
      <c r="D10" s="6">
        <v>2015.25</v>
      </c>
      <c r="E10">
        <v>4877</v>
      </c>
      <c r="F10">
        <v>255.8</v>
      </c>
      <c r="G10" s="7">
        <f>STANDARDIZE(E10,Climatology!B$5,Climatology!C$5)</f>
        <v>-4.3018984983537616E-2</v>
      </c>
      <c r="H10" s="6">
        <f>STANDARDIZE(F10,Climatology!D$5,Climatology!E$5)</f>
        <v>0.18876419768820979</v>
      </c>
      <c r="I10" s="6">
        <f t="shared" si="0"/>
        <v>5.2450276809514049</v>
      </c>
      <c r="J10" s="11"/>
      <c r="K10" s="7"/>
      <c r="L10" s="7"/>
      <c r="P10" s="7"/>
    </row>
    <row r="11" spans="1:16" x14ac:dyDescent="0.3">
      <c r="A11" s="10">
        <v>42064</v>
      </c>
      <c r="B11">
        <v>2015</v>
      </c>
      <c r="C11" t="s">
        <v>26</v>
      </c>
      <c r="D11" s="6">
        <v>2015.1666666666665</v>
      </c>
      <c r="E11">
        <v>3399</v>
      </c>
      <c r="F11">
        <v>185.7</v>
      </c>
      <c r="G11" s="7">
        <f>STANDARDIZE(E11,Climatology!B$4,Climatology!C$4)</f>
        <v>-0.45820824155254297</v>
      </c>
      <c r="H11" s="6">
        <f>STANDARDIZE(F11,Climatology!D$4,Climatology!E$4)</f>
        <v>-0.16896869116954019</v>
      </c>
      <c r="I11" s="6">
        <f t="shared" si="0"/>
        <v>5.4633715798764335</v>
      </c>
      <c r="J11" s="11"/>
      <c r="K11" s="7"/>
      <c r="L11" s="7"/>
      <c r="P11" s="7"/>
    </row>
    <row r="12" spans="1:16" x14ac:dyDescent="0.3">
      <c r="A12" s="10">
        <v>42036</v>
      </c>
      <c r="B12">
        <v>2015</v>
      </c>
      <c r="C12" t="s">
        <v>27</v>
      </c>
      <c r="D12" s="6">
        <v>2015.0833333333333</v>
      </c>
      <c r="E12">
        <v>3990</v>
      </c>
      <c r="F12">
        <v>220.7</v>
      </c>
      <c r="G12" s="7">
        <f>STANDARDIZE(E12,Climatology!B$3,Climatology!C$3)</f>
        <v>-0.26999694868977797</v>
      </c>
      <c r="H12" s="6">
        <f>STANDARDIZE(F12,Climatology!D$3,Climatology!E$3)</f>
        <v>-0.18095641780032137</v>
      </c>
      <c r="I12" s="6">
        <f t="shared" si="0"/>
        <v>5.5313283208020048</v>
      </c>
      <c r="J12" s="11"/>
      <c r="K12" s="7"/>
      <c r="L12" s="7"/>
      <c r="P12" s="7"/>
    </row>
    <row r="13" spans="1:16" x14ac:dyDescent="0.3">
      <c r="A13" s="10">
        <v>42005</v>
      </c>
      <c r="B13">
        <v>2015</v>
      </c>
      <c r="C13" t="s">
        <v>28</v>
      </c>
      <c r="D13" s="6">
        <v>2015</v>
      </c>
      <c r="E13">
        <v>4582</v>
      </c>
      <c r="F13">
        <v>295.3</v>
      </c>
      <c r="G13" s="7">
        <f>STANDARDIZE(E13,Climatology!B$2,Climatology!C$2)</f>
        <v>-0.97527319281560021</v>
      </c>
      <c r="H13" s="6">
        <f>STANDARDIZE(F13,Climatology!D$2,Climatology!E$2)</f>
        <v>-0.53909180017603475</v>
      </c>
      <c r="I13" s="6">
        <f t="shared" si="0"/>
        <v>6.4447839371453517</v>
      </c>
      <c r="J13" s="11"/>
      <c r="K13" s="7"/>
      <c r="L13" s="7"/>
      <c r="P13" s="7"/>
    </row>
    <row r="14" spans="1:16" x14ac:dyDescent="0.3">
      <c r="A14" s="10">
        <v>41974</v>
      </c>
      <c r="B14">
        <v>2014</v>
      </c>
      <c r="C14" t="s">
        <v>17</v>
      </c>
      <c r="D14" s="6">
        <v>2014.9166666666665</v>
      </c>
      <c r="E14">
        <v>8477</v>
      </c>
      <c r="F14">
        <v>523.29999999999995</v>
      </c>
      <c r="G14" s="7">
        <f>STANDARDIZE(E14,Climatology!B$13,Climatology!C$13)</f>
        <v>-0.46089544542455613</v>
      </c>
      <c r="H14" s="6">
        <f>STANDARDIZE(F14,Climatology!D$13,Climatology!E$13)</f>
        <v>0.26593564494035654</v>
      </c>
      <c r="I14" s="6">
        <f t="shared" si="0"/>
        <v>6.1731744721009782</v>
      </c>
      <c r="P14" s="7"/>
    </row>
    <row r="15" spans="1:16" x14ac:dyDescent="0.3">
      <c r="A15" s="10">
        <v>41944</v>
      </c>
      <c r="B15">
        <v>2014</v>
      </c>
      <c r="C15" t="s">
        <v>18</v>
      </c>
      <c r="D15" s="6">
        <v>2014.8333333333333</v>
      </c>
      <c r="E15">
        <v>8321</v>
      </c>
      <c r="F15">
        <v>496.8</v>
      </c>
      <c r="G15" s="7">
        <f>STANDARDIZE(E15,Climatology!B$12,Climatology!C$12)</f>
        <v>-0.59072160010519736</v>
      </c>
      <c r="H15" s="6">
        <f>STANDARDIZE(F15,Climatology!D$12,Climatology!E$12)</f>
        <v>0.14590615990842115</v>
      </c>
      <c r="I15" s="6">
        <f t="shared" si="0"/>
        <v>5.9704362456435529</v>
      </c>
      <c r="P15" s="7"/>
    </row>
    <row r="16" spans="1:16" x14ac:dyDescent="0.3">
      <c r="A16" s="10">
        <v>41913</v>
      </c>
      <c r="B16">
        <v>2014</v>
      </c>
      <c r="C16" t="s">
        <v>19</v>
      </c>
      <c r="D16" s="6">
        <v>2014.75</v>
      </c>
      <c r="E16">
        <v>7039</v>
      </c>
      <c r="F16">
        <v>411.8</v>
      </c>
      <c r="G16" s="7">
        <f>STANDARDIZE(E16,Climatology!B$11,Climatology!C$11)</f>
        <v>-0.73636459119926934</v>
      </c>
      <c r="H16" s="6">
        <f>STANDARDIZE(F16,Climatology!D$11,Climatology!E$11)</f>
        <v>-0.14708904742494908</v>
      </c>
      <c r="I16" s="6">
        <f t="shared" si="0"/>
        <v>5.850262821423498</v>
      </c>
      <c r="P16" s="7"/>
    </row>
    <row r="17" spans="1:16" x14ac:dyDescent="0.3">
      <c r="A17" s="10">
        <v>41883</v>
      </c>
      <c r="B17">
        <v>2014</v>
      </c>
      <c r="C17" t="s">
        <v>20</v>
      </c>
      <c r="D17" s="6">
        <v>2014.6666666666665</v>
      </c>
      <c r="E17">
        <v>5495</v>
      </c>
      <c r="F17">
        <v>313.2</v>
      </c>
      <c r="G17" s="7">
        <f>STANDARDIZE(E17,Climatology!B$10,Climatology!C$10)</f>
        <v>-0.99233700747902853</v>
      </c>
      <c r="H17" s="6">
        <f>STANDARDIZE(F17,Climatology!D$10,Climatology!E$10)</f>
        <v>-0.5791927216277466</v>
      </c>
      <c r="I17" s="6">
        <f t="shared" si="0"/>
        <v>5.699727024567788</v>
      </c>
      <c r="P17" s="7"/>
    </row>
    <row r="18" spans="1:16" x14ac:dyDescent="0.3">
      <c r="A18" s="10">
        <v>41852</v>
      </c>
      <c r="B18">
        <v>2014</v>
      </c>
      <c r="C18" t="s">
        <v>21</v>
      </c>
      <c r="D18" s="6">
        <v>2014.5833333333333</v>
      </c>
      <c r="E18">
        <v>4197</v>
      </c>
      <c r="F18">
        <v>230.4</v>
      </c>
      <c r="G18" s="7">
        <f>STANDARDIZE(E18,Climatology!B$9,Climatology!C$9)</f>
        <v>-1.5805275961570953</v>
      </c>
      <c r="H18" s="6">
        <f>STANDARDIZE(F18,Climatology!D$9,Climatology!E$9)</f>
        <v>-1.1517768040152996</v>
      </c>
      <c r="I18" s="6">
        <f t="shared" si="0"/>
        <v>5.48963545389564</v>
      </c>
      <c r="P18" s="7"/>
    </row>
    <row r="19" spans="1:16" x14ac:dyDescent="0.3">
      <c r="A19" s="10">
        <v>41821</v>
      </c>
      <c r="B19">
        <v>2014</v>
      </c>
      <c r="C19" t="s">
        <v>22</v>
      </c>
      <c r="D19" s="6">
        <v>2014.5</v>
      </c>
      <c r="E19">
        <v>4744</v>
      </c>
      <c r="F19">
        <v>280.5</v>
      </c>
      <c r="G19" s="7">
        <f>STANDARDIZE(E19,Climatology!B$8,Climatology!C$8)</f>
        <v>-1.5593858684769535</v>
      </c>
      <c r="H19" s="6">
        <f>STANDARDIZE(F19,Climatology!D$8,Climatology!E$8)</f>
        <v>-0.9331830956234819</v>
      </c>
      <c r="I19" s="6">
        <f t="shared" si="0"/>
        <v>5.912731871838111</v>
      </c>
      <c r="P19" s="7"/>
    </row>
    <row r="20" spans="1:16" x14ac:dyDescent="0.3">
      <c r="A20" s="10">
        <v>41791</v>
      </c>
      <c r="B20">
        <v>2014</v>
      </c>
      <c r="C20" t="s">
        <v>23</v>
      </c>
      <c r="D20" s="6">
        <v>2014.4166666666665</v>
      </c>
      <c r="E20">
        <v>6647</v>
      </c>
      <c r="F20">
        <v>369.3</v>
      </c>
      <c r="G20" s="7">
        <f>STANDARDIZE(E20,Climatology!B$7,Climatology!C$7)</f>
        <v>-0.89338396942943288</v>
      </c>
      <c r="H20" s="6">
        <f>STANDARDIZE(F20,Climatology!D$7,Climatology!E$7)</f>
        <v>-0.22466564880761916</v>
      </c>
      <c r="I20" s="6">
        <f t="shared" si="0"/>
        <v>5.5558898751316388</v>
      </c>
      <c r="P20" s="7"/>
    </row>
    <row r="21" spans="1:16" x14ac:dyDescent="0.3">
      <c r="A21" s="10">
        <v>41760</v>
      </c>
      <c r="B21">
        <v>2014</v>
      </c>
      <c r="C21" t="s">
        <v>24</v>
      </c>
      <c r="D21" s="6">
        <v>2014.3333333333333</v>
      </c>
      <c r="E21">
        <v>6475</v>
      </c>
      <c r="F21">
        <v>339.4</v>
      </c>
      <c r="G21" s="7">
        <f>STANDARDIZE(E21,Climatology!B$6,Climatology!C$6)</f>
        <v>-0.26218842509784757</v>
      </c>
      <c r="H21" s="6">
        <f>STANDARDIZE(F21,Climatology!D$6,Climatology!E$6)</f>
        <v>0.10042468556810749</v>
      </c>
      <c r="I21" s="6">
        <f t="shared" si="0"/>
        <v>5.2416988416988417</v>
      </c>
      <c r="P21" s="7"/>
    </row>
    <row r="22" spans="1:16" x14ac:dyDescent="0.3">
      <c r="A22" s="10">
        <v>41730</v>
      </c>
      <c r="B22">
        <v>2014</v>
      </c>
      <c r="C22" t="s">
        <v>25</v>
      </c>
      <c r="D22" s="6">
        <v>2014.25</v>
      </c>
      <c r="E22">
        <v>4075</v>
      </c>
      <c r="F22">
        <v>197.2</v>
      </c>
      <c r="G22" s="7">
        <f>STANDARDIZE(E22,Climatology!B$5,Climatology!C$5)</f>
        <v>-0.61713428086907207</v>
      </c>
      <c r="H22" s="6">
        <f>STANDARDIZE(F22,Climatology!D$5,Climatology!E$5)</f>
        <v>-0.36129765051793822</v>
      </c>
      <c r="I22" s="6">
        <f t="shared" si="0"/>
        <v>4.8392638036809812</v>
      </c>
      <c r="P22" s="7"/>
    </row>
    <row r="23" spans="1:16" x14ac:dyDescent="0.3">
      <c r="A23" s="10">
        <v>41699</v>
      </c>
      <c r="B23">
        <v>2014</v>
      </c>
      <c r="C23" t="s">
        <v>26</v>
      </c>
      <c r="D23" s="6">
        <v>2014.1666666666665</v>
      </c>
      <c r="E23">
        <v>4551</v>
      </c>
      <c r="F23">
        <v>216.6</v>
      </c>
      <c r="G23" s="7">
        <f>STANDARDIZE(E23,Climatology!B$4,Climatology!C$4)</f>
        <v>0.27426086221784546</v>
      </c>
      <c r="H23" s="6">
        <f>STANDARDIZE(F23,Climatology!D$4,Climatology!E$4)</f>
        <v>0.15648035513474842</v>
      </c>
      <c r="I23" s="6">
        <f t="shared" si="0"/>
        <v>4.7593935398813443</v>
      </c>
      <c r="P23" s="7"/>
    </row>
    <row r="24" spans="1:16" x14ac:dyDescent="0.3">
      <c r="A24" s="10">
        <v>41671</v>
      </c>
      <c r="B24">
        <v>2014</v>
      </c>
      <c r="C24" t="s">
        <v>27</v>
      </c>
      <c r="D24" s="6">
        <v>2014.0833333333333</v>
      </c>
      <c r="E24">
        <v>3771</v>
      </c>
      <c r="F24">
        <v>198.5</v>
      </c>
      <c r="G24" s="7">
        <f>STANDARDIZE(E24,Climatology!B$3,Climatology!C$3)</f>
        <v>-0.39767964462255551</v>
      </c>
      <c r="H24" s="6">
        <f>STANDARDIZE(F24,Climatology!D$3,Climatology!E$3)</f>
        <v>-0.35959582474480439</v>
      </c>
      <c r="I24" s="6">
        <f t="shared" si="0"/>
        <v>5.2638557411827103</v>
      </c>
      <c r="P24" s="7"/>
    </row>
    <row r="25" spans="1:16" x14ac:dyDescent="0.3">
      <c r="A25" s="10">
        <v>41640</v>
      </c>
      <c r="B25">
        <v>2014</v>
      </c>
      <c r="C25" t="s">
        <v>28</v>
      </c>
      <c r="D25" s="6">
        <v>2014</v>
      </c>
      <c r="E25">
        <v>5797</v>
      </c>
      <c r="F25">
        <v>338.7</v>
      </c>
      <c r="G25" s="7">
        <f>STANDARDIZE(E25,Climatology!B$2,Climatology!C$2)</f>
        <v>-0.44537563031181954</v>
      </c>
      <c r="H25" s="6">
        <f>STANDARDIZE(F25,Climatology!D$2,Climatology!E$2)</f>
        <v>-0.24755284628529173</v>
      </c>
      <c r="I25" s="6">
        <f t="shared" si="0"/>
        <v>5.84267724685182</v>
      </c>
      <c r="P25" s="7"/>
    </row>
    <row r="26" spans="1:16" x14ac:dyDescent="0.3">
      <c r="A26" s="10">
        <v>41609</v>
      </c>
      <c r="B26">
        <v>2013</v>
      </c>
      <c r="C26" t="s">
        <v>17</v>
      </c>
      <c r="D26" s="6">
        <v>2013.9166666666599</v>
      </c>
      <c r="E26">
        <v>8407</v>
      </c>
      <c r="F26">
        <v>411.1</v>
      </c>
      <c r="G26" s="7">
        <f>STANDARDIZE(E26,Climatology!B$13,Climatology!C$13)</f>
        <v>-0.48589120788297369</v>
      </c>
      <c r="H26" s="6">
        <f>STANDARDIZE(F26,Climatology!D$13,Climatology!E$13)</f>
        <v>-0.55276087252654704</v>
      </c>
      <c r="I26" s="6">
        <f t="shared" si="0"/>
        <v>4.8899726418460814</v>
      </c>
      <c r="P26" s="7"/>
    </row>
    <row r="27" spans="1:16" x14ac:dyDescent="0.3">
      <c r="A27" s="10">
        <v>41579</v>
      </c>
      <c r="B27">
        <v>2013</v>
      </c>
      <c r="C27" t="s">
        <v>18</v>
      </c>
      <c r="D27" s="6">
        <v>2013.8333333333301</v>
      </c>
      <c r="E27">
        <v>8535</v>
      </c>
      <c r="F27">
        <v>427.3</v>
      </c>
      <c r="G27" s="7">
        <f>STANDARDIZE(E27,Climatology!B$12,Climatology!C$12)</f>
        <v>-0.50664188840976943</v>
      </c>
      <c r="H27" s="6">
        <f>STANDARDIZE(F27,Climatology!D$12,Climatology!E$12)</f>
        <v>-0.46130809839308828</v>
      </c>
      <c r="I27" s="6">
        <f t="shared" si="0"/>
        <v>5.0064440538957236</v>
      </c>
      <c r="P27" s="7"/>
    </row>
    <row r="28" spans="1:16" x14ac:dyDescent="0.3">
      <c r="A28" s="10">
        <v>41548</v>
      </c>
      <c r="B28">
        <v>2013</v>
      </c>
      <c r="C28" t="s">
        <v>19</v>
      </c>
      <c r="D28" s="6">
        <v>2013.75</v>
      </c>
      <c r="E28">
        <v>7850</v>
      </c>
      <c r="F28">
        <v>404.5</v>
      </c>
      <c r="G28" s="7">
        <f>STANDARDIZE(E28,Climatology!B$11,Climatology!C$11)</f>
        <v>-0.31851816510290337</v>
      </c>
      <c r="H28" s="6">
        <f>STANDARDIZE(F28,Climatology!D$11,Climatology!E$11)</f>
        <v>-0.20729611505883969</v>
      </c>
      <c r="I28" s="6">
        <f t="shared" si="0"/>
        <v>5.1528662420382165</v>
      </c>
      <c r="P28" s="7"/>
    </row>
    <row r="29" spans="1:16" x14ac:dyDescent="0.3">
      <c r="A29" s="10">
        <v>41518</v>
      </c>
      <c r="B29">
        <v>2013</v>
      </c>
      <c r="C29" t="s">
        <v>20</v>
      </c>
      <c r="D29" s="6">
        <v>2013.6666666666599</v>
      </c>
      <c r="E29">
        <v>7369</v>
      </c>
      <c r="F29">
        <v>358</v>
      </c>
      <c r="G29" s="7">
        <f>STANDARDIZE(E29,Climatology!B$10,Climatology!C$10)</f>
        <v>-6.6320074343256277E-2</v>
      </c>
      <c r="H29" s="6">
        <f>STANDARDIZE(F29,Climatology!D$10,Climatology!E$10)</f>
        <v>-0.23422037964176076</v>
      </c>
      <c r="I29" s="6">
        <f t="shared" si="0"/>
        <v>4.8581897136653547</v>
      </c>
      <c r="P29" s="7"/>
    </row>
    <row r="30" spans="1:16" x14ac:dyDescent="0.3">
      <c r="A30" s="10">
        <v>41487</v>
      </c>
      <c r="B30">
        <v>2013</v>
      </c>
      <c r="C30" t="s">
        <v>21</v>
      </c>
      <c r="D30" s="6">
        <v>2013.5833333333301</v>
      </c>
      <c r="E30">
        <v>5564</v>
      </c>
      <c r="F30">
        <v>272.5</v>
      </c>
      <c r="G30" s="7">
        <f>STANDARDIZE(E30,Climatology!B$9,Climatology!C$9)</f>
        <v>-0.89129714974095386</v>
      </c>
      <c r="H30" s="6">
        <f>STANDARDIZE(F30,Climatology!D$9,Climatology!E$9)</f>
        <v>-0.82772755712920476</v>
      </c>
      <c r="I30" s="6">
        <f t="shared" si="0"/>
        <v>4.8975557153127252</v>
      </c>
      <c r="P30" s="7"/>
    </row>
    <row r="31" spans="1:16" x14ac:dyDescent="0.3">
      <c r="A31" s="10">
        <v>41456</v>
      </c>
      <c r="B31">
        <v>2013</v>
      </c>
      <c r="C31" t="s">
        <v>22</v>
      </c>
      <c r="D31" s="6">
        <v>2013.5</v>
      </c>
      <c r="E31">
        <v>6649</v>
      </c>
      <c r="F31">
        <v>317.39999999999998</v>
      </c>
      <c r="G31" s="7">
        <f>STANDARDIZE(E31,Climatology!B$8,Climatology!C$8)</f>
        <v>-0.62063602244290539</v>
      </c>
      <c r="H31" s="6">
        <f>STANDARDIZE(F31,Climatology!D$8,Climatology!E$8)</f>
        <v>-0.63794867104905473</v>
      </c>
      <c r="I31" s="6">
        <f t="shared" si="0"/>
        <v>4.7736501729583392</v>
      </c>
      <c r="P31" s="7"/>
    </row>
    <row r="32" spans="1:16" x14ac:dyDescent="0.3">
      <c r="A32" s="10">
        <v>41426</v>
      </c>
      <c r="B32">
        <v>2013</v>
      </c>
      <c r="C32" t="s">
        <v>23</v>
      </c>
      <c r="D32" s="6">
        <v>2013.4166666666599</v>
      </c>
      <c r="E32">
        <v>8229</v>
      </c>
      <c r="F32">
        <v>351.5</v>
      </c>
      <c r="G32" s="7">
        <f>STANDARDIZE(E32,Climatology!B$7,Climatology!C$7)</f>
        <v>4.5117685988219872E-2</v>
      </c>
      <c r="H32" s="6">
        <f>STANDARDIZE(F32,Climatology!D$7,Climatology!E$7)</f>
        <v>-0.38411734532977299</v>
      </c>
      <c r="I32" s="6">
        <f t="shared" si="0"/>
        <v>4.2714789160286797</v>
      </c>
      <c r="P32" s="7"/>
    </row>
    <row r="33" spans="1:16" x14ac:dyDescent="0.3">
      <c r="A33" s="10">
        <v>41395</v>
      </c>
      <c r="B33">
        <v>2013</v>
      </c>
      <c r="C33" t="s">
        <v>24</v>
      </c>
      <c r="D33" s="6">
        <v>2013.3333333333301</v>
      </c>
      <c r="E33">
        <v>6259</v>
      </c>
      <c r="F33">
        <v>274</v>
      </c>
      <c r="G33" s="7">
        <f>STANDARDIZE(E33,Climatology!B$6,Climatology!C$6)</f>
        <v>-0.41133697789597695</v>
      </c>
      <c r="H33" s="6">
        <f>STANDARDIZE(F33,Climatology!D$6,Climatology!E$6)</f>
        <v>-0.4903087589501629</v>
      </c>
      <c r="I33" s="6">
        <f>F33/E33*100</f>
        <v>4.3776961175906699</v>
      </c>
      <c r="P33" s="7"/>
    </row>
    <row r="34" spans="1:16" x14ac:dyDescent="0.3">
      <c r="A34" s="10">
        <v>41365</v>
      </c>
      <c r="B34">
        <v>2013</v>
      </c>
      <c r="C34" t="s">
        <v>25</v>
      </c>
      <c r="D34" s="6">
        <v>2013.25</v>
      </c>
      <c r="E34">
        <v>4229</v>
      </c>
      <c r="F34">
        <v>182</v>
      </c>
      <c r="G34" s="7">
        <f>STANDARDIZE(E34,Climatology!B$5,Climatology!C$5)</f>
        <v>-0.50689269038731111</v>
      </c>
      <c r="H34" s="6">
        <f>STANDARDIZE(F34,Climatology!D$5,Climatology!E$5)</f>
        <v>-0.50397580909700712</v>
      </c>
      <c r="I34" s="6">
        <f t="shared" si="0"/>
        <v>4.3036178765665642</v>
      </c>
      <c r="P34" s="7"/>
    </row>
    <row r="35" spans="1:16" x14ac:dyDescent="0.3">
      <c r="A35" s="10">
        <v>41334</v>
      </c>
      <c r="B35">
        <v>2013</v>
      </c>
      <c r="C35" t="s">
        <v>26</v>
      </c>
      <c r="D35" s="6">
        <v>2013.1666666666599</v>
      </c>
      <c r="E35">
        <v>3792</v>
      </c>
      <c r="F35">
        <v>178</v>
      </c>
      <c r="G35" s="7">
        <f>STANDARDIZE(E35,Climatology!B$4,Climatology!C$4)</f>
        <v>-0.208329458755874</v>
      </c>
      <c r="H35" s="6">
        <f>STANDARDIZE(F35,Climatology!D$4,Climatology!E$4)</f>
        <v>-0.25006764445572199</v>
      </c>
      <c r="I35" s="6">
        <f t="shared" si="0"/>
        <v>4.6940928270042193</v>
      </c>
      <c r="P35" s="7"/>
    </row>
    <row r="36" spans="1:16" x14ac:dyDescent="0.3">
      <c r="A36" s="10">
        <v>41306</v>
      </c>
      <c r="B36">
        <v>2013</v>
      </c>
      <c r="C36" t="s">
        <v>27</v>
      </c>
      <c r="D36" s="6">
        <v>2013.0833333333301</v>
      </c>
      <c r="E36">
        <v>3205</v>
      </c>
      <c r="F36">
        <v>163.4</v>
      </c>
      <c r="G36" s="7">
        <f>STANDARDIZE(E36,Climatology!B$3,Climatology!C$3)</f>
        <v>-0.72767236561777038</v>
      </c>
      <c r="H36" s="6">
        <f>STANDARDIZE(F36,Climatology!D$3,Climatology!E$3)</f>
        <v>-0.64203921140027087</v>
      </c>
      <c r="I36" s="6">
        <f t="shared" si="0"/>
        <v>5.0982839313572548</v>
      </c>
      <c r="P36" s="7"/>
    </row>
    <row r="37" spans="1:16" x14ac:dyDescent="0.3">
      <c r="A37" s="10">
        <v>41275</v>
      </c>
      <c r="B37">
        <v>2013</v>
      </c>
      <c r="C37" t="s">
        <v>28</v>
      </c>
      <c r="D37" s="6">
        <v>2013</v>
      </c>
      <c r="E37">
        <v>3669</v>
      </c>
      <c r="F37">
        <v>188.9</v>
      </c>
      <c r="G37" s="7">
        <f>STANDARDIZE(E37,Climatology!B$2,Climatology!C$2)</f>
        <v>-1.3734595916353136</v>
      </c>
      <c r="H37" s="6">
        <f>STANDARDIZE(F37,Climatology!D$2,Climatology!E$2)</f>
        <v>-1.2538324613275342</v>
      </c>
      <c r="I37" s="6">
        <f t="shared" si="0"/>
        <v>5.14854183701281</v>
      </c>
      <c r="P37" s="7"/>
    </row>
    <row r="38" spans="1:16" x14ac:dyDescent="0.3">
      <c r="A38" s="10">
        <v>41244</v>
      </c>
      <c r="B38">
        <v>2012</v>
      </c>
      <c r="C38" t="s">
        <v>17</v>
      </c>
      <c r="D38" s="6">
        <v>2012.9166666666599</v>
      </c>
      <c r="E38">
        <v>6855</v>
      </c>
      <c r="F38">
        <v>341.8</v>
      </c>
      <c r="G38" s="7">
        <f>STANDARDIZE(E38,Climatology!B$13,Climatology!C$13)</f>
        <v>-1.0400829698181753</v>
      </c>
      <c r="H38" s="6">
        <f>STANDARDIZE(F38,Climatology!D$13,Climatology!E$13)</f>
        <v>-1.0584263686090467</v>
      </c>
      <c r="I38" s="6">
        <f t="shared" si="0"/>
        <v>4.986141502552881</v>
      </c>
      <c r="P38" s="7"/>
    </row>
    <row r="39" spans="1:16" x14ac:dyDescent="0.3">
      <c r="A39" s="10">
        <v>41214</v>
      </c>
      <c r="B39">
        <v>2012</v>
      </c>
      <c r="C39" t="s">
        <v>18</v>
      </c>
      <c r="D39" s="6">
        <v>2012.8333333333301</v>
      </c>
      <c r="E39">
        <v>7858</v>
      </c>
      <c r="F39">
        <v>377.8</v>
      </c>
      <c r="G39" s="7">
        <f>STANDARDIZE(E39,Climatology!B$12,Climatology!C$12)</f>
        <v>-0.77263237821259534</v>
      </c>
      <c r="H39" s="6">
        <f>STANDARDIZE(F39,Climatology!D$12,Climatology!E$12)</f>
        <v>-0.89378444063660945</v>
      </c>
      <c r="I39" s="6">
        <f t="shared" si="0"/>
        <v>4.8078391448205648</v>
      </c>
      <c r="P39" s="7"/>
    </row>
    <row r="40" spans="1:16" x14ac:dyDescent="0.3">
      <c r="A40" s="10">
        <v>41183</v>
      </c>
      <c r="B40">
        <v>2012</v>
      </c>
      <c r="C40" t="s">
        <v>19</v>
      </c>
      <c r="D40" s="6">
        <v>2012.75</v>
      </c>
      <c r="E40">
        <v>6414</v>
      </c>
      <c r="F40">
        <v>318.2</v>
      </c>
      <c r="G40" s="7">
        <f>STANDARDIZE(E40,Climatology!B$11,Climatology!C$11)</f>
        <v>-1.0583794078579978</v>
      </c>
      <c r="H40" s="6">
        <f>STANDARDIZE(F40,Climatology!D$11,Climatology!E$11)</f>
        <v>-0.91905912010058655</v>
      </c>
      <c r="I40" s="6">
        <f t="shared" si="0"/>
        <v>4.9610227627065795</v>
      </c>
      <c r="P40" s="7"/>
    </row>
    <row r="41" spans="1:16" x14ac:dyDescent="0.3">
      <c r="A41" s="10">
        <v>41153</v>
      </c>
      <c r="B41">
        <v>2012</v>
      </c>
      <c r="C41" t="s">
        <v>20</v>
      </c>
      <c r="D41" s="6">
        <v>2012.6666666666599</v>
      </c>
      <c r="E41">
        <v>6502</v>
      </c>
      <c r="F41">
        <v>314.5</v>
      </c>
      <c r="G41" s="7">
        <f>STANDARDIZE(E41,Climatology!B$10,Climatology!C$10)</f>
        <v>-0.49473879420916583</v>
      </c>
      <c r="H41" s="6">
        <f>STANDARDIZE(F41,Climatology!D$10,Climatology!E$10)</f>
        <v>-0.56918236348976037</v>
      </c>
      <c r="I41" s="6">
        <f t="shared" si="0"/>
        <v>4.8369732390033837</v>
      </c>
      <c r="P41" s="7"/>
    </row>
    <row r="42" spans="1:16" x14ac:dyDescent="0.3">
      <c r="A42" s="10">
        <v>41122</v>
      </c>
      <c r="B42">
        <v>2012</v>
      </c>
      <c r="C42" t="s">
        <v>21</v>
      </c>
      <c r="D42" s="6">
        <v>2012.5833333333301</v>
      </c>
      <c r="E42">
        <v>6193</v>
      </c>
      <c r="F42">
        <v>292.89999999999998</v>
      </c>
      <c r="G42" s="7">
        <f>STANDARDIZE(E42,Climatology!B$9,Climatology!C$9)</f>
        <v>-0.57416038983184414</v>
      </c>
      <c r="H42" s="6">
        <f>STANDARDIZE(F42,Climatology!D$9,Climatology!E$9)</f>
        <v>-0.67070606932691668</v>
      </c>
      <c r="I42" s="6">
        <f t="shared" si="0"/>
        <v>4.7295333440981757</v>
      </c>
      <c r="P42" s="7"/>
    </row>
    <row r="43" spans="1:16" x14ac:dyDescent="0.3">
      <c r="A43" s="10">
        <v>41091</v>
      </c>
      <c r="B43">
        <v>2012</v>
      </c>
      <c r="C43" t="s">
        <v>22</v>
      </c>
      <c r="D43" s="6">
        <v>2012.5</v>
      </c>
      <c r="E43">
        <v>6418</v>
      </c>
      <c r="F43">
        <v>313.60000000000002</v>
      </c>
      <c r="G43" s="7">
        <f>STANDARDIZE(E43,Climatology!B$8,Climatology!C$8)</f>
        <v>-0.7344686809383727</v>
      </c>
      <c r="H43" s="6">
        <f>STANDARDIZE(F43,Climatology!D$8,Climatology!E$8)</f>
        <v>-0.66835221612717965</v>
      </c>
      <c r="I43" s="6">
        <f t="shared" si="0"/>
        <v>4.8862574010595203</v>
      </c>
      <c r="P43" s="7"/>
    </row>
    <row r="44" spans="1:16" x14ac:dyDescent="0.3">
      <c r="A44" s="10">
        <v>41061</v>
      </c>
      <c r="B44">
        <v>2012</v>
      </c>
      <c r="C44" t="s">
        <v>23</v>
      </c>
      <c r="D44" s="6">
        <v>2012.4166666666599</v>
      </c>
      <c r="E44">
        <v>9001</v>
      </c>
      <c r="F44">
        <v>427.4</v>
      </c>
      <c r="G44" s="7">
        <f>STANDARDIZE(E44,Climatology!B$7,Climatology!C$7)</f>
        <v>0.50309700203273822</v>
      </c>
      <c r="H44" s="6">
        <f>STANDARDIZE(F44,Climatology!D$7,Climatology!E$7)</f>
        <v>0.29579185500907318</v>
      </c>
      <c r="I44" s="6">
        <f t="shared" si="0"/>
        <v>4.7483612931896451</v>
      </c>
      <c r="P44" s="7"/>
    </row>
    <row r="45" spans="1:16" x14ac:dyDescent="0.3">
      <c r="A45" s="10">
        <v>41030</v>
      </c>
      <c r="B45">
        <v>2012</v>
      </c>
      <c r="C45" t="s">
        <v>24</v>
      </c>
      <c r="D45" s="6">
        <v>2012.3333333333301</v>
      </c>
      <c r="E45">
        <v>9668</v>
      </c>
      <c r="F45">
        <v>427.5</v>
      </c>
      <c r="G45" s="7">
        <f>STANDARDIZE(E45,Climatology!B$6,Climatology!C$6)</f>
        <v>1.9425862465893147</v>
      </c>
      <c r="H45" s="6">
        <f>STANDARDIZE(F45,Climatology!D$6,Climatology!E$6)</f>
        <v>0.89619863758736829</v>
      </c>
      <c r="I45" s="6">
        <f t="shared" si="0"/>
        <v>4.4218038891187428</v>
      </c>
      <c r="P45" s="7"/>
    </row>
    <row r="46" spans="1:16" x14ac:dyDescent="0.3">
      <c r="A46" s="10">
        <v>41000</v>
      </c>
      <c r="B46">
        <v>2012</v>
      </c>
      <c r="C46" t="s">
        <v>25</v>
      </c>
      <c r="D46" s="6">
        <v>2012.24999999999</v>
      </c>
      <c r="E46">
        <v>6585</v>
      </c>
      <c r="F46">
        <v>275.10000000000002</v>
      </c>
      <c r="G46" s="7">
        <f>STANDARDIZE(E46,Climatology!B$5,Climatology!C$5)</f>
        <v>1.1796604730869023</v>
      </c>
      <c r="H46" s="6">
        <f>STANDARDIZE(F46,Climatology!D$5,Climatology!E$5)</f>
        <v>0.36992791219979099</v>
      </c>
      <c r="I46" s="6">
        <f t="shared" si="0"/>
        <v>4.1776765375854215</v>
      </c>
      <c r="P46" s="7"/>
    </row>
    <row r="47" spans="1:16" x14ac:dyDescent="0.3">
      <c r="A47" s="10">
        <v>40969</v>
      </c>
      <c r="B47">
        <v>2012</v>
      </c>
      <c r="C47" t="s">
        <v>26</v>
      </c>
      <c r="D47" s="6">
        <v>2012.1666666666599</v>
      </c>
      <c r="E47">
        <v>4540</v>
      </c>
      <c r="F47">
        <v>216.9</v>
      </c>
      <c r="G47" s="7">
        <f>STANDARDIZE(E47,Climatology!B$4,Climatology!C$4)</f>
        <v>0.26726679959503796</v>
      </c>
      <c r="H47" s="6">
        <f>STANDARDIZE(F47,Climatology!D$4,Climatology!E$4)</f>
        <v>0.15964005461343095</v>
      </c>
      <c r="I47" s="6">
        <f t="shared" si="0"/>
        <v>4.7775330396475777</v>
      </c>
      <c r="P47" s="7"/>
    </row>
    <row r="48" spans="1:16" x14ac:dyDescent="0.3">
      <c r="A48" s="10">
        <v>40940</v>
      </c>
      <c r="B48">
        <v>2012</v>
      </c>
      <c r="C48" t="s">
        <v>27</v>
      </c>
      <c r="D48" s="6">
        <v>2012.0833333333301</v>
      </c>
      <c r="E48">
        <v>6968</v>
      </c>
      <c r="F48">
        <v>395.8</v>
      </c>
      <c r="G48" s="7">
        <f>STANDARDIZE(E48,Climatology!B$3,Climatology!C$3)</f>
        <v>1.4662545055924661</v>
      </c>
      <c r="H48" s="6">
        <f>STANDARDIZE(F48,Climatology!D$3,Climatology!E$3)</f>
        <v>1.2280417874239575</v>
      </c>
      <c r="I48" s="6">
        <f t="shared" si="0"/>
        <v>5.6802525832376576</v>
      </c>
      <c r="P48" s="7"/>
    </row>
    <row r="49" spans="1:16" x14ac:dyDescent="0.3">
      <c r="A49" s="10">
        <v>40909</v>
      </c>
      <c r="B49">
        <v>2012</v>
      </c>
      <c r="C49" t="s">
        <v>28</v>
      </c>
      <c r="D49" s="6">
        <v>2012</v>
      </c>
      <c r="E49">
        <v>11336</v>
      </c>
      <c r="F49">
        <v>576.20000000000005</v>
      </c>
      <c r="G49" s="7">
        <f>STANDARDIZE(E49,Climatology!B$2,Climatology!C$2)</f>
        <v>1.9703466731519181</v>
      </c>
      <c r="H49" s="6">
        <f>STANDARDIZE(F49,Climatology!D$2,Climatology!E$2)</f>
        <v>1.3478504152135913</v>
      </c>
      <c r="I49" s="6">
        <f t="shared" si="0"/>
        <v>5.0829216654904732</v>
      </c>
      <c r="P49" s="7"/>
    </row>
    <row r="50" spans="1:16" x14ac:dyDescent="0.3">
      <c r="A50" s="10">
        <v>40878</v>
      </c>
      <c r="B50">
        <v>2011</v>
      </c>
      <c r="C50" t="s">
        <v>17</v>
      </c>
      <c r="D50" s="6">
        <v>2011.9166666666599</v>
      </c>
      <c r="E50">
        <v>13395</v>
      </c>
      <c r="F50">
        <v>610.79999999999995</v>
      </c>
      <c r="G50" s="7">
        <f>STANDARDIZE(E50,Climatology!B$13,Climatology!C$13)</f>
        <v>1.2952354084396973</v>
      </c>
      <c r="H50" s="6">
        <f>STANDARDIZE(F50,Climatology!D$13,Climatology!E$13)</f>
        <v>0.90440218039805798</v>
      </c>
      <c r="I50" s="6">
        <f t="shared" si="0"/>
        <v>4.5599104143337064</v>
      </c>
      <c r="P50" s="7"/>
    </row>
    <row r="51" spans="1:16" x14ac:dyDescent="0.3">
      <c r="A51" s="10">
        <v>40848</v>
      </c>
      <c r="B51">
        <v>2011</v>
      </c>
      <c r="C51" t="s">
        <v>18</v>
      </c>
      <c r="D51" s="6">
        <v>2011.8333333333301</v>
      </c>
      <c r="E51">
        <v>11402</v>
      </c>
      <c r="F51">
        <v>531.79999999999995</v>
      </c>
      <c r="G51" s="7">
        <f>STANDARDIZE(E51,Climatology!B$12,Climatology!C$12)</f>
        <v>0.61979051079953917</v>
      </c>
      <c r="H51" s="6">
        <f>STANDARDIZE(F51,Climatology!D$12,Climatology!E$12)</f>
        <v>0.45169751300990024</v>
      </c>
      <c r="I51" s="6">
        <f t="shared" si="0"/>
        <v>4.6640940185932287</v>
      </c>
      <c r="P51" s="7"/>
    </row>
    <row r="52" spans="1:16" x14ac:dyDescent="0.3">
      <c r="A52" s="10">
        <v>40817</v>
      </c>
      <c r="B52">
        <v>2011</v>
      </c>
      <c r="C52" t="s">
        <v>19</v>
      </c>
      <c r="D52" s="6">
        <v>2011.74999999999</v>
      </c>
      <c r="E52">
        <v>9565</v>
      </c>
      <c r="F52">
        <v>466.5</v>
      </c>
      <c r="G52" s="7">
        <f>STANDARDIZE(E52,Climatology!B$11,Climatology!C$11)</f>
        <v>0.56509049180864734</v>
      </c>
      <c r="H52" s="6">
        <f>STANDARDIZE(F52,Climatology!D$11,Climatology!E$11)</f>
        <v>0.30405158265365512</v>
      </c>
      <c r="I52" s="6">
        <f t="shared" si="0"/>
        <v>4.8771562990067956</v>
      </c>
      <c r="P52" s="7"/>
    </row>
    <row r="53" spans="1:16" x14ac:dyDescent="0.3">
      <c r="A53" s="10">
        <v>40787</v>
      </c>
      <c r="B53">
        <v>2011</v>
      </c>
      <c r="C53" t="s">
        <v>20</v>
      </c>
      <c r="D53" s="6">
        <v>2011.6666666666599</v>
      </c>
      <c r="E53">
        <v>9130</v>
      </c>
      <c r="F53">
        <v>435.2</v>
      </c>
      <c r="G53" s="7">
        <f>STANDARDIZE(E53,Climatology!B$10,Climatology!C$10)</f>
        <v>0.80385912483075384</v>
      </c>
      <c r="H53" s="6">
        <f>STANDARDIZE(F53,Climatology!D$10,Climatology!E$10)</f>
        <v>0.36024088824480388</v>
      </c>
      <c r="I53" s="6">
        <f t="shared" si="0"/>
        <v>4.7667031763417311</v>
      </c>
      <c r="P53" s="7"/>
    </row>
    <row r="54" spans="1:16" x14ac:dyDescent="0.3">
      <c r="A54" s="10">
        <v>40756</v>
      </c>
      <c r="B54">
        <v>2011</v>
      </c>
      <c r="C54" t="s">
        <v>21</v>
      </c>
      <c r="D54" s="6">
        <v>2011.5833333333301</v>
      </c>
      <c r="E54">
        <v>10126</v>
      </c>
      <c r="F54">
        <v>488.5</v>
      </c>
      <c r="G54" s="7">
        <f>STANDARDIZE(E54,Climatology!B$9,Climatology!C$9)</f>
        <v>1.4088266955775812</v>
      </c>
      <c r="H54" s="6">
        <f>STANDARDIZE(F54,Climatology!D$9,Climatology!E$9)</f>
        <v>0.83485290195384765</v>
      </c>
      <c r="I54" s="6">
        <f t="shared" si="0"/>
        <v>4.8242148923563111</v>
      </c>
      <c r="P54" s="7"/>
    </row>
    <row r="55" spans="1:16" x14ac:dyDescent="0.3">
      <c r="A55" s="10">
        <v>40725</v>
      </c>
      <c r="B55">
        <v>2011</v>
      </c>
      <c r="C55" t="s">
        <v>22</v>
      </c>
      <c r="D55" s="6">
        <v>2011.49999999999</v>
      </c>
      <c r="E55">
        <v>11226</v>
      </c>
      <c r="F55">
        <v>547.29999999999995</v>
      </c>
      <c r="G55" s="7">
        <f>STANDARDIZE(E55,Climatology!B$8,Climatology!C$8)</f>
        <v>1.6348275183958545</v>
      </c>
      <c r="H55" s="6">
        <f>STANDARDIZE(F55,Climatology!D$8,Climatology!E$8)</f>
        <v>1.2014658061775261</v>
      </c>
      <c r="I55" s="6">
        <f t="shared" si="0"/>
        <v>4.875289506502761</v>
      </c>
      <c r="P55" s="7"/>
    </row>
    <row r="56" spans="1:16" x14ac:dyDescent="0.3">
      <c r="A56" s="10">
        <v>40695</v>
      </c>
      <c r="B56">
        <v>2011</v>
      </c>
      <c r="C56" t="s">
        <v>23</v>
      </c>
      <c r="D56" s="6">
        <v>2011.4166666666599</v>
      </c>
      <c r="E56">
        <v>12827</v>
      </c>
      <c r="F56">
        <v>627.1</v>
      </c>
      <c r="G56" s="7">
        <f>STANDARDIZE(E56,Climatology!B$7,Climatology!C$7)</f>
        <v>2.7728235087507782</v>
      </c>
      <c r="H56" s="6">
        <f>STANDARDIZE(F56,Climatology!D$7,Climatology!E$7)</f>
        <v>2.0846965626199778</v>
      </c>
      <c r="I56" s="6">
        <f t="shared" si="0"/>
        <v>4.888906213455992</v>
      </c>
      <c r="P56" s="7"/>
    </row>
    <row r="57" spans="1:16" x14ac:dyDescent="0.3">
      <c r="A57" s="10">
        <v>40664</v>
      </c>
      <c r="B57">
        <v>2011</v>
      </c>
      <c r="C57" t="s">
        <v>24</v>
      </c>
      <c r="D57" s="6">
        <v>2011.3333333333301</v>
      </c>
      <c r="E57">
        <v>11996</v>
      </c>
      <c r="F57">
        <v>595</v>
      </c>
      <c r="G57" s="7">
        <f>STANDARDIZE(E57,Climatology!B$6,Climatology!C$6)</f>
        <v>3.550076204524709</v>
      </c>
      <c r="H57" s="6">
        <f>STANDARDIZE(F57,Climatology!D$6,Climatology!E$6)</f>
        <v>2.4091627347863027</v>
      </c>
      <c r="I57" s="6">
        <f t="shared" si="0"/>
        <v>4.9599866622207403</v>
      </c>
      <c r="P57" s="7"/>
    </row>
    <row r="58" spans="1:16" x14ac:dyDescent="0.3">
      <c r="A58" s="10">
        <v>40634</v>
      </c>
      <c r="B58">
        <v>2011</v>
      </c>
      <c r="C58" t="s">
        <v>25</v>
      </c>
      <c r="D58" s="6">
        <v>2011.24999999999</v>
      </c>
      <c r="E58">
        <v>8274</v>
      </c>
      <c r="F58">
        <v>395.5</v>
      </c>
      <c r="G58" s="7">
        <f>STANDARDIZE(E58,Climatology!B$5,Climatology!C$5)</f>
        <v>2.3887386959680339</v>
      </c>
      <c r="H58" s="6">
        <f>STANDARDIZE(F58,Climatology!D$5,Climatology!E$5)</f>
        <v>1.500089115681364</v>
      </c>
      <c r="I58" s="6">
        <f t="shared" si="0"/>
        <v>4.7800338409475467</v>
      </c>
      <c r="P58" s="7"/>
    </row>
    <row r="59" spans="1:16" x14ac:dyDescent="0.3">
      <c r="A59" s="10">
        <v>40603</v>
      </c>
      <c r="B59">
        <v>2011</v>
      </c>
      <c r="C59" t="s">
        <v>26</v>
      </c>
      <c r="D59" s="6">
        <v>2011.1666666666599</v>
      </c>
      <c r="E59">
        <v>6595</v>
      </c>
      <c r="F59">
        <v>336.6</v>
      </c>
      <c r="G59" s="7">
        <f>STANDARDIZE(E59,Climatology!B$4,Climatology!C$4)</f>
        <v>1.5738848623104444</v>
      </c>
      <c r="H59" s="6">
        <f>STANDARDIZE(F59,Climatology!D$4,Climatology!E$4)</f>
        <v>1.420360146607714</v>
      </c>
      <c r="I59" s="6">
        <f t="shared" si="0"/>
        <v>5.1038665655799846</v>
      </c>
      <c r="P59" s="7"/>
    </row>
    <row r="60" spans="1:16" x14ac:dyDescent="0.3">
      <c r="A60" s="10">
        <v>40575</v>
      </c>
      <c r="B60">
        <v>2011</v>
      </c>
      <c r="C60" t="s">
        <v>27</v>
      </c>
      <c r="D60" s="6">
        <v>2011.0833333333301</v>
      </c>
      <c r="E60">
        <v>6721</v>
      </c>
      <c r="F60">
        <v>435.5</v>
      </c>
      <c r="G60" s="7">
        <f>STANDARDIZE(E60,Climatology!B$3,Climatology!C$3)</f>
        <v>1.3222470814125753</v>
      </c>
      <c r="H60" s="6">
        <f>STANDARDIZE(F60,Climatology!D$3,Climatology!E$3)</f>
        <v>1.5475005466895422</v>
      </c>
      <c r="I60" s="6">
        <f t="shared" si="0"/>
        <v>6.4796905222437138</v>
      </c>
      <c r="P60" s="7"/>
    </row>
    <row r="61" spans="1:16" x14ac:dyDescent="0.3">
      <c r="A61" s="10">
        <v>40544</v>
      </c>
      <c r="B61">
        <v>2011</v>
      </c>
      <c r="C61" t="s">
        <v>28</v>
      </c>
      <c r="D61" s="6">
        <v>2011</v>
      </c>
      <c r="E61">
        <v>11430</v>
      </c>
      <c r="F61">
        <v>720.9</v>
      </c>
      <c r="G61" s="7">
        <f>STANDARDIZE(E61,Climatology!B$2,Climatology!C$2)</f>
        <v>2.0113428631727865</v>
      </c>
      <c r="H61" s="6">
        <f>STANDARDIZE(F61,Climatology!D$2,Climatology!E$2)</f>
        <v>2.3198708444299627</v>
      </c>
      <c r="I61" s="6">
        <f t="shared" si="0"/>
        <v>6.3070866141732278</v>
      </c>
      <c r="P61" s="7"/>
    </row>
    <row r="62" spans="1:16" x14ac:dyDescent="0.3">
      <c r="A62" s="10">
        <v>40513</v>
      </c>
      <c r="B62">
        <v>2010</v>
      </c>
      <c r="C62" t="s">
        <v>17</v>
      </c>
      <c r="D62" s="6">
        <v>2010.9166666666599</v>
      </c>
      <c r="E62">
        <v>13942</v>
      </c>
      <c r="F62">
        <v>835.1</v>
      </c>
      <c r="G62" s="7">
        <f>STANDARDIZE(E62,Climatology!B$13,Climatology!C$13)</f>
        <v>1.4905594379361891</v>
      </c>
      <c r="H62" s="6">
        <f>STANDARDIZE(F62,Climatology!D$13,Climatology!E$13)</f>
        <v>2.5410655392913437</v>
      </c>
      <c r="I62" s="6">
        <f t="shared" si="0"/>
        <v>5.989814947640224</v>
      </c>
      <c r="P62" s="7"/>
    </row>
    <row r="63" spans="1:16" x14ac:dyDescent="0.3">
      <c r="A63" s="10">
        <v>40483</v>
      </c>
      <c r="B63">
        <v>2010</v>
      </c>
      <c r="C63" t="s">
        <v>18</v>
      </c>
      <c r="D63" s="6">
        <v>2010.8333333333301</v>
      </c>
      <c r="E63">
        <v>13717</v>
      </c>
      <c r="F63">
        <v>699.3</v>
      </c>
      <c r="G63" s="7">
        <f>STANDARDIZE(E63,Climatology!B$12,Climatology!C$12)</f>
        <v>1.5293444013365289</v>
      </c>
      <c r="H63" s="6">
        <f>STANDARDIZE(F63,Climatology!D$12,Climatology!E$12)</f>
        <v>1.9151275599955524</v>
      </c>
      <c r="I63" s="6">
        <f t="shared" si="0"/>
        <v>5.0980535102427647</v>
      </c>
      <c r="P63" s="7"/>
    </row>
    <row r="64" spans="1:16" x14ac:dyDescent="0.3">
      <c r="A64" s="10">
        <v>40452</v>
      </c>
      <c r="B64">
        <v>2010</v>
      </c>
      <c r="C64" t="s">
        <v>19</v>
      </c>
      <c r="D64" s="6">
        <v>2010.74999999999</v>
      </c>
      <c r="E64">
        <v>13685</v>
      </c>
      <c r="F64">
        <v>668.4</v>
      </c>
      <c r="G64" s="7">
        <f>STANDARDIZE(E64,Climatology!B$11,Climatology!C$11)</f>
        <v>2.687812163222985</v>
      </c>
      <c r="H64" s="6">
        <f>STANDARDIZE(F64,Climatology!D$11,Climatology!E$11)</f>
        <v>1.9692306176238599</v>
      </c>
      <c r="I64" s="6">
        <f t="shared" si="0"/>
        <v>4.8841797588600651</v>
      </c>
      <c r="P64" s="7"/>
    </row>
    <row r="65" spans="1:16" x14ac:dyDescent="0.3">
      <c r="A65" s="10">
        <v>40422</v>
      </c>
      <c r="B65">
        <v>2010</v>
      </c>
      <c r="C65" t="s">
        <v>20</v>
      </c>
      <c r="D65" s="6">
        <v>2010.6666666666599</v>
      </c>
      <c r="E65">
        <v>12839</v>
      </c>
      <c r="F65">
        <v>633.5</v>
      </c>
      <c r="G65" s="7">
        <f>STANDARDIZE(E65,Climatology!B$10,Climatology!C$10)</f>
        <v>2.6366215607969115</v>
      </c>
      <c r="H65" s="6">
        <f>STANDARDIZE(F65,Climatology!D$10,Climatology!E$10)</f>
        <v>1.8872055180622365</v>
      </c>
      <c r="I65" s="6">
        <f t="shared" si="0"/>
        <v>4.934184905366461</v>
      </c>
      <c r="P65" s="7"/>
    </row>
    <row r="66" spans="1:16" x14ac:dyDescent="0.3">
      <c r="A66" s="10">
        <v>40391</v>
      </c>
      <c r="B66">
        <v>2010</v>
      </c>
      <c r="C66" t="s">
        <v>21</v>
      </c>
      <c r="D66" s="6">
        <v>2010.5833333333301</v>
      </c>
      <c r="E66">
        <v>12741</v>
      </c>
      <c r="F66">
        <v>641.20000000000005</v>
      </c>
      <c r="G66" s="7">
        <f>STANDARDIZE(E66,Climatology!B$9,Climatology!C$9)</f>
        <v>2.7272887419405731</v>
      </c>
      <c r="H66" s="6">
        <f>STANDARDIZE(F66,Climatology!D$9,Climatology!E$9)</f>
        <v>2.0102049209445059</v>
      </c>
      <c r="I66" s="6">
        <f t="shared" si="0"/>
        <v>5.0325720116160433</v>
      </c>
      <c r="P66" s="7"/>
    </row>
    <row r="67" spans="1:16" x14ac:dyDescent="0.3">
      <c r="A67" s="10">
        <v>40360</v>
      </c>
      <c r="B67">
        <v>2010</v>
      </c>
      <c r="C67" t="s">
        <v>22</v>
      </c>
      <c r="D67" s="6">
        <v>2010.49999999999</v>
      </c>
      <c r="E67">
        <v>10972</v>
      </c>
      <c r="F67">
        <v>587.70000000000005</v>
      </c>
      <c r="G67" s="7">
        <f>STANDARDIZE(E67,Climatology!B$8,Climatology!C$8)</f>
        <v>1.5096608722579816</v>
      </c>
      <c r="H67" s="6">
        <f>STANDARDIZE(F67,Climatology!D$8,Climatology!E$8)</f>
        <v>1.5247034959554906</v>
      </c>
      <c r="I67" s="6">
        <f t="shared" ref="I67:I130" si="1">F67/E67*100</f>
        <v>5.3563616478308429</v>
      </c>
      <c r="P67" s="7"/>
    </row>
    <row r="68" spans="1:16" x14ac:dyDescent="0.3">
      <c r="A68" s="10">
        <v>40330</v>
      </c>
      <c r="B68">
        <v>2010</v>
      </c>
      <c r="C68" t="s">
        <v>23</v>
      </c>
      <c r="D68" s="6">
        <v>2010.4166666666599</v>
      </c>
      <c r="E68">
        <v>9275</v>
      </c>
      <c r="F68">
        <v>470.4</v>
      </c>
      <c r="G68" s="7">
        <f>STANDARDIZE(E68,Climatology!B$7,Climatology!C$7)</f>
        <v>0.66564406498118123</v>
      </c>
      <c r="H68" s="6">
        <f>STANDARDIZE(F68,Climatology!D$7,Climatology!E$7)</f>
        <v>0.68098415559629843</v>
      </c>
      <c r="I68" s="6">
        <f t="shared" si="1"/>
        <v>5.0716981132075469</v>
      </c>
      <c r="P68" s="7"/>
    </row>
    <row r="69" spans="1:16" x14ac:dyDescent="0.3">
      <c r="A69" s="10">
        <v>40299</v>
      </c>
      <c r="B69">
        <v>2010</v>
      </c>
      <c r="C69" t="s">
        <v>24</v>
      </c>
      <c r="D69" s="6">
        <v>2010.3333333333201</v>
      </c>
      <c r="E69">
        <v>7182</v>
      </c>
      <c r="F69">
        <v>341.9</v>
      </c>
      <c r="G69" s="7">
        <f>STANDARDIZE(E69,Climatology!B$6,Climatology!C$6)</f>
        <v>0.22599688429232581</v>
      </c>
      <c r="H69" s="6">
        <f>STANDARDIZE(F69,Climatology!D$6,Climatology!E$6)</f>
        <v>0.12300623925764384</v>
      </c>
      <c r="I69" s="6">
        <f t="shared" si="1"/>
        <v>4.7605123920913393</v>
      </c>
      <c r="P69" s="7"/>
    </row>
    <row r="70" spans="1:16" x14ac:dyDescent="0.3">
      <c r="A70" s="10">
        <v>40269</v>
      </c>
      <c r="B70">
        <v>2010</v>
      </c>
      <c r="C70" t="s">
        <v>25</v>
      </c>
      <c r="D70" s="6">
        <v>2010.24999999999</v>
      </c>
      <c r="E70">
        <v>4545</v>
      </c>
      <c r="F70">
        <v>211.5</v>
      </c>
      <c r="G70" s="7">
        <f>STANDARDIZE(E70,Climatology!B$5,Climatology!C$5)</f>
        <v>-0.28068267355460674</v>
      </c>
      <c r="H70" s="6">
        <f>STANDARDIZE(F70,Climatology!D$5,Climatology!E$5)</f>
        <v>-0.22706754080210342</v>
      </c>
      <c r="I70" s="6">
        <f t="shared" si="1"/>
        <v>4.6534653465346532</v>
      </c>
      <c r="P70" s="7"/>
    </row>
    <row r="71" spans="1:16" x14ac:dyDescent="0.3">
      <c r="A71" s="10">
        <v>40238</v>
      </c>
      <c r="B71">
        <v>2010</v>
      </c>
      <c r="C71" t="s">
        <v>26</v>
      </c>
      <c r="D71" s="6">
        <v>2010.1666666666599</v>
      </c>
      <c r="E71">
        <v>3222</v>
      </c>
      <c r="F71">
        <v>163.9</v>
      </c>
      <c r="G71" s="7">
        <f>STANDARDIZE(E71,Climatology!B$4,Climatology!C$4)</f>
        <v>-0.57074906739226416</v>
      </c>
      <c r="H71" s="6">
        <f>STANDARDIZE(F71,Climatology!D$4,Climatology!E$4)</f>
        <v>-0.39857351995379536</v>
      </c>
      <c r="I71" s="6">
        <f t="shared" si="1"/>
        <v>5.0869025450031042</v>
      </c>
      <c r="P71" s="7"/>
    </row>
    <row r="72" spans="1:16" x14ac:dyDescent="0.3">
      <c r="A72" s="10">
        <v>40210</v>
      </c>
      <c r="B72">
        <v>2010</v>
      </c>
      <c r="C72" t="s">
        <v>27</v>
      </c>
      <c r="D72" s="6">
        <v>2010.0833333333201</v>
      </c>
      <c r="E72">
        <v>2579</v>
      </c>
      <c r="F72">
        <v>144.69999999999999</v>
      </c>
      <c r="G72" s="7">
        <f>STANDARDIZE(E72,Climatology!B$3,Climatology!C$3)</f>
        <v>-1.0926466471425134</v>
      </c>
      <c r="H72" s="6">
        <f>STANDARDIZE(F72,Climatology!D$3,Climatology!E$3)</f>
        <v>-0.79251474788053378</v>
      </c>
      <c r="I72" s="6">
        <f t="shared" si="1"/>
        <v>5.6107018224117873</v>
      </c>
      <c r="P72" s="7"/>
    </row>
    <row r="73" spans="1:16" x14ac:dyDescent="0.3">
      <c r="A73" s="10">
        <v>40179</v>
      </c>
      <c r="B73">
        <v>2010</v>
      </c>
      <c r="C73" t="s">
        <v>28</v>
      </c>
      <c r="D73" s="6">
        <v>2010</v>
      </c>
      <c r="E73">
        <v>3447</v>
      </c>
      <c r="F73">
        <v>186.5</v>
      </c>
      <c r="G73" s="7">
        <f>STANDARDIZE(E73,Climatology!B$2,Climatology!C$2)</f>
        <v>-1.4702803808335352</v>
      </c>
      <c r="H73" s="6">
        <f>STANDARDIZE(F73,Climatology!D$2,Climatology!E$2)</f>
        <v>-1.269954431127944</v>
      </c>
      <c r="I73" s="6">
        <f t="shared" si="1"/>
        <v>5.4105018856977081</v>
      </c>
      <c r="P73" s="7"/>
    </row>
    <row r="74" spans="1:16" x14ac:dyDescent="0.3">
      <c r="A74" s="10">
        <v>40148</v>
      </c>
      <c r="B74">
        <v>2009</v>
      </c>
      <c r="C74" t="s">
        <v>17</v>
      </c>
      <c r="D74" s="6">
        <v>2009.9166666666599</v>
      </c>
      <c r="E74">
        <v>6163</v>
      </c>
      <c r="F74">
        <v>335.2</v>
      </c>
      <c r="G74" s="7">
        <f>STANDARDIZE(E74,Climatology!B$13,Climatology!C$13)</f>
        <v>-1.2871839358356749</v>
      </c>
      <c r="H74" s="6">
        <f>STANDARDIZE(F74,Climatology!D$13,Climatology!E$13)</f>
        <v>-1.1065849872835707</v>
      </c>
      <c r="I74" s="6">
        <f t="shared" si="1"/>
        <v>5.438909621937368</v>
      </c>
      <c r="P74" s="7"/>
    </row>
    <row r="75" spans="1:16" x14ac:dyDescent="0.3">
      <c r="A75" s="10">
        <v>40118</v>
      </c>
      <c r="B75">
        <v>2009</v>
      </c>
      <c r="C75" t="s">
        <v>18</v>
      </c>
      <c r="D75" s="6">
        <v>2009.8333333333201</v>
      </c>
      <c r="E75">
        <v>7123</v>
      </c>
      <c r="F75">
        <v>418.1</v>
      </c>
      <c r="G75" s="7">
        <f>STANDARDIZE(E75,Climatology!B$12,Climatology!C$12)</f>
        <v>-1.0614108272599765</v>
      </c>
      <c r="H75" s="6">
        <f>STANDARDIZE(F75,Climatology!D$12,Climatology!E$12)</f>
        <v>-0.54168753977976281</v>
      </c>
      <c r="I75" s="6">
        <f t="shared" si="1"/>
        <v>5.8697178155271663</v>
      </c>
      <c r="P75" s="7"/>
    </row>
    <row r="76" spans="1:16" x14ac:dyDescent="0.3">
      <c r="A76" s="10">
        <v>40087</v>
      </c>
      <c r="B76">
        <v>2009</v>
      </c>
      <c r="C76" t="s">
        <v>19</v>
      </c>
      <c r="D76" s="6">
        <v>2009.74999999999</v>
      </c>
      <c r="E76">
        <v>5289</v>
      </c>
      <c r="F76">
        <v>323.7</v>
      </c>
      <c r="G76" s="7">
        <f>STANDARDIZE(E76,Climatology!B$11,Climatology!C$11)</f>
        <v>-1.6380060778437089</v>
      </c>
      <c r="H76" s="6">
        <f>STANDARDIZE(F76,Climatology!D$11,Climatology!E$11)</f>
        <v>-0.87369763078738139</v>
      </c>
      <c r="I76" s="6">
        <f t="shared" si="1"/>
        <v>6.1202495745887688</v>
      </c>
      <c r="P76" s="7"/>
    </row>
    <row r="77" spans="1:16" x14ac:dyDescent="0.3">
      <c r="A77" s="10">
        <v>40057</v>
      </c>
      <c r="B77">
        <v>2009</v>
      </c>
      <c r="C77" t="s">
        <v>20</v>
      </c>
      <c r="D77" s="6">
        <v>2009.6666666666599</v>
      </c>
      <c r="E77">
        <v>6082</v>
      </c>
      <c r="F77">
        <v>369.2</v>
      </c>
      <c r="G77" s="7">
        <f>STANDARDIZE(E77,Climatology!B$10,Climatology!C$10)</f>
        <v>-0.70227727442102517</v>
      </c>
      <c r="H77" s="6">
        <f>STANDARDIZE(F77,Climatology!D$10,Climatology!E$10)</f>
        <v>-0.14797729414526439</v>
      </c>
      <c r="I77" s="6">
        <f t="shared" si="1"/>
        <v>6.0703715882933249</v>
      </c>
    </row>
    <row r="78" spans="1:16" x14ac:dyDescent="0.3">
      <c r="A78" s="10">
        <v>40026</v>
      </c>
      <c r="B78">
        <v>2009</v>
      </c>
      <c r="C78" t="s">
        <v>21</v>
      </c>
      <c r="D78" s="6">
        <v>2009.5833333333201</v>
      </c>
      <c r="E78">
        <v>6035</v>
      </c>
      <c r="F78">
        <v>369.3</v>
      </c>
      <c r="G78" s="7">
        <f>STANDARDIZE(E78,Climatology!B$9,Climatology!C$9)</f>
        <v>-0.65382272379947426</v>
      </c>
      <c r="H78" s="6">
        <f>STANDARDIZE(F78,Climatology!D$9,Climatology!E$9)</f>
        <v>-8.2645203243836785E-2</v>
      </c>
      <c r="I78" s="6">
        <f t="shared" si="1"/>
        <v>6.1193040596520305</v>
      </c>
    </row>
    <row r="79" spans="1:16" x14ac:dyDescent="0.3">
      <c r="A79" s="10">
        <v>39995</v>
      </c>
      <c r="B79">
        <v>2009</v>
      </c>
      <c r="C79" t="s">
        <v>22</v>
      </c>
      <c r="D79" s="6">
        <v>2009.49999999999</v>
      </c>
      <c r="E79">
        <v>7401</v>
      </c>
      <c r="F79">
        <v>460.8</v>
      </c>
      <c r="G79" s="7">
        <f>STANDARDIZE(E79,Climatology!B$8,Climatology!C$8)</f>
        <v>-0.2500639047433757</v>
      </c>
      <c r="H79" s="6">
        <f>STANDARDIZE(F79,Climatology!D$8,Climatology!E$8)</f>
        <v>0.50938510900441103</v>
      </c>
      <c r="I79" s="6">
        <f t="shared" si="1"/>
        <v>6.2261856505877589</v>
      </c>
    </row>
    <row r="80" spans="1:16" x14ac:dyDescent="0.3">
      <c r="A80" s="10">
        <v>39965</v>
      </c>
      <c r="B80">
        <v>2009</v>
      </c>
      <c r="C80" t="s">
        <v>23</v>
      </c>
      <c r="D80" s="6">
        <v>2009.4166666666599</v>
      </c>
      <c r="E80">
        <v>7787</v>
      </c>
      <c r="F80">
        <v>476.9</v>
      </c>
      <c r="G80" s="7">
        <f>STANDARDIZE(E80,Climatology!B$7,Climatology!C$7)</f>
        <v>-0.21709326957094735</v>
      </c>
      <c r="H80" s="6">
        <f>STANDARDIZE(F80,Climatology!D$7,Climatology!E$7)</f>
        <v>0.7392108987083208</v>
      </c>
      <c r="I80" s="6">
        <f t="shared" si="1"/>
        <v>6.1243097470142542</v>
      </c>
    </row>
    <row r="81" spans="1:9" x14ac:dyDescent="0.3">
      <c r="A81" s="10">
        <v>39934</v>
      </c>
      <c r="B81">
        <v>2009</v>
      </c>
      <c r="C81" t="s">
        <v>24</v>
      </c>
      <c r="D81" s="6">
        <v>2009.3333333333201</v>
      </c>
      <c r="E81">
        <v>7850</v>
      </c>
      <c r="F81">
        <v>454.6</v>
      </c>
      <c r="G81" s="7">
        <f>STANDARDIZE(E81,Climatology!B$6,Climatology!C$6)</f>
        <v>0.68725259387172588</v>
      </c>
      <c r="H81" s="6">
        <f>STANDARDIZE(F81,Climatology!D$6,Climatology!E$6)</f>
        <v>1.1409826795819424</v>
      </c>
      <c r="I81" s="6">
        <f t="shared" si="1"/>
        <v>5.7910828025477707</v>
      </c>
    </row>
    <row r="82" spans="1:9" x14ac:dyDescent="0.3">
      <c r="A82" s="10">
        <v>39904</v>
      </c>
      <c r="B82">
        <v>2009</v>
      </c>
      <c r="C82" t="s">
        <v>25</v>
      </c>
      <c r="D82" s="6">
        <v>2009.24999999999</v>
      </c>
      <c r="E82">
        <v>6948</v>
      </c>
      <c r="F82">
        <v>394.5</v>
      </c>
      <c r="G82" s="7">
        <f>STANDARDIZE(E82,Climatology!B$5,Climatology!C$5)</f>
        <v>1.4395156506510531</v>
      </c>
      <c r="H82" s="6">
        <f>STANDARDIZE(F82,Climatology!D$5,Climatology!E$5)</f>
        <v>1.4907023947222147</v>
      </c>
      <c r="I82" s="6">
        <f t="shared" si="1"/>
        <v>5.6778929188255614</v>
      </c>
    </row>
    <row r="83" spans="1:9" x14ac:dyDescent="0.3">
      <c r="A83" s="10">
        <v>39873</v>
      </c>
      <c r="B83">
        <v>2009</v>
      </c>
      <c r="C83" t="s">
        <v>26</v>
      </c>
      <c r="D83" s="6">
        <v>2009.1666666666599</v>
      </c>
      <c r="E83">
        <v>5643</v>
      </c>
      <c r="F83">
        <v>359.6</v>
      </c>
      <c r="G83" s="7">
        <f>STANDARDIZE(E83,Climatology!B$4,Climatology!C$4)</f>
        <v>0.96858053350019291</v>
      </c>
      <c r="H83" s="6">
        <f>STANDARDIZE(F83,Climatology!D$4,Climatology!E$4)</f>
        <v>1.662603773306699</v>
      </c>
      <c r="I83" s="6">
        <f t="shared" si="1"/>
        <v>6.3724968988126891</v>
      </c>
    </row>
    <row r="84" spans="1:9" x14ac:dyDescent="0.3">
      <c r="A84" s="10">
        <v>39845</v>
      </c>
      <c r="B84">
        <v>2009</v>
      </c>
      <c r="C84" t="s">
        <v>27</v>
      </c>
      <c r="D84" s="6">
        <v>2009.0833333333201</v>
      </c>
      <c r="E84">
        <v>6777</v>
      </c>
      <c r="F84">
        <v>479.6</v>
      </c>
      <c r="G84" s="7">
        <f>STANDARDIZE(E84,Climatology!B$3,Climatology!C$3)</f>
        <v>1.3548965379068016</v>
      </c>
      <c r="H84" s="6">
        <f>STANDARDIZE(F84,Climatology!D$3,Climatology!E$3)</f>
        <v>1.9023653145387183</v>
      </c>
      <c r="I84" s="6">
        <f t="shared" si="1"/>
        <v>7.0768776744872364</v>
      </c>
    </row>
    <row r="85" spans="1:9" x14ac:dyDescent="0.3">
      <c r="A85" s="10">
        <v>39814</v>
      </c>
      <c r="B85">
        <v>2009</v>
      </c>
      <c r="C85" t="s">
        <v>28</v>
      </c>
      <c r="D85" s="6">
        <v>2009</v>
      </c>
      <c r="E85">
        <v>10257</v>
      </c>
      <c r="F85">
        <v>589.6</v>
      </c>
      <c r="G85" s="7">
        <f>STANDARDIZE(E85,Climatology!B$2,Climatology!C$2)</f>
        <v>1.4997627472740751</v>
      </c>
      <c r="H85" s="6">
        <f>STANDARDIZE(F85,Climatology!D$2,Climatology!E$2)</f>
        <v>1.4378647465992123</v>
      </c>
      <c r="I85" s="6">
        <f t="shared" si="1"/>
        <v>5.7482694745052161</v>
      </c>
    </row>
    <row r="86" spans="1:9" x14ac:dyDescent="0.3">
      <c r="A86" s="10">
        <v>39783</v>
      </c>
      <c r="B86">
        <v>2008</v>
      </c>
      <c r="C86" t="s">
        <v>17</v>
      </c>
      <c r="D86" s="6">
        <v>2008.9166666666599</v>
      </c>
      <c r="E86">
        <v>14438</v>
      </c>
      <c r="F86">
        <v>668.1</v>
      </c>
      <c r="G86" s="7">
        <f>STANDARDIZE(E86,Climatology!B$13,Climatology!C$13)</f>
        <v>1.6676722690701193</v>
      </c>
      <c r="H86" s="6">
        <f>STANDARDIZE(F86,Climatology!D$13,Climatology!E$13)</f>
        <v>1.3225065516177876</v>
      </c>
      <c r="I86" s="6">
        <f t="shared" si="1"/>
        <v>4.6273722122177592</v>
      </c>
    </row>
    <row r="87" spans="1:9" x14ac:dyDescent="0.3">
      <c r="A87" s="10">
        <v>39753</v>
      </c>
      <c r="B87">
        <v>2008</v>
      </c>
      <c r="C87" t="s">
        <v>18</v>
      </c>
      <c r="D87" s="6">
        <v>2008.8333333333201</v>
      </c>
      <c r="E87">
        <v>13323</v>
      </c>
      <c r="F87">
        <v>679.9</v>
      </c>
      <c r="G87" s="7">
        <f>STANDARDIZE(E87,Climatology!B$12,Climatology!C$12)</f>
        <v>1.3745434368131708</v>
      </c>
      <c r="H87" s="6">
        <f>STANDARDIZE(F87,Climatology!D$12,Climatology!E$12)</f>
        <v>1.7456317814193041</v>
      </c>
      <c r="I87" s="6">
        <f t="shared" si="1"/>
        <v>5.1032049838624927</v>
      </c>
    </row>
    <row r="88" spans="1:9" x14ac:dyDescent="0.3">
      <c r="A88" s="10">
        <v>39722</v>
      </c>
      <c r="B88">
        <v>2008</v>
      </c>
      <c r="C88" t="s">
        <v>19</v>
      </c>
      <c r="D88" s="6">
        <v>2008.74999999999</v>
      </c>
      <c r="E88">
        <v>12038</v>
      </c>
      <c r="F88">
        <v>653.4</v>
      </c>
      <c r="G88" s="7">
        <f>STANDARDIZE(E88,Climatology!B$11,Climatology!C$11)</f>
        <v>1.8392387183639038</v>
      </c>
      <c r="H88" s="6">
        <f>STANDARDIZE(F88,Climatology!D$11,Climatology!E$11)</f>
        <v>1.8455174649514821</v>
      </c>
      <c r="I88" s="6">
        <f t="shared" si="1"/>
        <v>5.4278119288918427</v>
      </c>
    </row>
    <row r="89" spans="1:9" x14ac:dyDescent="0.3">
      <c r="A89" s="10">
        <v>39692</v>
      </c>
      <c r="B89">
        <v>2008</v>
      </c>
      <c r="C89" t="s">
        <v>20</v>
      </c>
      <c r="D89" s="6">
        <v>2008.6666666666599</v>
      </c>
      <c r="E89">
        <v>12125</v>
      </c>
      <c r="F89">
        <v>649.79999999999995</v>
      </c>
      <c r="G89" s="7">
        <f>STANDARDIZE(E89,Climatology!B$10,Climatology!C$10)</f>
        <v>2.2838061444367503</v>
      </c>
      <c r="H89" s="6">
        <f>STANDARDIZE(F89,Climatology!D$10,Climatology!E$10)</f>
        <v>2.0127200085616015</v>
      </c>
      <c r="I89" s="6">
        <f t="shared" si="1"/>
        <v>5.359175257731958</v>
      </c>
    </row>
    <row r="90" spans="1:9" x14ac:dyDescent="0.3">
      <c r="A90" s="10">
        <v>39661</v>
      </c>
      <c r="B90">
        <v>2008</v>
      </c>
      <c r="C90" t="s">
        <v>21</v>
      </c>
      <c r="D90" s="6">
        <v>2008.5833333333201</v>
      </c>
      <c r="E90">
        <v>11936</v>
      </c>
      <c r="F90">
        <v>641</v>
      </c>
      <c r="G90" s="7">
        <f>STANDARDIZE(E90,Climatology!B$9,Climatology!C$9)</f>
        <v>2.3214141922953688</v>
      </c>
      <c r="H90" s="6">
        <f>STANDARDIZE(F90,Climatology!D$9,Climatology!E$9)</f>
        <v>2.0086654945935027</v>
      </c>
      <c r="I90" s="6">
        <f t="shared" si="1"/>
        <v>5.3703083109919572</v>
      </c>
    </row>
    <row r="91" spans="1:9" x14ac:dyDescent="0.3">
      <c r="A91" s="10">
        <v>39630</v>
      </c>
      <c r="B91">
        <v>2008</v>
      </c>
      <c r="C91" t="s">
        <v>22</v>
      </c>
      <c r="D91" s="6">
        <v>2008.49999999999</v>
      </c>
      <c r="E91">
        <v>11525</v>
      </c>
      <c r="F91">
        <v>633.70000000000005</v>
      </c>
      <c r="G91" s="7">
        <f>STANDARDIZE(E91,Climatology!B$8,Climatology!C$8)</f>
        <v>1.7821693577471305</v>
      </c>
      <c r="H91" s="6">
        <f>STANDARDIZE(F91,Climatology!D$8,Climatology!E$8)</f>
        <v>1.8927464100591127</v>
      </c>
      <c r="I91" s="6">
        <f t="shared" si="1"/>
        <v>5.4984815618221266</v>
      </c>
    </row>
    <row r="92" spans="1:9" x14ac:dyDescent="0.3">
      <c r="A92" s="10">
        <v>39600</v>
      </c>
      <c r="B92">
        <v>2008</v>
      </c>
      <c r="C92" t="s">
        <v>23</v>
      </c>
      <c r="D92" s="6">
        <v>2008.4166666666499</v>
      </c>
      <c r="E92">
        <v>9974</v>
      </c>
      <c r="F92">
        <v>578.70000000000005</v>
      </c>
      <c r="G92" s="7">
        <f>STANDARDIZE(E92,Climatology!B$7,Climatology!C$7)</f>
        <v>1.0803170467365157</v>
      </c>
      <c r="H92" s="6">
        <f>STANDARDIZE(F92,Climatology!D$7,Climatology!E$7)</f>
        <v>1.6511312754473801</v>
      </c>
      <c r="I92" s="6">
        <f t="shared" si="1"/>
        <v>5.8020854220974538</v>
      </c>
    </row>
    <row r="93" spans="1:9" x14ac:dyDescent="0.3">
      <c r="A93" s="10">
        <v>39569</v>
      </c>
      <c r="B93">
        <v>2008</v>
      </c>
      <c r="C93" t="s">
        <v>24</v>
      </c>
      <c r="D93" s="6">
        <v>2008.3333333333201</v>
      </c>
      <c r="E93">
        <v>7711</v>
      </c>
      <c r="F93">
        <v>475.4</v>
      </c>
      <c r="G93" s="7">
        <f>STANDARDIZE(E93,Climatology!B$6,Climatology!C$6)</f>
        <v>0.59127273813589265</v>
      </c>
      <c r="H93" s="6">
        <f>STANDARDIZE(F93,Climatology!D$6,Climatology!E$6)</f>
        <v>1.3288612062788843</v>
      </c>
      <c r="I93" s="6">
        <f t="shared" si="1"/>
        <v>6.1652185189988327</v>
      </c>
    </row>
    <row r="94" spans="1:9" x14ac:dyDescent="0.3">
      <c r="A94" s="10">
        <v>39539</v>
      </c>
      <c r="B94">
        <v>2008</v>
      </c>
      <c r="C94" t="s">
        <v>25</v>
      </c>
      <c r="D94" s="6">
        <v>2008.24999999999</v>
      </c>
      <c r="E94">
        <v>5673</v>
      </c>
      <c r="F94">
        <v>374.5</v>
      </c>
      <c r="G94" s="7">
        <f>STANDARDIZE(E94,Climatology!B$5,Climatology!C$5)</f>
        <v>0.52680118400011</v>
      </c>
      <c r="H94" s="6">
        <f>STANDARDIZE(F94,Climatology!D$5,Climatology!E$5)</f>
        <v>1.3029679755392292</v>
      </c>
      <c r="I94" s="6">
        <f t="shared" si="1"/>
        <v>6.6014454433280454</v>
      </c>
    </row>
    <row r="95" spans="1:9" x14ac:dyDescent="0.3">
      <c r="A95" s="10">
        <v>39508</v>
      </c>
      <c r="B95">
        <v>2008</v>
      </c>
      <c r="C95" t="s">
        <v>26</v>
      </c>
      <c r="D95" s="6">
        <v>2008.1666666666499</v>
      </c>
      <c r="E95">
        <v>5420</v>
      </c>
      <c r="F95">
        <v>380.6</v>
      </c>
      <c r="G95" s="7">
        <f>STANDARDIZE(E95,Climatology!B$4,Climatology!C$4)</f>
        <v>0.82679180941964026</v>
      </c>
      <c r="H95" s="6">
        <f>STANDARDIZE(F95,Climatology!D$4,Climatology!E$4)</f>
        <v>1.883782736814468</v>
      </c>
      <c r="I95" s="6">
        <f t="shared" si="1"/>
        <v>7.0221402214022151</v>
      </c>
    </row>
    <row r="96" spans="1:9" x14ac:dyDescent="0.3">
      <c r="A96" s="10">
        <v>39479</v>
      </c>
      <c r="B96">
        <v>2008</v>
      </c>
      <c r="C96" t="s">
        <v>27</v>
      </c>
      <c r="D96" s="6">
        <v>2008.0833333333201</v>
      </c>
      <c r="E96">
        <v>5442</v>
      </c>
      <c r="F96">
        <v>434.3</v>
      </c>
      <c r="G96" s="7">
        <f>STANDARDIZE(E96,Climatology!B$3,Climatology!C$3)</f>
        <v>0.5765568161248017</v>
      </c>
      <c r="H96" s="6">
        <f>STANDARDIZE(F96,Climatology!D$3,Climatology!E$3)</f>
        <v>1.537844362530381</v>
      </c>
      <c r="I96" s="6">
        <f t="shared" si="1"/>
        <v>7.980521866960677</v>
      </c>
    </row>
    <row r="97" spans="1:9" x14ac:dyDescent="0.3">
      <c r="A97" s="10">
        <v>39448</v>
      </c>
      <c r="B97">
        <v>2008</v>
      </c>
      <c r="C97" t="s">
        <v>28</v>
      </c>
      <c r="D97" s="6">
        <v>2008</v>
      </c>
      <c r="E97">
        <v>8936</v>
      </c>
      <c r="F97">
        <v>556.6</v>
      </c>
      <c r="G97" s="7">
        <f>STANDARDIZE(E97,Climatology!B$2,Climatology!C$2)</f>
        <v>0.92363543857654884</v>
      </c>
      <c r="H97" s="6">
        <f>STANDARDIZE(F97,Climatology!D$2,Climatology!E$2)</f>
        <v>1.2161876618435781</v>
      </c>
      <c r="I97" s="6">
        <f t="shared" si="1"/>
        <v>6.2287376902417186</v>
      </c>
    </row>
    <row r="98" spans="1:9" x14ac:dyDescent="0.3">
      <c r="A98" s="10">
        <v>39417</v>
      </c>
      <c r="B98">
        <v>2007</v>
      </c>
      <c r="C98" t="s">
        <v>17</v>
      </c>
      <c r="D98" s="6">
        <v>2007.9166666666499</v>
      </c>
      <c r="E98">
        <v>12511</v>
      </c>
      <c r="F98">
        <v>637.9</v>
      </c>
      <c r="G98" s="7">
        <f>STANDARDIZE(E98,Climatology!B$13,Climatology!C$13)</f>
        <v>0.97957463682196644</v>
      </c>
      <c r="H98" s="6">
        <f>STANDARDIZE(F98,Climatology!D$13,Climatology!E$13)</f>
        <v>1.1021443873798149</v>
      </c>
      <c r="I98" s="6">
        <f t="shared" si="1"/>
        <v>5.09871313244345</v>
      </c>
    </row>
    <row r="99" spans="1:9" x14ac:dyDescent="0.3">
      <c r="A99" s="10">
        <v>39387</v>
      </c>
      <c r="B99">
        <v>2007</v>
      </c>
      <c r="C99" t="s">
        <v>18</v>
      </c>
      <c r="D99" s="6">
        <v>2007.8333333333201</v>
      </c>
      <c r="E99">
        <v>13131</v>
      </c>
      <c r="F99">
        <v>635.79999999999995</v>
      </c>
      <c r="G99" s="7">
        <f>STANDARDIZE(E99,Climatology!B$12,Climatology!C$12)</f>
        <v>1.2991074337967121</v>
      </c>
      <c r="H99" s="6">
        <f>STANDARDIZE(F99,Climatology!D$12,Climatology!E$12)</f>
        <v>1.3603346765114395</v>
      </c>
      <c r="I99" s="6">
        <f t="shared" si="1"/>
        <v>4.8419770009900231</v>
      </c>
    </row>
    <row r="100" spans="1:9" x14ac:dyDescent="0.3">
      <c r="A100" s="10">
        <v>39356</v>
      </c>
      <c r="B100">
        <v>2007</v>
      </c>
      <c r="C100" t="s">
        <v>19</v>
      </c>
      <c r="D100" s="6">
        <v>2007.74999999999</v>
      </c>
      <c r="E100">
        <v>10444</v>
      </c>
      <c r="F100">
        <v>604.4</v>
      </c>
      <c r="G100" s="7">
        <f>STANDARDIZE(E100,Climatology!B$11,Climatology!C$11)</f>
        <v>1.0179721299574829</v>
      </c>
      <c r="H100" s="6">
        <f>STANDARDIZE(F100,Climatology!D$11,Climatology!E$11)</f>
        <v>1.4413878328883813</v>
      </c>
      <c r="I100" s="6">
        <f t="shared" si="1"/>
        <v>5.7870547682880122</v>
      </c>
    </row>
    <row r="101" spans="1:9" x14ac:dyDescent="0.3">
      <c r="A101" s="10">
        <v>39326</v>
      </c>
      <c r="B101">
        <v>2007</v>
      </c>
      <c r="C101" t="s">
        <v>20</v>
      </c>
      <c r="D101" s="6">
        <v>2007.6666666666499</v>
      </c>
      <c r="E101">
        <v>10419</v>
      </c>
      <c r="F101">
        <v>595.6</v>
      </c>
      <c r="G101" s="7">
        <f>STANDARDIZE(E101,Climatology!B$10,Climatology!C$10)</f>
        <v>1.440804603385722</v>
      </c>
      <c r="H101" s="6">
        <f>STANDARDIZE(F101,Climatology!D$10,Climatology!E$10)</f>
        <v>1.5953650769624854</v>
      </c>
      <c r="I101" s="6">
        <f t="shared" si="1"/>
        <v>5.7164795085900764</v>
      </c>
    </row>
    <row r="102" spans="1:9" x14ac:dyDescent="0.3">
      <c r="A102" s="10">
        <v>39295</v>
      </c>
      <c r="B102">
        <v>2007</v>
      </c>
      <c r="C102" t="s">
        <v>21</v>
      </c>
      <c r="D102" s="6">
        <v>2007.5833333333201</v>
      </c>
      <c r="E102">
        <v>9304</v>
      </c>
      <c r="F102">
        <v>569.9</v>
      </c>
      <c r="G102" s="7">
        <f>STANDARDIZE(E102,Climatology!B$9,Climatology!C$9)</f>
        <v>0.99438088215104981</v>
      </c>
      <c r="H102" s="6">
        <f>STANDARDIZE(F102,Climatology!D$9,Climatology!E$9)</f>
        <v>1.4613994268119976</v>
      </c>
      <c r="I102" s="6">
        <f t="shared" si="1"/>
        <v>6.1253224419604475</v>
      </c>
    </row>
    <row r="103" spans="1:9" x14ac:dyDescent="0.3">
      <c r="A103" s="10">
        <v>39264</v>
      </c>
      <c r="B103">
        <v>2007</v>
      </c>
      <c r="C103" t="s">
        <v>22</v>
      </c>
      <c r="D103" s="6">
        <v>2007.49999999999</v>
      </c>
      <c r="E103">
        <v>11100</v>
      </c>
      <c r="F103">
        <v>601.1</v>
      </c>
      <c r="G103" s="7">
        <f>STANDARDIZE(E103,Climatology!B$8,Climatology!C$8)</f>
        <v>1.5727369773983271</v>
      </c>
      <c r="H103" s="6">
        <f>STANDARDIZE(F103,Climatology!D$8,Climatology!E$8)</f>
        <v>1.6319159970204586</v>
      </c>
      <c r="I103" s="6">
        <f t="shared" si="1"/>
        <v>5.4153153153153148</v>
      </c>
    </row>
    <row r="104" spans="1:9" x14ac:dyDescent="0.3">
      <c r="A104" s="10">
        <v>39234</v>
      </c>
      <c r="B104">
        <v>2007</v>
      </c>
      <c r="C104" t="s">
        <v>23</v>
      </c>
      <c r="D104" s="6">
        <v>2007.4166666666499</v>
      </c>
      <c r="E104">
        <v>11263</v>
      </c>
      <c r="F104">
        <v>581.79999999999995</v>
      </c>
      <c r="G104" s="7">
        <f>STANDARDIZE(E104,Climatology!B$7,Climatology!C$7)</f>
        <v>1.8450001275414174</v>
      </c>
      <c r="H104" s="6">
        <f>STANDARDIZE(F104,Climatology!D$7,Climatology!E$7)</f>
        <v>1.6789009529315748</v>
      </c>
      <c r="I104" s="6">
        <f t="shared" si="1"/>
        <v>5.1655864334546742</v>
      </c>
    </row>
    <row r="105" spans="1:9" x14ac:dyDescent="0.3">
      <c r="A105" s="10">
        <v>39203</v>
      </c>
      <c r="B105">
        <v>2007</v>
      </c>
      <c r="C105" t="s">
        <v>24</v>
      </c>
      <c r="D105" s="6">
        <v>2007.3333333333201</v>
      </c>
      <c r="E105">
        <v>8442</v>
      </c>
      <c r="F105">
        <v>478.1</v>
      </c>
      <c r="G105" s="7">
        <f>STANDARDIZE(E105,Climatology!B$6,Climatology!C$6)</f>
        <v>1.0960301089480804</v>
      </c>
      <c r="H105" s="6">
        <f>STANDARDIZE(F105,Climatology!D$6,Climatology!E$6)</f>
        <v>1.3532492842635839</v>
      </c>
      <c r="I105" s="6">
        <f t="shared" si="1"/>
        <v>5.66334991708126</v>
      </c>
    </row>
    <row r="106" spans="1:9" x14ac:dyDescent="0.3">
      <c r="A106" s="10">
        <v>39173</v>
      </c>
      <c r="B106">
        <v>2007</v>
      </c>
      <c r="C106" t="s">
        <v>25</v>
      </c>
      <c r="D106" s="6">
        <v>2007.24999999999</v>
      </c>
      <c r="E106">
        <v>5658</v>
      </c>
      <c r="F106">
        <v>346.9</v>
      </c>
      <c r="G106" s="7">
        <f>STANDARDIZE(E106,Climatology!B$5,Climatology!C$5)</f>
        <v>0.5160633667453931</v>
      </c>
      <c r="H106" s="6">
        <f>STANDARDIZE(F106,Climatology!D$5,Climatology!E$5)</f>
        <v>1.0438944770667089</v>
      </c>
      <c r="I106" s="6">
        <f t="shared" si="1"/>
        <v>6.1311417462000701</v>
      </c>
    </row>
    <row r="107" spans="1:9" x14ac:dyDescent="0.3">
      <c r="A107" s="10">
        <v>39142</v>
      </c>
      <c r="B107">
        <v>2007</v>
      </c>
      <c r="C107" t="s">
        <v>26</v>
      </c>
      <c r="D107" s="6">
        <v>2007.1666666666499</v>
      </c>
      <c r="E107">
        <v>2916</v>
      </c>
      <c r="F107">
        <v>190.1</v>
      </c>
      <c r="G107" s="7">
        <f>STANDARDIZE(E107,Climatology!B$4,Climatology!C$4)</f>
        <v>-0.7653111730812735</v>
      </c>
      <c r="H107" s="6">
        <f>STANDARDIZE(F107,Climatology!D$4,Climatology!E$4)</f>
        <v>-0.12262643214886475</v>
      </c>
      <c r="I107" s="6">
        <f t="shared" si="1"/>
        <v>6.5192043895747593</v>
      </c>
    </row>
    <row r="108" spans="1:9" x14ac:dyDescent="0.3">
      <c r="A108" s="10">
        <v>39114</v>
      </c>
      <c r="B108">
        <v>2007</v>
      </c>
      <c r="C108" t="s">
        <v>27</v>
      </c>
      <c r="D108" s="6">
        <v>2007.0833333333201</v>
      </c>
      <c r="E108">
        <v>3754</v>
      </c>
      <c r="F108" s="1"/>
      <c r="G108" s="7">
        <f>STANDARDIZE(E108,Climatology!B$3,Climatology!C$3)</f>
        <v>-0.40759108677258843</v>
      </c>
      <c r="H108" s="6"/>
      <c r="I108" s="6"/>
    </row>
    <row r="109" spans="1:9" x14ac:dyDescent="0.3">
      <c r="A109" s="10">
        <v>39083</v>
      </c>
      <c r="B109">
        <v>2007</v>
      </c>
      <c r="C109" t="s">
        <v>28</v>
      </c>
      <c r="D109" s="6">
        <v>2007</v>
      </c>
      <c r="E109">
        <v>7909</v>
      </c>
      <c r="F109">
        <v>540.29999999999995</v>
      </c>
      <c r="G109" s="7">
        <f>STANDARDIZE(E109,Climatology!B$2,Climatology!C$2)</f>
        <v>0.47573025611450542</v>
      </c>
      <c r="H109" s="6">
        <f>STANDARDIZE(F109,Climatology!D$2,Climatology!E$2)</f>
        <v>1.106692616949128</v>
      </c>
      <c r="I109" s="6">
        <f t="shared" si="1"/>
        <v>6.8314578328486526</v>
      </c>
    </row>
    <row r="110" spans="1:9" x14ac:dyDescent="0.3">
      <c r="A110" s="10">
        <v>39052</v>
      </c>
      <c r="B110">
        <v>2006</v>
      </c>
      <c r="C110" t="s">
        <v>17</v>
      </c>
      <c r="D110" s="6">
        <v>2006.9166666666499</v>
      </c>
      <c r="E110">
        <v>10575</v>
      </c>
      <c r="F110">
        <v>588.6</v>
      </c>
      <c r="G110" s="7">
        <f>STANDARDIZE(E110,Climatology!B$13,Climatology!C$13)</f>
        <v>0.28826326368630267</v>
      </c>
      <c r="H110" s="6">
        <f>STANDARDIZE(F110,Climatology!D$13,Climatology!E$13)</f>
        <v>0.74241409940193304</v>
      </c>
      <c r="I110" s="6">
        <f t="shared" si="1"/>
        <v>5.5659574468085111</v>
      </c>
    </row>
    <row r="111" spans="1:9" x14ac:dyDescent="0.3">
      <c r="A111" s="10">
        <v>39022</v>
      </c>
      <c r="B111">
        <v>2006</v>
      </c>
      <c r="C111" t="s">
        <v>18</v>
      </c>
      <c r="D111" s="6">
        <v>2006.8333333333201</v>
      </c>
      <c r="E111">
        <v>9114</v>
      </c>
      <c r="F111">
        <v>527.4</v>
      </c>
      <c r="G111" s="7">
        <f>STANDARDIZE(E111,Climatology!B$12,Climatology!C$12)</f>
        <v>-0.27915519181326098</v>
      </c>
      <c r="H111" s="6">
        <f>STANDARDIZE(F111,Climatology!D$12,Climatology!E$12)</f>
        <v>0.41325517147714297</v>
      </c>
      <c r="I111" s="6">
        <f t="shared" si="1"/>
        <v>5.7867017774851881</v>
      </c>
    </row>
    <row r="112" spans="1:9" x14ac:dyDescent="0.3">
      <c r="A112" s="10">
        <v>38991</v>
      </c>
      <c r="B112">
        <v>2006</v>
      </c>
      <c r="C112" t="s">
        <v>19</v>
      </c>
      <c r="D112" s="6">
        <v>2006.74999999998</v>
      </c>
      <c r="E112">
        <v>7218</v>
      </c>
      <c r="F112">
        <v>472.9</v>
      </c>
      <c r="G112" s="7">
        <f>STANDARDIZE(E112,Climatology!B$11,Climatology!C$11)</f>
        <v>-0.64413954770820958</v>
      </c>
      <c r="H112" s="6">
        <f>STANDARDIZE(F112,Climatology!D$11,Climatology!E$11)</f>
        <v>0.35683586112720278</v>
      </c>
      <c r="I112" s="6">
        <f t="shared" si="1"/>
        <v>6.5516763646439449</v>
      </c>
    </row>
    <row r="113" spans="1:9" x14ac:dyDescent="0.3">
      <c r="A113" s="10">
        <v>38961</v>
      </c>
      <c r="B113">
        <v>2006</v>
      </c>
      <c r="C113" t="s">
        <v>20</v>
      </c>
      <c r="D113" s="6">
        <v>2006.6666666666499</v>
      </c>
      <c r="E113">
        <v>7058</v>
      </c>
      <c r="F113">
        <v>474.7</v>
      </c>
      <c r="G113" s="7">
        <f>STANDARDIZE(E113,Climatology!B$10,Climatology!C$10)</f>
        <v>-0.21999737754775209</v>
      </c>
      <c r="H113" s="6">
        <f>STANDARDIZE(F113,Climatology!D$10,Climatology!E$10)</f>
        <v>0.66440177012976898</v>
      </c>
      <c r="I113" s="6">
        <f t="shared" si="1"/>
        <v>6.7257013318220453</v>
      </c>
    </row>
    <row r="114" spans="1:9" x14ac:dyDescent="0.3">
      <c r="A114" s="10">
        <v>38930</v>
      </c>
      <c r="B114">
        <v>2006</v>
      </c>
      <c r="C114" t="s">
        <v>21</v>
      </c>
      <c r="D114" s="6">
        <v>2006.5833333333201</v>
      </c>
      <c r="E114">
        <v>6984</v>
      </c>
      <c r="F114">
        <v>484.6</v>
      </c>
      <c r="G114" s="7">
        <f>STANDARDIZE(E114,Climatology!B$9,Climatology!C$9)</f>
        <v>-0.17534452800655673</v>
      </c>
      <c r="H114" s="6">
        <f>STANDARDIZE(F114,Climatology!D$9,Climatology!E$9)</f>
        <v>0.80483408810929269</v>
      </c>
      <c r="I114" s="6">
        <f t="shared" si="1"/>
        <v>6.9387170675830472</v>
      </c>
    </row>
    <row r="115" spans="1:9" x14ac:dyDescent="0.3">
      <c r="A115" s="10">
        <v>38899</v>
      </c>
      <c r="B115">
        <v>2006</v>
      </c>
      <c r="C115" t="s">
        <v>22</v>
      </c>
      <c r="D115" s="6">
        <v>2006.49999999998</v>
      </c>
      <c r="E115">
        <v>10159</v>
      </c>
      <c r="F115">
        <v>579.9</v>
      </c>
      <c r="G115" s="7">
        <f>STANDARDIZE(E115,Climatology!B$8,Climatology!C$8)</f>
        <v>1.1090290482025058</v>
      </c>
      <c r="H115" s="6">
        <f>STANDARDIZE(F115,Climatology!D$8,Climatology!E$8)</f>
        <v>1.4622962192161801</v>
      </c>
      <c r="I115" s="6">
        <f t="shared" si="1"/>
        <v>5.7082389999015648</v>
      </c>
    </row>
    <row r="116" spans="1:9" x14ac:dyDescent="0.3">
      <c r="A116" s="10">
        <v>38869</v>
      </c>
      <c r="B116">
        <v>2006</v>
      </c>
      <c r="C116" t="s">
        <v>23</v>
      </c>
      <c r="D116" s="6">
        <v>2006.4166666666499</v>
      </c>
      <c r="E116">
        <v>11047</v>
      </c>
      <c r="F116">
        <v>592.9</v>
      </c>
      <c r="G116" s="7">
        <f>STANDARDIZE(E116,Climatology!B$7,Climatology!C$7)</f>
        <v>1.7168608370419149</v>
      </c>
      <c r="H116" s="6">
        <f>STANDARDIZE(F116,Climatology!D$7,Climatology!E$7)</f>
        <v>1.7783343142459516</v>
      </c>
      <c r="I116" s="6">
        <f t="shared" si="1"/>
        <v>5.3670679822576259</v>
      </c>
    </row>
    <row r="117" spans="1:9" x14ac:dyDescent="0.3">
      <c r="A117" s="10">
        <v>38838</v>
      </c>
      <c r="B117">
        <v>2006</v>
      </c>
      <c r="C117" t="s">
        <v>24</v>
      </c>
      <c r="D117" s="6">
        <v>2006.3333333333201</v>
      </c>
      <c r="E117">
        <v>8757</v>
      </c>
      <c r="F117">
        <v>510.2</v>
      </c>
      <c r="G117" s="7">
        <f>STANDARDIZE(E117,Climatology!B$6,Climatology!C$6)</f>
        <v>1.3135384151120191</v>
      </c>
      <c r="H117" s="6">
        <f>STANDARDIZE(F117,Climatology!D$6,Climatology!E$6)</f>
        <v>1.6431964336372302</v>
      </c>
      <c r="I117" s="6">
        <f t="shared" si="1"/>
        <v>5.8261961859084161</v>
      </c>
    </row>
    <row r="118" spans="1:9" x14ac:dyDescent="0.3">
      <c r="A118" s="10">
        <v>38808</v>
      </c>
      <c r="B118">
        <v>2006</v>
      </c>
      <c r="C118" t="s">
        <v>25</v>
      </c>
      <c r="D118" s="6">
        <v>2006.24999999998</v>
      </c>
      <c r="E118">
        <v>6292</v>
      </c>
      <c r="F118">
        <v>383.4</v>
      </c>
      <c r="G118" s="7">
        <f>STANDARDIZE(E118,Climatology!B$5,Climatology!C$5)</f>
        <v>0.96991510937809733</v>
      </c>
      <c r="H118" s="6">
        <f>STANDARDIZE(F118,Climatology!D$5,Climatology!E$5)</f>
        <v>1.3865097920756575</v>
      </c>
      <c r="I118" s="6">
        <f t="shared" si="1"/>
        <v>6.0934520025429117</v>
      </c>
    </row>
    <row r="119" spans="1:9" x14ac:dyDescent="0.3">
      <c r="A119" s="10">
        <v>38777</v>
      </c>
      <c r="B119">
        <v>2006</v>
      </c>
      <c r="C119" t="s">
        <v>26</v>
      </c>
      <c r="D119" s="6">
        <v>2006.1666666666499</v>
      </c>
      <c r="E119">
        <v>4329</v>
      </c>
      <c r="F119">
        <v>277.7</v>
      </c>
      <c r="G119" s="7">
        <f>STANDARDIZE(E119,Climatology!B$4,Climatology!C$4)</f>
        <v>0.13310796201209354</v>
      </c>
      <c r="H119" s="6">
        <f>STANDARDIZE(F119,Climatology!D$4,Climatology!E$4)</f>
        <v>0.80000581562639983</v>
      </c>
      <c r="I119" s="6">
        <f t="shared" si="1"/>
        <v>6.4148764148764155</v>
      </c>
    </row>
    <row r="120" spans="1:9" x14ac:dyDescent="0.3">
      <c r="A120" s="10">
        <v>38749</v>
      </c>
      <c r="B120">
        <v>2006</v>
      </c>
      <c r="C120" t="s">
        <v>27</v>
      </c>
      <c r="D120" s="6">
        <v>2006.0833333333201</v>
      </c>
      <c r="E120">
        <v>5532</v>
      </c>
      <c r="F120">
        <v>388.1</v>
      </c>
      <c r="G120" s="7">
        <f>STANDARDIZE(E120,Climatology!B$3,Climatology!C$3)</f>
        <v>0.62902915691909378</v>
      </c>
      <c r="H120" s="6">
        <f>STANDARDIZE(F120,Climatology!D$3,Climatology!E$3)</f>
        <v>1.166081272402673</v>
      </c>
      <c r="I120" s="6">
        <f t="shared" si="1"/>
        <v>7.0155459146782366</v>
      </c>
    </row>
    <row r="121" spans="1:9" x14ac:dyDescent="0.3">
      <c r="A121" s="10">
        <v>38718</v>
      </c>
      <c r="B121">
        <v>2006</v>
      </c>
      <c r="C121" t="s">
        <v>28</v>
      </c>
      <c r="D121" s="6">
        <v>2006</v>
      </c>
      <c r="E121">
        <v>9204</v>
      </c>
      <c r="F121">
        <v>508.5</v>
      </c>
      <c r="G121" s="7">
        <f>STANDARDIZE(E121,Climatology!B$2,Climatology!C$2)</f>
        <v>1.0405181931041318</v>
      </c>
      <c r="H121" s="6">
        <f>STANDARDIZE(F121,Climatology!D$2,Climatology!E$2)</f>
        <v>0.89307651709369895</v>
      </c>
      <c r="I121" s="6">
        <f t="shared" si="1"/>
        <v>5.5247718383311604</v>
      </c>
    </row>
    <row r="122" spans="1:9" x14ac:dyDescent="0.3">
      <c r="A122" s="10">
        <v>38687</v>
      </c>
      <c r="B122">
        <v>2005</v>
      </c>
      <c r="C122" t="s">
        <v>17</v>
      </c>
      <c r="D122" s="6">
        <v>2005.9166666666499</v>
      </c>
      <c r="E122">
        <v>12700</v>
      </c>
      <c r="F122">
        <v>562.79999999999995</v>
      </c>
      <c r="G122" s="7">
        <f>STANDARDIZE(E122,Climatology!B$13,Climatology!C$13)</f>
        <v>1.0470631954596941</v>
      </c>
      <c r="H122" s="6">
        <f>STANDARDIZE(F122,Climatology!D$13,Climatology!E$13)</f>
        <v>0.55415768094697604</v>
      </c>
      <c r="I122" s="6">
        <f t="shared" si="1"/>
        <v>4.4314960629921254</v>
      </c>
    </row>
    <row r="123" spans="1:9" x14ac:dyDescent="0.3">
      <c r="A123" s="10">
        <v>38657</v>
      </c>
      <c r="B123">
        <v>2005</v>
      </c>
      <c r="C123" t="s">
        <v>18</v>
      </c>
      <c r="D123" s="6">
        <v>2005.8333333333201</v>
      </c>
      <c r="E123">
        <v>10060</v>
      </c>
      <c r="F123">
        <v>519.70000000000005</v>
      </c>
      <c r="G123" s="7">
        <f>STANDARDIZE(E123,Climatology!B$12,Climatology!C$12)</f>
        <v>9.2524281382416029E-2</v>
      </c>
      <c r="H123" s="6">
        <f>STANDARDIZE(F123,Climatology!D$12,Climatology!E$12)</f>
        <v>0.34598107379481807</v>
      </c>
      <c r="I123" s="6">
        <f t="shared" si="1"/>
        <v>5.1660039761431413</v>
      </c>
    </row>
    <row r="124" spans="1:9" x14ac:dyDescent="0.3">
      <c r="A124" s="10">
        <v>38626</v>
      </c>
      <c r="B124">
        <v>2005</v>
      </c>
      <c r="C124" t="s">
        <v>19</v>
      </c>
      <c r="D124" s="6">
        <v>2005.74999999998</v>
      </c>
      <c r="E124">
        <v>7510</v>
      </c>
      <c r="F124">
        <v>442.1</v>
      </c>
      <c r="G124" s="7">
        <f>STANDARDIZE(E124,Climatology!B$11,Climatology!C$11)</f>
        <v>-0.49369422536525165</v>
      </c>
      <c r="H124" s="6">
        <f>STANDARDIZE(F124,Climatology!D$11,Climatology!E$11)</f>
        <v>0.10281152097325413</v>
      </c>
      <c r="I124" s="6">
        <f t="shared" si="1"/>
        <v>5.8868175765645807</v>
      </c>
    </row>
    <row r="125" spans="1:9" x14ac:dyDescent="0.3">
      <c r="A125" s="10">
        <v>38596</v>
      </c>
      <c r="B125">
        <v>2005</v>
      </c>
      <c r="C125" t="s">
        <v>20</v>
      </c>
      <c r="D125" s="6">
        <v>2005.6666666666499</v>
      </c>
      <c r="E125">
        <v>6318</v>
      </c>
      <c r="F125">
        <v>389.9</v>
      </c>
      <c r="G125" s="7">
        <f>STANDARDIZE(E125,Climatology!B$10,Climatology!C$10)</f>
        <v>-0.58566041411150416</v>
      </c>
      <c r="H125" s="6">
        <f>STANDARDIZE(F125,Climatology!D$10,Climatology!E$10)</f>
        <v>1.1418408513438755E-2</v>
      </c>
      <c r="I125" s="6">
        <f t="shared" si="1"/>
        <v>6.171256726812282</v>
      </c>
    </row>
    <row r="126" spans="1:9" x14ac:dyDescent="0.3">
      <c r="A126" s="10">
        <v>38565</v>
      </c>
      <c r="B126">
        <v>2005</v>
      </c>
      <c r="C126" t="s">
        <v>21</v>
      </c>
      <c r="D126" s="6">
        <v>2005.5833333333201</v>
      </c>
      <c r="E126">
        <v>6664</v>
      </c>
      <c r="F126">
        <v>397.4</v>
      </c>
      <c r="G126" s="7">
        <f>STANDARDIZE(E126,Climatology!B$9,Climatology!C$9)</f>
        <v>-0.33668596389036454</v>
      </c>
      <c r="H126" s="6">
        <f>STANDARDIZE(F126,Climatology!D$9,Climatology!E$9)</f>
        <v>0.13364419907206004</v>
      </c>
      <c r="I126" s="6">
        <f t="shared" si="1"/>
        <v>5.9633853541416562</v>
      </c>
    </row>
    <row r="127" spans="1:9" x14ac:dyDescent="0.3">
      <c r="A127" s="10">
        <v>38534</v>
      </c>
      <c r="B127">
        <v>2005</v>
      </c>
      <c r="C127" t="s">
        <v>22</v>
      </c>
      <c r="D127" s="6">
        <v>2005.49999999998</v>
      </c>
      <c r="E127">
        <v>8273</v>
      </c>
      <c r="F127">
        <v>466.4</v>
      </c>
      <c r="G127" s="7">
        <f>STANDARDIZE(E127,Climatology!B$8,Climatology!C$8)</f>
        <v>0.17964206152522791</v>
      </c>
      <c r="H127" s="6">
        <f>STANDARDIZE(F127,Climatology!D$8,Climatology!E$8)</f>
        <v>0.55419033333006906</v>
      </c>
      <c r="I127" s="6">
        <f t="shared" si="1"/>
        <v>5.6376163423183847</v>
      </c>
    </row>
    <row r="128" spans="1:9" x14ac:dyDescent="0.3">
      <c r="A128" s="10">
        <v>38504</v>
      </c>
      <c r="B128">
        <v>2005</v>
      </c>
      <c r="C128" t="s">
        <v>23</v>
      </c>
      <c r="D128" s="6">
        <v>2005.4166666666499</v>
      </c>
      <c r="E128">
        <v>8434</v>
      </c>
      <c r="F128">
        <v>463.6</v>
      </c>
      <c r="G128" s="7">
        <f>STANDARDIZE(E128,Climatology!B$7,Climatology!C$7)</f>
        <v>0.16673136447154405</v>
      </c>
      <c r="H128" s="6">
        <f>STANDARDIZE(F128,Climatology!D$7,Climatology!E$7)</f>
        <v>0.62007002434064462</v>
      </c>
      <c r="I128" s="6">
        <f t="shared" si="1"/>
        <v>5.4967986720417361</v>
      </c>
    </row>
    <row r="129" spans="1:9" x14ac:dyDescent="0.3">
      <c r="A129" s="10">
        <v>38473</v>
      </c>
      <c r="B129">
        <v>2005</v>
      </c>
      <c r="C129" t="s">
        <v>24</v>
      </c>
      <c r="D129" s="6">
        <v>2005.3333333333201</v>
      </c>
      <c r="E129">
        <v>6630</v>
      </c>
      <c r="F129">
        <v>380.2</v>
      </c>
      <c r="G129" s="7">
        <f>STANDARDIZE(E129,Climatology!B$6,Climatology!C$6)</f>
        <v>-0.15516052841400474</v>
      </c>
      <c r="H129" s="6">
        <f>STANDARDIZE(F129,Climatology!D$6,Climatology!E$6)</f>
        <v>0.46895564178134064</v>
      </c>
      <c r="I129" s="6">
        <f t="shared" si="1"/>
        <v>5.7345399698340875</v>
      </c>
    </row>
    <row r="130" spans="1:9" x14ac:dyDescent="0.3">
      <c r="A130" s="10">
        <v>38443</v>
      </c>
      <c r="B130">
        <v>2005</v>
      </c>
      <c r="C130" t="s">
        <v>25</v>
      </c>
      <c r="D130" s="6">
        <v>2005.24999999998</v>
      </c>
      <c r="E130">
        <v>4448</v>
      </c>
      <c r="F130">
        <v>255.8</v>
      </c>
      <c r="G130" s="7">
        <f>STANDARDIZE(E130,Climatology!B$5,Climatology!C$5)</f>
        <v>-0.3501205584684432</v>
      </c>
      <c r="H130" s="6">
        <f>STANDARDIZE(F130,Climatology!D$5,Climatology!E$5)</f>
        <v>0.18876419768820979</v>
      </c>
      <c r="I130" s="6">
        <f t="shared" si="1"/>
        <v>5.7508992805755392</v>
      </c>
    </row>
    <row r="131" spans="1:9" x14ac:dyDescent="0.3">
      <c r="A131" s="10">
        <v>38412</v>
      </c>
      <c r="B131">
        <v>2005</v>
      </c>
      <c r="C131" t="s">
        <v>26</v>
      </c>
      <c r="D131" s="6">
        <v>2005.1666666666499</v>
      </c>
      <c r="E131">
        <v>3838</v>
      </c>
      <c r="F131">
        <v>219.8</v>
      </c>
      <c r="G131" s="7">
        <f>STANDARDIZE(E131,Climatology!B$4,Climatology!C$4)</f>
        <v>-0.17908156051504251</v>
      </c>
      <c r="H131" s="6">
        <f>STANDARDIZE(F131,Climatology!D$4,Climatology!E$4)</f>
        <v>0.19018381624069436</v>
      </c>
      <c r="I131" s="6">
        <f t="shared" ref="I131:I194" si="2">F131/E131*100</f>
        <v>5.7269411151641485</v>
      </c>
    </row>
    <row r="132" spans="1:9" x14ac:dyDescent="0.3">
      <c r="A132" s="10">
        <v>38384</v>
      </c>
      <c r="B132">
        <v>2005</v>
      </c>
      <c r="C132" t="s">
        <v>27</v>
      </c>
      <c r="D132" s="6">
        <v>2005.0833333333201</v>
      </c>
      <c r="E132">
        <v>4568</v>
      </c>
      <c r="F132">
        <v>291.2</v>
      </c>
      <c r="G132" s="7">
        <f>STANDARDIZE(E132,Climatology!B$3,Climatology!C$3)</f>
        <v>6.6992084411342578E-2</v>
      </c>
      <c r="H132" s="6">
        <f>STANDARDIZE(F132,Climatology!D$3,Climatology!E$3)</f>
        <v>0.38634440155040195</v>
      </c>
      <c r="I132" s="6">
        <f t="shared" si="2"/>
        <v>6.3747810858143596</v>
      </c>
    </row>
    <row r="133" spans="1:9" x14ac:dyDescent="0.3">
      <c r="A133" s="10">
        <v>38353</v>
      </c>
      <c r="B133">
        <v>2005</v>
      </c>
      <c r="C133" t="s">
        <v>28</v>
      </c>
      <c r="D133" s="6">
        <v>2005</v>
      </c>
      <c r="E133">
        <v>7079</v>
      </c>
      <c r="F133">
        <v>432.7</v>
      </c>
      <c r="G133" s="7">
        <f>STANDARDIZE(E133,Climatology!B$2,Climatology!C$2)</f>
        <v>0.11374262082385687</v>
      </c>
      <c r="H133" s="6">
        <f>STANDARDIZE(F133,Climatology!D$2,Climatology!E$2)</f>
        <v>0.38389097089742391</v>
      </c>
      <c r="I133" s="6">
        <f t="shared" si="2"/>
        <v>6.1124452606300324</v>
      </c>
    </row>
    <row r="134" spans="1:9" x14ac:dyDescent="0.3">
      <c r="A134" s="10">
        <v>38322</v>
      </c>
      <c r="B134">
        <v>2004</v>
      </c>
      <c r="C134" t="s">
        <v>17</v>
      </c>
      <c r="D134" s="6">
        <v>2004.9166666666499</v>
      </c>
      <c r="E134">
        <v>11106</v>
      </c>
      <c r="F134">
        <v>527.70000000000005</v>
      </c>
      <c r="G134" s="7">
        <f>STANDARDIZE(E134,Climatology!B$13,Climatology!C$13)</f>
        <v>0.47787397604944187</v>
      </c>
      <c r="H134" s="6">
        <f>STANDARDIZE(F134,Climatology!D$13,Climatology!E$13)</f>
        <v>0.29804139072337305</v>
      </c>
      <c r="I134" s="6">
        <f t="shared" si="2"/>
        <v>4.7514856834143711</v>
      </c>
    </row>
    <row r="135" spans="1:9" x14ac:dyDescent="0.3">
      <c r="A135" s="10">
        <v>38292</v>
      </c>
      <c r="B135">
        <v>2004</v>
      </c>
      <c r="C135" t="s">
        <v>18</v>
      </c>
      <c r="D135" s="6">
        <v>2004.8333333333101</v>
      </c>
      <c r="E135">
        <v>10161</v>
      </c>
      <c r="F135">
        <v>540.70000000000005</v>
      </c>
      <c r="G135" s="7">
        <f>STANDARDIZE(E135,Climatology!B$12,Climatology!C$12)</f>
        <v>0.13220676213586569</v>
      </c>
      <c r="H135" s="6">
        <f>STANDARDIZE(F135,Climatology!D$12,Climatology!E$12)</f>
        <v>0.52945588565570578</v>
      </c>
      <c r="I135" s="6">
        <f t="shared" si="2"/>
        <v>5.3213266410786346</v>
      </c>
    </row>
    <row r="136" spans="1:9" x14ac:dyDescent="0.3">
      <c r="A136" s="10">
        <v>38261</v>
      </c>
      <c r="B136">
        <v>2004</v>
      </c>
      <c r="C136" t="s">
        <v>19</v>
      </c>
      <c r="D136" s="6">
        <v>2004.74999999998</v>
      </c>
      <c r="E136">
        <v>8047</v>
      </c>
      <c r="F136">
        <v>458.3</v>
      </c>
      <c r="G136" s="7">
        <f>STANDARDIZE(E136,Climatology!B$11,Climatology!C$11)</f>
        <v>-0.21701909489207219</v>
      </c>
      <c r="H136" s="6">
        <f>STANDARDIZE(F136,Climatology!D$11,Climatology!E$11)</f>
        <v>0.23642172585942203</v>
      </c>
      <c r="I136" s="6">
        <f t="shared" si="2"/>
        <v>5.6952901702497822</v>
      </c>
    </row>
    <row r="137" spans="1:9" x14ac:dyDescent="0.3">
      <c r="A137" s="10">
        <v>38231</v>
      </c>
      <c r="B137">
        <v>2004</v>
      </c>
      <c r="C137" t="s">
        <v>20</v>
      </c>
      <c r="D137" s="6">
        <v>2004.6666666666499</v>
      </c>
      <c r="E137">
        <v>6271</v>
      </c>
      <c r="F137">
        <v>401</v>
      </c>
      <c r="G137" s="7">
        <f>STANDARDIZE(E137,Climatology!B$10,Climatology!C$10)</f>
        <v>-0.60888495832568845</v>
      </c>
      <c r="H137" s="6">
        <f>STANDARDIZE(F137,Climatology!D$10,Climatology!E$10)</f>
        <v>9.6891466460859513E-2</v>
      </c>
      <c r="I137" s="6">
        <f t="shared" si="2"/>
        <v>6.3945144315101263</v>
      </c>
    </row>
    <row r="138" spans="1:9" x14ac:dyDescent="0.3">
      <c r="A138" s="10">
        <v>38200</v>
      </c>
      <c r="B138">
        <v>2004</v>
      </c>
      <c r="C138" t="s">
        <v>21</v>
      </c>
      <c r="D138" s="6">
        <v>2004.5833333333101</v>
      </c>
      <c r="E138">
        <v>5941</v>
      </c>
      <c r="F138">
        <v>381.1</v>
      </c>
      <c r="G138" s="7">
        <f>STANDARDIZE(E138,Climatology!B$9,Climatology!C$9)</f>
        <v>-0.70121677059034282</v>
      </c>
      <c r="H138" s="6">
        <f>STANDARDIZE(F138,Climatology!D$9,Climatology!E$9)</f>
        <v>8.1809514653300528E-3</v>
      </c>
      <c r="I138" s="6">
        <f t="shared" si="2"/>
        <v>6.4147449924255184</v>
      </c>
    </row>
    <row r="139" spans="1:9" x14ac:dyDescent="0.3">
      <c r="A139" s="10">
        <v>38169</v>
      </c>
      <c r="B139">
        <v>2004</v>
      </c>
      <c r="C139" t="s">
        <v>22</v>
      </c>
      <c r="D139" s="6">
        <v>2004.49999999998</v>
      </c>
      <c r="E139">
        <v>6195</v>
      </c>
      <c r="F139">
        <v>380</v>
      </c>
      <c r="G139" s="7">
        <f>STANDARDIZE(E139,Climatology!B$8,Climatology!C$8)</f>
        <v>-0.84435908286256833</v>
      </c>
      <c r="H139" s="6">
        <f>STANDARDIZE(F139,Climatology!D$8,Climatology!E$8)</f>
        <v>-0.13709027055151662</v>
      </c>
      <c r="I139" s="6">
        <f t="shared" si="2"/>
        <v>6.1339790153349476</v>
      </c>
    </row>
    <row r="140" spans="1:9" x14ac:dyDescent="0.3">
      <c r="A140" s="10">
        <v>38139</v>
      </c>
      <c r="B140">
        <v>2004</v>
      </c>
      <c r="C140" t="s">
        <v>23</v>
      </c>
      <c r="D140" s="6">
        <v>2004.4166666666499</v>
      </c>
      <c r="E140">
        <v>7558</v>
      </c>
      <c r="F140">
        <v>431.1</v>
      </c>
      <c r="G140" s="7">
        <f>STANDARDIZE(E140,Climatology!B$7,Climatology!C$7)</f>
        <v>-0.35294464699866068</v>
      </c>
      <c r="H140" s="6">
        <f>STANDARDIZE(F140,Climatology!D$7,Climatology!E$7)</f>
        <v>0.32893630878053254</v>
      </c>
      <c r="I140" s="6">
        <f t="shared" si="2"/>
        <v>5.7038899179677163</v>
      </c>
    </row>
    <row r="141" spans="1:9" x14ac:dyDescent="0.3">
      <c r="A141" s="10">
        <v>38108</v>
      </c>
      <c r="B141">
        <v>2004</v>
      </c>
      <c r="C141" t="s">
        <v>24</v>
      </c>
      <c r="D141" s="6">
        <v>2004.3333333333101</v>
      </c>
      <c r="E141">
        <v>6011</v>
      </c>
      <c r="F141">
        <v>349.9</v>
      </c>
      <c r="G141" s="7">
        <f>STANDARDIZE(E141,Climatology!B$6,Climatology!C$6)</f>
        <v>-0.58258161259012542</v>
      </c>
      <c r="H141" s="6">
        <f>STANDARDIZE(F141,Climatology!D$6,Climatology!E$6)</f>
        <v>0.19526721106416012</v>
      </c>
      <c r="I141" s="6">
        <f t="shared" si="2"/>
        <v>5.8209948427882212</v>
      </c>
    </row>
    <row r="142" spans="1:9" x14ac:dyDescent="0.3">
      <c r="A142" s="10">
        <v>38078</v>
      </c>
      <c r="B142">
        <v>2004</v>
      </c>
      <c r="C142" t="s">
        <v>25</v>
      </c>
      <c r="D142" s="6">
        <v>2004.24999999998</v>
      </c>
      <c r="E142">
        <v>3609</v>
      </c>
      <c r="F142">
        <v>159.30000000000001</v>
      </c>
      <c r="G142" s="7">
        <f>STANDARDIZE(E142,Climatology!B$5,Climatology!C$5)</f>
        <v>-0.95072247024894618</v>
      </c>
      <c r="H142" s="6">
        <f>STANDARDIZE(F142,Climatology!D$5,Climatology!E$5)</f>
        <v>-0.7170543748696957</v>
      </c>
      <c r="I142" s="6">
        <f t="shared" si="2"/>
        <v>4.4139650872817962</v>
      </c>
    </row>
    <row r="143" spans="1:9" x14ac:dyDescent="0.3">
      <c r="A143" s="10">
        <v>38047</v>
      </c>
      <c r="B143">
        <v>2004</v>
      </c>
      <c r="C143" t="s">
        <v>26</v>
      </c>
      <c r="D143" s="6">
        <v>2004.1666666666499</v>
      </c>
      <c r="E143">
        <v>2916</v>
      </c>
      <c r="F143">
        <v>125.6</v>
      </c>
      <c r="G143" s="7">
        <f>STANDARDIZE(E143,Climatology!B$4,Climatology!C$4)</f>
        <v>-0.7653111730812735</v>
      </c>
      <c r="H143" s="6">
        <f>STANDARDIZE(F143,Climatology!D$4,Climatology!E$4)</f>
        <v>-0.80196182006558359</v>
      </c>
      <c r="I143" s="6">
        <f t="shared" si="2"/>
        <v>4.3072702331961583</v>
      </c>
    </row>
    <row r="144" spans="1:9" x14ac:dyDescent="0.3">
      <c r="A144" s="10">
        <v>38018</v>
      </c>
      <c r="B144">
        <v>2004</v>
      </c>
      <c r="C144" t="s">
        <v>27</v>
      </c>
      <c r="D144" s="6">
        <v>2004.0833333333101</v>
      </c>
      <c r="E144">
        <v>3724</v>
      </c>
      <c r="F144">
        <v>220.1</v>
      </c>
      <c r="G144" s="7">
        <f>STANDARDIZE(E144,Climatology!B$3,Climatology!C$3)</f>
        <v>-0.42508186703735246</v>
      </c>
      <c r="H144" s="6">
        <f>STANDARDIZE(F144,Climatology!D$3,Climatology!E$3)</f>
        <v>-0.18578450987990194</v>
      </c>
      <c r="I144" s="6">
        <f t="shared" si="2"/>
        <v>5.9103114930182592</v>
      </c>
    </row>
    <row r="145" spans="1:9" x14ac:dyDescent="0.3">
      <c r="A145" s="10">
        <v>37987</v>
      </c>
      <c r="B145">
        <v>2004</v>
      </c>
      <c r="C145" t="s">
        <v>28</v>
      </c>
      <c r="D145" s="6">
        <v>2004</v>
      </c>
      <c r="E145">
        <v>8355</v>
      </c>
      <c r="F145">
        <v>474.6</v>
      </c>
      <c r="G145" s="7">
        <f>STANDARDIZE(E145,Climatology!B$2,Climatology!C$2)</f>
        <v>0.67024409387309491</v>
      </c>
      <c r="H145" s="6">
        <f>STANDARDIZE(F145,Climatology!D$2,Climatology!E$2)</f>
        <v>0.66535369366291119</v>
      </c>
      <c r="I145" s="6">
        <f t="shared" si="2"/>
        <v>5.6804308797127474</v>
      </c>
    </row>
    <row r="146" spans="1:9" x14ac:dyDescent="0.3">
      <c r="A146" s="10">
        <v>37956</v>
      </c>
      <c r="B146">
        <v>2003</v>
      </c>
      <c r="C146" t="s">
        <v>17</v>
      </c>
      <c r="D146" s="6">
        <v>2003.9166666666499</v>
      </c>
      <c r="E146">
        <v>11146</v>
      </c>
      <c r="F146">
        <v>566.4</v>
      </c>
      <c r="G146" s="7">
        <f>STANDARDIZE(E146,Climatology!B$13,Climatology!C$13)</f>
        <v>0.49215726888282335</v>
      </c>
      <c r="H146" s="6">
        <f>STANDARDIZE(F146,Climatology!D$13,Climatology!E$13)</f>
        <v>0.58042601840580732</v>
      </c>
      <c r="I146" s="6">
        <f t="shared" si="2"/>
        <v>5.081643638973623</v>
      </c>
    </row>
    <row r="147" spans="1:9" x14ac:dyDescent="0.3">
      <c r="A147" s="10">
        <v>37926</v>
      </c>
      <c r="B147">
        <v>2003</v>
      </c>
      <c r="C147" t="s">
        <v>18</v>
      </c>
      <c r="D147" s="6">
        <v>2003.8333333333101</v>
      </c>
      <c r="E147">
        <v>10016</v>
      </c>
      <c r="F147">
        <v>518</v>
      </c>
      <c r="G147" s="7">
        <f>STANDARDIZE(E147,Climatology!B$12,Climatology!C$12)</f>
        <v>7.5236864024477559E-2</v>
      </c>
      <c r="H147" s="6">
        <f>STANDARDIZE(F147,Climatology!D$12,Climatology!E$12)</f>
        <v>0.33112835092988868</v>
      </c>
      <c r="I147" s="6">
        <f t="shared" si="2"/>
        <v>5.1717252396166131</v>
      </c>
    </row>
    <row r="148" spans="1:9" x14ac:dyDescent="0.3">
      <c r="A148" s="10">
        <v>37895</v>
      </c>
      <c r="B148">
        <v>2003</v>
      </c>
      <c r="C148" t="s">
        <v>19</v>
      </c>
      <c r="D148" s="6">
        <v>2003.74999999998</v>
      </c>
      <c r="E148">
        <v>7897</v>
      </c>
      <c r="F148">
        <v>467.7</v>
      </c>
      <c r="G148" s="7">
        <f>STANDARDIZE(E148,Climatology!B$11,Climatology!C$11)</f>
        <v>-0.29430265089016699</v>
      </c>
      <c r="H148" s="6">
        <f>STANDARDIZE(F148,Climatology!D$11,Climatology!E$11)</f>
        <v>0.31394863486744523</v>
      </c>
      <c r="I148" s="6">
        <f t="shared" si="2"/>
        <v>5.922502216031404</v>
      </c>
    </row>
    <row r="149" spans="1:9" x14ac:dyDescent="0.3">
      <c r="A149" s="10">
        <v>37865</v>
      </c>
      <c r="B149">
        <v>2003</v>
      </c>
      <c r="C149" t="s">
        <v>20</v>
      </c>
      <c r="D149" s="6">
        <v>2003.6666666666499</v>
      </c>
      <c r="E149">
        <v>6140</v>
      </c>
      <c r="F149">
        <v>400.8</v>
      </c>
      <c r="G149" s="7">
        <f>STANDARDIZE(E149,Climatology!B$10,Climatology!C$10)</f>
        <v>-0.67361719858224456</v>
      </c>
      <c r="H149" s="6">
        <f>STANDARDIZE(F149,Climatology!D$10,Climatology!E$10)</f>
        <v>9.5351411362707875E-2</v>
      </c>
      <c r="I149" s="6">
        <f t="shared" si="2"/>
        <v>6.5276872964169383</v>
      </c>
    </row>
    <row r="150" spans="1:9" x14ac:dyDescent="0.3">
      <c r="A150" s="10">
        <v>37834</v>
      </c>
      <c r="B150">
        <v>2003</v>
      </c>
      <c r="C150" t="s">
        <v>21</v>
      </c>
      <c r="D150" s="6">
        <v>2003.5833333333101</v>
      </c>
      <c r="E150">
        <v>6910</v>
      </c>
      <c r="F150">
        <v>443.4</v>
      </c>
      <c r="G150" s="7">
        <f>STANDARDIZE(E150,Climatology!B$9,Climatology!C$9)</f>
        <v>-0.21265473505468729</v>
      </c>
      <c r="H150" s="6">
        <f>STANDARDIZE(F150,Climatology!D$9,Climatology!E$9)</f>
        <v>0.4877122598027101</v>
      </c>
      <c r="I150" s="6">
        <f t="shared" si="2"/>
        <v>6.4167872648335749</v>
      </c>
    </row>
    <row r="151" spans="1:9" x14ac:dyDescent="0.3">
      <c r="A151" s="10">
        <v>37803</v>
      </c>
      <c r="B151">
        <v>2003</v>
      </c>
      <c r="C151" t="s">
        <v>22</v>
      </c>
      <c r="D151" s="6">
        <v>2003.49999999998</v>
      </c>
      <c r="E151">
        <v>7712</v>
      </c>
      <c r="F151">
        <v>449.4</v>
      </c>
      <c r="G151" s="7">
        <f>STANDARDIZE(E151,Climatology!B$8,Climatology!C$8)</f>
        <v>-9.6808680535192537E-2</v>
      </c>
      <c r="H151" s="6">
        <f>STANDARDIZE(F151,Climatology!D$8,Climatology!E$8)</f>
        <v>0.4181744737700348</v>
      </c>
      <c r="I151" s="6">
        <f t="shared" si="2"/>
        <v>5.8272821576763478</v>
      </c>
    </row>
    <row r="152" spans="1:9" x14ac:dyDescent="0.3">
      <c r="A152" s="10">
        <v>37773</v>
      </c>
      <c r="B152">
        <v>2003</v>
      </c>
      <c r="C152" t="s">
        <v>23</v>
      </c>
      <c r="D152" s="6">
        <v>2003.4166666666499</v>
      </c>
      <c r="E152">
        <v>7152</v>
      </c>
      <c r="F152">
        <v>392.4</v>
      </c>
      <c r="G152" s="7">
        <f>STANDARDIZE(E152,Climatology!B$7,Climatology!C$7)</f>
        <v>-0.59379905414124412</v>
      </c>
      <c r="H152" s="6">
        <f>STANDARDIZE(F152,Climatology!D$7,Climatology!E$7)</f>
        <v>-1.7736761747970578E-2</v>
      </c>
      <c r="I152" s="6">
        <f t="shared" si="2"/>
        <v>5.4865771812080535</v>
      </c>
    </row>
    <row r="153" spans="1:9" x14ac:dyDescent="0.3">
      <c r="A153" s="10">
        <v>37742</v>
      </c>
      <c r="B153">
        <v>2003</v>
      </c>
      <c r="C153" t="s">
        <v>24</v>
      </c>
      <c r="D153" s="6">
        <v>2003.3333333333101</v>
      </c>
      <c r="E153">
        <v>5959</v>
      </c>
      <c r="F153">
        <v>324.39999999999998</v>
      </c>
      <c r="G153" s="7">
        <f>STANDARDIZE(E153,Climatology!B$6,Climatology!C$6)</f>
        <v>-0.61848774567115661</v>
      </c>
      <c r="H153" s="6">
        <f>STANDARDIZE(F153,Climatology!D$6,Climatology!E$6)</f>
        <v>-3.5064636569110533E-2</v>
      </c>
      <c r="I153" s="6">
        <f t="shared" si="2"/>
        <v>5.4438664205403589</v>
      </c>
    </row>
    <row r="154" spans="1:9" x14ac:dyDescent="0.3">
      <c r="A154" s="10">
        <v>37712</v>
      </c>
      <c r="B154">
        <v>2003</v>
      </c>
      <c r="C154" t="s">
        <v>25</v>
      </c>
      <c r="D154" s="6">
        <v>2003.24999999998</v>
      </c>
      <c r="E154">
        <v>3815</v>
      </c>
      <c r="F154" s="1"/>
      <c r="G154" s="7">
        <f>STANDARDIZE(E154,Climatology!B$5,Climatology!C$5)</f>
        <v>-0.80325644661749962</v>
      </c>
      <c r="H154" s="6"/>
      <c r="I154" s="6"/>
    </row>
    <row r="155" spans="1:9" x14ac:dyDescent="0.3">
      <c r="A155" s="10">
        <v>37681</v>
      </c>
      <c r="B155">
        <v>2003</v>
      </c>
      <c r="C155" t="s">
        <v>26</v>
      </c>
      <c r="D155" s="6">
        <v>2003.1666666666499</v>
      </c>
      <c r="E155">
        <v>2684</v>
      </c>
      <c r="F155">
        <v>173</v>
      </c>
      <c r="G155" s="7">
        <f>STANDARDIZE(E155,Climatology!B$4,Climatology!C$4)</f>
        <v>-0.91282231203503228</v>
      </c>
      <c r="H155" s="6">
        <f>STANDARDIZE(F155,Climatology!D$4,Climatology!E$4)</f>
        <v>-0.30272930243376223</v>
      </c>
      <c r="I155" s="6">
        <f t="shared" si="2"/>
        <v>6.4456035767511173</v>
      </c>
    </row>
    <row r="156" spans="1:9" x14ac:dyDescent="0.3">
      <c r="A156" s="10">
        <v>37653</v>
      </c>
      <c r="B156">
        <v>2003</v>
      </c>
      <c r="C156" t="s">
        <v>27</v>
      </c>
      <c r="D156" s="6">
        <v>2003.0833333333101</v>
      </c>
      <c r="E156">
        <v>2566</v>
      </c>
      <c r="F156">
        <v>175.8</v>
      </c>
      <c r="G156" s="7">
        <f>STANDARDIZE(E156,Climatology!B$3,Climatology!C$3)</f>
        <v>-1.1002259852572445</v>
      </c>
      <c r="H156" s="6">
        <f>STANDARDIZE(F156,Climatology!D$3,Climatology!E$3)</f>
        <v>-0.54225864175560456</v>
      </c>
      <c r="I156" s="6">
        <f t="shared" si="2"/>
        <v>6.8511301636788788</v>
      </c>
    </row>
    <row r="157" spans="1:9" x14ac:dyDescent="0.3">
      <c r="A157" s="10">
        <v>37622</v>
      </c>
      <c r="B157">
        <v>2003</v>
      </c>
      <c r="C157" t="s">
        <v>28</v>
      </c>
      <c r="D157" s="6">
        <v>2003</v>
      </c>
      <c r="E157">
        <v>3527</v>
      </c>
      <c r="F157">
        <v>243.8</v>
      </c>
      <c r="G157" s="7">
        <f>STANDARDIZE(E157,Climatology!B$2,Climatology!C$2)</f>
        <v>-1.4353900063476897</v>
      </c>
      <c r="H157" s="6">
        <f>STANDARDIZE(F157,Climatology!D$2,Climatology!E$2)</f>
        <v>-0.88504240214316088</v>
      </c>
      <c r="I157" s="6">
        <f t="shared" si="2"/>
        <v>6.912390133257726</v>
      </c>
    </row>
    <row r="158" spans="1:9" x14ac:dyDescent="0.3">
      <c r="A158" s="10">
        <v>37591</v>
      </c>
      <c r="B158">
        <v>2002</v>
      </c>
      <c r="C158" t="s">
        <v>17</v>
      </c>
      <c r="D158" s="6">
        <v>2002.9166666666399</v>
      </c>
      <c r="E158">
        <v>6225</v>
      </c>
      <c r="F158">
        <v>394.7</v>
      </c>
      <c r="G158" s="7">
        <f>STANDARDIZE(E158,Climatology!B$13,Climatology!C$13)</f>
        <v>-1.2650448319439336</v>
      </c>
      <c r="H158" s="6">
        <f>STANDARDIZE(F158,Climatology!D$13,Climatology!E$13)</f>
        <v>-0.67242774317233367</v>
      </c>
      <c r="I158" s="6">
        <f t="shared" si="2"/>
        <v>6.3405622489959832</v>
      </c>
    </row>
    <row r="159" spans="1:9" x14ac:dyDescent="0.3">
      <c r="A159" s="10">
        <v>37561</v>
      </c>
      <c r="B159">
        <v>2002</v>
      </c>
      <c r="C159" t="s">
        <v>18</v>
      </c>
      <c r="D159" s="6">
        <v>2002.8333333333101</v>
      </c>
      <c r="E159">
        <v>7592</v>
      </c>
      <c r="F159">
        <v>465.5</v>
      </c>
      <c r="G159" s="7">
        <f>STANDARDIZE(E159,Climatology!B$12,Climatology!C$12)</f>
        <v>-0.87714267405831425</v>
      </c>
      <c r="H159" s="6">
        <f>STANDARDIZE(F159,Climatology!D$12,Climatology!E$12)</f>
        <v>-0.12755867872233068</v>
      </c>
      <c r="I159" s="6">
        <f t="shared" si="2"/>
        <v>6.1314541622760803</v>
      </c>
    </row>
    <row r="160" spans="1:9" x14ac:dyDescent="0.3">
      <c r="A160" s="10">
        <v>37530</v>
      </c>
      <c r="B160">
        <v>2002</v>
      </c>
      <c r="C160" t="s">
        <v>19</v>
      </c>
      <c r="D160" s="6">
        <v>2002.74999999998</v>
      </c>
      <c r="E160">
        <v>5094</v>
      </c>
      <c r="F160">
        <v>393.5</v>
      </c>
      <c r="G160" s="7">
        <f>STANDARDIZE(E160,Climatology!B$11,Climatology!C$11)</f>
        <v>-1.7384747006412322</v>
      </c>
      <c r="H160" s="6">
        <f>STANDARDIZE(F160,Climatology!D$11,Climatology!E$11)</f>
        <v>-0.29801909368525004</v>
      </c>
      <c r="I160" s="6">
        <f t="shared" si="2"/>
        <v>7.7247742442088736</v>
      </c>
    </row>
    <row r="161" spans="1:9" x14ac:dyDescent="0.3">
      <c r="A161" s="10">
        <v>37500</v>
      </c>
      <c r="B161">
        <v>2002</v>
      </c>
      <c r="C161" t="s">
        <v>20</v>
      </c>
      <c r="D161" s="6">
        <v>2002.6666666666399</v>
      </c>
      <c r="E161">
        <v>4585</v>
      </c>
      <c r="F161">
        <v>349</v>
      </c>
      <c r="G161" s="7">
        <f>STANDARDIZE(E161,Climatology!B$10,Climatology!C$10)</f>
        <v>-1.4420037146047238</v>
      </c>
      <c r="H161" s="6">
        <f>STANDARDIZE(F161,Climatology!D$10,Climatology!E$10)</f>
        <v>-0.30352285905858822</v>
      </c>
      <c r="I161" s="6">
        <f t="shared" si="2"/>
        <v>7.6117775354416581</v>
      </c>
    </row>
    <row r="162" spans="1:9" x14ac:dyDescent="0.3">
      <c r="A162" s="10">
        <v>37469</v>
      </c>
      <c r="B162">
        <v>2002</v>
      </c>
      <c r="C162" t="s">
        <v>21</v>
      </c>
      <c r="D162" s="6">
        <v>2002.5833333333101</v>
      </c>
      <c r="E162">
        <v>4440</v>
      </c>
      <c r="F162">
        <v>339.4</v>
      </c>
      <c r="G162" s="7">
        <f>STANDARDIZE(E162,Climatology!B$9,Climatology!C$9)</f>
        <v>-1.4580089432828287</v>
      </c>
      <c r="H162" s="6">
        <f>STANDARDIZE(F162,Climatology!D$9,Climatology!E$9)</f>
        <v>-0.31278944271875958</v>
      </c>
      <c r="I162" s="6">
        <f t="shared" si="2"/>
        <v>7.6441441441441436</v>
      </c>
    </row>
    <row r="163" spans="1:9" x14ac:dyDescent="0.3">
      <c r="A163" s="10">
        <v>37438</v>
      </c>
      <c r="B163">
        <v>2002</v>
      </c>
      <c r="C163" t="s">
        <v>22</v>
      </c>
      <c r="D163" s="6">
        <v>2002.49999999998</v>
      </c>
      <c r="E163">
        <v>6751</v>
      </c>
      <c r="F163">
        <v>432.6</v>
      </c>
      <c r="G163" s="7">
        <f>STANDARDIZE(E163,Climatology!B$8,Climatology!C$8)</f>
        <v>-0.57037225115919266</v>
      </c>
      <c r="H163" s="6">
        <f>STANDARDIZE(F163,Climatology!D$8,Climatology!E$8)</f>
        <v>0.28375880079306015</v>
      </c>
      <c r="I163" s="6">
        <f t="shared" si="2"/>
        <v>6.4079395645089621</v>
      </c>
    </row>
    <row r="164" spans="1:9" x14ac:dyDescent="0.3">
      <c r="A164" s="10">
        <v>37408</v>
      </c>
      <c r="B164">
        <v>2002</v>
      </c>
      <c r="C164" t="s">
        <v>23</v>
      </c>
      <c r="D164" s="6">
        <v>2002.4166666666399</v>
      </c>
      <c r="E164">
        <v>7583</v>
      </c>
      <c r="F164">
        <v>445</v>
      </c>
      <c r="G164" s="7">
        <f>STANDARDIZE(E164,Climatology!B$7,Climatology!C$7)</f>
        <v>-0.33811371059825529</v>
      </c>
      <c r="H164" s="6">
        <f>STANDARDIZE(F164,Climatology!D$7,Climatology!E$7)</f>
        <v>0.45345195943547256</v>
      </c>
      <c r="I164" s="6">
        <f t="shared" si="2"/>
        <v>5.8683898193327177</v>
      </c>
    </row>
    <row r="165" spans="1:9" x14ac:dyDescent="0.3">
      <c r="A165" s="10">
        <v>37377</v>
      </c>
      <c r="B165">
        <v>2002</v>
      </c>
      <c r="C165" t="s">
        <v>24</v>
      </c>
      <c r="D165" s="6">
        <v>2002.3333333333101</v>
      </c>
      <c r="E165">
        <v>5955</v>
      </c>
      <c r="F165">
        <v>400.9</v>
      </c>
      <c r="G165" s="7">
        <f>STANDARDIZE(E165,Climatology!B$6,Climatology!C$6)</f>
        <v>-0.62124975590815901</v>
      </c>
      <c r="H165" s="6">
        <f>STANDARDIZE(F165,Climatology!D$6,Climatology!E$6)</f>
        <v>0.65593090633070139</v>
      </c>
      <c r="I165" s="6">
        <f t="shared" si="2"/>
        <v>6.73215785054576</v>
      </c>
    </row>
    <row r="166" spans="1:9" x14ac:dyDescent="0.3">
      <c r="A166" s="10">
        <v>37347</v>
      </c>
      <c r="B166">
        <v>2002</v>
      </c>
      <c r="C166" t="s">
        <v>25</v>
      </c>
      <c r="D166" s="6">
        <v>2002.24999999998</v>
      </c>
      <c r="E166">
        <v>4518</v>
      </c>
      <c r="F166">
        <v>300.2</v>
      </c>
      <c r="G166" s="7">
        <f>STANDARDIZE(E166,Climatology!B$5,Climatology!C$5)</f>
        <v>-0.30001074461309729</v>
      </c>
      <c r="H166" s="6">
        <f>STANDARDIZE(F166,Climatology!D$5,Climatology!E$5)</f>
        <v>0.60553460827443761</v>
      </c>
      <c r="I166" s="6">
        <f t="shared" si="2"/>
        <v>6.6445329791943344</v>
      </c>
    </row>
    <row r="167" spans="1:9" x14ac:dyDescent="0.3">
      <c r="A167" s="10">
        <v>37316</v>
      </c>
      <c r="B167">
        <v>2002</v>
      </c>
      <c r="C167" t="s">
        <v>26</v>
      </c>
      <c r="D167" s="6">
        <v>2002.1666666666399</v>
      </c>
      <c r="E167">
        <v>2893</v>
      </c>
      <c r="F167">
        <v>202.3</v>
      </c>
      <c r="G167" s="7">
        <f>STANDARDIZE(E167,Climatology!B$4,Climatology!C$4)</f>
        <v>-0.77993512220168926</v>
      </c>
      <c r="H167" s="6">
        <f>STANDARDIZE(F167,Climatology!D$4,Climatology!E$4)</f>
        <v>5.8680133175535746E-3</v>
      </c>
      <c r="I167" s="6">
        <f t="shared" si="2"/>
        <v>6.9927410992049781</v>
      </c>
    </row>
    <row r="168" spans="1:9" x14ac:dyDescent="0.3">
      <c r="A168" s="10">
        <v>37288</v>
      </c>
      <c r="B168">
        <v>2002</v>
      </c>
      <c r="C168" t="s">
        <v>27</v>
      </c>
      <c r="D168" s="6">
        <v>2002.0833333333101</v>
      </c>
      <c r="E168">
        <v>3326</v>
      </c>
      <c r="F168">
        <v>222.4</v>
      </c>
      <c r="G168" s="7">
        <f>STANDARDIZE(E168,Climatology!B$3,Climatology!C$3)</f>
        <v>-0.65712621854988873</v>
      </c>
      <c r="H168" s="6">
        <f>STANDARDIZE(F168,Climatology!D$3,Climatology!E$3)</f>
        <v>-0.1672768235748428</v>
      </c>
      <c r="I168" s="6">
        <f t="shared" si="2"/>
        <v>6.6867107636800966</v>
      </c>
    </row>
    <row r="169" spans="1:9" x14ac:dyDescent="0.3">
      <c r="A169" s="10">
        <v>37257</v>
      </c>
      <c r="B169">
        <v>2002</v>
      </c>
      <c r="C169" t="s">
        <v>28</v>
      </c>
      <c r="D169" s="6">
        <v>2002</v>
      </c>
      <c r="E169">
        <v>6717</v>
      </c>
      <c r="F169">
        <v>393.2</v>
      </c>
      <c r="G169" s="7">
        <f>STANDARDIZE(E169,Climatology!B$2,Climatology!C$2)</f>
        <v>-4.413632372459466E-2</v>
      </c>
      <c r="H169" s="6">
        <f>STANDARDIZE(F169,Climatology!D$2,Climatology!E$2)</f>
        <v>0.1185502179323466</v>
      </c>
      <c r="I169" s="6">
        <f t="shared" si="2"/>
        <v>5.8538037814500514</v>
      </c>
    </row>
    <row r="170" spans="1:9" x14ac:dyDescent="0.3">
      <c r="A170" s="10">
        <v>37226</v>
      </c>
      <c r="B170">
        <v>2001</v>
      </c>
      <c r="C170" t="s">
        <v>17</v>
      </c>
      <c r="D170" s="6">
        <v>2001.9166666666399</v>
      </c>
      <c r="E170">
        <v>8537</v>
      </c>
      <c r="F170">
        <v>432</v>
      </c>
      <c r="G170" s="7">
        <f>STANDARDIZE(E170,Climatology!B$13,Climatology!C$13)</f>
        <v>-0.43947050617448391</v>
      </c>
      <c r="H170" s="6">
        <f>STANDARDIZE(F170,Climatology!D$13,Climatology!E$13)</f>
        <v>-0.40025858005722192</v>
      </c>
      <c r="I170" s="6">
        <f t="shared" si="2"/>
        <v>5.0603256413259929</v>
      </c>
    </row>
    <row r="171" spans="1:9" x14ac:dyDescent="0.3">
      <c r="A171" s="10">
        <v>37196</v>
      </c>
      <c r="B171">
        <v>2001</v>
      </c>
      <c r="C171" t="s">
        <v>18</v>
      </c>
      <c r="D171" s="6">
        <v>2001.8333333333101</v>
      </c>
      <c r="E171">
        <v>7734</v>
      </c>
      <c r="F171">
        <v>390.3</v>
      </c>
      <c r="G171" s="7">
        <f>STANDARDIZE(E171,Climatology!B$12,Climatology!C$12)</f>
        <v>-0.8213514634940583</v>
      </c>
      <c r="H171" s="6">
        <f>STANDARDIZE(F171,Climatology!D$12,Climatology!E$12)</f>
        <v>-0.78457324310036669</v>
      </c>
      <c r="I171" s="6">
        <f t="shared" si="2"/>
        <v>5.0465477114041892</v>
      </c>
    </row>
    <row r="172" spans="1:9" x14ac:dyDescent="0.3">
      <c r="A172" s="10">
        <v>37165</v>
      </c>
      <c r="B172">
        <v>2001</v>
      </c>
      <c r="C172" t="s">
        <v>19</v>
      </c>
      <c r="D172" s="6">
        <v>2001.74999999998</v>
      </c>
      <c r="E172">
        <v>6229</v>
      </c>
      <c r="F172">
        <v>330.4</v>
      </c>
      <c r="G172" s="7">
        <f>STANDARDIZE(E172,Climatology!B$11,Climatology!C$11)</f>
        <v>-1.1536957935889813</v>
      </c>
      <c r="H172" s="6">
        <f>STANDARDIZE(F172,Climatology!D$11,Climatology!E$11)</f>
        <v>-0.81843908926038611</v>
      </c>
      <c r="I172" s="6">
        <f t="shared" si="2"/>
        <v>5.3042221865467969</v>
      </c>
    </row>
    <row r="173" spans="1:9" x14ac:dyDescent="0.3">
      <c r="A173" s="10">
        <v>37135</v>
      </c>
      <c r="B173">
        <v>2001</v>
      </c>
      <c r="C173" t="s">
        <v>20</v>
      </c>
      <c r="D173" s="6">
        <v>2001.6666666666399</v>
      </c>
      <c r="E173">
        <v>4589</v>
      </c>
      <c r="F173">
        <v>274.10000000000002</v>
      </c>
      <c r="G173" s="7">
        <f>STANDARDIZE(E173,Climatology!B$10,Climatology!C$10)</f>
        <v>-1.440027157650325</v>
      </c>
      <c r="H173" s="6">
        <f>STANDARDIZE(F173,Climatology!D$10,Climatology!E$10)</f>
        <v>-0.88027349331640803</v>
      </c>
      <c r="I173" s="6">
        <f t="shared" si="2"/>
        <v>5.9729788624972766</v>
      </c>
    </row>
    <row r="174" spans="1:9" x14ac:dyDescent="0.3">
      <c r="A174" s="10">
        <v>37104</v>
      </c>
      <c r="B174">
        <v>2001</v>
      </c>
      <c r="C174" t="s">
        <v>21</v>
      </c>
      <c r="D174" s="6">
        <v>2001.5833333333101</v>
      </c>
      <c r="E174">
        <v>4293</v>
      </c>
      <c r="F174">
        <v>260.3</v>
      </c>
      <c r="G174" s="7">
        <f>STANDARDIZE(E174,Climatology!B$9,Climatology!C$9)</f>
        <v>-1.532125165391953</v>
      </c>
      <c r="H174" s="6">
        <f>STANDARDIZE(F174,Climatology!D$9,Climatology!E$9)</f>
        <v>-0.92163256454037712</v>
      </c>
      <c r="I174" s="6">
        <f t="shared" si="2"/>
        <v>6.0633589564407178</v>
      </c>
    </row>
    <row r="175" spans="1:9" x14ac:dyDescent="0.3">
      <c r="A175" s="10">
        <v>37073</v>
      </c>
      <c r="B175">
        <v>2001</v>
      </c>
      <c r="C175" t="s">
        <v>22</v>
      </c>
      <c r="D175" s="6">
        <v>2001.49999999998</v>
      </c>
      <c r="E175">
        <v>4890</v>
      </c>
      <c r="F175">
        <v>291.10000000000002</v>
      </c>
      <c r="G175" s="7">
        <f>STANDARDIZE(E175,Climatology!B$8,Climatology!C$8)</f>
        <v>-1.4874396860512469</v>
      </c>
      <c r="H175" s="6">
        <f>STANDARDIZE(F175,Climatology!D$8,Climatology!E$8)</f>
        <v>-0.84837320672134264</v>
      </c>
      <c r="I175" s="6">
        <f t="shared" si="2"/>
        <v>5.9529652351738243</v>
      </c>
    </row>
    <row r="176" spans="1:9" x14ac:dyDescent="0.3">
      <c r="A176" s="10">
        <v>37043</v>
      </c>
      <c r="B176">
        <v>2001</v>
      </c>
      <c r="C176" t="s">
        <v>23</v>
      </c>
      <c r="D176" s="6">
        <v>2001.4166666666399</v>
      </c>
      <c r="E176">
        <v>5872</v>
      </c>
      <c r="F176">
        <v>312</v>
      </c>
      <c r="G176" s="7">
        <f>STANDARDIZE(E176,Climatology!B$7,Climatology!C$7)</f>
        <v>-1.3531429978419998</v>
      </c>
      <c r="H176" s="6">
        <f>STANDARDIZE(F176,Climatology!D$7,Climatology!E$7)</f>
        <v>-0.73795678424129385</v>
      </c>
      <c r="I176" s="6">
        <f t="shared" si="2"/>
        <v>5.3133514986376023</v>
      </c>
    </row>
    <row r="177" spans="1:9" x14ac:dyDescent="0.3">
      <c r="A177" s="10">
        <v>37012</v>
      </c>
      <c r="B177">
        <v>2001</v>
      </c>
      <c r="C177" t="s">
        <v>24</v>
      </c>
      <c r="D177" s="6">
        <v>2001.3333333333101</v>
      </c>
      <c r="E177">
        <v>4556</v>
      </c>
      <c r="F177">
        <v>223</v>
      </c>
      <c r="G177" s="7">
        <f>STANDARDIZE(E177,Climatology!B$6,Climatology!C$6)</f>
        <v>-1.5872628362997467</v>
      </c>
      <c r="H177" s="6">
        <f>STANDARDIZE(F177,Climatology!D$6,Climatology!E$6)</f>
        <v>-0.95097245421670418</v>
      </c>
      <c r="I177" s="6">
        <f t="shared" si="2"/>
        <v>4.8946444249341523</v>
      </c>
    </row>
    <row r="178" spans="1:9" x14ac:dyDescent="0.3">
      <c r="A178" s="10">
        <v>36982</v>
      </c>
      <c r="B178">
        <v>2001</v>
      </c>
      <c r="C178" t="s">
        <v>25</v>
      </c>
      <c r="D178" s="6">
        <v>2001.24999999997</v>
      </c>
      <c r="E178">
        <v>3761</v>
      </c>
      <c r="F178">
        <v>183.9</v>
      </c>
      <c r="G178" s="7">
        <f>STANDARDIZE(E178,Climatology!B$5,Climatology!C$5)</f>
        <v>-0.84191258873448083</v>
      </c>
      <c r="H178" s="6">
        <f>STANDARDIZE(F178,Climatology!D$5,Climatology!E$5)</f>
        <v>-0.48614103927462349</v>
      </c>
      <c r="I178" s="6">
        <f t="shared" si="2"/>
        <v>4.889657006115395</v>
      </c>
    </row>
    <row r="179" spans="1:9" x14ac:dyDescent="0.3">
      <c r="A179" s="10">
        <v>36951</v>
      </c>
      <c r="B179">
        <v>2001</v>
      </c>
      <c r="C179" t="s">
        <v>26</v>
      </c>
      <c r="D179" s="6">
        <v>2001.1666666666399</v>
      </c>
      <c r="E179">
        <v>3288</v>
      </c>
      <c r="F179">
        <v>182.7</v>
      </c>
      <c r="G179" s="7">
        <f>STANDARDIZE(E179,Climatology!B$4,Climatology!C$4)</f>
        <v>-0.52878469165541897</v>
      </c>
      <c r="H179" s="6">
        <f>STANDARDIZE(F179,Climatology!D$4,Climatology!E$4)</f>
        <v>-0.20056568595636434</v>
      </c>
      <c r="I179" s="6">
        <f t="shared" si="2"/>
        <v>5.5565693430656937</v>
      </c>
    </row>
    <row r="180" spans="1:9" x14ac:dyDescent="0.3">
      <c r="A180" s="10">
        <v>36923</v>
      </c>
      <c r="B180">
        <v>2001</v>
      </c>
      <c r="C180" t="s">
        <v>27</v>
      </c>
      <c r="D180" s="6">
        <v>2001.0833333333101</v>
      </c>
      <c r="E180">
        <v>2960</v>
      </c>
      <c r="F180">
        <v>187.5</v>
      </c>
      <c r="G180" s="7">
        <f>STANDARDIZE(E180,Climatology!B$3,Climatology!C$3)</f>
        <v>-0.87051373778001007</v>
      </c>
      <c r="H180" s="6">
        <f>STANDARDIZE(F180,Climatology!D$3,Climatology!E$3)</f>
        <v>-0.4481108462037825</v>
      </c>
      <c r="I180" s="6">
        <f t="shared" si="2"/>
        <v>6.3344594594594597</v>
      </c>
    </row>
    <row r="181" spans="1:9" x14ac:dyDescent="0.3">
      <c r="A181" s="10">
        <v>36892</v>
      </c>
      <c r="B181">
        <v>2001</v>
      </c>
      <c r="C181" t="s">
        <v>28</v>
      </c>
      <c r="D181" s="6">
        <v>2001</v>
      </c>
      <c r="E181">
        <v>5239</v>
      </c>
      <c r="F181">
        <v>350.9</v>
      </c>
      <c r="G181" s="7">
        <f>STANDARDIZE(E181,Climatology!B$2,Climatology!C$2)</f>
        <v>-0.68873599235059291</v>
      </c>
      <c r="H181" s="6">
        <f>STANDARDIZE(F181,Climatology!D$2,Climatology!E$2)</f>
        <v>-0.16559949979987551</v>
      </c>
      <c r="I181" s="6">
        <f t="shared" si="2"/>
        <v>6.6978430998282112</v>
      </c>
    </row>
    <row r="182" spans="1:9" x14ac:dyDescent="0.3">
      <c r="A182" s="10">
        <v>36861</v>
      </c>
      <c r="B182">
        <v>2000</v>
      </c>
      <c r="C182" t="s">
        <v>17</v>
      </c>
      <c r="D182" s="6">
        <v>2000.9166666666399</v>
      </c>
      <c r="E182">
        <v>9162</v>
      </c>
      <c r="F182">
        <v>559.9</v>
      </c>
      <c r="G182" s="7">
        <f>STANDARDIZE(E182,Climatology!B$13,Climatology!C$13)</f>
        <v>-0.21629405565289822</v>
      </c>
      <c r="H182" s="6">
        <f>STANDARDIZE(F182,Climatology!D$13,Climatology!E$13)</f>
        <v>0.53299707577180666</v>
      </c>
      <c r="I182" s="6">
        <f t="shared" si="2"/>
        <v>6.1111111111111107</v>
      </c>
    </row>
    <row r="183" spans="1:9" x14ac:dyDescent="0.3">
      <c r="A183" s="10">
        <v>36831</v>
      </c>
      <c r="B183">
        <v>2000</v>
      </c>
      <c r="C183" t="s">
        <v>18</v>
      </c>
      <c r="D183" s="6">
        <v>2000.8333333333101</v>
      </c>
      <c r="E183">
        <v>10570</v>
      </c>
      <c r="F183">
        <v>591.5</v>
      </c>
      <c r="G183" s="7">
        <f>STANDARDIZE(E183,Climatology!B$12,Climatology!C$12)</f>
        <v>0.29290116439488456</v>
      </c>
      <c r="H183" s="6">
        <f>STANDARDIZE(F183,Climatology!D$12,Climatology!E$12)</f>
        <v>0.97329019244299575</v>
      </c>
      <c r="I183" s="6">
        <f t="shared" si="2"/>
        <v>5.5960264900662251</v>
      </c>
    </row>
    <row r="184" spans="1:9" x14ac:dyDescent="0.3">
      <c r="A184" s="10">
        <v>36800</v>
      </c>
      <c r="B184">
        <v>2000</v>
      </c>
      <c r="C184" t="s">
        <v>19</v>
      </c>
      <c r="D184" s="6">
        <v>2000.74999999997</v>
      </c>
      <c r="E184">
        <v>10234</v>
      </c>
      <c r="F184">
        <v>571.9</v>
      </c>
      <c r="G184" s="7">
        <f>STANDARDIZE(E184,Climatology!B$11,Climatology!C$11)</f>
        <v>0.90977515156015021</v>
      </c>
      <c r="H184" s="6">
        <f>STANDARDIZE(F184,Climatology!D$11,Climatology!E$11)</f>
        <v>1.173342668764896</v>
      </c>
      <c r="I184" s="6">
        <f t="shared" si="2"/>
        <v>5.5882352941176467</v>
      </c>
    </row>
    <row r="185" spans="1:9" x14ac:dyDescent="0.3">
      <c r="A185" s="10">
        <v>36770</v>
      </c>
      <c r="B185">
        <v>2000</v>
      </c>
      <c r="C185" t="s">
        <v>20</v>
      </c>
      <c r="D185" s="6">
        <v>2000.6666666666399</v>
      </c>
      <c r="E185">
        <v>8572</v>
      </c>
      <c r="F185">
        <v>525.9</v>
      </c>
      <c r="G185" s="7">
        <f>STANDARDIZE(E185,Climatology!B$10,Climatology!C$10)</f>
        <v>0.52812942969214072</v>
      </c>
      <c r="H185" s="6">
        <f>STANDARDIZE(F185,Climatology!D$10,Climatology!E$10)</f>
        <v>1.0586558752566098</v>
      </c>
      <c r="I185" s="6">
        <f t="shared" si="2"/>
        <v>6.135090993933737</v>
      </c>
    </row>
    <row r="186" spans="1:9" x14ac:dyDescent="0.3">
      <c r="A186" s="10">
        <v>36739</v>
      </c>
      <c r="B186">
        <v>2000</v>
      </c>
      <c r="C186" t="s">
        <v>21</v>
      </c>
      <c r="D186" s="6">
        <v>2000.5833333333101</v>
      </c>
      <c r="E186">
        <v>8562</v>
      </c>
      <c r="F186">
        <v>558.29999999999995</v>
      </c>
      <c r="G186" s="7">
        <f>STANDARDIZE(E186,Climatology!B$9,Climatology!C$9)</f>
        <v>0.62027042769547047</v>
      </c>
      <c r="H186" s="6">
        <f>STANDARDIZE(F186,Climatology!D$9,Climatology!E$9)</f>
        <v>1.3721126984538337</v>
      </c>
      <c r="I186" s="6">
        <f t="shared" si="2"/>
        <v>6.5206727400140148</v>
      </c>
    </row>
    <row r="187" spans="1:9" x14ac:dyDescent="0.3">
      <c r="A187" s="10">
        <v>36708</v>
      </c>
      <c r="B187">
        <v>2000</v>
      </c>
      <c r="C187" t="s">
        <v>22</v>
      </c>
      <c r="D187" s="6">
        <v>2000.49999999997</v>
      </c>
      <c r="E187">
        <v>9573</v>
      </c>
      <c r="F187">
        <v>573.20000000000005</v>
      </c>
      <c r="G187" s="7">
        <f>STANDARDIZE(E187,Climatology!B$8,Climatology!C$8)</f>
        <v>0.82025875435686169</v>
      </c>
      <c r="H187" s="6">
        <f>STANDARDIZE(F187,Climatology!D$8,Climatology!E$8)</f>
        <v>1.4086899686836967</v>
      </c>
      <c r="I187" s="6">
        <f t="shared" si="2"/>
        <v>5.9876736655176019</v>
      </c>
    </row>
    <row r="188" spans="1:9" x14ac:dyDescent="0.3">
      <c r="A188" s="10">
        <v>36678</v>
      </c>
      <c r="B188">
        <v>2000</v>
      </c>
      <c r="C188" t="s">
        <v>23</v>
      </c>
      <c r="D188" s="6">
        <v>2000.4166666666399</v>
      </c>
      <c r="E188">
        <v>8971</v>
      </c>
      <c r="F188">
        <v>513.29999999999995</v>
      </c>
      <c r="G188" s="7">
        <f>STANDARDIZE(E188,Climatology!B$7,Climatology!C$7)</f>
        <v>0.48529987835225169</v>
      </c>
      <c r="H188" s="6">
        <f>STANDARDIZE(F188,Climatology!D$7,Climatology!E$7)</f>
        <v>1.0652806601356462</v>
      </c>
      <c r="I188" s="6">
        <f t="shared" si="2"/>
        <v>5.721770148255489</v>
      </c>
    </row>
    <row r="189" spans="1:9" x14ac:dyDescent="0.3">
      <c r="A189" s="10">
        <v>36647</v>
      </c>
      <c r="B189">
        <v>2000</v>
      </c>
      <c r="C189" t="s">
        <v>24</v>
      </c>
      <c r="D189" s="6">
        <v>2000.3333333333101</v>
      </c>
      <c r="E189">
        <v>6923</v>
      </c>
      <c r="F189">
        <v>421</v>
      </c>
      <c r="G189" s="7">
        <f>STANDARDIZE(E189,Climatology!B$6,Climatology!C$6)</f>
        <v>4.7156721446420712E-2</v>
      </c>
      <c r="H189" s="6">
        <f>STANDARDIZE(F189,Climatology!D$6,Climatology!E$6)</f>
        <v>0.83748659799457381</v>
      </c>
      <c r="I189" s="6">
        <f t="shared" si="2"/>
        <v>6.0811786797631084</v>
      </c>
    </row>
    <row r="190" spans="1:9" x14ac:dyDescent="0.3">
      <c r="A190" s="10">
        <v>36617</v>
      </c>
      <c r="B190">
        <v>2000</v>
      </c>
      <c r="C190" t="s">
        <v>25</v>
      </c>
      <c r="D190" s="6">
        <v>2000.24999999997</v>
      </c>
      <c r="E190">
        <v>5630</v>
      </c>
      <c r="F190">
        <v>361.7</v>
      </c>
      <c r="G190" s="7">
        <f>STANDARDIZE(E190,Climatology!B$5,Climatology!C$5)</f>
        <v>0.4960194412032547</v>
      </c>
      <c r="H190" s="6">
        <f>STANDARDIZE(F190,Climatology!D$5,Climatology!E$5)</f>
        <v>1.1828179472621183</v>
      </c>
      <c r="I190" s="6">
        <f t="shared" si="2"/>
        <v>6.4245115452930728</v>
      </c>
    </row>
    <row r="191" spans="1:9" x14ac:dyDescent="0.3">
      <c r="A191" s="10">
        <v>36586</v>
      </c>
      <c r="B191">
        <v>2000</v>
      </c>
      <c r="C191" t="s">
        <v>26</v>
      </c>
      <c r="D191" s="6">
        <v>2000.1666666666399</v>
      </c>
      <c r="E191">
        <v>5976</v>
      </c>
      <c r="F191">
        <v>395.6</v>
      </c>
      <c r="G191" s="7">
        <f>STANDARDIZE(E191,Climatology!B$4,Climatology!C$4)</f>
        <v>1.1803098838088208</v>
      </c>
      <c r="H191" s="6">
        <f>STANDARDIZE(F191,Climatology!D$4,Climatology!E$4)</f>
        <v>2.0417677107485885</v>
      </c>
      <c r="I191" s="6">
        <f t="shared" si="2"/>
        <v>6.619812583668006</v>
      </c>
    </row>
    <row r="192" spans="1:9" x14ac:dyDescent="0.3">
      <c r="A192" s="10">
        <v>36557</v>
      </c>
      <c r="B192">
        <v>2000</v>
      </c>
      <c r="C192" t="s">
        <v>27</v>
      </c>
      <c r="D192" s="6">
        <v>2000.0833333333101</v>
      </c>
      <c r="E192">
        <v>6093</v>
      </c>
      <c r="F192">
        <v>477</v>
      </c>
      <c r="G192" s="7">
        <f>STANDARDIZE(E192,Climatology!B$3,Climatology!C$3)</f>
        <v>0.95610674787018135</v>
      </c>
      <c r="H192" s="6">
        <f>STANDARDIZE(F192,Climatology!D$3,Climatology!E$3)</f>
        <v>1.8814435821938686</v>
      </c>
      <c r="I192" s="6">
        <f t="shared" si="2"/>
        <v>7.8286558345642536</v>
      </c>
    </row>
    <row r="193" spans="1:9" x14ac:dyDescent="0.3">
      <c r="A193" s="10">
        <v>36526</v>
      </c>
      <c r="B193">
        <v>2000</v>
      </c>
      <c r="C193" t="s">
        <v>28</v>
      </c>
      <c r="D193" s="6">
        <v>2000</v>
      </c>
      <c r="E193">
        <v>10812</v>
      </c>
      <c r="F193">
        <v>592</v>
      </c>
      <c r="G193" s="7">
        <f>STANDARDIZE(E193,Climatology!B$2,Climatology!C$2)</f>
        <v>1.7418147202696292</v>
      </c>
      <c r="H193" s="6">
        <f>STANDARDIZE(F193,Climatology!D$2,Climatology!E$2)</f>
        <v>1.4539867163996218</v>
      </c>
      <c r="I193" s="6">
        <f t="shared" si="2"/>
        <v>5.4753977062523118</v>
      </c>
    </row>
    <row r="194" spans="1:9" x14ac:dyDescent="0.3">
      <c r="A194" s="10">
        <v>36495</v>
      </c>
      <c r="B194">
        <v>1999</v>
      </c>
      <c r="C194" t="s">
        <v>17</v>
      </c>
      <c r="D194" s="6">
        <v>1999.9166666660001</v>
      </c>
      <c r="E194">
        <v>13023</v>
      </c>
      <c r="F194">
        <v>628.70000000000005</v>
      </c>
      <c r="G194" s="7">
        <f>STANDARDIZE(E194,Climatology!B$13,Climatology!C$13)</f>
        <v>1.1624007850892495</v>
      </c>
      <c r="H194" s="6">
        <f>STANDARDIZE(F194,Climatology!D$13,Climatology!E$13)</f>
        <v>1.0350141916516913</v>
      </c>
      <c r="I194" s="6">
        <f t="shared" si="2"/>
        <v>4.827612685249175</v>
      </c>
    </row>
    <row r="195" spans="1:9" x14ac:dyDescent="0.3">
      <c r="A195" s="10">
        <v>36465</v>
      </c>
      <c r="B195">
        <v>1999</v>
      </c>
      <c r="C195" t="s">
        <v>18</v>
      </c>
      <c r="D195" s="6">
        <v>1999.83333333264</v>
      </c>
      <c r="E195">
        <v>13378</v>
      </c>
      <c r="F195">
        <v>620.9</v>
      </c>
      <c r="G195" s="7">
        <f>STANDARDIZE(E195,Climatology!B$12,Climatology!C$12)</f>
        <v>1.3961527085105938</v>
      </c>
      <c r="H195" s="6">
        <f>STANDARDIZE(F195,Climatology!D$12,Climatology!E$12)</f>
        <v>1.2301549290482385</v>
      </c>
      <c r="I195" s="6">
        <f t="shared" ref="I195:I258" si="3">F195/E195*100</f>
        <v>4.6412019733891459</v>
      </c>
    </row>
    <row r="196" spans="1:9" x14ac:dyDescent="0.3">
      <c r="A196" s="10">
        <v>36434</v>
      </c>
      <c r="B196">
        <v>1999</v>
      </c>
      <c r="C196" t="s">
        <v>19</v>
      </c>
      <c r="D196" s="6">
        <v>1999.7499999992799</v>
      </c>
      <c r="E196">
        <v>11434</v>
      </c>
      <c r="F196">
        <v>572.79999999999995</v>
      </c>
      <c r="G196" s="7">
        <f>STANDARDIZE(E196,Climatology!B$11,Climatology!C$11)</f>
        <v>1.5280435995449086</v>
      </c>
      <c r="H196" s="6">
        <f>STANDARDIZE(F196,Climatology!D$11,Climatology!E$11)</f>
        <v>1.1807654579252385</v>
      </c>
      <c r="I196" s="6">
        <f t="shared" si="3"/>
        <v>5.0096204302956089</v>
      </c>
    </row>
    <row r="197" spans="1:9" x14ac:dyDescent="0.3">
      <c r="A197" s="10">
        <v>36404</v>
      </c>
      <c r="B197">
        <v>1999</v>
      </c>
      <c r="C197" t="s">
        <v>20</v>
      </c>
      <c r="D197" s="6">
        <v>1999.66666666592</v>
      </c>
      <c r="E197">
        <v>9594</v>
      </c>
      <c r="F197">
        <v>552.9</v>
      </c>
      <c r="G197" s="7">
        <f>STANDARDIZE(E197,Climatology!B$10,Climatology!C$10)</f>
        <v>1.0331397315409985</v>
      </c>
      <c r="H197" s="6">
        <f>STANDARDIZE(F197,Climatology!D$10,Climatology!E$10)</f>
        <v>1.2665633135070924</v>
      </c>
      <c r="I197" s="6">
        <f t="shared" si="3"/>
        <v>5.7629768605378358</v>
      </c>
    </row>
    <row r="198" spans="1:9" x14ac:dyDescent="0.3">
      <c r="A198" s="10">
        <v>36373</v>
      </c>
      <c r="B198">
        <v>1999</v>
      </c>
      <c r="C198" t="s">
        <v>21</v>
      </c>
      <c r="D198" s="6">
        <v>1999.58333333256</v>
      </c>
      <c r="E198">
        <v>9733</v>
      </c>
      <c r="F198">
        <v>548.9</v>
      </c>
      <c r="G198" s="7">
        <f>STANDARDIZE(E198,Climatology!B$9,Climatology!C$9)</f>
        <v>1.2106792446327796</v>
      </c>
      <c r="H198" s="6">
        <f>STANDARDIZE(F198,Climatology!D$9,Climatology!E$9)</f>
        <v>1.299759659956701</v>
      </c>
      <c r="I198" s="6">
        <f t="shared" si="3"/>
        <v>5.6395766978321173</v>
      </c>
    </row>
    <row r="199" spans="1:9" x14ac:dyDescent="0.3">
      <c r="A199" s="10">
        <v>36342</v>
      </c>
      <c r="B199">
        <v>1999</v>
      </c>
      <c r="C199" t="s">
        <v>22</v>
      </c>
      <c r="D199" s="6">
        <v>1999.4999999992001</v>
      </c>
      <c r="E199">
        <v>10986</v>
      </c>
      <c r="F199">
        <v>548.6</v>
      </c>
      <c r="G199" s="7">
        <f>STANDARDIZE(E199,Climatology!B$8,Climatology!C$8)</f>
        <v>1.5165598212577067</v>
      </c>
      <c r="H199" s="6">
        <f>STANDARDIZE(F199,Climatology!D$8,Climatology!E$8)</f>
        <v>1.2118670189674117</v>
      </c>
      <c r="I199" s="6">
        <f t="shared" si="3"/>
        <v>4.993628254141635</v>
      </c>
    </row>
    <row r="200" spans="1:9" x14ac:dyDescent="0.3">
      <c r="A200" s="10">
        <v>36312</v>
      </c>
      <c r="B200">
        <v>1999</v>
      </c>
      <c r="C200" t="s">
        <v>23</v>
      </c>
      <c r="D200" s="6">
        <v>1999.41666666584</v>
      </c>
      <c r="E200">
        <v>10328</v>
      </c>
      <c r="F200">
        <v>533.29999999999995</v>
      </c>
      <c r="G200" s="7">
        <f>STANDARDIZE(E200,Climatology!B$7,Climatology!C$7)</f>
        <v>1.2903231061662561</v>
      </c>
      <c r="H200" s="6">
        <f>STANDARDIZE(F200,Climatology!D$7,Climatology!E$7)</f>
        <v>1.2444398697110997</v>
      </c>
      <c r="I200" s="6">
        <f t="shared" si="3"/>
        <v>5.1636328427575515</v>
      </c>
    </row>
    <row r="201" spans="1:9" x14ac:dyDescent="0.3">
      <c r="A201" s="10">
        <v>36281</v>
      </c>
      <c r="B201">
        <v>1999</v>
      </c>
      <c r="C201" t="s">
        <v>24</v>
      </c>
      <c r="D201" s="6">
        <v>1999.3333333324799</v>
      </c>
      <c r="E201">
        <v>9334</v>
      </c>
      <c r="F201">
        <v>513.1</v>
      </c>
      <c r="G201" s="7">
        <f>STANDARDIZE(E201,Climatology!B$6,Climatology!C$6)</f>
        <v>1.7119583917996146</v>
      </c>
      <c r="H201" s="6">
        <f>STANDARDIZE(F201,Climatology!D$6,Climatology!E$6)</f>
        <v>1.6693910359170927</v>
      </c>
      <c r="I201" s="6">
        <f t="shared" si="3"/>
        <v>5.4971073494750371</v>
      </c>
    </row>
    <row r="202" spans="1:9" x14ac:dyDescent="0.3">
      <c r="A202" s="10">
        <v>36251</v>
      </c>
      <c r="B202">
        <v>1999</v>
      </c>
      <c r="C202" t="s">
        <v>25</v>
      </c>
      <c r="D202" s="6">
        <v>1999.2499999991201</v>
      </c>
      <c r="E202">
        <v>8431</v>
      </c>
      <c r="F202">
        <v>471.8</v>
      </c>
      <c r="G202" s="7">
        <f>STANDARDIZE(E202,Climatology!B$5,Climatology!C$5)</f>
        <v>2.5011278499007386</v>
      </c>
      <c r="H202" s="6">
        <f>STANDARDIZE(F202,Climatology!D$5,Climatology!E$5)</f>
        <v>2.216295924864454</v>
      </c>
      <c r="I202" s="6">
        <f t="shared" si="3"/>
        <v>5.5960147076266162</v>
      </c>
    </row>
    <row r="203" spans="1:9" x14ac:dyDescent="0.3">
      <c r="A203" s="10">
        <v>36220</v>
      </c>
      <c r="B203">
        <v>1999</v>
      </c>
      <c r="C203" t="s">
        <v>26</v>
      </c>
      <c r="D203" s="6">
        <v>1999.16666666576</v>
      </c>
      <c r="E203">
        <v>8077</v>
      </c>
      <c r="F203">
        <v>463.5</v>
      </c>
      <c r="G203" s="7">
        <f>STANDARDIZE(E203,Climatology!B$4,Climatology!C$4)</f>
        <v>2.5161758447650588</v>
      </c>
      <c r="H203" s="6">
        <f>STANDARDIZE(F203,Climatology!D$4,Climatology!E$4)</f>
        <v>2.7569130260903743</v>
      </c>
      <c r="I203" s="6">
        <f t="shared" si="3"/>
        <v>5.7385167760307043</v>
      </c>
    </row>
    <row r="204" spans="1:9" x14ac:dyDescent="0.3">
      <c r="A204" s="10">
        <v>36192</v>
      </c>
      <c r="B204">
        <v>1999</v>
      </c>
      <c r="C204" t="s">
        <v>27</v>
      </c>
      <c r="D204" s="6">
        <v>1999.0833333323999</v>
      </c>
      <c r="E204">
        <v>7315</v>
      </c>
      <c r="F204">
        <v>465.3</v>
      </c>
      <c r="G204" s="7">
        <f>STANDARDIZE(E204,Climatology!B$3,Climatology!C$3)</f>
        <v>1.6685645306549033</v>
      </c>
      <c r="H204" s="6">
        <f>STANDARDIZE(F204,Climatology!D$3,Climatology!E$3)</f>
        <v>1.7872957866420465</v>
      </c>
      <c r="I204" s="6">
        <f t="shared" si="3"/>
        <v>6.3609022556390977</v>
      </c>
    </row>
    <row r="205" spans="1:9" x14ac:dyDescent="0.3">
      <c r="A205" s="10">
        <v>36161</v>
      </c>
      <c r="B205">
        <v>1999</v>
      </c>
      <c r="C205" t="s">
        <v>28</v>
      </c>
      <c r="D205" s="6">
        <v>1998.99999999904</v>
      </c>
      <c r="E205">
        <v>9849</v>
      </c>
      <c r="F205">
        <v>534.20000000000005</v>
      </c>
      <c r="G205" s="7">
        <f>STANDARDIZE(E205,Climatology!B$2,Climatology!C$2)</f>
        <v>1.3218218373962622</v>
      </c>
      <c r="H205" s="6">
        <f>STANDARDIZE(F205,Climatology!D$2,Climatology!E$2)</f>
        <v>1.0657159437064205</v>
      </c>
      <c r="I205" s="6">
        <f t="shared" si="3"/>
        <v>5.4239009036450403</v>
      </c>
    </row>
    <row r="206" spans="1:9" x14ac:dyDescent="0.3">
      <c r="A206" s="10">
        <v>36130</v>
      </c>
      <c r="B206">
        <v>1998</v>
      </c>
      <c r="C206" t="s">
        <v>17</v>
      </c>
      <c r="D206" s="6">
        <v>1998.9166666656799</v>
      </c>
      <c r="E206">
        <v>11020</v>
      </c>
      <c r="F206">
        <v>539.79999999999995</v>
      </c>
      <c r="G206" s="7">
        <f>STANDARDIZE(E206,Climatology!B$13,Climatology!C$13)</f>
        <v>0.44716489645767166</v>
      </c>
      <c r="H206" s="6">
        <f>STANDARDIZE(F206,Climatology!D$13,Climatology!E$13)</f>
        <v>0.38633219162666593</v>
      </c>
      <c r="I206" s="6">
        <f t="shared" si="3"/>
        <v>4.8983666061705984</v>
      </c>
    </row>
    <row r="207" spans="1:9" x14ac:dyDescent="0.3">
      <c r="A207" s="10">
        <v>36100</v>
      </c>
      <c r="B207">
        <v>1998</v>
      </c>
      <c r="C207" t="s">
        <v>18</v>
      </c>
      <c r="D207" s="6">
        <v>1998.8333333323201</v>
      </c>
      <c r="E207">
        <v>9981</v>
      </c>
      <c r="F207">
        <v>521.29999999999995</v>
      </c>
      <c r="G207" s="7">
        <f>STANDARDIZE(E207,Climatology!B$12,Climatology!C$12)</f>
        <v>6.1485509307935601E-2</v>
      </c>
      <c r="H207" s="6">
        <f>STANDARDIZE(F207,Climatology!D$12,Climatology!E$12)</f>
        <v>0.35996010707945636</v>
      </c>
      <c r="I207" s="6">
        <f t="shared" si="3"/>
        <v>5.2229235547540327</v>
      </c>
    </row>
    <row r="208" spans="1:9" x14ac:dyDescent="0.3">
      <c r="A208" s="10">
        <v>36069</v>
      </c>
      <c r="B208">
        <v>1998</v>
      </c>
      <c r="C208" t="s">
        <v>19</v>
      </c>
      <c r="D208" s="6">
        <v>1998.74999999896</v>
      </c>
      <c r="E208">
        <v>9307</v>
      </c>
      <c r="F208">
        <v>499.5</v>
      </c>
      <c r="G208" s="7">
        <f>STANDARDIZE(E208,Climatology!B$11,Climatology!C$11)</f>
        <v>0.43216277549192428</v>
      </c>
      <c r="H208" s="6">
        <f>STANDARDIZE(F208,Climatology!D$11,Climatology!E$11)</f>
        <v>0.57622051853288625</v>
      </c>
      <c r="I208" s="6">
        <f t="shared" si="3"/>
        <v>5.3669281186203932</v>
      </c>
    </row>
    <row r="209" spans="1:9" x14ac:dyDescent="0.3">
      <c r="A209" s="10">
        <v>36039</v>
      </c>
      <c r="B209">
        <v>1998</v>
      </c>
      <c r="C209" t="s">
        <v>20</v>
      </c>
      <c r="D209" s="6">
        <v>1998.6666666655999</v>
      </c>
      <c r="E209">
        <v>8481</v>
      </c>
      <c r="F209">
        <v>477.7</v>
      </c>
      <c r="G209" s="7">
        <f>STANDARDIZE(E209,Climatology!B$10,Climatology!C$10)</f>
        <v>0.48316275897957123</v>
      </c>
      <c r="H209" s="6">
        <f>STANDARDIZE(F209,Climatology!D$10,Climatology!E$10)</f>
        <v>0.68750259660204482</v>
      </c>
      <c r="I209" s="6">
        <f t="shared" si="3"/>
        <v>5.6325904964037257</v>
      </c>
    </row>
    <row r="210" spans="1:9" x14ac:dyDescent="0.3">
      <c r="A210" s="10">
        <v>36008</v>
      </c>
      <c r="B210">
        <v>1998</v>
      </c>
      <c r="C210" t="s">
        <v>21</v>
      </c>
      <c r="D210" s="6">
        <v>1998.58333333224</v>
      </c>
      <c r="E210">
        <v>8307</v>
      </c>
      <c r="F210">
        <v>465</v>
      </c>
      <c r="G210" s="7">
        <f>STANDARDIZE(E210,Climatology!B$9,Climatology!C$9)</f>
        <v>0.49170147097556116</v>
      </c>
      <c r="H210" s="6">
        <f>STANDARDIZE(F210,Climatology!D$9,Climatology!E$9)</f>
        <v>0.65397030571101555</v>
      </c>
      <c r="I210" s="6">
        <f t="shared" si="3"/>
        <v>5.5976886962802457</v>
      </c>
    </row>
    <row r="211" spans="1:9" x14ac:dyDescent="0.3">
      <c r="A211" s="10">
        <v>35977</v>
      </c>
      <c r="B211">
        <v>1998</v>
      </c>
      <c r="C211" t="s">
        <v>22</v>
      </c>
      <c r="D211" s="6">
        <v>1998.49999999888</v>
      </c>
      <c r="E211">
        <v>8634</v>
      </c>
      <c r="F211">
        <v>449.2</v>
      </c>
      <c r="G211" s="7">
        <f>STANDARDIZE(E211,Climatology!B$8,Climatology!C$8)</f>
        <v>0.3575363893038585</v>
      </c>
      <c r="H211" s="6">
        <f>STANDARDIZE(F211,Climatology!D$8,Climatology!E$8)</f>
        <v>0.4165742871869757</v>
      </c>
      <c r="I211" s="6">
        <f t="shared" si="3"/>
        <v>5.2026870511929575</v>
      </c>
    </row>
    <row r="212" spans="1:9" x14ac:dyDescent="0.3">
      <c r="A212" s="10">
        <v>35947</v>
      </c>
      <c r="B212">
        <v>1998</v>
      </c>
      <c r="C212" t="s">
        <v>23</v>
      </c>
      <c r="D212" s="6">
        <v>1998.4166666655201</v>
      </c>
      <c r="E212">
        <v>8008</v>
      </c>
      <c r="F212">
        <v>402.8</v>
      </c>
      <c r="G212" s="7">
        <f>STANDARDIZE(E212,Climatology!B$7,Climatology!C$7)</f>
        <v>-8.5987791791363732E-2</v>
      </c>
      <c r="H212" s="6">
        <f>STANDARDIZE(F212,Climatology!D$7,Climatology!E$7)</f>
        <v>7.5426027231265597E-2</v>
      </c>
      <c r="I212" s="6">
        <f t="shared" si="3"/>
        <v>5.0299700299700305</v>
      </c>
    </row>
    <row r="213" spans="1:9" x14ac:dyDescent="0.3">
      <c r="A213" s="10">
        <v>35916</v>
      </c>
      <c r="B213">
        <v>1998</v>
      </c>
      <c r="C213" t="s">
        <v>24</v>
      </c>
      <c r="D213" s="6">
        <v>1998.33333333216</v>
      </c>
      <c r="E213">
        <v>6514</v>
      </c>
      <c r="F213">
        <v>319</v>
      </c>
      <c r="G213" s="7">
        <f>STANDARDIZE(E213,Climatology!B$6,Climatology!C$6)</f>
        <v>-0.23525882528707423</v>
      </c>
      <c r="H213" s="6">
        <f>STANDARDIZE(F213,Climatology!D$6,Climatology!E$6)</f>
        <v>-8.3840792538508818E-2</v>
      </c>
      <c r="I213" s="6">
        <f t="shared" si="3"/>
        <v>4.8971446116057722</v>
      </c>
    </row>
    <row r="214" spans="1:9" x14ac:dyDescent="0.3">
      <c r="A214" s="10">
        <v>35886</v>
      </c>
      <c r="B214">
        <v>1998</v>
      </c>
      <c r="C214" t="s">
        <v>25</v>
      </c>
      <c r="D214" s="6">
        <v>1998.2499999987999</v>
      </c>
      <c r="E214">
        <v>4127</v>
      </c>
      <c r="F214">
        <v>204.5</v>
      </c>
      <c r="G214" s="7">
        <f>STANDARDIZE(E214,Climatology!B$5,Climatology!C$5)</f>
        <v>-0.57990984771938647</v>
      </c>
      <c r="H214" s="6">
        <f>STANDARDIZE(F214,Climatology!D$5,Climatology!E$5)</f>
        <v>-0.29277458751614838</v>
      </c>
      <c r="I214" s="6">
        <f t="shared" si="3"/>
        <v>4.9551732493336571</v>
      </c>
    </row>
    <row r="215" spans="1:9" x14ac:dyDescent="0.3">
      <c r="A215" s="10">
        <v>35855</v>
      </c>
      <c r="B215">
        <v>1998</v>
      </c>
      <c r="C215" t="s">
        <v>26</v>
      </c>
      <c r="D215" s="6">
        <v>1998.1666666654401</v>
      </c>
      <c r="E215">
        <v>2533</v>
      </c>
      <c r="F215">
        <v>142.1</v>
      </c>
      <c r="G215" s="7">
        <f>STANDARDIZE(E215,Climatology!B$4,Climatology!C$4)</f>
        <v>-1.0088317171299357</v>
      </c>
      <c r="H215" s="6">
        <f>STANDARDIZE(F215,Climatology!D$4,Climatology!E$4)</f>
        <v>-0.6281783487380509</v>
      </c>
      <c r="I215" s="6">
        <f t="shared" si="3"/>
        <v>5.6099486774575604</v>
      </c>
    </row>
    <row r="216" spans="1:9" x14ac:dyDescent="0.3">
      <c r="A216" s="10">
        <v>35827</v>
      </c>
      <c r="B216">
        <v>1998</v>
      </c>
      <c r="C216" t="s">
        <v>27</v>
      </c>
      <c r="D216" s="6">
        <v>1998.08333333208</v>
      </c>
      <c r="E216">
        <v>2746</v>
      </c>
      <c r="F216">
        <v>135.80000000000001</v>
      </c>
      <c r="G216" s="7">
        <f>STANDARDIZE(E216,Climatology!B$3,Climatology!C$3)</f>
        <v>-0.9952813036686603</v>
      </c>
      <c r="H216" s="6">
        <f>STANDARDIZE(F216,Climatology!D$3,Climatology!E$3)</f>
        <v>-0.86413144706097944</v>
      </c>
      <c r="I216" s="6">
        <f t="shared" si="3"/>
        <v>4.9453750910415151</v>
      </c>
    </row>
    <row r="217" spans="1:9" x14ac:dyDescent="0.3">
      <c r="A217" s="10">
        <v>35796</v>
      </c>
      <c r="B217">
        <v>1998</v>
      </c>
      <c r="C217" t="s">
        <v>28</v>
      </c>
      <c r="D217" s="6">
        <v>1997.9999999987201</v>
      </c>
      <c r="E217">
        <v>2626</v>
      </c>
      <c r="F217">
        <v>143.4</v>
      </c>
      <c r="G217" s="7">
        <f>STANDARDIZE(E217,Climatology!B$2,Climatology!C$2)</f>
        <v>-1.8283428489945261</v>
      </c>
      <c r="H217" s="6">
        <f>STANDARDIZE(F217,Climatology!D$2,Climatology!E$2)</f>
        <v>-1.5594781387936358</v>
      </c>
      <c r="I217" s="6">
        <f t="shared" si="3"/>
        <v>5.4607768469154614</v>
      </c>
    </row>
    <row r="218" spans="1:9" x14ac:dyDescent="0.3">
      <c r="A218" s="10">
        <v>35765</v>
      </c>
      <c r="B218">
        <v>1997</v>
      </c>
      <c r="C218" t="s">
        <v>17</v>
      </c>
      <c r="D218" s="6">
        <v>1997.91666666536</v>
      </c>
      <c r="E218">
        <v>4819</v>
      </c>
      <c r="F218">
        <v>251</v>
      </c>
      <c r="G218" s="7">
        <f>STANDARDIZE(E218,Climatology!B$13,Climatology!C$13)</f>
        <v>-1.7671025750372926</v>
      </c>
      <c r="H218" s="6">
        <f>STANDARDIZE(F218,Climatology!D$13,Climatology!E$13)</f>
        <v>-1.7209722134040102</v>
      </c>
      <c r="I218" s="6">
        <f t="shared" si="3"/>
        <v>5.2085494915957664</v>
      </c>
    </row>
    <row r="219" spans="1:9" x14ac:dyDescent="0.3">
      <c r="A219" s="10">
        <v>35735</v>
      </c>
      <c r="B219">
        <v>1997</v>
      </c>
      <c r="C219" t="s">
        <v>18</v>
      </c>
      <c r="D219" s="6">
        <v>1997.8333333319999</v>
      </c>
      <c r="E219">
        <v>5662</v>
      </c>
      <c r="F219">
        <v>280.3</v>
      </c>
      <c r="G219" s="7">
        <f>STANDARDIZE(E219,Climatology!B$12,Climatology!C$12)</f>
        <v>-1.6354316627133423</v>
      </c>
      <c r="H219" s="6">
        <f>STANDARDIZE(F219,Climatology!D$12,Climatology!E$12)</f>
        <v>-1.7456317814193025</v>
      </c>
      <c r="I219" s="6">
        <f t="shared" si="3"/>
        <v>4.9505475097138829</v>
      </c>
    </row>
    <row r="220" spans="1:9" x14ac:dyDescent="0.3">
      <c r="A220" s="10">
        <v>35704</v>
      </c>
      <c r="B220">
        <v>1997</v>
      </c>
      <c r="C220" t="s">
        <v>19</v>
      </c>
      <c r="D220" s="6">
        <v>1997.7499999986401</v>
      </c>
      <c r="E220">
        <v>5039</v>
      </c>
      <c r="F220">
        <v>251</v>
      </c>
      <c r="G220" s="7">
        <f>STANDARDIZE(E220,Climatology!B$11,Climatology!C$11)</f>
        <v>-1.7668120045072002</v>
      </c>
      <c r="H220" s="6">
        <f>STANDARDIZE(F220,Climatology!D$11,Climatology!E$11)</f>
        <v>-1.4732940440728388</v>
      </c>
      <c r="I220" s="6">
        <f t="shared" si="3"/>
        <v>4.9811470529867039</v>
      </c>
    </row>
    <row r="221" spans="1:9" x14ac:dyDescent="0.3">
      <c r="A221" s="10">
        <v>35674</v>
      </c>
      <c r="B221">
        <v>1997</v>
      </c>
      <c r="C221" t="s">
        <v>20</v>
      </c>
      <c r="D221" s="6">
        <v>1997.66666666528</v>
      </c>
      <c r="E221">
        <v>3661</v>
      </c>
      <c r="F221">
        <v>188.8</v>
      </c>
      <c r="G221" s="7">
        <f>STANDARDIZE(E221,Climatology!B$10,Climatology!C$10)</f>
        <v>-1.8985883710708142</v>
      </c>
      <c r="H221" s="6">
        <f>STANDARDIZE(F221,Climatology!D$10,Climatology!E$10)</f>
        <v>-1.5371069926781176</v>
      </c>
      <c r="I221" s="6">
        <f t="shared" si="3"/>
        <v>5.1570609123190385</v>
      </c>
    </row>
    <row r="222" spans="1:9" x14ac:dyDescent="0.3">
      <c r="A222" s="10">
        <v>35643</v>
      </c>
      <c r="B222">
        <v>1997</v>
      </c>
      <c r="C222" t="s">
        <v>21</v>
      </c>
      <c r="D222" s="6">
        <v>1997.5833333319199</v>
      </c>
      <c r="E222">
        <v>3728</v>
      </c>
      <c r="F222">
        <v>188.8</v>
      </c>
      <c r="G222" s="7">
        <f>STANDARDIZE(E222,Climatology!B$9,Climatology!C$9)</f>
        <v>-1.816993638124301</v>
      </c>
      <c r="H222" s="6">
        <f>STANDARDIZE(F222,Climatology!D$9,Climatology!E$9)</f>
        <v>-1.4719774850238876</v>
      </c>
      <c r="I222" s="6">
        <f t="shared" si="3"/>
        <v>5.0643776824034337</v>
      </c>
    </row>
    <row r="223" spans="1:9" x14ac:dyDescent="0.3">
      <c r="A223" s="10">
        <v>35612</v>
      </c>
      <c r="B223">
        <v>1997</v>
      </c>
      <c r="C223" t="s">
        <v>22</v>
      </c>
      <c r="D223" s="6">
        <v>1997.49999999856</v>
      </c>
      <c r="E223">
        <v>5066</v>
      </c>
      <c r="F223">
        <v>251.2</v>
      </c>
      <c r="G223" s="7">
        <f>STANDARDIZE(E223,Climatology!B$8,Climatology!C$8)</f>
        <v>-1.4007100414832718</v>
      </c>
      <c r="H223" s="6">
        <f>STANDARDIZE(F223,Climatology!D$8,Climatology!E$8)</f>
        <v>-1.1676104300416588</v>
      </c>
      <c r="I223" s="6">
        <f t="shared" si="3"/>
        <v>4.9585471772601659</v>
      </c>
    </row>
    <row r="224" spans="1:9" x14ac:dyDescent="0.3">
      <c r="A224" s="10">
        <v>35582</v>
      </c>
      <c r="B224">
        <v>1997</v>
      </c>
      <c r="C224" t="s">
        <v>23</v>
      </c>
      <c r="D224" s="6">
        <v>1997.4166666652</v>
      </c>
      <c r="E224">
        <v>5438</v>
      </c>
      <c r="F224">
        <v>219.6</v>
      </c>
      <c r="G224" s="7">
        <f>STANDARDIZE(E224,Climatology!B$7,Climatology!C$7)</f>
        <v>-1.6106080537530374</v>
      </c>
      <c r="H224" s="6">
        <f>STANDARDIZE(F224,Climatology!D$7,Climatology!E$7)</f>
        <v>-1.5656723324798894</v>
      </c>
      <c r="I224" s="6">
        <f t="shared" si="3"/>
        <v>4.0382493563810229</v>
      </c>
    </row>
    <row r="225" spans="1:9" x14ac:dyDescent="0.3">
      <c r="A225" s="10">
        <v>35551</v>
      </c>
      <c r="B225">
        <v>1997</v>
      </c>
      <c r="C225" t="s">
        <v>24</v>
      </c>
      <c r="D225" s="6">
        <v>1997.3333333318401</v>
      </c>
      <c r="E225">
        <v>4582</v>
      </c>
      <c r="F225">
        <v>173.5</v>
      </c>
      <c r="G225" s="7">
        <f>STANDARDIZE(E225,Climatology!B$6,Climatology!C$6)</f>
        <v>-1.5693097697592313</v>
      </c>
      <c r="H225" s="6">
        <f>STANDARDIZE(F225,Climatology!D$6,Climatology!E$6)</f>
        <v>-1.3980872172695238</v>
      </c>
      <c r="I225" s="6">
        <f t="shared" si="3"/>
        <v>3.786556089044085</v>
      </c>
    </row>
    <row r="226" spans="1:9" x14ac:dyDescent="0.3">
      <c r="A226" s="10">
        <v>35521</v>
      </c>
      <c r="B226">
        <v>1997</v>
      </c>
      <c r="C226" t="s">
        <v>25</v>
      </c>
      <c r="D226" s="6">
        <v>1997.24999999848</v>
      </c>
      <c r="E226">
        <v>3704</v>
      </c>
      <c r="F226">
        <v>131.80000000000001</v>
      </c>
      <c r="G226" s="7">
        <f>STANDARDIZE(E226,Climatology!B$5,Climatology!C$5)</f>
        <v>-0.88271629430240528</v>
      </c>
      <c r="H226" s="6">
        <f>STANDARDIZE(F226,Climatology!D$5,Climatology!E$5)</f>
        <v>-0.97518920124630093</v>
      </c>
      <c r="I226" s="6">
        <f t="shared" si="3"/>
        <v>3.5583153347732184</v>
      </c>
    </row>
    <row r="227" spans="1:9" x14ac:dyDescent="0.3">
      <c r="A227" s="10">
        <v>35490</v>
      </c>
      <c r="B227">
        <v>1997</v>
      </c>
      <c r="C227" t="s">
        <v>26</v>
      </c>
      <c r="D227" s="6">
        <v>1997.1666666651099</v>
      </c>
      <c r="E227">
        <v>3689</v>
      </c>
      <c r="F227">
        <v>132.69999999999999</v>
      </c>
      <c r="G227" s="7">
        <f>STANDARDIZE(E227,Climatology!B$4,Climatology!C$4)</f>
        <v>-0.27381931786034447</v>
      </c>
      <c r="H227" s="6">
        <f>STANDARDIZE(F227,Climatology!D$4,Climatology!E$4)</f>
        <v>-0.72718226573676659</v>
      </c>
      <c r="I227" s="6">
        <f t="shared" si="3"/>
        <v>3.5971808078069936</v>
      </c>
    </row>
    <row r="228" spans="1:9" x14ac:dyDescent="0.3">
      <c r="A228" s="10">
        <v>35462</v>
      </c>
      <c r="B228">
        <v>1997</v>
      </c>
      <c r="C228" t="s">
        <v>27</v>
      </c>
      <c r="D228" s="6">
        <v>1997.0833333317501</v>
      </c>
      <c r="E228">
        <v>4934</v>
      </c>
      <c r="F228">
        <v>218.1</v>
      </c>
      <c r="G228" s="7">
        <f>STANDARDIZE(E228,Climatology!B$3,Climatology!C$3)</f>
        <v>0.28037960364146391</v>
      </c>
      <c r="H228" s="6">
        <f>STANDARDIZE(F228,Climatology!D$3,Climatology!E$3)</f>
        <v>-0.20187815014517069</v>
      </c>
      <c r="I228" s="6">
        <f t="shared" si="3"/>
        <v>4.4203486015403328</v>
      </c>
    </row>
    <row r="229" spans="1:9" x14ac:dyDescent="0.3">
      <c r="A229" s="10">
        <v>35431</v>
      </c>
      <c r="B229">
        <v>1997</v>
      </c>
      <c r="C229" t="s">
        <v>28</v>
      </c>
      <c r="D229" s="6">
        <v>1996.99999999839</v>
      </c>
      <c r="E229">
        <v>5692</v>
      </c>
      <c r="F229">
        <v>288.60000000000002</v>
      </c>
      <c r="G229" s="7">
        <f>STANDARDIZE(E229,Climatology!B$2,Climatology!C$2)</f>
        <v>-0.49116924682449198</v>
      </c>
      <c r="H229" s="6">
        <f>STANDARDIZE(F229,Climatology!D$2,Climatology!E$2)</f>
        <v>-0.58409896586884524</v>
      </c>
      <c r="I229" s="6">
        <f t="shared" si="3"/>
        <v>5.0702740688685886</v>
      </c>
    </row>
    <row r="230" spans="1:9" x14ac:dyDescent="0.3">
      <c r="A230" s="10">
        <v>35400</v>
      </c>
      <c r="B230">
        <v>1996</v>
      </c>
      <c r="C230" t="s">
        <v>17</v>
      </c>
      <c r="D230" s="6">
        <v>1996.9166666650301</v>
      </c>
      <c r="E230">
        <v>9402</v>
      </c>
      <c r="F230">
        <v>438.6</v>
      </c>
      <c r="G230" s="7">
        <f>STANDARDIZE(E230,Climatology!B$13,Climatology!C$13)</f>
        <v>-0.13059429865260933</v>
      </c>
      <c r="H230" s="6">
        <f>STANDARDIZE(F230,Climatology!D$13,Climatology!E$13)</f>
        <v>-0.352099961382698</v>
      </c>
      <c r="I230" s="6">
        <f t="shared" si="3"/>
        <v>4.6649649010848764</v>
      </c>
    </row>
    <row r="231" spans="1:9" x14ac:dyDescent="0.3">
      <c r="A231" s="10">
        <v>35370</v>
      </c>
      <c r="B231">
        <v>1996</v>
      </c>
      <c r="C231" t="s">
        <v>18</v>
      </c>
      <c r="D231" s="6">
        <v>1996.83333333167</v>
      </c>
      <c r="E231">
        <v>10511</v>
      </c>
      <c r="F231">
        <v>456.4</v>
      </c>
      <c r="G231" s="7">
        <f>STANDARDIZE(E231,Climatology!B$12,Climatology!C$12)</f>
        <v>0.26972030930128527</v>
      </c>
      <c r="H231" s="6">
        <f>STANDARDIZE(F231,Climatology!D$12,Climatology!E$12)</f>
        <v>-0.20706443052871557</v>
      </c>
      <c r="I231" s="6">
        <f t="shared" si="3"/>
        <v>4.3421177813718961</v>
      </c>
    </row>
    <row r="232" spans="1:9" x14ac:dyDescent="0.3">
      <c r="A232" s="10">
        <v>35339</v>
      </c>
      <c r="B232">
        <v>1996</v>
      </c>
      <c r="C232" t="s">
        <v>19</v>
      </c>
      <c r="D232" s="6">
        <v>1996.7499999983099</v>
      </c>
      <c r="E232">
        <v>9896</v>
      </c>
      <c r="F232">
        <v>452.9</v>
      </c>
      <c r="G232" s="7">
        <f>STANDARDIZE(E232,Climatology!B$11,Climatology!C$11)</f>
        <v>0.73562953871110992</v>
      </c>
      <c r="H232" s="6">
        <f>STANDARDIZE(F232,Climatology!D$11,Climatology!E$11)</f>
        <v>0.19188499089736574</v>
      </c>
      <c r="I232" s="6">
        <f t="shared" si="3"/>
        <v>4.5765966046887634</v>
      </c>
    </row>
    <row r="233" spans="1:9" x14ac:dyDescent="0.3">
      <c r="A233" s="10">
        <v>35309</v>
      </c>
      <c r="B233">
        <v>1996</v>
      </c>
      <c r="C233" t="s">
        <v>20</v>
      </c>
      <c r="D233" s="6">
        <v>1996.6666666649501</v>
      </c>
      <c r="E233">
        <v>10234</v>
      </c>
      <c r="F233">
        <v>460.3</v>
      </c>
      <c r="G233" s="7">
        <f>STANDARDIZE(E233,Climatology!B$10,Climatology!C$10)</f>
        <v>1.3493888442447839</v>
      </c>
      <c r="H233" s="6">
        <f>STANDARDIZE(F233,Climatology!D$10,Climatology!E$10)</f>
        <v>0.55351780306284526</v>
      </c>
      <c r="I233" s="6">
        <f t="shared" si="3"/>
        <v>4.4977525894078569</v>
      </c>
    </row>
    <row r="234" spans="1:9" x14ac:dyDescent="0.3">
      <c r="A234" s="10">
        <v>35278</v>
      </c>
      <c r="B234">
        <v>1996</v>
      </c>
      <c r="C234" t="s">
        <v>21</v>
      </c>
      <c r="D234" s="6">
        <v>1996.58333333159</v>
      </c>
      <c r="E234">
        <v>11122</v>
      </c>
      <c r="F234">
        <v>478.5</v>
      </c>
      <c r="G234" s="7">
        <f>STANDARDIZE(E234,Climatology!B$9,Climatology!C$9)</f>
        <v>1.911001914765933</v>
      </c>
      <c r="H234" s="6">
        <f>STANDARDIZE(F234,Climatology!D$9,Climatology!E$9)</f>
        <v>0.75788158440370623</v>
      </c>
      <c r="I234" s="6">
        <f t="shared" si="3"/>
        <v>4.3022837619133254</v>
      </c>
    </row>
    <row r="235" spans="1:9" x14ac:dyDescent="0.3">
      <c r="A235" s="10">
        <v>35247</v>
      </c>
      <c r="B235">
        <v>1996</v>
      </c>
      <c r="C235" t="s">
        <v>22</v>
      </c>
      <c r="D235" s="6">
        <v>1996.4999999982299</v>
      </c>
      <c r="E235">
        <v>11029</v>
      </c>
      <c r="F235">
        <v>464.1</v>
      </c>
      <c r="G235" s="7">
        <f>STANDARDIZE(E235,Climatology!B$8,Climatology!C$8)</f>
        <v>1.5377494503282916</v>
      </c>
      <c r="H235" s="6">
        <f>STANDARDIZE(F235,Climatology!D$8,Climatology!E$8)</f>
        <v>0.53578818762488833</v>
      </c>
      <c r="I235" s="6">
        <f t="shared" si="3"/>
        <v>4.2079970985583461</v>
      </c>
    </row>
    <row r="236" spans="1:9" x14ac:dyDescent="0.3">
      <c r="A236" s="10">
        <v>35217</v>
      </c>
      <c r="B236">
        <v>1996</v>
      </c>
      <c r="C236" t="s">
        <v>23</v>
      </c>
      <c r="D236" s="6">
        <v>1996.41666666487</v>
      </c>
      <c r="E236">
        <v>9225</v>
      </c>
      <c r="F236">
        <v>428.3</v>
      </c>
      <c r="G236" s="7">
        <f>STANDARDIZE(E236,Climatology!B$7,Climatology!C$7)</f>
        <v>0.63598219218037044</v>
      </c>
      <c r="H236" s="6">
        <f>STANDARDIZE(F236,Climatology!D$7,Climatology!E$7)</f>
        <v>0.30385401943996893</v>
      </c>
      <c r="I236" s="6">
        <f t="shared" si="3"/>
        <v>4.6428184281842819</v>
      </c>
    </row>
    <row r="237" spans="1:9" x14ac:dyDescent="0.3">
      <c r="A237" s="10">
        <v>35186</v>
      </c>
      <c r="B237">
        <v>1996</v>
      </c>
      <c r="C237" t="s">
        <v>24</v>
      </c>
      <c r="D237" s="6">
        <v>1996.3333333315099</v>
      </c>
      <c r="E237">
        <v>7209</v>
      </c>
      <c r="F237">
        <v>368.6</v>
      </c>
      <c r="G237" s="7">
        <f>STANDARDIZE(E237,Climatology!B$6,Climatology!C$6)</f>
        <v>0.24464045339209198</v>
      </c>
      <c r="H237" s="6">
        <f>STANDARDIZE(F237,Climatology!D$6,Climatology!E$6)</f>
        <v>0.36417723266189234</v>
      </c>
      <c r="I237" s="6">
        <f t="shared" si="3"/>
        <v>5.1130531280344016</v>
      </c>
    </row>
    <row r="238" spans="1:9" x14ac:dyDescent="0.3">
      <c r="A238" s="10">
        <v>35156</v>
      </c>
      <c r="B238">
        <v>1996</v>
      </c>
      <c r="C238" t="s">
        <v>25</v>
      </c>
      <c r="D238" s="6">
        <v>1996.2499999981501</v>
      </c>
      <c r="E238">
        <v>6627</v>
      </c>
      <c r="F238">
        <v>349.2</v>
      </c>
      <c r="G238" s="7">
        <f>STANDARDIZE(E238,Climatology!B$5,Climatology!C$5)</f>
        <v>1.2097263614001099</v>
      </c>
      <c r="H238" s="6">
        <f>STANDARDIZE(F238,Climatology!D$5,Climatology!E$5)</f>
        <v>1.0654839352727523</v>
      </c>
      <c r="I238" s="6">
        <f t="shared" si="3"/>
        <v>5.2693526482571302</v>
      </c>
    </row>
    <row r="239" spans="1:9" x14ac:dyDescent="0.3">
      <c r="A239" s="10">
        <v>35125</v>
      </c>
      <c r="B239">
        <v>1996</v>
      </c>
      <c r="C239" t="s">
        <v>26</v>
      </c>
      <c r="D239" s="6">
        <v>1996.16666666479</v>
      </c>
      <c r="E239">
        <v>5883</v>
      </c>
      <c r="F239">
        <v>313.39999999999998</v>
      </c>
      <c r="G239" s="7">
        <f>STANDARDIZE(E239,Climatology!B$4,Climatology!C$4)</f>
        <v>1.121178263452357</v>
      </c>
      <c r="H239" s="6">
        <f>STANDARDIZE(F239,Climatology!D$4,Climatology!E$4)</f>
        <v>1.176010053589607</v>
      </c>
      <c r="I239" s="6">
        <f t="shared" si="3"/>
        <v>5.3272140064592888</v>
      </c>
    </row>
    <row r="240" spans="1:9" x14ac:dyDescent="0.3">
      <c r="A240" s="10">
        <v>35096</v>
      </c>
      <c r="B240">
        <v>1996</v>
      </c>
      <c r="C240" t="s">
        <v>27</v>
      </c>
      <c r="D240" s="6">
        <v>1996.0833333314299</v>
      </c>
      <c r="E240">
        <v>4982</v>
      </c>
      <c r="F240">
        <v>298.2</v>
      </c>
      <c r="G240" s="7">
        <f>STANDARDIZE(E240,Climatology!B$3,Climatology!C$3)</f>
        <v>0.30836485206508635</v>
      </c>
      <c r="H240" s="6">
        <f>STANDARDIZE(F240,Climatology!D$3,Climatology!E$3)</f>
        <v>0.44267214247884257</v>
      </c>
      <c r="I240" s="6">
        <f t="shared" si="3"/>
        <v>5.9855479727017258</v>
      </c>
    </row>
    <row r="241" spans="1:9" x14ac:dyDescent="0.3">
      <c r="A241" s="10">
        <v>35065</v>
      </c>
      <c r="B241">
        <v>1996</v>
      </c>
      <c r="C241" t="s">
        <v>28</v>
      </c>
      <c r="D241" s="6">
        <v>1995.9999999980701</v>
      </c>
      <c r="E241">
        <v>6822</v>
      </c>
      <c r="F241">
        <v>380.6</v>
      </c>
      <c r="G241" s="7">
        <f>STANDARDIZE(E241,Climatology!B$2,Climatology!C$2)</f>
        <v>1.6572927880777473E-3</v>
      </c>
      <c r="H241" s="6">
        <f>STANDARDIZE(F241,Climatology!D$2,Climatology!E$2)</f>
        <v>3.390987648019559E-2</v>
      </c>
      <c r="I241" s="6">
        <f t="shared" si="3"/>
        <v>5.5790090882439172</v>
      </c>
    </row>
    <row r="242" spans="1:9" x14ac:dyDescent="0.3">
      <c r="A242" s="10">
        <v>35034</v>
      </c>
      <c r="B242">
        <v>1995</v>
      </c>
      <c r="C242" t="s">
        <v>17</v>
      </c>
      <c r="D242" s="6">
        <v>1995.91666666471</v>
      </c>
      <c r="E242">
        <v>9349</v>
      </c>
      <c r="F242">
        <v>543.9</v>
      </c>
      <c r="G242" s="7">
        <f>STANDARDIZE(E242,Climatology!B$13,Climatology!C$13)</f>
        <v>-0.14951966165683978</v>
      </c>
      <c r="H242" s="6">
        <f>STANDARDIZE(F242,Climatology!D$13,Climatology!E$13)</f>
        <v>0.4162489092881127</v>
      </c>
      <c r="I242" s="6">
        <f t="shared" si="3"/>
        <v>5.8177345170606483</v>
      </c>
    </row>
    <row r="243" spans="1:9" x14ac:dyDescent="0.3">
      <c r="A243" s="10">
        <v>35004</v>
      </c>
      <c r="B243">
        <v>1995</v>
      </c>
      <c r="C243" t="s">
        <v>18</v>
      </c>
      <c r="D243" s="6">
        <v>1995.8333333313501</v>
      </c>
      <c r="E243">
        <v>10028</v>
      </c>
      <c r="F243">
        <v>571.5</v>
      </c>
      <c r="G243" s="7">
        <f>STANDARDIZE(E243,Climatology!B$12,Climatology!C$12)</f>
        <v>7.9951614213006228E-2</v>
      </c>
      <c r="H243" s="6">
        <f>STANDARDIZE(F243,Climatology!D$12,Climatology!E$12)</f>
        <v>0.79855227638500748</v>
      </c>
      <c r="I243" s="6">
        <f t="shared" si="3"/>
        <v>5.6990426804946148</v>
      </c>
    </row>
    <row r="244" spans="1:9" x14ac:dyDescent="0.3">
      <c r="A244" s="10">
        <v>34973</v>
      </c>
      <c r="B244">
        <v>1995</v>
      </c>
      <c r="C244" t="s">
        <v>19</v>
      </c>
      <c r="D244" s="6">
        <v>1995.74999999799</v>
      </c>
      <c r="E244">
        <v>9163</v>
      </c>
      <c r="F244">
        <v>565.20000000000005</v>
      </c>
      <c r="G244" s="7">
        <f>STANDARDIZE(E244,Climatology!B$11,Climatology!C$11)</f>
        <v>0.35797056173375325</v>
      </c>
      <c r="H244" s="6">
        <f>STANDARDIZE(F244,Climatology!D$11,Climatology!E$11)</f>
        <v>1.1180841272379012</v>
      </c>
      <c r="I244" s="6">
        <f t="shared" si="3"/>
        <v>6.1682854960165887</v>
      </c>
    </row>
    <row r="245" spans="1:9" x14ac:dyDescent="0.3">
      <c r="A245" s="10">
        <v>34943</v>
      </c>
      <c r="B245">
        <v>1995</v>
      </c>
      <c r="C245" t="s">
        <v>20</v>
      </c>
      <c r="D245" s="6">
        <v>1995.6666666646299</v>
      </c>
      <c r="E245">
        <v>9493</v>
      </c>
      <c r="F245">
        <v>577.79999999999995</v>
      </c>
      <c r="G245" s="7">
        <f>STANDARDIZE(E245,Climatology!B$10,Climatology!C$10)</f>
        <v>0.98323166844243226</v>
      </c>
      <c r="H245" s="6">
        <f>STANDARDIZE(F245,Climatology!D$10,Climatology!E$10)</f>
        <v>1.4583001732269816</v>
      </c>
      <c r="I245" s="6">
        <f t="shared" si="3"/>
        <v>6.086590119035078</v>
      </c>
    </row>
    <row r="246" spans="1:9" x14ac:dyDescent="0.3">
      <c r="A246" s="10">
        <v>34912</v>
      </c>
      <c r="B246">
        <v>1995</v>
      </c>
      <c r="C246" t="s">
        <v>21</v>
      </c>
      <c r="D246" s="6">
        <v>1995.5833333312701</v>
      </c>
      <c r="E246">
        <v>8850</v>
      </c>
      <c r="F246">
        <v>528.79999999999995</v>
      </c>
      <c r="G246" s="7">
        <f>STANDARDIZE(E246,Climatology!B$9,Climatology!C$9)</f>
        <v>0.76547771999089753</v>
      </c>
      <c r="H246" s="6">
        <f>STANDARDIZE(F246,Climatology!D$9,Climatology!E$9)</f>
        <v>1.1450473116809168</v>
      </c>
      <c r="I246" s="6">
        <f t="shared" si="3"/>
        <v>5.9751412429378519</v>
      </c>
    </row>
    <row r="247" spans="1:9" x14ac:dyDescent="0.3">
      <c r="A247" s="10">
        <v>34881</v>
      </c>
      <c r="B247">
        <v>1995</v>
      </c>
      <c r="C247" t="s">
        <v>22</v>
      </c>
      <c r="D247" s="6">
        <v>1995.49999999791</v>
      </c>
      <c r="E247">
        <v>7742</v>
      </c>
      <c r="F247">
        <v>439.9</v>
      </c>
      <c r="G247" s="7">
        <f>STANDARDIZE(E247,Climatology!B$8,Climatology!C$8)</f>
        <v>-8.2025218392924065E-2</v>
      </c>
      <c r="H247" s="6">
        <f>STANDARDIZE(F247,Climatology!D$8,Climatology!E$8)</f>
        <v>0.34216561107472154</v>
      </c>
      <c r="I247" s="6">
        <f t="shared" si="3"/>
        <v>5.681994316714027</v>
      </c>
    </row>
    <row r="248" spans="1:9" x14ac:dyDescent="0.3">
      <c r="A248" s="10">
        <v>34851</v>
      </c>
      <c r="B248">
        <v>1995</v>
      </c>
      <c r="C248" t="s">
        <v>23</v>
      </c>
      <c r="D248" s="6">
        <v>1995.4166666645499</v>
      </c>
      <c r="E248">
        <v>7234</v>
      </c>
      <c r="F248">
        <v>370.4</v>
      </c>
      <c r="G248" s="7">
        <f>STANDARDIZE(E248,Climatology!B$7,Climatology!C$7)</f>
        <v>-0.54515358274791448</v>
      </c>
      <c r="H248" s="6">
        <f>STANDARDIZE(F248,Climatology!D$7,Climatology!E$7)</f>
        <v>-0.21481189228096953</v>
      </c>
      <c r="I248" s="6">
        <f t="shared" si="3"/>
        <v>5.1202654133259609</v>
      </c>
    </row>
    <row r="249" spans="1:9" x14ac:dyDescent="0.3">
      <c r="A249" s="10">
        <v>34820</v>
      </c>
      <c r="B249">
        <v>1995</v>
      </c>
      <c r="C249" t="s">
        <v>24</v>
      </c>
      <c r="D249" s="6">
        <v>1995.33333333119</v>
      </c>
      <c r="E249">
        <v>5822</v>
      </c>
      <c r="F249">
        <v>289.89999999999998</v>
      </c>
      <c r="G249" s="7">
        <f>STANDARDIZE(E249,Climatology!B$6,Climatology!C$6)</f>
        <v>-0.71308659628848858</v>
      </c>
      <c r="H249" s="6">
        <f>STANDARDIZE(F249,Climatology!D$6,Climatology!E$6)</f>
        <v>-0.34669007748471198</v>
      </c>
      <c r="I249" s="6">
        <f t="shared" si="3"/>
        <v>4.9793885262796289</v>
      </c>
    </row>
    <row r="250" spans="1:9" x14ac:dyDescent="0.3">
      <c r="A250" s="10">
        <v>34790</v>
      </c>
      <c r="B250">
        <v>1995</v>
      </c>
      <c r="C250" t="s">
        <v>25</v>
      </c>
      <c r="D250" s="6">
        <v>1995.2499999978299</v>
      </c>
      <c r="E250">
        <v>3689</v>
      </c>
      <c r="F250">
        <v>182.4</v>
      </c>
      <c r="G250" s="7">
        <f>STANDARDIZE(E250,Climatology!B$5,Climatology!C$5)</f>
        <v>-0.89345411155712229</v>
      </c>
      <c r="H250" s="6">
        <f>STANDARDIZE(F250,Climatology!D$5,Climatology!E$5)</f>
        <v>-0.50022112071334746</v>
      </c>
      <c r="I250" s="6">
        <f t="shared" si="3"/>
        <v>4.9444293846570888</v>
      </c>
    </row>
    <row r="251" spans="1:9" x14ac:dyDescent="0.3">
      <c r="A251" s="10">
        <v>34759</v>
      </c>
      <c r="B251">
        <v>1995</v>
      </c>
      <c r="C251" t="s">
        <v>26</v>
      </c>
      <c r="D251" s="6">
        <v>1995.1666666644701</v>
      </c>
      <c r="E251">
        <v>2623</v>
      </c>
      <c r="F251">
        <v>135.19999999999999</v>
      </c>
      <c r="G251" s="7">
        <f>STANDARDIZE(E251,Climatology!B$4,Climatology!C$4)</f>
        <v>-0.95160756839787408</v>
      </c>
      <c r="H251" s="6">
        <f>STANDARDIZE(F251,Climatology!D$4,Climatology!E$4)</f>
        <v>-0.70085143674774641</v>
      </c>
      <c r="I251" s="6">
        <f t="shared" si="3"/>
        <v>5.1544033549370951</v>
      </c>
    </row>
    <row r="252" spans="1:9" x14ac:dyDescent="0.3">
      <c r="A252" s="10">
        <v>34731</v>
      </c>
      <c r="B252">
        <v>1995</v>
      </c>
      <c r="C252" t="s">
        <v>27</v>
      </c>
      <c r="D252" s="6">
        <v>1995.08333333111</v>
      </c>
      <c r="E252">
        <v>2534</v>
      </c>
      <c r="F252">
        <v>148.6</v>
      </c>
      <c r="G252" s="7">
        <f>STANDARDIZE(E252,Climatology!B$3,Climatology!C$3)</f>
        <v>-1.1188828175396595</v>
      </c>
      <c r="H252" s="6">
        <f>STANDARDIZE(F252,Climatology!D$3,Climatology!E$3)</f>
        <v>-0.76113214936325968</v>
      </c>
      <c r="I252" s="6">
        <f t="shared" si="3"/>
        <v>5.8642462509865823</v>
      </c>
    </row>
    <row r="253" spans="1:9" x14ac:dyDescent="0.3">
      <c r="A253" s="10">
        <v>34700</v>
      </c>
      <c r="B253">
        <v>1995</v>
      </c>
      <c r="C253" t="s">
        <v>28</v>
      </c>
      <c r="D253" s="6">
        <v>1994.9999999977499</v>
      </c>
      <c r="E253">
        <v>5247</v>
      </c>
      <c r="F253">
        <v>344.7</v>
      </c>
      <c r="G253" s="7">
        <f>STANDARDIZE(E253,Climatology!B$2,Climatology!C$2)</f>
        <v>-0.68524695490200838</v>
      </c>
      <c r="H253" s="6">
        <f>STANDARDIZE(F253,Climatology!D$2,Climatology!E$2)</f>
        <v>-0.20724792178426732</v>
      </c>
      <c r="I253" s="6">
        <f t="shared" si="3"/>
        <v>6.5694682675814757</v>
      </c>
    </row>
    <row r="254" spans="1:9" x14ac:dyDescent="0.3">
      <c r="A254" s="10">
        <v>34669</v>
      </c>
      <c r="B254">
        <v>1994</v>
      </c>
      <c r="C254" t="s">
        <v>17</v>
      </c>
      <c r="D254" s="6">
        <v>1994.91666666439</v>
      </c>
      <c r="E254">
        <v>9946</v>
      </c>
      <c r="F254">
        <v>485.2</v>
      </c>
      <c r="G254" s="7">
        <f>STANDARDIZE(E254,Climatology!B$13,Climatology!C$13)</f>
        <v>6.3658483881378861E-2</v>
      </c>
      <c r="H254" s="6">
        <f>STANDARDIZE(F254,Climatology!D$13,Climatology!E$13)</f>
        <v>-1.2070926498939531E-2</v>
      </c>
      <c r="I254" s="6">
        <f t="shared" si="3"/>
        <v>4.8783430524834106</v>
      </c>
    </row>
    <row r="255" spans="1:9" x14ac:dyDescent="0.3">
      <c r="A255" s="10">
        <v>34639</v>
      </c>
      <c r="B255">
        <v>1994</v>
      </c>
      <c r="C255" t="s">
        <v>18</v>
      </c>
      <c r="D255" s="6">
        <v>1994.83333333103</v>
      </c>
      <c r="E255">
        <v>9541</v>
      </c>
      <c r="F255">
        <v>473.5</v>
      </c>
      <c r="G255" s="7">
        <f>STANDARDIZE(E255,Climatology!B$12,Climatology!C$12)</f>
        <v>-0.11138866427144904</v>
      </c>
      <c r="H255" s="6">
        <f>STANDARDIZE(F255,Climatology!D$12,Climatology!E$12)</f>
        <v>-5.7663512299135355E-2</v>
      </c>
      <c r="I255" s="6">
        <f t="shared" si="3"/>
        <v>4.9627921601509275</v>
      </c>
    </row>
    <row r="256" spans="1:9" x14ac:dyDescent="0.3">
      <c r="A256" s="10">
        <v>34608</v>
      </c>
      <c r="B256">
        <v>1994</v>
      </c>
      <c r="C256" t="s">
        <v>19</v>
      </c>
      <c r="D256" s="6">
        <v>1994.7499999976701</v>
      </c>
      <c r="E256">
        <v>7921</v>
      </c>
      <c r="F256">
        <v>413</v>
      </c>
      <c r="G256" s="7">
        <f>STANDARDIZE(E256,Climatology!B$11,Climatology!C$11)</f>
        <v>-0.28193728193047185</v>
      </c>
      <c r="H256" s="6">
        <f>STANDARDIZE(F256,Climatology!D$11,Climatology!E$11)</f>
        <v>-0.13719199521115893</v>
      </c>
      <c r="I256" s="6">
        <f t="shared" si="3"/>
        <v>5.2139881328115134</v>
      </c>
    </row>
    <row r="257" spans="1:9" x14ac:dyDescent="0.3">
      <c r="A257" s="10">
        <v>34578</v>
      </c>
      <c r="B257">
        <v>1994</v>
      </c>
      <c r="C257" t="s">
        <v>20</v>
      </c>
      <c r="D257" s="6">
        <v>1994.66666666431</v>
      </c>
      <c r="E257">
        <v>6575</v>
      </c>
      <c r="F257">
        <v>350.3</v>
      </c>
      <c r="G257" s="7">
        <f>STANDARDIZE(E257,Climatology!B$10,Climatology!C$10)</f>
        <v>-0.45866662979139028</v>
      </c>
      <c r="H257" s="6">
        <f>STANDARDIZE(F257,Climatology!D$10,Climatology!E$10)</f>
        <v>-0.29351250092060194</v>
      </c>
      <c r="I257" s="6">
        <f t="shared" si="3"/>
        <v>5.3277566539923962</v>
      </c>
    </row>
    <row r="258" spans="1:9" x14ac:dyDescent="0.3">
      <c r="A258" s="10">
        <v>34547</v>
      </c>
      <c r="B258">
        <v>1994</v>
      </c>
      <c r="C258" t="s">
        <v>21</v>
      </c>
      <c r="D258" s="6">
        <v>1994.5833333309499</v>
      </c>
      <c r="E258">
        <v>6866</v>
      </c>
      <c r="F258">
        <v>377.2</v>
      </c>
      <c r="G258" s="7">
        <f>STANDARDIZE(E258,Climatology!B$9,Climatology!C$9)</f>
        <v>-0.23483918248871086</v>
      </c>
      <c r="H258" s="6">
        <f>STANDARDIZE(F258,Climatology!D$9,Climatology!E$9)</f>
        <v>-2.1837862379225321E-2</v>
      </c>
      <c r="I258" s="6">
        <f t="shared" si="3"/>
        <v>5.4937372560442759</v>
      </c>
    </row>
    <row r="259" spans="1:9" x14ac:dyDescent="0.3">
      <c r="A259" s="10">
        <v>34516</v>
      </c>
      <c r="B259">
        <v>1994</v>
      </c>
      <c r="C259" t="s">
        <v>22</v>
      </c>
      <c r="D259" s="6">
        <v>1994.4999999975901</v>
      </c>
      <c r="E259">
        <v>8376</v>
      </c>
      <c r="F259">
        <v>446.2</v>
      </c>
      <c r="G259" s="7">
        <f>STANDARDIZE(E259,Climatology!B$8,Climatology!C$8)</f>
        <v>0.23039861488034966</v>
      </c>
      <c r="H259" s="6">
        <f>STANDARDIZE(F259,Climatology!D$8,Climatology!E$8)</f>
        <v>0.3925714884410873</v>
      </c>
      <c r="I259" s="6">
        <f t="shared" ref="I259:I322" si="4">F259/E259*100</f>
        <v>5.3271251193887297</v>
      </c>
    </row>
    <row r="260" spans="1:9" x14ac:dyDescent="0.3">
      <c r="A260" s="10">
        <v>34486</v>
      </c>
      <c r="B260">
        <v>1994</v>
      </c>
      <c r="C260" t="s">
        <v>23</v>
      </c>
      <c r="D260" s="6">
        <v>1994.41666666423</v>
      </c>
      <c r="E260">
        <v>9082</v>
      </c>
      <c r="F260">
        <v>444.4</v>
      </c>
      <c r="G260" s="7">
        <f>STANDARDIZE(E260,Climatology!B$7,Climatology!C$7)</f>
        <v>0.55114923597005161</v>
      </c>
      <c r="H260" s="6">
        <f>STANDARDIZE(F260,Climatology!D$7,Climatology!E$7)</f>
        <v>0.44807718314820877</v>
      </c>
      <c r="I260" s="6">
        <f t="shared" si="4"/>
        <v>4.8931953314247965</v>
      </c>
    </row>
    <row r="261" spans="1:9" x14ac:dyDescent="0.3">
      <c r="A261" s="10">
        <v>34455</v>
      </c>
      <c r="B261">
        <v>1994</v>
      </c>
      <c r="C261" t="s">
        <v>24</v>
      </c>
      <c r="D261" s="6">
        <v>1994.3333333308699</v>
      </c>
      <c r="E261">
        <v>8074</v>
      </c>
      <c r="F261">
        <v>379.7</v>
      </c>
      <c r="G261" s="7">
        <f>STANDARDIZE(E261,Climatology!B$6,Climatology!C$6)</f>
        <v>0.84192516714386001</v>
      </c>
      <c r="H261" s="6">
        <f>STANDARDIZE(F261,Climatology!D$6,Climatology!E$6)</f>
        <v>0.46443933104343338</v>
      </c>
      <c r="I261" s="6">
        <f t="shared" si="4"/>
        <v>4.7027495665097838</v>
      </c>
    </row>
    <row r="262" spans="1:9" x14ac:dyDescent="0.3">
      <c r="A262" s="10">
        <v>34425</v>
      </c>
      <c r="B262">
        <v>1994</v>
      </c>
      <c r="C262" t="s">
        <v>25</v>
      </c>
      <c r="D262" s="6">
        <v>1994.24999999751</v>
      </c>
      <c r="E262">
        <v>6451</v>
      </c>
      <c r="F262">
        <v>304.2</v>
      </c>
      <c r="G262" s="7">
        <f>STANDARDIZE(E262,Climatology!B$5,Climatology!C$5)</f>
        <v>1.0837359722780973</v>
      </c>
      <c r="H262" s="6">
        <f>STANDARDIZE(F262,Climatology!D$5,Climatology!E$5)</f>
        <v>0.64308149211103471</v>
      </c>
      <c r="I262" s="6">
        <f t="shared" si="4"/>
        <v>4.7155479770578204</v>
      </c>
    </row>
    <row r="263" spans="1:9" x14ac:dyDescent="0.3">
      <c r="A263" s="10">
        <v>34394</v>
      </c>
      <c r="B263">
        <v>1994</v>
      </c>
      <c r="C263" t="s">
        <v>26</v>
      </c>
      <c r="D263" s="6">
        <v>1994.1666666641499</v>
      </c>
      <c r="E263">
        <v>5146</v>
      </c>
      <c r="F263">
        <v>232.3</v>
      </c>
      <c r="G263" s="7">
        <f>STANDARDIZE(E263,Climatology!B$4,Climatology!C$4)</f>
        <v>0.6525760677242527</v>
      </c>
      <c r="H263" s="6">
        <f>STANDARDIZE(F263,Climatology!D$4,Climatology!E$4)</f>
        <v>0.32183796118579489</v>
      </c>
      <c r="I263" s="6">
        <f t="shared" si="4"/>
        <v>4.5141857753595023</v>
      </c>
    </row>
    <row r="264" spans="1:9" x14ac:dyDescent="0.3">
      <c r="A264" s="10">
        <v>34366</v>
      </c>
      <c r="B264">
        <v>1994</v>
      </c>
      <c r="C264" t="s">
        <v>27</v>
      </c>
      <c r="D264" s="6">
        <v>1994.0833333307901</v>
      </c>
      <c r="E264">
        <v>5154</v>
      </c>
      <c r="F264">
        <v>270.10000000000002</v>
      </c>
      <c r="G264" s="7">
        <f>STANDARDIZE(E264,Climatology!B$3,Climatology!C$3)</f>
        <v>0.40864532558306688</v>
      </c>
      <c r="H264" s="6">
        <f>STANDARDIZE(F264,Climatology!D$3,Climatology!E$3)</f>
        <v>0.21655649675181696</v>
      </c>
      <c r="I264" s="6">
        <f t="shared" si="4"/>
        <v>5.2405898331393104</v>
      </c>
    </row>
    <row r="265" spans="1:9" x14ac:dyDescent="0.3">
      <c r="A265" s="10">
        <v>34335</v>
      </c>
      <c r="B265">
        <v>1994</v>
      </c>
      <c r="C265" t="s">
        <v>28</v>
      </c>
      <c r="D265" s="6">
        <v>1993.99999999743</v>
      </c>
      <c r="E265">
        <v>8045</v>
      </c>
      <c r="F265">
        <v>443.9</v>
      </c>
      <c r="G265" s="7">
        <f>STANDARDIZE(E265,Climatology!B$2,Climatology!C$2)</f>
        <v>0.53504389274044306</v>
      </c>
      <c r="H265" s="6">
        <f>STANDARDIZE(F265,Climatology!D$2,Climatology!E$2)</f>
        <v>0.45912682996600274</v>
      </c>
      <c r="I265" s="6">
        <f t="shared" si="4"/>
        <v>5.5177128651336238</v>
      </c>
    </row>
    <row r="266" spans="1:9" x14ac:dyDescent="0.3">
      <c r="A266" s="10">
        <v>34304</v>
      </c>
      <c r="B266">
        <v>1993</v>
      </c>
      <c r="C266" t="s">
        <v>17</v>
      </c>
      <c r="D266" s="6">
        <v>1993.9166666640699</v>
      </c>
      <c r="E266">
        <v>10012</v>
      </c>
      <c r="F266">
        <v>456.5</v>
      </c>
      <c r="G266" s="7">
        <f>STANDARDIZE(E266,Climatology!B$13,Climatology!C$13)</f>
        <v>8.7225917056458296E-2</v>
      </c>
      <c r="H266" s="6">
        <f>STANDARDIZE(F266,Climatology!D$13,Climatology!E$13)</f>
        <v>-0.22148795012906553</v>
      </c>
      <c r="I266" s="6">
        <f t="shared" si="4"/>
        <v>4.5595285657211351</v>
      </c>
    </row>
    <row r="267" spans="1:9" x14ac:dyDescent="0.3">
      <c r="A267" s="10">
        <v>34274</v>
      </c>
      <c r="B267">
        <v>1993</v>
      </c>
      <c r="C267" t="s">
        <v>18</v>
      </c>
      <c r="D267" s="6">
        <v>1993.83333333071</v>
      </c>
      <c r="E267">
        <v>8982</v>
      </c>
      <c r="F267">
        <v>432.1</v>
      </c>
      <c r="G267" s="7">
        <f>STANDARDIZE(E267,Climatology!B$12,Climatology!C$12)</f>
        <v>-0.33101744388707638</v>
      </c>
      <c r="H267" s="6">
        <f>STANDARDIZE(F267,Climatology!D$12,Climatology!E$12)</f>
        <v>-0.41937099853917098</v>
      </c>
      <c r="I267" s="6">
        <f t="shared" si="4"/>
        <v>4.8107325762636384</v>
      </c>
    </row>
    <row r="268" spans="1:9" x14ac:dyDescent="0.3">
      <c r="A268" s="10">
        <v>34243</v>
      </c>
      <c r="B268">
        <v>1993</v>
      </c>
      <c r="C268" t="s">
        <v>19</v>
      </c>
      <c r="D268" s="6">
        <v>1993.74999999735</v>
      </c>
      <c r="E268">
        <v>8268</v>
      </c>
      <c r="F268">
        <v>407.6</v>
      </c>
      <c r="G268" s="7">
        <f>STANDARDIZE(E268,Climatology!B$11,Climatology!C$11)</f>
        <v>-0.10315465572154583</v>
      </c>
      <c r="H268" s="6">
        <f>STANDARDIZE(F268,Climatology!D$11,Climatology!E$11)</f>
        <v>-0.18172873017321475</v>
      </c>
      <c r="I268" s="6">
        <f t="shared" si="4"/>
        <v>4.9298500241896468</v>
      </c>
    </row>
    <row r="269" spans="1:9" x14ac:dyDescent="0.3">
      <c r="A269" s="10">
        <v>34213</v>
      </c>
      <c r="B269">
        <v>1993</v>
      </c>
      <c r="C269" t="s">
        <v>20</v>
      </c>
      <c r="D269" s="6">
        <v>1993.6666666639901</v>
      </c>
      <c r="E269">
        <v>7237</v>
      </c>
      <c r="F269">
        <v>351.7</v>
      </c>
      <c r="G269" s="7">
        <f>STANDARDIZE(E269,Climatology!B$10,Climatology!C$10)</f>
        <v>-0.13154645383841207</v>
      </c>
      <c r="H269" s="6">
        <f>STANDARDIZE(F269,Climatology!D$10,Climatology!E$10)</f>
        <v>-0.28273211523354008</v>
      </c>
      <c r="I269" s="6">
        <f t="shared" si="4"/>
        <v>4.8597485145778636</v>
      </c>
    </row>
    <row r="270" spans="1:9" x14ac:dyDescent="0.3">
      <c r="A270" s="10">
        <v>34182</v>
      </c>
      <c r="B270">
        <v>1993</v>
      </c>
      <c r="C270" t="s">
        <v>21</v>
      </c>
      <c r="D270" s="6">
        <v>1993.58333333063</v>
      </c>
      <c r="E270">
        <v>6275</v>
      </c>
      <c r="F270">
        <v>328.7</v>
      </c>
      <c r="G270" s="7">
        <f>STANDARDIZE(E270,Climatology!B$9,Climatology!C$9)</f>
        <v>-0.53281664688661834</v>
      </c>
      <c r="H270" s="6">
        <f>STANDARDIZE(F270,Climatology!D$9,Climatology!E$9)</f>
        <v>-0.39514875249741072</v>
      </c>
      <c r="I270" s="6">
        <f t="shared" si="4"/>
        <v>5.2382470119521916</v>
      </c>
    </row>
    <row r="271" spans="1:9" x14ac:dyDescent="0.3">
      <c r="A271" s="10">
        <v>34151</v>
      </c>
      <c r="B271">
        <v>1993</v>
      </c>
      <c r="C271" t="s">
        <v>22</v>
      </c>
      <c r="D271" s="6">
        <v>1993.4999999972699</v>
      </c>
      <c r="E271">
        <v>7770</v>
      </c>
      <c r="F271">
        <v>385.8</v>
      </c>
      <c r="G271" s="7">
        <f>STANDARDIZE(E271,Climatology!B$8,Climatology!C$8)</f>
        <v>-6.8227320393473498E-2</v>
      </c>
      <c r="H271" s="6">
        <f>STANDARDIZE(F271,Climatology!D$8,Climatology!E$8)</f>
        <v>-9.068485964279896E-2</v>
      </c>
      <c r="I271" s="6">
        <f t="shared" si="4"/>
        <v>4.9652509652509655</v>
      </c>
    </row>
    <row r="272" spans="1:9" x14ac:dyDescent="0.3">
      <c r="A272" s="10">
        <v>34121</v>
      </c>
      <c r="B272">
        <v>1993</v>
      </c>
      <c r="C272" t="s">
        <v>23</v>
      </c>
      <c r="D272" s="6">
        <v>1993.4166666639101</v>
      </c>
      <c r="E272">
        <v>8567</v>
      </c>
      <c r="F272">
        <v>397.4</v>
      </c>
      <c r="G272" s="7">
        <f>STANDARDIZE(E272,Climatology!B$7,Climatology!C$7)</f>
        <v>0.24563194612170069</v>
      </c>
      <c r="H272" s="6">
        <f>STANDARDIZE(F272,Climatology!D$7,Climatology!E$7)</f>
        <v>2.7053040645892819E-2</v>
      </c>
      <c r="I272" s="6">
        <f t="shared" si="4"/>
        <v>4.6387300105054274</v>
      </c>
    </row>
    <row r="273" spans="1:9" x14ac:dyDescent="0.3">
      <c r="A273" s="10">
        <v>34090</v>
      </c>
      <c r="B273">
        <v>1993</v>
      </c>
      <c r="C273" t="s">
        <v>24</v>
      </c>
      <c r="D273" s="6">
        <v>1993.33333333055</v>
      </c>
      <c r="E273">
        <v>7418</v>
      </c>
      <c r="F273">
        <v>340.4</v>
      </c>
      <c r="G273" s="7">
        <f>STANDARDIZE(E273,Climatology!B$6,Climatology!C$6)</f>
        <v>0.38895548827546716</v>
      </c>
      <c r="H273" s="6">
        <f>STANDARDIZE(F273,Climatology!D$6,Climatology!E$6)</f>
        <v>0.10945730704392204</v>
      </c>
      <c r="I273" s="6">
        <f t="shared" si="4"/>
        <v>4.5888379617147477</v>
      </c>
    </row>
    <row r="274" spans="1:9" x14ac:dyDescent="0.3">
      <c r="A274" s="10">
        <v>34060</v>
      </c>
      <c r="B274">
        <v>1993</v>
      </c>
      <c r="C274" t="s">
        <v>25</v>
      </c>
      <c r="D274" s="6">
        <v>1993.2499999971899</v>
      </c>
      <c r="E274">
        <v>5266</v>
      </c>
      <c r="F274">
        <v>223.8</v>
      </c>
      <c r="G274" s="7">
        <f>STANDARDIZE(E274,Climatology!B$5,Climatology!C$5)</f>
        <v>0.23544840915545601</v>
      </c>
      <c r="H274" s="6">
        <f>STANDARDIZE(F274,Climatology!D$5,Climatology!E$5)</f>
        <v>-0.11161087300456718</v>
      </c>
      <c r="I274" s="6">
        <f t="shared" si="4"/>
        <v>4.2499050512723135</v>
      </c>
    </row>
    <row r="275" spans="1:9" x14ac:dyDescent="0.3">
      <c r="A275" s="10">
        <v>34029</v>
      </c>
      <c r="B275">
        <v>1993</v>
      </c>
      <c r="C275" t="s">
        <v>26</v>
      </c>
      <c r="D275" s="6">
        <v>1993.16666666383</v>
      </c>
      <c r="E275">
        <v>3587</v>
      </c>
      <c r="F275">
        <v>143.9</v>
      </c>
      <c r="G275" s="7">
        <f>STANDARDIZE(E275,Climatology!B$4,Climatology!C$4)</f>
        <v>-0.33867335309001428</v>
      </c>
      <c r="H275" s="6">
        <f>STANDARDIZE(F275,Climatology!D$4,Climatology!E$4)</f>
        <v>-0.60922015186595624</v>
      </c>
      <c r="I275" s="6">
        <f t="shared" si="4"/>
        <v>4.0117089489824371</v>
      </c>
    </row>
    <row r="276" spans="1:9" x14ac:dyDescent="0.3">
      <c r="A276" s="10">
        <v>34001</v>
      </c>
      <c r="B276">
        <v>1993</v>
      </c>
      <c r="C276" t="s">
        <v>27</v>
      </c>
      <c r="D276" s="6">
        <v>1993.0833333304699</v>
      </c>
      <c r="E276">
        <v>3850</v>
      </c>
      <c r="F276">
        <v>169.5</v>
      </c>
      <c r="G276" s="7">
        <f>STANDARDIZE(E276,Climatology!B$3,Climatology!C$3)</f>
        <v>-0.35162058992534351</v>
      </c>
      <c r="H276" s="6">
        <f>STANDARDIZE(F276,Climatology!D$3,Climatology!E$3)</f>
        <v>-0.59295360859120116</v>
      </c>
      <c r="I276" s="6">
        <f t="shared" si="4"/>
        <v>4.4025974025974026</v>
      </c>
    </row>
    <row r="277" spans="1:9" x14ac:dyDescent="0.3">
      <c r="A277" s="10">
        <v>33970</v>
      </c>
      <c r="B277">
        <v>1993</v>
      </c>
      <c r="C277" t="s">
        <v>28</v>
      </c>
      <c r="D277" s="6">
        <v>1992.9999999971101</v>
      </c>
      <c r="E277">
        <v>5111</v>
      </c>
      <c r="F277">
        <v>252.6</v>
      </c>
      <c r="G277" s="7">
        <f>STANDARDIZE(E277,Climatology!B$2,Climatology!C$2)</f>
        <v>-0.74456059152794596</v>
      </c>
      <c r="H277" s="6">
        <f>STANDARDIZE(F277,Climatology!D$2,Climatology!E$2)</f>
        <v>-0.8259285128749918</v>
      </c>
      <c r="I277" s="6">
        <f t="shared" si="4"/>
        <v>4.9422813539424775</v>
      </c>
    </row>
    <row r="278" spans="1:9" x14ac:dyDescent="0.3">
      <c r="A278" s="10">
        <v>33939</v>
      </c>
      <c r="B278">
        <v>1992</v>
      </c>
      <c r="C278" t="s">
        <v>17</v>
      </c>
      <c r="D278" s="6">
        <v>1992.91666666375</v>
      </c>
      <c r="E278">
        <v>7096</v>
      </c>
      <c r="F278">
        <v>348.1</v>
      </c>
      <c r="G278" s="7">
        <f>STANDARDIZE(E278,Climatology!B$13,Climatology!C$13)</f>
        <v>-0.95402613049705176</v>
      </c>
      <c r="H278" s="6">
        <f>STANDARDIZE(F278,Climatology!D$13,Climatology!E$13)</f>
        <v>-1.012456778056092</v>
      </c>
      <c r="I278" s="6">
        <f t="shared" si="4"/>
        <v>4.9055806087936871</v>
      </c>
    </row>
    <row r="279" spans="1:9" x14ac:dyDescent="0.3">
      <c r="A279" s="10">
        <v>33909</v>
      </c>
      <c r="B279">
        <v>1992</v>
      </c>
      <c r="C279" t="s">
        <v>18</v>
      </c>
      <c r="D279" s="6">
        <v>1992.8333333303899</v>
      </c>
      <c r="E279">
        <v>6914</v>
      </c>
      <c r="F279">
        <v>350.6</v>
      </c>
      <c r="G279" s="7">
        <f>STANDARDIZE(E279,Climatology!B$12,Climatology!C$12)</f>
        <v>-1.1435260597101842</v>
      </c>
      <c r="H279" s="6">
        <f>STANDARDIZE(F279,Climatology!D$12,Climatology!E$12)</f>
        <v>-1.1314280064754734</v>
      </c>
      <c r="I279" s="6">
        <f t="shared" si="4"/>
        <v>5.0708706971362458</v>
      </c>
    </row>
    <row r="280" spans="1:9" x14ac:dyDescent="0.3">
      <c r="A280" s="10">
        <v>33878</v>
      </c>
      <c r="B280">
        <v>1992</v>
      </c>
      <c r="C280" t="s">
        <v>19</v>
      </c>
      <c r="D280" s="6">
        <v>1992.74999999703</v>
      </c>
      <c r="E280">
        <v>6908</v>
      </c>
      <c r="F280">
        <v>385</v>
      </c>
      <c r="G280" s="7">
        <f>STANDARDIZE(E280,Climatology!B$11,Climatology!C$11)</f>
        <v>-0.8038588967709388</v>
      </c>
      <c r="H280" s="6">
        <f>STANDARDIZE(F280,Climatology!D$11,Climatology!E$11)</f>
        <v>-0.36812321353293076</v>
      </c>
      <c r="I280" s="6">
        <f t="shared" si="4"/>
        <v>5.5732484076433124</v>
      </c>
    </row>
    <row r="281" spans="1:9" x14ac:dyDescent="0.3">
      <c r="A281" s="10">
        <v>33848</v>
      </c>
      <c r="B281">
        <v>1992</v>
      </c>
      <c r="C281" t="s">
        <v>20</v>
      </c>
      <c r="D281" s="6">
        <v>1992.66666666367</v>
      </c>
      <c r="E281">
        <v>6075</v>
      </c>
      <c r="F281">
        <v>304.7</v>
      </c>
      <c r="G281" s="7">
        <f>STANDARDIZE(E281,Climatology!B$10,Climatology!C$10)</f>
        <v>-0.70573624909122279</v>
      </c>
      <c r="H281" s="6">
        <f>STANDARDIZE(F281,Climatology!D$10,Climatology!E$10)</f>
        <v>-0.6446450632991948</v>
      </c>
      <c r="I281" s="6">
        <f t="shared" si="4"/>
        <v>5.0156378600823048</v>
      </c>
    </row>
    <row r="282" spans="1:9" x14ac:dyDescent="0.3">
      <c r="A282" s="10">
        <v>33817</v>
      </c>
      <c r="B282">
        <v>1992</v>
      </c>
      <c r="C282" t="s">
        <v>21</v>
      </c>
      <c r="D282" s="6">
        <v>1992.5833333303101</v>
      </c>
      <c r="E282">
        <v>5718</v>
      </c>
      <c r="F282">
        <v>272.89999999999998</v>
      </c>
      <c r="G282" s="7">
        <f>STANDARDIZE(E282,Climatology!B$9,Climatology!C$9)</f>
        <v>-0.8136515837218713</v>
      </c>
      <c r="H282" s="6">
        <f>STANDARDIZE(F282,Climatology!D$9,Climatology!E$9)</f>
        <v>-0.82464870442719929</v>
      </c>
      <c r="I282" s="6">
        <f t="shared" si="4"/>
        <v>4.7726477789436856</v>
      </c>
    </row>
    <row r="283" spans="1:9" x14ac:dyDescent="0.3">
      <c r="A283" s="10">
        <v>33786</v>
      </c>
      <c r="B283">
        <v>1992</v>
      </c>
      <c r="C283" t="s">
        <v>22</v>
      </c>
      <c r="D283" s="6">
        <v>1992.49999999695</v>
      </c>
      <c r="E283">
        <v>4899</v>
      </c>
      <c r="F283">
        <v>224.9</v>
      </c>
      <c r="G283" s="7">
        <f>STANDARDIZE(E283,Climatology!B$8,Climatology!C$8)</f>
        <v>-1.4830046474085663</v>
      </c>
      <c r="H283" s="6">
        <f>STANDARDIZE(F283,Climatology!D$8,Climatology!E$8)</f>
        <v>-1.3780349657139468</v>
      </c>
      <c r="I283" s="6">
        <f t="shared" si="4"/>
        <v>4.5907328026127781</v>
      </c>
    </row>
    <row r="284" spans="1:9" x14ac:dyDescent="0.3">
      <c r="A284" s="10">
        <v>33756</v>
      </c>
      <c r="B284">
        <v>1992</v>
      </c>
      <c r="C284" t="s">
        <v>23</v>
      </c>
      <c r="D284" s="6">
        <v>1992.4166666635899</v>
      </c>
      <c r="E284">
        <v>5507</v>
      </c>
      <c r="F284">
        <v>263.10000000000002</v>
      </c>
      <c r="G284" s="7">
        <f>STANDARDIZE(E284,Climatology!B$7,Climatology!C$7)</f>
        <v>-1.5696746692879184</v>
      </c>
      <c r="H284" s="6">
        <f>STANDARDIZE(F284,Climatology!D$7,Climatology!E$7)</f>
        <v>-1.1760010516532777</v>
      </c>
      <c r="I284" s="6">
        <f t="shared" si="4"/>
        <v>4.777555838024333</v>
      </c>
    </row>
    <row r="285" spans="1:9" x14ac:dyDescent="0.3">
      <c r="A285" s="10">
        <v>33725</v>
      </c>
      <c r="B285">
        <v>1992</v>
      </c>
      <c r="C285" t="s">
        <v>24</v>
      </c>
      <c r="D285" s="6">
        <v>1992.3333333302301</v>
      </c>
      <c r="E285">
        <v>4617</v>
      </c>
      <c r="F285">
        <v>199.3</v>
      </c>
      <c r="G285" s="7">
        <f>STANDARDIZE(E285,Climatology!B$6,Climatology!C$6)</f>
        <v>-1.5451421801854603</v>
      </c>
      <c r="H285" s="6">
        <f>STANDARDIZE(F285,Climatology!D$6,Climatology!E$6)</f>
        <v>-1.1650455831935085</v>
      </c>
      <c r="I285" s="6">
        <f t="shared" si="4"/>
        <v>4.3166558371236734</v>
      </c>
    </row>
    <row r="286" spans="1:9" x14ac:dyDescent="0.3">
      <c r="A286" s="10">
        <v>33695</v>
      </c>
      <c r="B286">
        <v>1992</v>
      </c>
      <c r="C286" t="s">
        <v>25</v>
      </c>
      <c r="D286" s="6">
        <v>1992.24999999687</v>
      </c>
      <c r="E286">
        <v>2844</v>
      </c>
      <c r="F286">
        <v>130.30000000000001</v>
      </c>
      <c r="G286" s="7">
        <f>STANDARDIZE(E286,Climatology!B$5,Climatology!C$5)</f>
        <v>-1.4983511502395122</v>
      </c>
      <c r="H286" s="6">
        <f>STANDARDIZE(F286,Climatology!D$5,Climatology!E$5)</f>
        <v>-0.98926928268502479</v>
      </c>
      <c r="I286" s="6">
        <f t="shared" si="4"/>
        <v>4.5815752461322088</v>
      </c>
    </row>
    <row r="287" spans="1:9" x14ac:dyDescent="0.3">
      <c r="A287" s="10">
        <v>33664</v>
      </c>
      <c r="B287">
        <v>1992</v>
      </c>
      <c r="C287" t="s">
        <v>26</v>
      </c>
      <c r="D287" s="6">
        <v>1992.1666666635101</v>
      </c>
      <c r="E287">
        <v>2884</v>
      </c>
      <c r="F287">
        <v>128.9</v>
      </c>
      <c r="G287" s="7">
        <f>STANDARDIZE(E287,Climatology!B$4,Climatology!C$4)</f>
        <v>-0.7856575370748955</v>
      </c>
      <c r="H287" s="6">
        <f>STANDARDIZE(F287,Climatology!D$4,Climatology!E$4)</f>
        <v>-0.76720512580007694</v>
      </c>
      <c r="I287" s="6">
        <f t="shared" si="4"/>
        <v>4.4694868238557559</v>
      </c>
    </row>
    <row r="288" spans="1:9" x14ac:dyDescent="0.3">
      <c r="A288" s="10">
        <v>33635</v>
      </c>
      <c r="B288">
        <v>1992</v>
      </c>
      <c r="C288" t="s">
        <v>27</v>
      </c>
      <c r="D288" s="6">
        <v>1992.08333333015</v>
      </c>
      <c r="E288">
        <v>3068</v>
      </c>
      <c r="F288">
        <v>140.1</v>
      </c>
      <c r="G288" s="7">
        <f>STANDARDIZE(E288,Climatology!B$3,Climatology!C$3)</f>
        <v>-0.80754692882685952</v>
      </c>
      <c r="H288" s="6">
        <f>STANDARDIZE(F288,Climatology!D$3,Climatology!E$3)</f>
        <v>-0.82953012049065178</v>
      </c>
      <c r="I288" s="6">
        <f t="shared" si="4"/>
        <v>4.5664928292046936</v>
      </c>
    </row>
    <row r="289" spans="1:9" x14ac:dyDescent="0.3">
      <c r="A289" s="10">
        <v>33604</v>
      </c>
      <c r="B289">
        <v>1992</v>
      </c>
      <c r="C289" t="s">
        <v>28</v>
      </c>
      <c r="D289" s="6">
        <v>1991.9999999967899</v>
      </c>
      <c r="E289">
        <v>4552</v>
      </c>
      <c r="F289">
        <v>238.2</v>
      </c>
      <c r="G289" s="7">
        <f>STANDARDIZE(E289,Climatology!B$2,Climatology!C$2)</f>
        <v>-0.98835708324779237</v>
      </c>
      <c r="H289" s="6">
        <f>STANDARDIZE(F289,Climatology!D$2,Climatology!E$2)</f>
        <v>-0.92266033167745043</v>
      </c>
      <c r="I289" s="6">
        <f t="shared" si="4"/>
        <v>5.2328646748681891</v>
      </c>
    </row>
    <row r="290" spans="1:9" x14ac:dyDescent="0.3">
      <c r="A290" s="10">
        <v>33573</v>
      </c>
      <c r="B290">
        <v>1991</v>
      </c>
      <c r="C290" t="s">
        <v>17</v>
      </c>
      <c r="D290" s="6">
        <v>1991.9166666634301</v>
      </c>
      <c r="E290">
        <v>8438</v>
      </c>
      <c r="F290">
        <v>311.2</v>
      </c>
      <c r="G290" s="7">
        <f>STANDARDIZE(E290,Climatology!B$13,Climatology!C$13)</f>
        <v>-0.47482165593710307</v>
      </c>
      <c r="H290" s="6">
        <f>STANDARDIZE(F290,Climatology!D$13,Climatology!E$13)</f>
        <v>-1.2817072370091116</v>
      </c>
      <c r="I290" s="6">
        <f t="shared" si="4"/>
        <v>3.6880777435411232</v>
      </c>
    </row>
    <row r="291" spans="1:9" x14ac:dyDescent="0.3">
      <c r="A291" s="10">
        <v>33543</v>
      </c>
      <c r="B291">
        <v>1991</v>
      </c>
      <c r="C291" t="s">
        <v>18</v>
      </c>
      <c r="D291" s="6">
        <v>1991.83333333007</v>
      </c>
      <c r="E291">
        <v>8240</v>
      </c>
      <c r="F291">
        <v>311.39999999999998</v>
      </c>
      <c r="G291" s="7">
        <f>STANDARDIZE(E291,Climatology!B$12,Climatology!C$12)</f>
        <v>-0.62254616387776596</v>
      </c>
      <c r="H291" s="6">
        <f>STANDARDIZE(F291,Climatology!D$12,Climatology!E$12)</f>
        <v>-1.4739143219491309</v>
      </c>
      <c r="I291" s="6">
        <f t="shared" si="4"/>
        <v>3.779126213592233</v>
      </c>
    </row>
    <row r="292" spans="1:9" x14ac:dyDescent="0.3">
      <c r="A292" s="10">
        <v>33512</v>
      </c>
      <c r="B292">
        <v>1991</v>
      </c>
      <c r="C292" t="s">
        <v>19</v>
      </c>
      <c r="D292" s="6">
        <v>1991.7499999967099</v>
      </c>
      <c r="E292">
        <v>7768</v>
      </c>
      <c r="F292">
        <v>290.89999999999998</v>
      </c>
      <c r="G292" s="7">
        <f>STANDARDIZE(E292,Climatology!B$11,Climatology!C$11)</f>
        <v>-0.36076650904852853</v>
      </c>
      <c r="H292" s="6">
        <f>STANDARDIZE(F292,Climatology!D$11,Climatology!E$11)</f>
        <v>-1.1442170579643143</v>
      </c>
      <c r="I292" s="6">
        <f t="shared" si="4"/>
        <v>3.7448506694129762</v>
      </c>
    </row>
    <row r="293" spans="1:9" x14ac:dyDescent="0.3">
      <c r="A293" s="10">
        <v>33482</v>
      </c>
      <c r="B293">
        <v>1991</v>
      </c>
      <c r="C293" t="s">
        <v>20</v>
      </c>
      <c r="D293" s="6">
        <v>1991.66666666335</v>
      </c>
      <c r="E293">
        <v>5396</v>
      </c>
      <c r="F293">
        <v>212.1</v>
      </c>
      <c r="G293" s="7">
        <f>STANDARDIZE(E293,Climatology!B$10,Climatology!C$10)</f>
        <v>-1.0412567921003955</v>
      </c>
      <c r="H293" s="6">
        <f>STANDARDIZE(F293,Climatology!D$10,Climatology!E$10)</f>
        <v>-1.3576905737434422</v>
      </c>
      <c r="I293" s="6">
        <f t="shared" si="4"/>
        <v>3.9306893995552263</v>
      </c>
    </row>
    <row r="294" spans="1:9" x14ac:dyDescent="0.3">
      <c r="A294" s="10">
        <v>33451</v>
      </c>
      <c r="B294">
        <v>1991</v>
      </c>
      <c r="C294" t="s">
        <v>21</v>
      </c>
      <c r="D294" s="6">
        <v>1991.58333332999</v>
      </c>
      <c r="E294">
        <v>6347</v>
      </c>
      <c r="F294">
        <v>250.5</v>
      </c>
      <c r="G294" s="7">
        <f>STANDARDIZE(E294,Climatology!B$9,Climatology!C$9)</f>
        <v>-0.49651482381276163</v>
      </c>
      <c r="H294" s="6">
        <f>STANDARDIZE(F294,Climatology!D$9,Climatology!E$9)</f>
        <v>-0.99706445573951563</v>
      </c>
      <c r="I294" s="6">
        <f t="shared" si="4"/>
        <v>3.9467464944068062</v>
      </c>
    </row>
    <row r="295" spans="1:9" x14ac:dyDescent="0.3">
      <c r="A295" s="10">
        <v>33420</v>
      </c>
      <c r="B295">
        <v>1991</v>
      </c>
      <c r="C295" t="s">
        <v>22</v>
      </c>
      <c r="D295" s="6">
        <v>1991.4999999966301</v>
      </c>
      <c r="E295">
        <v>6740</v>
      </c>
      <c r="F295">
        <v>267.10000000000002</v>
      </c>
      <c r="G295" s="7">
        <f>STANDARDIZE(E295,Climatology!B$8,Climatology!C$8)</f>
        <v>-0.57579285394469104</v>
      </c>
      <c r="H295" s="6">
        <f>STANDARDIZE(F295,Climatology!D$8,Climatology!E$8)</f>
        <v>-1.0403955966884499</v>
      </c>
      <c r="I295" s="6">
        <f t="shared" si="4"/>
        <v>3.9629080118694362</v>
      </c>
    </row>
    <row r="296" spans="1:9" x14ac:dyDescent="0.3">
      <c r="A296" s="10">
        <v>33390</v>
      </c>
      <c r="B296">
        <v>1991</v>
      </c>
      <c r="C296" t="s">
        <v>23</v>
      </c>
      <c r="D296" s="6">
        <v>1991.41666666327</v>
      </c>
      <c r="E296">
        <v>7130</v>
      </c>
      <c r="F296">
        <v>268.8</v>
      </c>
      <c r="G296" s="7">
        <f>STANDARDIZE(E296,Climatology!B$7,Climatology!C$7)</f>
        <v>-0.60685027817360082</v>
      </c>
      <c r="H296" s="6">
        <f>STANDARDIZE(F296,Climatology!D$7,Climatology!E$7)</f>
        <v>-1.1249406769242734</v>
      </c>
      <c r="I296" s="6">
        <f t="shared" si="4"/>
        <v>3.7699859747545581</v>
      </c>
    </row>
    <row r="297" spans="1:9" x14ac:dyDescent="0.3">
      <c r="A297" s="10">
        <v>33359</v>
      </c>
      <c r="B297">
        <v>1991</v>
      </c>
      <c r="C297" t="s">
        <v>24</v>
      </c>
      <c r="D297" s="6">
        <v>1991.3333333299099</v>
      </c>
      <c r="E297">
        <v>6418</v>
      </c>
      <c r="F297">
        <v>232.1</v>
      </c>
      <c r="G297" s="7">
        <f>STANDARDIZE(E297,Climatology!B$6,Climatology!C$6)</f>
        <v>-0.30154707097513173</v>
      </c>
      <c r="H297" s="6">
        <f>STANDARDIZE(F297,Climatology!D$6,Climatology!E$6)</f>
        <v>-0.868775598786792</v>
      </c>
      <c r="I297" s="6">
        <f t="shared" si="4"/>
        <v>3.6163913991897787</v>
      </c>
    </row>
    <row r="298" spans="1:9" x14ac:dyDescent="0.3">
      <c r="A298" s="10">
        <v>33329</v>
      </c>
      <c r="B298">
        <v>1991</v>
      </c>
      <c r="C298" t="s">
        <v>25</v>
      </c>
      <c r="D298" s="6">
        <v>1991.2499999965501</v>
      </c>
      <c r="E298">
        <v>4843</v>
      </c>
      <c r="F298">
        <v>171.9</v>
      </c>
      <c r="G298" s="7">
        <f>STANDARDIZE(E298,Climatology!B$5,Climatology!C$5)</f>
        <v>-6.7358037427562772E-2</v>
      </c>
      <c r="H298" s="6">
        <f>STANDARDIZE(F298,Climatology!D$5,Climatology!E$5)</f>
        <v>-0.59878169078441479</v>
      </c>
      <c r="I298" s="6">
        <f t="shared" si="4"/>
        <v>3.5494528185009289</v>
      </c>
    </row>
    <row r="299" spans="1:9" x14ac:dyDescent="0.3">
      <c r="A299" s="10">
        <v>33298</v>
      </c>
      <c r="B299">
        <v>1991</v>
      </c>
      <c r="C299" t="s">
        <v>26</v>
      </c>
      <c r="D299" s="6">
        <v>1991.16666666319</v>
      </c>
      <c r="E299">
        <v>4155</v>
      </c>
      <c r="F299">
        <v>157.69999999999999</v>
      </c>
      <c r="G299" s="7">
        <f>STANDARDIZE(E299,Climatology!B$4,Climatology!C$4)</f>
        <v>2.2474607796774449E-2</v>
      </c>
      <c r="H299" s="6">
        <f>STANDARDIZE(F299,Climatology!D$4,Climatology!E$4)</f>
        <v>-0.46387397584656542</v>
      </c>
      <c r="I299" s="6">
        <f t="shared" si="4"/>
        <v>3.7954271961492174</v>
      </c>
    </row>
    <row r="300" spans="1:9" x14ac:dyDescent="0.3">
      <c r="A300" s="10">
        <v>33270</v>
      </c>
      <c r="B300">
        <v>1991</v>
      </c>
      <c r="C300" t="s">
        <v>27</v>
      </c>
      <c r="D300" s="6">
        <v>1991.0833333298301</v>
      </c>
      <c r="E300">
        <v>3696</v>
      </c>
      <c r="F300">
        <v>157.6</v>
      </c>
      <c r="G300" s="7">
        <f>STANDARDIZE(E300,Climatology!B$3,Climatology!C$3)</f>
        <v>-0.44140659528446557</v>
      </c>
      <c r="H300" s="6">
        <f>STANDARDIZE(F300,Climatology!D$3,Climatology!E$3)</f>
        <v>-0.68871076816955024</v>
      </c>
      <c r="I300" s="6">
        <f t="shared" si="4"/>
        <v>4.2640692640692635</v>
      </c>
    </row>
    <row r="301" spans="1:9" x14ac:dyDescent="0.3">
      <c r="A301" s="10">
        <v>33239</v>
      </c>
      <c r="B301">
        <v>1991</v>
      </c>
      <c r="C301" t="s">
        <v>28</v>
      </c>
      <c r="D301" s="6">
        <v>1990.99999999647</v>
      </c>
      <c r="E301">
        <v>7050</v>
      </c>
      <c r="F301">
        <v>282.3</v>
      </c>
      <c r="G301" s="7">
        <f>STANDARDIZE(E301,Climatology!B$2,Climatology!C$2)</f>
        <v>0.10109486007273782</v>
      </c>
      <c r="H301" s="6">
        <f>STANDARDIZE(F301,Climatology!D$2,Climatology!E$2)</f>
        <v>-0.62641913659492099</v>
      </c>
      <c r="I301" s="6">
        <f t="shared" si="4"/>
        <v>4.0042553191489363</v>
      </c>
    </row>
    <row r="302" spans="1:9" x14ac:dyDescent="0.3">
      <c r="A302" s="10">
        <v>33208</v>
      </c>
      <c r="B302">
        <v>1990</v>
      </c>
      <c r="C302" t="s">
        <v>17</v>
      </c>
      <c r="D302" s="6">
        <v>1990.9166666631099</v>
      </c>
      <c r="E302">
        <v>10194</v>
      </c>
      <c r="F302">
        <v>479.1</v>
      </c>
      <c r="G302" s="7">
        <f>STANDARDIZE(E302,Climatology!B$13,Climatology!C$13)</f>
        <v>0.15221489944834404</v>
      </c>
      <c r="H302" s="6">
        <f>STANDARDIZE(F302,Climatology!D$13,Climatology!E$13)</f>
        <v>-5.6581164970847614E-2</v>
      </c>
      <c r="I302" s="6">
        <f t="shared" si="4"/>
        <v>4.6998234255444382</v>
      </c>
    </row>
    <row r="303" spans="1:9" x14ac:dyDescent="0.3">
      <c r="A303" s="10">
        <v>33178</v>
      </c>
      <c r="B303">
        <v>1990</v>
      </c>
      <c r="C303" t="s">
        <v>18</v>
      </c>
      <c r="D303" s="6">
        <v>1990.8333333297501</v>
      </c>
      <c r="E303">
        <v>9891</v>
      </c>
      <c r="F303">
        <v>455.1</v>
      </c>
      <c r="G303" s="7">
        <f>STANDARDIZE(E303,Climatology!B$12,Climatology!C$12)</f>
        <v>2.6124882893970559E-2</v>
      </c>
      <c r="H303" s="6">
        <f>STANDARDIZE(F303,Climatology!D$12,Climatology!E$12)</f>
        <v>-0.21842239507248443</v>
      </c>
      <c r="I303" s="6">
        <f t="shared" si="4"/>
        <v>4.6011525629360026</v>
      </c>
    </row>
    <row r="304" spans="1:9" x14ac:dyDescent="0.3">
      <c r="A304" s="10">
        <v>33147</v>
      </c>
      <c r="B304">
        <v>1990</v>
      </c>
      <c r="C304" t="s">
        <v>19</v>
      </c>
      <c r="D304" s="6">
        <v>1990.74999999639</v>
      </c>
      <c r="E304">
        <v>7998</v>
      </c>
      <c r="F304">
        <v>365.6</v>
      </c>
      <c r="G304" s="7">
        <f>STANDARDIZE(E304,Climatology!B$11,Climatology!C$11)</f>
        <v>-0.2422650565181165</v>
      </c>
      <c r="H304" s="6">
        <f>STANDARDIZE(F304,Climatology!D$11,Climatology!E$11)</f>
        <v>-0.52812555765587255</v>
      </c>
      <c r="I304" s="6">
        <f t="shared" si="4"/>
        <v>4.5711427856964244</v>
      </c>
    </row>
    <row r="305" spans="1:9" x14ac:dyDescent="0.3">
      <c r="A305" s="10">
        <v>33117</v>
      </c>
      <c r="B305">
        <v>1990</v>
      </c>
      <c r="C305" t="s">
        <v>20</v>
      </c>
      <c r="D305" s="6">
        <v>1990.6666666630299</v>
      </c>
      <c r="E305">
        <v>6606</v>
      </c>
      <c r="F305">
        <v>304.10000000000002</v>
      </c>
      <c r="G305" s="7">
        <f>STANDARDIZE(E305,Climatology!B$10,Climatology!C$10)</f>
        <v>-0.44334831339480069</v>
      </c>
      <c r="H305" s="6">
        <f>STANDARDIZE(F305,Climatology!D$10,Climatology!E$10)</f>
        <v>-0.64926522859364966</v>
      </c>
      <c r="I305" s="6">
        <f t="shared" si="4"/>
        <v>4.6033908567968513</v>
      </c>
    </row>
    <row r="306" spans="1:9" x14ac:dyDescent="0.3">
      <c r="A306" s="10">
        <v>33086</v>
      </c>
      <c r="B306">
        <v>1990</v>
      </c>
      <c r="C306" t="s">
        <v>21</v>
      </c>
      <c r="D306" s="6">
        <v>1990.58333332967</v>
      </c>
      <c r="E306">
        <v>6335</v>
      </c>
      <c r="F306">
        <v>294.8</v>
      </c>
      <c r="G306" s="7">
        <f>STANDARDIZE(E306,Climatology!B$9,Climatology!C$9)</f>
        <v>-0.50256512765840444</v>
      </c>
      <c r="H306" s="6">
        <f>STANDARDIZE(F306,Climatology!D$9,Climatology!E$9)</f>
        <v>-0.65608151899238953</v>
      </c>
      <c r="I306" s="6">
        <f t="shared" si="4"/>
        <v>4.653512233622731</v>
      </c>
    </row>
    <row r="307" spans="1:9" x14ac:dyDescent="0.3">
      <c r="A307" s="10">
        <v>33055</v>
      </c>
      <c r="B307">
        <v>1990</v>
      </c>
      <c r="C307" t="s">
        <v>22</v>
      </c>
      <c r="D307" s="6">
        <v>1990.49999999631</v>
      </c>
      <c r="E307">
        <v>7090</v>
      </c>
      <c r="F307">
        <v>325.10000000000002</v>
      </c>
      <c r="G307" s="7">
        <f>STANDARDIZE(E307,Climatology!B$8,Climatology!C$8)</f>
        <v>-0.40331912895155886</v>
      </c>
      <c r="H307" s="6">
        <f>STANDARDIZE(F307,Climatology!D$8,Climatology!E$8)</f>
        <v>-0.57634148760127413</v>
      </c>
      <c r="I307" s="6">
        <f t="shared" si="4"/>
        <v>4.5853314527503528</v>
      </c>
    </row>
    <row r="308" spans="1:9" x14ac:dyDescent="0.3">
      <c r="A308" s="10">
        <v>33025</v>
      </c>
      <c r="B308">
        <v>1990</v>
      </c>
      <c r="C308" t="s">
        <v>23</v>
      </c>
      <c r="D308" s="6">
        <v>1990.4166666629501</v>
      </c>
      <c r="E308">
        <v>7707</v>
      </c>
      <c r="F308">
        <v>335.2</v>
      </c>
      <c r="G308" s="7">
        <f>STANDARDIZE(E308,Climatology!B$7,Climatology!C$7)</f>
        <v>-0.26455226605224458</v>
      </c>
      <c r="H308" s="6">
        <f>STANDARDIZE(F308,Climatology!D$7,Climatology!E$7)</f>
        <v>-0.53013210113376774</v>
      </c>
      <c r="I308" s="6">
        <f t="shared" si="4"/>
        <v>4.3492928506552477</v>
      </c>
    </row>
    <row r="309" spans="1:9" x14ac:dyDescent="0.3">
      <c r="A309" s="10">
        <v>32994</v>
      </c>
      <c r="B309">
        <v>1990</v>
      </c>
      <c r="C309" t="s">
        <v>24</v>
      </c>
      <c r="D309" s="6">
        <v>1990.33333332959</v>
      </c>
      <c r="E309">
        <v>7401</v>
      </c>
      <c r="F309">
        <v>306.89999999999998</v>
      </c>
      <c r="G309" s="7">
        <f>STANDARDIZE(E309,Climatology!B$6,Climatology!C$6)</f>
        <v>0.377216944768207</v>
      </c>
      <c r="H309" s="6">
        <f>STANDARDIZE(F309,Climatology!D$6,Climatology!E$6)</f>
        <v>-0.19313551239586491</v>
      </c>
      <c r="I309" s="6">
        <f t="shared" si="4"/>
        <v>4.1467369274422374</v>
      </c>
    </row>
    <row r="310" spans="1:9" x14ac:dyDescent="0.3">
      <c r="A310" s="10">
        <v>32964</v>
      </c>
      <c r="B310">
        <v>1990</v>
      </c>
      <c r="C310" t="s">
        <v>25</v>
      </c>
      <c r="D310" s="6">
        <v>1990.2499999962299</v>
      </c>
      <c r="E310">
        <v>5276</v>
      </c>
      <c r="F310">
        <v>204.3</v>
      </c>
      <c r="G310" s="7">
        <f>STANDARDIZE(E310,Climatology!B$5,Climatology!C$5)</f>
        <v>0.24260695399193399</v>
      </c>
      <c r="H310" s="6">
        <f>STANDARDIZE(F310,Climatology!D$5,Climatology!E$5)</f>
        <v>-0.29465193170797815</v>
      </c>
      <c r="I310" s="6">
        <f t="shared" si="4"/>
        <v>3.8722517058377557</v>
      </c>
    </row>
    <row r="311" spans="1:9" x14ac:dyDescent="0.3">
      <c r="A311" s="10">
        <v>32933</v>
      </c>
      <c r="B311">
        <v>1990</v>
      </c>
      <c r="C311" t="s">
        <v>26</v>
      </c>
      <c r="D311" s="6">
        <v>1990.1666666628701</v>
      </c>
      <c r="E311">
        <v>4684</v>
      </c>
      <c r="F311">
        <v>184.1</v>
      </c>
      <c r="G311" s="7">
        <f>STANDARDIZE(E311,Climatology!B$4,Climatology!C$4)</f>
        <v>0.3588254375663365</v>
      </c>
      <c r="H311" s="6">
        <f>STANDARDIZE(F311,Climatology!D$4,Climatology!E$4)</f>
        <v>-0.18582042172251301</v>
      </c>
      <c r="I311" s="6">
        <f t="shared" si="4"/>
        <v>3.9304013663535442</v>
      </c>
    </row>
    <row r="312" spans="1:9" x14ac:dyDescent="0.3">
      <c r="A312" s="10">
        <v>32905</v>
      </c>
      <c r="B312">
        <v>1990</v>
      </c>
      <c r="C312" t="s">
        <v>27</v>
      </c>
      <c r="D312" s="6">
        <v>1990.08333332951</v>
      </c>
      <c r="E312">
        <v>5057</v>
      </c>
      <c r="F312">
        <v>208.9</v>
      </c>
      <c r="G312" s="7">
        <f>STANDARDIZE(E312,Climatology!B$3,Climatology!C$3)</f>
        <v>0.35209180272699647</v>
      </c>
      <c r="H312" s="6">
        <f>STANDARDIZE(F312,Climatology!D$3,Climatology!E$3)</f>
        <v>-0.27590889536540686</v>
      </c>
      <c r="I312" s="6">
        <f t="shared" si="4"/>
        <v>4.1309076527585527</v>
      </c>
    </row>
    <row r="313" spans="1:9" x14ac:dyDescent="0.3">
      <c r="A313" s="10">
        <v>32874</v>
      </c>
      <c r="B313">
        <v>1990</v>
      </c>
      <c r="C313" t="s">
        <v>28</v>
      </c>
      <c r="D313" s="6">
        <v>1989.9999999961501</v>
      </c>
      <c r="E313">
        <v>6673</v>
      </c>
      <c r="F313">
        <v>330.1</v>
      </c>
      <c r="G313" s="7">
        <f>STANDARDIZE(E313,Climatology!B$2,Climatology!C$2)</f>
        <v>-6.3326029691809768E-2</v>
      </c>
      <c r="H313" s="6">
        <f>STANDARDIZE(F313,Climatology!D$2,Climatology!E$2)</f>
        <v>-0.30532323807009315</v>
      </c>
      <c r="I313" s="6">
        <f t="shared" si="4"/>
        <v>4.9468005394874872</v>
      </c>
    </row>
    <row r="314" spans="1:9" x14ac:dyDescent="0.3">
      <c r="A314" s="10">
        <v>32843</v>
      </c>
      <c r="B314">
        <v>1989</v>
      </c>
      <c r="C314" t="s">
        <v>17</v>
      </c>
      <c r="D314" s="6">
        <v>1989.91666666279</v>
      </c>
      <c r="E314">
        <v>10709</v>
      </c>
      <c r="F314">
        <v>522.4</v>
      </c>
      <c r="G314" s="7">
        <f>STANDARDIZE(E314,Climatology!B$13,Climatology!C$13)</f>
        <v>0.33611229467813064</v>
      </c>
      <c r="H314" s="6">
        <f>STANDARDIZE(F314,Climatology!D$13,Climatology!E$13)</f>
        <v>0.25936856057564889</v>
      </c>
      <c r="I314" s="6">
        <f t="shared" si="4"/>
        <v>4.8781398823419551</v>
      </c>
    </row>
    <row r="315" spans="1:9" x14ac:dyDescent="0.3">
      <c r="A315" s="10">
        <v>32813</v>
      </c>
      <c r="B315">
        <v>1989</v>
      </c>
      <c r="C315" t="s">
        <v>18</v>
      </c>
      <c r="D315" s="6">
        <v>1989.8333333294299</v>
      </c>
      <c r="E315">
        <v>12046</v>
      </c>
      <c r="F315">
        <v>529.4</v>
      </c>
      <c r="G315" s="7">
        <f>STANDARDIZE(E315,Climatology!B$12,Climatology!C$12)</f>
        <v>0.87281543758391122</v>
      </c>
      <c r="H315" s="6">
        <f>STANDARDIZE(F315,Climatology!D$12,Climatology!E$12)</f>
        <v>0.43072896308294184</v>
      </c>
      <c r="I315" s="6">
        <f t="shared" si="4"/>
        <v>4.3948198572140127</v>
      </c>
    </row>
    <row r="316" spans="1:9" x14ac:dyDescent="0.3">
      <c r="A316" s="10">
        <v>32782</v>
      </c>
      <c r="B316">
        <v>1989</v>
      </c>
      <c r="C316" t="s">
        <v>19</v>
      </c>
      <c r="D316" s="6">
        <v>1989.7499999960701</v>
      </c>
      <c r="E316">
        <v>10531</v>
      </c>
      <c r="F316">
        <v>453.6</v>
      </c>
      <c r="G316" s="7">
        <f>STANDARDIZE(E316,Climatology!B$11,Climatology!C$11)</f>
        <v>1.062796592436378</v>
      </c>
      <c r="H316" s="6">
        <f>STANDARDIZE(F316,Climatology!D$11,Climatology!E$11)</f>
        <v>0.19765827135541042</v>
      </c>
      <c r="I316" s="6">
        <f t="shared" si="4"/>
        <v>4.3072832589497683</v>
      </c>
    </row>
    <row r="317" spans="1:9" x14ac:dyDescent="0.3">
      <c r="A317" s="10">
        <v>32752</v>
      </c>
      <c r="B317">
        <v>1989</v>
      </c>
      <c r="C317" t="s">
        <v>20</v>
      </c>
      <c r="D317" s="6">
        <v>1989.66666666271</v>
      </c>
      <c r="E317">
        <v>8298</v>
      </c>
      <c r="F317">
        <v>356.6</v>
      </c>
      <c r="G317" s="7">
        <f>STANDARDIZE(E317,Climatology!B$10,Climatology!C$10)</f>
        <v>0.39273527831583249</v>
      </c>
      <c r="H317" s="6">
        <f>STANDARDIZE(F317,Climatology!D$10,Climatology!E$10)</f>
        <v>-0.24500076532882262</v>
      </c>
      <c r="I317" s="6">
        <f t="shared" si="4"/>
        <v>4.2974210653169438</v>
      </c>
    </row>
    <row r="318" spans="1:9" x14ac:dyDescent="0.3">
      <c r="A318" s="10">
        <v>32721</v>
      </c>
      <c r="B318">
        <v>1989</v>
      </c>
      <c r="C318" t="s">
        <v>21</v>
      </c>
      <c r="D318" s="6">
        <v>1989.5833333293499</v>
      </c>
      <c r="E318">
        <v>6889</v>
      </c>
      <c r="F318">
        <v>305.7</v>
      </c>
      <c r="G318" s="7">
        <f>STANDARDIZE(E318,Climatology!B$9,Climatology!C$9)</f>
        <v>-0.22324276678456217</v>
      </c>
      <c r="H318" s="6">
        <f>STANDARDIZE(F318,Climatology!D$9,Climatology!E$9)</f>
        <v>-0.57218278286273572</v>
      </c>
      <c r="I318" s="6">
        <f t="shared" si="4"/>
        <v>4.4375090724343158</v>
      </c>
    </row>
    <row r="319" spans="1:9" x14ac:dyDescent="0.3">
      <c r="A319" s="10">
        <v>32690</v>
      </c>
      <c r="B319">
        <v>1989</v>
      </c>
      <c r="C319" t="s">
        <v>22</v>
      </c>
      <c r="D319" s="6">
        <v>1989.49999999599</v>
      </c>
      <c r="E319">
        <v>7218</v>
      </c>
      <c r="F319">
        <v>318.2</v>
      </c>
      <c r="G319" s="7">
        <f>STANDARDIZE(E319,Climatology!B$8,Climatology!C$8)</f>
        <v>-0.34024302381121341</v>
      </c>
      <c r="H319" s="6">
        <f>STANDARDIZE(F319,Climatology!D$8,Climatology!E$8)</f>
        <v>-0.63154792471681775</v>
      </c>
      <c r="I319" s="6">
        <f t="shared" si="4"/>
        <v>4.4084233859794955</v>
      </c>
    </row>
    <row r="320" spans="1:9" x14ac:dyDescent="0.3">
      <c r="A320" s="10">
        <v>32660</v>
      </c>
      <c r="B320">
        <v>1989</v>
      </c>
      <c r="C320" t="s">
        <v>23</v>
      </c>
      <c r="D320" s="6">
        <v>1989.41666666263</v>
      </c>
      <c r="E320">
        <v>7546</v>
      </c>
      <c r="F320">
        <v>313</v>
      </c>
      <c r="G320" s="7">
        <f>STANDARDIZE(E320,Climatology!B$7,Climatology!C$7)</f>
        <v>-0.36006349647085523</v>
      </c>
      <c r="H320" s="6">
        <f>STANDARDIZE(F320,Climatology!D$7,Climatology!E$7)</f>
        <v>-0.72899882376252112</v>
      </c>
      <c r="I320" s="6">
        <f t="shared" si="4"/>
        <v>4.1478929234031279</v>
      </c>
    </row>
    <row r="321" spans="1:9" x14ac:dyDescent="0.3">
      <c r="A321" s="10">
        <v>32629</v>
      </c>
      <c r="B321">
        <v>1989</v>
      </c>
      <c r="C321" t="s">
        <v>24</v>
      </c>
      <c r="D321" s="6">
        <v>1989.3333333292701</v>
      </c>
      <c r="E321">
        <v>6464</v>
      </c>
      <c r="F321">
        <v>237.3</v>
      </c>
      <c r="G321" s="7">
        <f>STANDARDIZE(E321,Climatology!B$6,Climatology!C$6)</f>
        <v>-0.26978395324960419</v>
      </c>
      <c r="H321" s="6">
        <f>STANDARDIZE(F321,Climatology!D$6,Climatology!E$6)</f>
        <v>-0.82180596711255627</v>
      </c>
      <c r="I321" s="6">
        <f t="shared" si="4"/>
        <v>3.6711014851485153</v>
      </c>
    </row>
    <row r="322" spans="1:9" x14ac:dyDescent="0.3">
      <c r="A322" s="10">
        <v>32599</v>
      </c>
      <c r="B322">
        <v>1989</v>
      </c>
      <c r="C322" t="s">
        <v>25</v>
      </c>
      <c r="D322" s="6">
        <v>1989.24999999591</v>
      </c>
      <c r="E322">
        <v>5862</v>
      </c>
      <c r="F322">
        <v>219.7</v>
      </c>
      <c r="G322" s="7">
        <f>STANDARDIZE(E322,Climatology!B$5,Climatology!C$5)</f>
        <v>0.66209768140954395</v>
      </c>
      <c r="H322" s="6">
        <f>STANDARDIZE(F322,Climatology!D$5,Climatology!E$5)</f>
        <v>-0.15009642893707945</v>
      </c>
      <c r="I322" s="6">
        <f t="shared" si="4"/>
        <v>3.7478676219720231</v>
      </c>
    </row>
    <row r="323" spans="1:9" x14ac:dyDescent="0.3">
      <c r="A323" s="10">
        <v>32568</v>
      </c>
      <c r="B323">
        <v>1989</v>
      </c>
      <c r="C323" t="s">
        <v>26</v>
      </c>
      <c r="D323" s="6">
        <v>1989.1666666625499</v>
      </c>
      <c r="E323">
        <v>6120</v>
      </c>
      <c r="F323">
        <v>254.9</v>
      </c>
      <c r="G323" s="7">
        <f>STANDARDIZE(E323,Climatology!B$4,Climatology!C$4)</f>
        <v>1.2718685217801193</v>
      </c>
      <c r="H323" s="6">
        <f>STANDARDIZE(F323,Climatology!D$4,Climatology!E$4)</f>
        <v>0.55986865524653662</v>
      </c>
      <c r="I323" s="6">
        <f t="shared" ref="I323:I386" si="5">F323/E323*100</f>
        <v>4.1650326797385624</v>
      </c>
    </row>
    <row r="324" spans="1:9" x14ac:dyDescent="0.3">
      <c r="A324" s="10">
        <v>32540</v>
      </c>
      <c r="B324">
        <v>1989</v>
      </c>
      <c r="C324" t="s">
        <v>27</v>
      </c>
      <c r="D324" s="6">
        <v>1989.0833333291901</v>
      </c>
      <c r="E324">
        <v>7224</v>
      </c>
      <c r="F324">
        <v>374</v>
      </c>
      <c r="G324" s="7">
        <f>STANDARDIZE(E324,Climatology!B$3,Climatology!C$3)</f>
        <v>1.6155091638517858</v>
      </c>
      <c r="H324" s="6">
        <f>STANDARDIZE(F324,Climatology!D$3,Climatology!E$3)</f>
        <v>1.0526211085325281</v>
      </c>
      <c r="I324" s="6">
        <f t="shared" si="5"/>
        <v>5.1771871539313397</v>
      </c>
    </row>
    <row r="325" spans="1:9" x14ac:dyDescent="0.3">
      <c r="A325" s="10">
        <v>32509</v>
      </c>
      <c r="B325">
        <v>1989</v>
      </c>
      <c r="C325" t="s">
        <v>28</v>
      </c>
      <c r="D325" s="6">
        <v>1988.99999999583</v>
      </c>
      <c r="E325">
        <v>11564</v>
      </c>
      <c r="F325">
        <v>546.9</v>
      </c>
      <c r="G325" s="7">
        <f>STANDARDIZE(E325,Climatology!B$2,Climatology!C$2)</f>
        <v>2.069784240436578</v>
      </c>
      <c r="H325" s="6">
        <f>STANDARDIZE(F325,Climatology!D$2,Climatology!E$2)</f>
        <v>1.151028033900255</v>
      </c>
      <c r="I325" s="6">
        <f t="shared" si="5"/>
        <v>4.729332410930474</v>
      </c>
    </row>
    <row r="326" spans="1:9" x14ac:dyDescent="0.3">
      <c r="A326" s="10">
        <v>32478</v>
      </c>
      <c r="B326">
        <v>1988</v>
      </c>
      <c r="C326" t="s">
        <v>17</v>
      </c>
      <c r="D326" s="6">
        <v>1988.9166666624701</v>
      </c>
      <c r="E326">
        <v>13531</v>
      </c>
      <c r="F326">
        <v>670</v>
      </c>
      <c r="G326" s="7">
        <f>STANDARDIZE(E326,Climatology!B$13,Climatology!C$13)</f>
        <v>1.3437986040731942</v>
      </c>
      <c r="H326" s="6">
        <f>STANDARDIZE(F326,Climatology!D$13,Climatology!E$13)</f>
        <v>1.336370396387726</v>
      </c>
      <c r="I326" s="6">
        <f t="shared" si="5"/>
        <v>4.9515926391249723</v>
      </c>
    </row>
    <row r="327" spans="1:9" x14ac:dyDescent="0.3">
      <c r="A327" s="10">
        <v>32448</v>
      </c>
      <c r="B327">
        <v>1988</v>
      </c>
      <c r="C327" t="s">
        <v>18</v>
      </c>
      <c r="D327" s="6">
        <v>1988.83333332911</v>
      </c>
      <c r="E327">
        <v>13160</v>
      </c>
      <c r="F327">
        <v>677.1</v>
      </c>
      <c r="G327" s="7">
        <f>STANDARDIZE(E327,Climatology!B$12,Climatology!C$12)</f>
        <v>1.3105014134189896</v>
      </c>
      <c r="H327" s="6">
        <f>STANDARDIZE(F327,Climatology!D$12,Climatology!E$12)</f>
        <v>1.721168473171186</v>
      </c>
      <c r="I327" s="6">
        <f t="shared" si="5"/>
        <v>5.1451367781155017</v>
      </c>
    </row>
    <row r="328" spans="1:9" x14ac:dyDescent="0.3">
      <c r="A328" s="10">
        <v>32417</v>
      </c>
      <c r="B328">
        <v>1988</v>
      </c>
      <c r="C328" t="s">
        <v>19</v>
      </c>
      <c r="D328" s="6">
        <v>1988.7499999957499</v>
      </c>
      <c r="E328">
        <v>12893</v>
      </c>
      <c r="F328">
        <v>683.7</v>
      </c>
      <c r="G328" s="7">
        <f>STANDARDIZE(E328,Climatology!B$11,Climatology!C$11)</f>
        <v>2.2797549875530443</v>
      </c>
      <c r="H328" s="6">
        <f>STANDARDIZE(F328,Climatology!D$11,Climatology!E$11)</f>
        <v>2.0954180333496857</v>
      </c>
      <c r="I328" s="6">
        <f t="shared" si="5"/>
        <v>5.3028775304428759</v>
      </c>
    </row>
    <row r="329" spans="1:9" x14ac:dyDescent="0.3">
      <c r="A329" s="10">
        <v>32387</v>
      </c>
      <c r="B329">
        <v>1988</v>
      </c>
      <c r="C329" t="s">
        <v>20</v>
      </c>
      <c r="D329" s="6">
        <v>1988.6666666623901</v>
      </c>
      <c r="E329">
        <v>11519</v>
      </c>
      <c r="F329">
        <v>623.9</v>
      </c>
      <c r="G329" s="7">
        <f>STANDARDIZE(E329,Climatology!B$10,Climatology!C$10)</f>
        <v>1.9843577658453535</v>
      </c>
      <c r="H329" s="6">
        <f>STANDARDIZE(F329,Climatology!D$10,Climatology!E$10)</f>
        <v>1.8132828733509536</v>
      </c>
      <c r="I329" s="6">
        <f t="shared" si="5"/>
        <v>5.4162687733310184</v>
      </c>
    </row>
    <row r="330" spans="1:9" x14ac:dyDescent="0.3">
      <c r="A330" s="10">
        <v>32356</v>
      </c>
      <c r="B330">
        <v>1988</v>
      </c>
      <c r="C330" t="s">
        <v>21</v>
      </c>
      <c r="D330" s="6">
        <v>1988.58333332903</v>
      </c>
      <c r="E330">
        <v>9669</v>
      </c>
      <c r="F330">
        <v>555.29999999999995</v>
      </c>
      <c r="G330" s="7">
        <f>STANDARDIZE(E330,Climatology!B$9,Climatology!C$9)</f>
        <v>1.1784109574560182</v>
      </c>
      <c r="H330" s="6">
        <f>STANDARDIZE(F330,Climatology!D$9,Climatology!E$9)</f>
        <v>1.3490213031887912</v>
      </c>
      <c r="I330" s="6">
        <f t="shared" si="5"/>
        <v>5.7430964939497358</v>
      </c>
    </row>
    <row r="331" spans="1:9" x14ac:dyDescent="0.3">
      <c r="A331" s="10">
        <v>32325</v>
      </c>
      <c r="B331">
        <v>1988</v>
      </c>
      <c r="C331" t="s">
        <v>22</v>
      </c>
      <c r="D331" s="6">
        <v>1988.4999999956699</v>
      </c>
      <c r="E331">
        <v>8636</v>
      </c>
      <c r="F331">
        <v>473.6</v>
      </c>
      <c r="G331" s="7">
        <f>STANDARDIZE(E331,Climatology!B$8,Climatology!C$8)</f>
        <v>0.35852195344667642</v>
      </c>
      <c r="H331" s="6">
        <f>STANDARDIZE(F331,Climatology!D$8,Climatology!E$8)</f>
        <v>0.6117970503202016</v>
      </c>
      <c r="I331" s="6">
        <f t="shared" si="5"/>
        <v>5.4840203798054654</v>
      </c>
    </row>
    <row r="332" spans="1:9" x14ac:dyDescent="0.3">
      <c r="A332" s="10">
        <v>32295</v>
      </c>
      <c r="B332">
        <v>1988</v>
      </c>
      <c r="C332" t="s">
        <v>23</v>
      </c>
      <c r="D332" s="6">
        <v>1988.41666666231</v>
      </c>
      <c r="E332">
        <v>6416</v>
      </c>
      <c r="F332">
        <v>347</v>
      </c>
      <c r="G332" s="7">
        <f>STANDARDIZE(E332,Climatology!B$7,Climatology!C$7)</f>
        <v>-1.0304218217691787</v>
      </c>
      <c r="H332" s="6">
        <f>STANDARDIZE(F332,Climatology!D$7,Climatology!E$7)</f>
        <v>-0.42442816748425</v>
      </c>
      <c r="I332" s="6">
        <f t="shared" si="5"/>
        <v>5.4083541147132168</v>
      </c>
    </row>
    <row r="333" spans="1:9" x14ac:dyDescent="0.3">
      <c r="A333" s="10">
        <v>32264</v>
      </c>
      <c r="B333">
        <v>1988</v>
      </c>
      <c r="C333" t="s">
        <v>24</v>
      </c>
      <c r="D333" s="6">
        <v>1988.3333333289499</v>
      </c>
      <c r="E333">
        <v>5725</v>
      </c>
      <c r="F333">
        <v>286.3</v>
      </c>
      <c r="G333" s="7">
        <f>STANDARDIZE(E333,Climatology!B$6,Climatology!C$6)</f>
        <v>-0.78006534453579668</v>
      </c>
      <c r="H333" s="6">
        <f>STANDARDIZE(F333,Climatology!D$6,Climatology!E$6)</f>
        <v>-0.37920751479764403</v>
      </c>
      <c r="I333" s="6">
        <f t="shared" si="5"/>
        <v>5.0008733624454145</v>
      </c>
    </row>
    <row r="334" spans="1:9" x14ac:dyDescent="0.3">
      <c r="A334" s="10">
        <v>32234</v>
      </c>
      <c r="B334">
        <v>1988</v>
      </c>
      <c r="C334" t="s">
        <v>25</v>
      </c>
      <c r="D334" s="6">
        <v>1988.2499999955901</v>
      </c>
      <c r="E334">
        <v>4695</v>
      </c>
      <c r="F334">
        <v>175</v>
      </c>
      <c r="G334" s="7">
        <f>STANDARDIZE(E334,Climatology!B$5,Climatology!C$5)</f>
        <v>-0.17330450100743694</v>
      </c>
      <c r="H334" s="6">
        <f>STANDARDIZE(F334,Climatology!D$5,Climatology!E$5)</f>
        <v>-0.56968285581105216</v>
      </c>
      <c r="I334" s="6">
        <f t="shared" si="5"/>
        <v>3.727369542066028</v>
      </c>
    </row>
    <row r="335" spans="1:9" x14ac:dyDescent="0.3">
      <c r="A335" s="10">
        <v>32203</v>
      </c>
      <c r="B335">
        <v>1988</v>
      </c>
      <c r="C335" t="s">
        <v>26</v>
      </c>
      <c r="D335" s="6">
        <v>1988.16666666223</v>
      </c>
      <c r="E335">
        <v>4152</v>
      </c>
      <c r="F335">
        <v>123.6</v>
      </c>
      <c r="G335" s="7">
        <f>STANDARDIZE(E335,Climatology!B$4,Climatology!C$4)</f>
        <v>2.0567136172372397E-2</v>
      </c>
      <c r="H335" s="6">
        <f>STANDARDIZE(F335,Climatology!D$4,Climatology!E$4)</f>
        <v>-0.82302648325679972</v>
      </c>
      <c r="I335" s="6">
        <f t="shared" si="5"/>
        <v>2.9768786127167628</v>
      </c>
    </row>
    <row r="336" spans="1:9" x14ac:dyDescent="0.3">
      <c r="A336" s="10">
        <v>32174</v>
      </c>
      <c r="B336">
        <v>1988</v>
      </c>
      <c r="C336" t="s">
        <v>27</v>
      </c>
      <c r="D336" s="6">
        <v>1988.0833333288699</v>
      </c>
      <c r="E336">
        <v>4394</v>
      </c>
      <c r="F336">
        <v>192.3</v>
      </c>
      <c r="G336" s="7">
        <f>STANDARDIZE(E336,Climatology!B$3,Climatology!C$3)</f>
        <v>-3.4454441124288866E-2</v>
      </c>
      <c r="H336" s="6">
        <f>STANDARDIZE(F336,Climatology!D$3,Climatology!E$3)</f>
        <v>-0.40948610956713738</v>
      </c>
      <c r="I336" s="6">
        <f t="shared" si="5"/>
        <v>4.3764223941738738</v>
      </c>
    </row>
    <row r="337" spans="1:9" x14ac:dyDescent="0.3">
      <c r="A337" s="10">
        <v>32143</v>
      </c>
      <c r="B337">
        <v>1988</v>
      </c>
      <c r="C337" t="s">
        <v>28</v>
      </c>
      <c r="D337" s="6">
        <v>1987.9999999955101</v>
      </c>
      <c r="E337">
        <v>6517</v>
      </c>
      <c r="F337">
        <v>438.4</v>
      </c>
      <c r="G337" s="7">
        <f>STANDARDIZE(E337,Climatology!B$2,Climatology!C$2)</f>
        <v>-0.13136225993920878</v>
      </c>
      <c r="H337" s="6">
        <f>STANDARDIZE(F337,Climatology!D$2,Climatology!E$2)</f>
        <v>0.42218064917339704</v>
      </c>
      <c r="I337" s="6">
        <f t="shared" si="5"/>
        <v>6.7270216357219583</v>
      </c>
    </row>
    <row r="338" spans="1:9" x14ac:dyDescent="0.3">
      <c r="A338" s="10">
        <v>32112</v>
      </c>
      <c r="B338">
        <v>1987</v>
      </c>
      <c r="C338" t="s">
        <v>17</v>
      </c>
      <c r="D338" s="6">
        <v>1987.91666666215</v>
      </c>
      <c r="E338">
        <v>11132</v>
      </c>
      <c r="F338">
        <v>603.29999999999995</v>
      </c>
      <c r="G338" s="7">
        <f>STANDARDIZE(E338,Climatology!B$13,Climatology!C$13)</f>
        <v>0.48715811639113982</v>
      </c>
      <c r="H338" s="6">
        <f>STANDARDIZE(F338,Climatology!D$13,Climatology!E$13)</f>
        <v>0.84967647735882645</v>
      </c>
      <c r="I338" s="6">
        <f t="shared" si="5"/>
        <v>5.4195113187208044</v>
      </c>
    </row>
    <row r="339" spans="1:9" x14ac:dyDescent="0.3">
      <c r="A339" s="10">
        <v>32082</v>
      </c>
      <c r="B339">
        <v>1987</v>
      </c>
      <c r="C339" t="s">
        <v>18</v>
      </c>
      <c r="D339" s="6">
        <v>1987.8333333287901</v>
      </c>
      <c r="E339">
        <v>11086</v>
      </c>
      <c r="F339">
        <v>547.29999999999995</v>
      </c>
      <c r="G339" s="7">
        <f>STANDARDIZE(E339,Climatology!B$12,Climatology!C$12)</f>
        <v>0.49563542250161746</v>
      </c>
      <c r="H339" s="6">
        <f>STANDARDIZE(F339,Climatology!D$12,Climatology!E$12)</f>
        <v>0.58711939795484114</v>
      </c>
      <c r="I339" s="6">
        <f t="shared" si="5"/>
        <v>4.9368572974923319</v>
      </c>
    </row>
    <row r="340" spans="1:9" x14ac:dyDescent="0.3">
      <c r="A340" s="10">
        <v>32051</v>
      </c>
      <c r="B340">
        <v>1987</v>
      </c>
      <c r="C340" t="s">
        <v>19</v>
      </c>
      <c r="D340" s="6">
        <v>1987.74999999543</v>
      </c>
      <c r="E340">
        <v>8922</v>
      </c>
      <c r="F340">
        <v>456.9</v>
      </c>
      <c r="G340" s="7">
        <f>STANDARDIZE(E340,Climatology!B$11,Climatology!C$11)</f>
        <v>0.23380164843014756</v>
      </c>
      <c r="H340" s="6">
        <f>STANDARDIZE(F340,Climatology!D$11,Climatology!E$11)</f>
        <v>0.22487516494333315</v>
      </c>
      <c r="I340" s="6">
        <f t="shared" si="5"/>
        <v>5.121049092131809</v>
      </c>
    </row>
    <row r="341" spans="1:9" x14ac:dyDescent="0.3">
      <c r="A341" s="10">
        <v>32021</v>
      </c>
      <c r="B341">
        <v>1987</v>
      </c>
      <c r="C341" t="s">
        <v>20</v>
      </c>
      <c r="D341" s="6">
        <v>1987.6666666620599</v>
      </c>
      <c r="E341">
        <v>7653</v>
      </c>
      <c r="F341">
        <v>385.4</v>
      </c>
      <c r="G341" s="7">
        <f>STANDARDIZE(E341,Climatology!B$10,Climatology!C$10)</f>
        <v>7.4015469419048588E-2</v>
      </c>
      <c r="H341" s="6">
        <f>STANDARDIZE(F341,Climatology!D$10,Climatology!E$10)</f>
        <v>-2.3232831194974993E-2</v>
      </c>
      <c r="I341" s="6">
        <f t="shared" si="5"/>
        <v>5.0359336208022993</v>
      </c>
    </row>
    <row r="342" spans="1:9" x14ac:dyDescent="0.3">
      <c r="A342" s="10">
        <v>31990</v>
      </c>
      <c r="B342">
        <v>1987</v>
      </c>
      <c r="C342" t="s">
        <v>21</v>
      </c>
      <c r="D342" s="6">
        <v>1987.5833333287001</v>
      </c>
      <c r="E342">
        <v>7564</v>
      </c>
      <c r="F342">
        <v>350.9</v>
      </c>
      <c r="G342" s="7">
        <f>STANDARDIZE(E342,Climatology!B$9,Climatology!C$9)</f>
        <v>0.11708682453284491</v>
      </c>
      <c r="H342" s="6">
        <f>STANDARDIZE(F342,Climatology!D$9,Climatology!E$9)</f>
        <v>-0.22427242753609708</v>
      </c>
      <c r="I342" s="6">
        <f t="shared" si="5"/>
        <v>4.6390798519301955</v>
      </c>
    </row>
    <row r="343" spans="1:9" x14ac:dyDescent="0.3">
      <c r="A343" s="10">
        <v>31959</v>
      </c>
      <c r="B343">
        <v>1987</v>
      </c>
      <c r="C343" t="s">
        <v>22</v>
      </c>
      <c r="D343" s="6">
        <v>1987.49999999534</v>
      </c>
      <c r="E343">
        <v>5945</v>
      </c>
      <c r="F343">
        <v>279.7</v>
      </c>
      <c r="G343" s="7">
        <f>STANDARDIZE(E343,Climatology!B$8,Climatology!C$8)</f>
        <v>-0.96755460071480559</v>
      </c>
      <c r="H343" s="6">
        <f>STANDARDIZE(F343,Climatology!D$8,Climatology!E$8)</f>
        <v>-0.93958384195571887</v>
      </c>
      <c r="I343" s="6">
        <f t="shared" si="5"/>
        <v>4.7047939444911684</v>
      </c>
    </row>
    <row r="344" spans="1:9" x14ac:dyDescent="0.3">
      <c r="A344" s="10">
        <v>31929</v>
      </c>
      <c r="B344">
        <v>1987</v>
      </c>
      <c r="C344" t="s">
        <v>23</v>
      </c>
      <c r="D344" s="6">
        <v>1987.4166666619799</v>
      </c>
      <c r="E344">
        <v>6982</v>
      </c>
      <c r="F344">
        <v>321.3</v>
      </c>
      <c r="G344" s="7">
        <f>STANDARDIZE(E344,Climatology!B$7,Climatology!C$7)</f>
        <v>-0.69464942166400079</v>
      </c>
      <c r="H344" s="6">
        <f>STANDARDIZE(F344,Climatology!D$7,Climatology!E$7)</f>
        <v>-0.65464775178870782</v>
      </c>
      <c r="I344" s="6">
        <f t="shared" si="5"/>
        <v>4.6018332855915212</v>
      </c>
    </row>
    <row r="345" spans="1:9" x14ac:dyDescent="0.3">
      <c r="A345" s="10">
        <v>31898</v>
      </c>
      <c r="B345">
        <v>1987</v>
      </c>
      <c r="C345" t="s">
        <v>24</v>
      </c>
      <c r="D345" s="6">
        <v>1987.33333332862</v>
      </c>
      <c r="E345">
        <v>6149</v>
      </c>
      <c r="F345">
        <v>247.8</v>
      </c>
      <c r="G345" s="7">
        <f>STANDARDIZE(E345,Climatology!B$6,Climatology!C$6)</f>
        <v>-0.48729225941354282</v>
      </c>
      <c r="H345" s="6">
        <f>STANDARDIZE(F345,Climatology!D$6,Climatology!E$6)</f>
        <v>-0.72696344161650361</v>
      </c>
      <c r="I345" s="6">
        <f t="shared" si="5"/>
        <v>4.0299235648072864</v>
      </c>
    </row>
    <row r="346" spans="1:9" x14ac:dyDescent="0.3">
      <c r="A346" s="10">
        <v>31868</v>
      </c>
      <c r="B346">
        <v>1987</v>
      </c>
      <c r="C346" t="s">
        <v>25</v>
      </c>
      <c r="D346" s="6">
        <v>1987.2499999952599</v>
      </c>
      <c r="E346">
        <v>4451</v>
      </c>
      <c r="F346">
        <v>118.8</v>
      </c>
      <c r="G346" s="7">
        <f>STANDARDIZE(E346,Climatology!B$5,Climatology!C$5)</f>
        <v>-0.34797299501749979</v>
      </c>
      <c r="H346" s="6">
        <f>STANDARDIZE(F346,Climatology!D$5,Climatology!E$5)</f>
        <v>-1.0972165737152417</v>
      </c>
      <c r="I346" s="6">
        <f t="shared" si="5"/>
        <v>2.6690631318804763</v>
      </c>
    </row>
    <row r="347" spans="1:9" x14ac:dyDescent="0.3">
      <c r="A347" s="10">
        <v>31837</v>
      </c>
      <c r="B347">
        <v>1987</v>
      </c>
      <c r="C347" t="s">
        <v>26</v>
      </c>
      <c r="D347" s="6">
        <v>1987.1666666619001</v>
      </c>
      <c r="E347">
        <v>4114</v>
      </c>
      <c r="F347">
        <v>79</v>
      </c>
      <c r="G347" s="7">
        <f>STANDARDIZE(E347,Climatology!B$4,Climatology!C$4)</f>
        <v>-3.594171070053612E-3</v>
      </c>
      <c r="H347" s="6">
        <f>STANDARDIZE(F347,Climatology!D$4,Climatology!E$4)</f>
        <v>-1.2927684724209183</v>
      </c>
      <c r="I347" s="6">
        <f t="shared" si="5"/>
        <v>1.9202722411278561</v>
      </c>
    </row>
    <row r="348" spans="1:9" x14ac:dyDescent="0.3">
      <c r="A348" s="10">
        <v>31809</v>
      </c>
      <c r="B348">
        <v>1987</v>
      </c>
      <c r="C348" t="s">
        <v>27</v>
      </c>
      <c r="D348" s="6">
        <v>1987.08333332854</v>
      </c>
      <c r="E348">
        <v>4222</v>
      </c>
      <c r="F348">
        <v>105.7</v>
      </c>
      <c r="G348" s="7">
        <f>STANDARDIZE(E348,Climatology!B$3,Climatology!C$3)</f>
        <v>-0.13473491464226939</v>
      </c>
      <c r="H348" s="6">
        <f>STANDARDIZE(F348,Climatology!D$3,Climatology!E$3)</f>
        <v>-1.1063407330532742</v>
      </c>
      <c r="I348" s="6">
        <f t="shared" si="5"/>
        <v>2.5035528185693985</v>
      </c>
    </row>
    <row r="349" spans="1:9" x14ac:dyDescent="0.3">
      <c r="A349" s="10">
        <v>31778</v>
      </c>
      <c r="B349">
        <v>1987</v>
      </c>
      <c r="C349" t="s">
        <v>28</v>
      </c>
      <c r="D349" s="6">
        <v>1986.9999999951799</v>
      </c>
      <c r="E349">
        <v>5075</v>
      </c>
      <c r="F349">
        <v>254.4</v>
      </c>
      <c r="G349" s="7">
        <f>STANDARDIZE(E349,Climatology!B$2,Climatology!C$2)</f>
        <v>-0.76026126004657646</v>
      </c>
      <c r="H349" s="6">
        <f>STANDARDIZE(F349,Climatology!D$2,Climatology!E$2)</f>
        <v>-0.81383703552468445</v>
      </c>
      <c r="I349" s="6">
        <f t="shared" si="5"/>
        <v>5.0128078817733988</v>
      </c>
    </row>
    <row r="350" spans="1:9" x14ac:dyDescent="0.3">
      <c r="A350" s="10">
        <v>31747</v>
      </c>
      <c r="B350">
        <v>1986</v>
      </c>
      <c r="C350" t="s">
        <v>17</v>
      </c>
      <c r="D350" s="6">
        <v>1986.91666666182</v>
      </c>
      <c r="E350">
        <v>9594</v>
      </c>
      <c r="F350">
        <v>476.3</v>
      </c>
      <c r="G350" s="7">
        <f>STANDARDIZE(E350,Climatology!B$13,Climatology!C$13)</f>
        <v>-6.2034493052378195E-2</v>
      </c>
      <c r="H350" s="6">
        <f>STANDARDIZE(F350,Climatology!D$13,Climatology!E$13)</f>
        <v>-7.7012094105494144E-2</v>
      </c>
      <c r="I350" s="6">
        <f t="shared" si="5"/>
        <v>4.9645611840733794</v>
      </c>
    </row>
    <row r="351" spans="1:9" x14ac:dyDescent="0.3">
      <c r="A351" s="10">
        <v>31717</v>
      </c>
      <c r="B351">
        <v>1986</v>
      </c>
      <c r="C351" t="s">
        <v>18</v>
      </c>
      <c r="D351" s="6">
        <v>1986.83333332846</v>
      </c>
      <c r="E351">
        <v>10628</v>
      </c>
      <c r="F351">
        <v>460.5</v>
      </c>
      <c r="G351" s="7">
        <f>STANDARDIZE(E351,Climatology!B$12,Climatology!C$12)</f>
        <v>0.31568912363943985</v>
      </c>
      <c r="H351" s="6">
        <f>STANDARDIZE(F351,Climatology!D$12,Climatology!E$12)</f>
        <v>-0.17124315773682777</v>
      </c>
      <c r="I351" s="6">
        <f t="shared" si="5"/>
        <v>4.332894241625894</v>
      </c>
    </row>
    <row r="352" spans="1:9" x14ac:dyDescent="0.3">
      <c r="A352" s="10">
        <v>31686</v>
      </c>
      <c r="B352">
        <v>1986</v>
      </c>
      <c r="C352" t="s">
        <v>19</v>
      </c>
      <c r="D352" s="6">
        <v>1986.7499999951001</v>
      </c>
      <c r="E352">
        <v>8391</v>
      </c>
      <c r="F352">
        <v>337.8</v>
      </c>
      <c r="G352" s="7">
        <f>STANDARDIZE(E352,Climatology!B$11,Climatology!C$11)</f>
        <v>-3.9782139803108088E-2</v>
      </c>
      <c r="H352" s="6">
        <f>STANDARDIZE(F352,Climatology!D$11,Climatology!E$11)</f>
        <v>-0.75740726727534613</v>
      </c>
      <c r="I352" s="6">
        <f t="shared" si="5"/>
        <v>4.0257418662853057</v>
      </c>
    </row>
    <row r="353" spans="1:9" x14ac:dyDescent="0.3">
      <c r="A353" s="10">
        <v>31656</v>
      </c>
      <c r="B353">
        <v>1986</v>
      </c>
      <c r="C353" t="s">
        <v>20</v>
      </c>
      <c r="D353" s="6">
        <v>1986.66666666174</v>
      </c>
      <c r="E353">
        <v>6190</v>
      </c>
      <c r="F353">
        <v>245.5</v>
      </c>
      <c r="G353" s="7">
        <f>STANDARDIZE(E353,Climatology!B$10,Climatology!C$10)</f>
        <v>-0.64891023665226133</v>
      </c>
      <c r="H353" s="6">
        <f>STANDARDIZE(F353,Climatology!D$10,Climatology!E$10)</f>
        <v>-1.1005013723521044</v>
      </c>
      <c r="I353" s="6">
        <f t="shared" si="5"/>
        <v>3.9660743134087237</v>
      </c>
    </row>
    <row r="354" spans="1:9" x14ac:dyDescent="0.3">
      <c r="A354" s="10">
        <v>31625</v>
      </c>
      <c r="B354">
        <v>1986</v>
      </c>
      <c r="C354" t="s">
        <v>21</v>
      </c>
      <c r="D354" s="6">
        <v>1986.5833333283799</v>
      </c>
      <c r="E354">
        <v>6205</v>
      </c>
      <c r="F354">
        <v>270.3</v>
      </c>
      <c r="G354" s="7">
        <f>STANDARDIZE(E354,Climatology!B$9,Climatology!C$9)</f>
        <v>-0.56811008598620139</v>
      </c>
      <c r="H354" s="6">
        <f>STANDARDIZE(F354,Climatology!D$9,Climatology!E$9)</f>
        <v>-0.84466124699023581</v>
      </c>
      <c r="I354" s="6">
        <f t="shared" si="5"/>
        <v>4.3561643835616444</v>
      </c>
    </row>
    <row r="355" spans="1:9" x14ac:dyDescent="0.3">
      <c r="A355" s="10">
        <v>31594</v>
      </c>
      <c r="B355">
        <v>1986</v>
      </c>
      <c r="C355" t="s">
        <v>22</v>
      </c>
      <c r="D355" s="6">
        <v>1986.4999999950201</v>
      </c>
      <c r="E355">
        <v>8717</v>
      </c>
      <c r="F355">
        <v>389.3</v>
      </c>
      <c r="G355" s="7">
        <f>STANDARDIZE(E355,Climatology!B$8,Climatology!C$8)</f>
        <v>0.39843730123080129</v>
      </c>
      <c r="H355" s="6">
        <f>STANDARDIZE(F355,Climatology!D$8,Climatology!E$8)</f>
        <v>-6.2681594439262495E-2</v>
      </c>
      <c r="I355" s="6">
        <f t="shared" si="5"/>
        <v>4.4659860043592978</v>
      </c>
    </row>
    <row r="356" spans="1:9" x14ac:dyDescent="0.3">
      <c r="A356" s="10">
        <v>31564</v>
      </c>
      <c r="B356">
        <v>1986</v>
      </c>
      <c r="C356" t="s">
        <v>23</v>
      </c>
      <c r="D356" s="6">
        <v>1986.41666666166</v>
      </c>
      <c r="E356">
        <v>9229</v>
      </c>
      <c r="F356">
        <v>386.4</v>
      </c>
      <c r="G356" s="7">
        <f>STANDARDIZE(E356,Climatology!B$7,Climatology!C$7)</f>
        <v>0.63835514200443533</v>
      </c>
      <c r="H356" s="6">
        <f>STANDARDIZE(F356,Climatology!D$7,Climatology!E$7)</f>
        <v>-7.1484524620606657E-2</v>
      </c>
      <c r="I356" s="6">
        <f t="shared" si="5"/>
        <v>4.1868024704735074</v>
      </c>
    </row>
    <row r="357" spans="1:9" x14ac:dyDescent="0.3">
      <c r="A357" s="10">
        <v>31533</v>
      </c>
      <c r="B357">
        <v>1986</v>
      </c>
      <c r="C357" t="s">
        <v>24</v>
      </c>
      <c r="D357" s="6">
        <v>1986.3333333282999</v>
      </c>
      <c r="E357">
        <v>8347</v>
      </c>
      <c r="F357">
        <v>326.8</v>
      </c>
      <c r="G357" s="7">
        <f>STANDARDIZE(E357,Climatology!B$6,Climatology!C$6)</f>
        <v>1.0304323658192736</v>
      </c>
      <c r="H357" s="6">
        <f>STANDARDIZE(F357,Climatology!D$6,Climatology!E$6)</f>
        <v>-1.3386345027155338E-2</v>
      </c>
      <c r="I357" s="6">
        <f t="shared" si="5"/>
        <v>3.9151791062657244</v>
      </c>
    </row>
    <row r="358" spans="1:9" x14ac:dyDescent="0.3">
      <c r="A358" s="10">
        <v>31503</v>
      </c>
      <c r="B358">
        <v>1986</v>
      </c>
      <c r="C358" t="s">
        <v>25</v>
      </c>
      <c r="D358" s="6">
        <v>1986.24999999494</v>
      </c>
      <c r="E358">
        <v>6552</v>
      </c>
      <c r="F358">
        <v>233.3</v>
      </c>
      <c r="G358" s="7">
        <f>STANDARDIZE(E358,Climatology!B$5,Climatology!C$5)</f>
        <v>1.1560372751265249</v>
      </c>
      <c r="H358" s="6">
        <f>STANDARDIZE(F358,Climatology!D$5,Climatology!E$5)</f>
        <v>-2.2437023892649018E-2</v>
      </c>
      <c r="I358" s="6">
        <f t="shared" si="5"/>
        <v>3.5607448107448105</v>
      </c>
    </row>
    <row r="359" spans="1:9" x14ac:dyDescent="0.3">
      <c r="A359" s="10">
        <v>31472</v>
      </c>
      <c r="B359">
        <v>1986</v>
      </c>
      <c r="C359" t="s">
        <v>26</v>
      </c>
      <c r="D359" s="6">
        <v>1986.1666666615799</v>
      </c>
      <c r="E359">
        <v>5667</v>
      </c>
      <c r="F359">
        <v>192.4</v>
      </c>
      <c r="G359" s="7">
        <f>STANDARDIZE(E359,Climatology!B$4,Climatology!C$4)</f>
        <v>0.98384030649540932</v>
      </c>
      <c r="H359" s="6">
        <f>STANDARDIZE(F359,Climatology!D$4,Climatology!E$4)</f>
        <v>-9.8402069478966125E-2</v>
      </c>
      <c r="I359" s="6">
        <f t="shared" si="5"/>
        <v>3.395094406211399</v>
      </c>
    </row>
    <row r="360" spans="1:9" x14ac:dyDescent="0.3">
      <c r="A360" s="10">
        <v>31444</v>
      </c>
      <c r="B360">
        <v>1986</v>
      </c>
      <c r="C360" t="s">
        <v>27</v>
      </c>
      <c r="D360" s="6">
        <v>1986.0833333282201</v>
      </c>
      <c r="E360">
        <v>5097</v>
      </c>
      <c r="F360">
        <v>181.2</v>
      </c>
      <c r="G360" s="7">
        <f>STANDARDIZE(E360,Climatology!B$3,Climatology!C$3)</f>
        <v>0.37541284308001521</v>
      </c>
      <c r="H360" s="6">
        <f>STANDARDIZE(F360,Climatology!D$3,Climatology!E$3)</f>
        <v>-0.4988058130393791</v>
      </c>
      <c r="I360" s="6">
        <f t="shared" si="5"/>
        <v>3.5550323719835193</v>
      </c>
    </row>
    <row r="361" spans="1:9" x14ac:dyDescent="0.3">
      <c r="A361" s="10">
        <v>31413</v>
      </c>
      <c r="B361">
        <v>1986</v>
      </c>
      <c r="C361" t="s">
        <v>28</v>
      </c>
      <c r="D361" s="6">
        <v>1985.99999999486</v>
      </c>
      <c r="E361">
        <v>6525</v>
      </c>
      <c r="F361">
        <v>307.5</v>
      </c>
      <c r="G361" s="7">
        <f>STANDARDIZE(E361,Climatology!B$2,Climatology!C$2)</f>
        <v>-0.12787322249062419</v>
      </c>
      <c r="H361" s="6">
        <f>STANDARDIZE(F361,Climatology!D$2,Climatology!E$2)</f>
        <v>-0.45713845369061856</v>
      </c>
      <c r="I361" s="6">
        <f t="shared" si="5"/>
        <v>4.7126436781609193</v>
      </c>
    </row>
    <row r="362" spans="1:9" x14ac:dyDescent="0.3">
      <c r="A362" s="10">
        <v>31382</v>
      </c>
      <c r="B362">
        <v>1985</v>
      </c>
      <c r="C362" t="s">
        <v>17</v>
      </c>
      <c r="D362" s="6">
        <v>1985.9166666614999</v>
      </c>
      <c r="E362">
        <v>9753</v>
      </c>
      <c r="F362">
        <v>478.3</v>
      </c>
      <c r="G362" s="7">
        <f>STANDARDIZE(E362,Climatology!B$13,Climatology!C$13)</f>
        <v>-5.2584040396868002E-3</v>
      </c>
      <c r="H362" s="6">
        <f>STANDARDIZE(F362,Climatology!D$13,Climatology!E$13)</f>
        <v>-6.2418573295032399E-2</v>
      </c>
      <c r="I362" s="6">
        <f t="shared" si="5"/>
        <v>4.9041320619296629</v>
      </c>
    </row>
    <row r="363" spans="1:9" x14ac:dyDescent="0.3">
      <c r="A363" s="10">
        <v>31352</v>
      </c>
      <c r="B363">
        <v>1985</v>
      </c>
      <c r="C363" t="s">
        <v>18</v>
      </c>
      <c r="D363" s="6">
        <v>1985.83333332814</v>
      </c>
      <c r="E363">
        <v>9907</v>
      </c>
      <c r="F363">
        <v>459.5</v>
      </c>
      <c r="G363" s="7">
        <f>STANDARDIZE(E363,Climatology!B$12,Climatology!C$12)</f>
        <v>3.2411216478675453E-2</v>
      </c>
      <c r="H363" s="6">
        <f>STANDARDIZE(F363,Climatology!D$12,Climatology!E$12)</f>
        <v>-0.17998005353972718</v>
      </c>
      <c r="I363" s="6">
        <f t="shared" si="5"/>
        <v>4.6381346522660749</v>
      </c>
    </row>
    <row r="364" spans="1:9" x14ac:dyDescent="0.3">
      <c r="A364" s="10">
        <v>31321</v>
      </c>
      <c r="B364">
        <v>1985</v>
      </c>
      <c r="C364" t="s">
        <v>19</v>
      </c>
      <c r="D364" s="6">
        <v>1985.74999999478</v>
      </c>
      <c r="E364">
        <v>9087</v>
      </c>
      <c r="F364">
        <v>406.3</v>
      </c>
      <c r="G364" s="7">
        <f>STANDARDIZE(E364,Climatology!B$11,Climatology!C$11)</f>
        <v>0.31881356002805183</v>
      </c>
      <c r="H364" s="6">
        <f>STANDARDIZE(F364,Climatology!D$11,Climatology!E$11)</f>
        <v>-0.19245053673815427</v>
      </c>
      <c r="I364" s="6">
        <f t="shared" si="5"/>
        <v>4.4712226257290633</v>
      </c>
    </row>
    <row r="365" spans="1:9" x14ac:dyDescent="0.3">
      <c r="A365" s="10">
        <v>31291</v>
      </c>
      <c r="B365">
        <v>1985</v>
      </c>
      <c r="C365" t="s">
        <v>20</v>
      </c>
      <c r="D365" s="6">
        <v>1985.6666666614201</v>
      </c>
      <c r="E365">
        <v>7842</v>
      </c>
      <c r="F365">
        <v>345.3</v>
      </c>
      <c r="G365" s="7">
        <f>STANDARDIZE(E365,Climatology!B$10,Climatology!C$10)</f>
        <v>0.16740778551438526</v>
      </c>
      <c r="H365" s="6">
        <f>STANDARDIZE(F365,Climatology!D$10,Climatology!E$10)</f>
        <v>-0.332013878374395</v>
      </c>
      <c r="I365" s="6">
        <f t="shared" si="5"/>
        <v>4.4032134659525637</v>
      </c>
    </row>
    <row r="366" spans="1:9" x14ac:dyDescent="0.3">
      <c r="A366" s="10">
        <v>31260</v>
      </c>
      <c r="B366">
        <v>1985</v>
      </c>
      <c r="C366" t="s">
        <v>21</v>
      </c>
      <c r="D366" s="6">
        <v>1985.58333332806</v>
      </c>
      <c r="E366">
        <v>6058</v>
      </c>
      <c r="F366">
        <v>265.8</v>
      </c>
      <c r="G366" s="7">
        <f>STANDARDIZE(E366,Climatology!B$9,Climatology!C$9)</f>
        <v>-0.64222630809532555</v>
      </c>
      <c r="H366" s="6">
        <f>STANDARDIZE(F366,Climatology!D$9,Climatology!E$9)</f>
        <v>-0.87929833988779937</v>
      </c>
      <c r="I366" s="6">
        <f t="shared" si="5"/>
        <v>4.3875866622647735</v>
      </c>
    </row>
    <row r="367" spans="1:9" x14ac:dyDescent="0.3">
      <c r="A367" s="10">
        <v>31229</v>
      </c>
      <c r="B367">
        <v>1985</v>
      </c>
      <c r="C367" t="s">
        <v>22</v>
      </c>
      <c r="D367" s="6">
        <v>1985.4999999946999</v>
      </c>
      <c r="E367">
        <v>4730</v>
      </c>
      <c r="F367">
        <v>214.8</v>
      </c>
      <c r="G367" s="7">
        <f>STANDARDIZE(E367,Climatology!B$8,Climatology!C$8)</f>
        <v>-1.5662848174766788</v>
      </c>
      <c r="H367" s="6">
        <f>STANDARDIZE(F367,Climatology!D$8,Climatology!E$8)</f>
        <v>-1.4588443881584376</v>
      </c>
      <c r="I367" s="6">
        <f t="shared" si="5"/>
        <v>4.5412262156448202</v>
      </c>
    </row>
    <row r="368" spans="1:9" x14ac:dyDescent="0.3">
      <c r="A368" s="10">
        <v>31199</v>
      </c>
      <c r="B368">
        <v>1985</v>
      </c>
      <c r="C368" t="s">
        <v>23</v>
      </c>
      <c r="D368" s="6">
        <v>1985.4166666613401</v>
      </c>
      <c r="E368">
        <v>6206</v>
      </c>
      <c r="F368">
        <v>280.2</v>
      </c>
      <c r="G368" s="7">
        <f>STANDARDIZE(E368,Climatology!B$7,Climatology!C$7)</f>
        <v>-1.1550016875325839</v>
      </c>
      <c r="H368" s="6">
        <f>STANDARDIZE(F368,Climatology!D$7,Climatology!E$7)</f>
        <v>-1.022819927466265</v>
      </c>
      <c r="I368" s="6">
        <f t="shared" si="5"/>
        <v>4.5149854979052533</v>
      </c>
    </row>
    <row r="369" spans="1:9" x14ac:dyDescent="0.3">
      <c r="A369" s="10">
        <v>31168</v>
      </c>
      <c r="B369">
        <v>1985</v>
      </c>
      <c r="C369" t="s">
        <v>24</v>
      </c>
      <c r="D369" s="6">
        <v>1985.33333332798</v>
      </c>
      <c r="E369">
        <v>5521</v>
      </c>
      <c r="F369">
        <v>227.4</v>
      </c>
      <c r="G369" s="7">
        <f>STANDARDIZE(E369,Climatology!B$6,Climatology!C$6)</f>
        <v>-0.92092786662291892</v>
      </c>
      <c r="H369" s="6">
        <f>STANDARDIZE(F369,Climatology!D$6,Climatology!E$6)</f>
        <v>-0.91122891972312015</v>
      </c>
      <c r="I369" s="6">
        <f t="shared" si="5"/>
        <v>4.1188190545191086</v>
      </c>
    </row>
    <row r="370" spans="1:9" x14ac:dyDescent="0.3">
      <c r="A370" s="10">
        <v>31138</v>
      </c>
      <c r="B370">
        <v>1985</v>
      </c>
      <c r="C370" t="s">
        <v>25</v>
      </c>
      <c r="D370" s="6">
        <v>1985.2499999946201</v>
      </c>
      <c r="E370">
        <v>3974</v>
      </c>
      <c r="F370">
        <v>165.8</v>
      </c>
      <c r="G370" s="7">
        <f>STANDARDIZE(E370,Climatology!B$5,Climatology!C$5)</f>
        <v>-0.68943558371749969</v>
      </c>
      <c r="H370" s="6">
        <f>STANDARDIZE(F370,Climatology!D$5,Climatology!E$5)</f>
        <v>-0.65604068863522536</v>
      </c>
      <c r="I370" s="6">
        <f t="shared" si="5"/>
        <v>4.1721187720181181</v>
      </c>
    </row>
    <row r="371" spans="1:9" x14ac:dyDescent="0.3">
      <c r="A371" s="10">
        <v>31107</v>
      </c>
      <c r="B371">
        <v>1985</v>
      </c>
      <c r="C371" t="s">
        <v>26</v>
      </c>
      <c r="D371" s="6">
        <v>1985.16666666126</v>
      </c>
      <c r="E371">
        <v>3001</v>
      </c>
      <c r="F371">
        <v>142.1</v>
      </c>
      <c r="G371" s="7">
        <f>STANDARDIZE(E371,Climatology!B$4,Climatology!C$4)</f>
        <v>-0.71126614372321539</v>
      </c>
      <c r="H371" s="6">
        <f>STANDARDIZE(F371,Climatology!D$4,Climatology!E$4)</f>
        <v>-0.6281783487380509</v>
      </c>
      <c r="I371" s="6">
        <f t="shared" si="5"/>
        <v>4.7350883038987002</v>
      </c>
    </row>
    <row r="372" spans="1:9" x14ac:dyDescent="0.3">
      <c r="A372" s="10">
        <v>31079</v>
      </c>
      <c r="B372">
        <v>1985</v>
      </c>
      <c r="C372" t="s">
        <v>27</v>
      </c>
      <c r="D372" s="6">
        <v>1985.0833333278999</v>
      </c>
      <c r="E372">
        <v>3917</v>
      </c>
      <c r="F372">
        <v>227.1</v>
      </c>
      <c r="G372" s="7">
        <f>STANDARDIZE(E372,Climatology!B$3,Climatology!C$3)</f>
        <v>-0.31255784733403713</v>
      </c>
      <c r="H372" s="6">
        <f>STANDARDIZE(F372,Climatology!D$3,Climatology!E$3)</f>
        <v>-0.12945676895146133</v>
      </c>
      <c r="I372" s="6">
        <f t="shared" si="5"/>
        <v>5.797804442175134</v>
      </c>
    </row>
    <row r="373" spans="1:9" x14ac:dyDescent="0.3">
      <c r="A373" s="10">
        <v>31048</v>
      </c>
      <c r="B373">
        <v>1985</v>
      </c>
      <c r="C373" t="s">
        <v>28</v>
      </c>
      <c r="D373" s="6">
        <v>1984.9999999945401</v>
      </c>
      <c r="E373">
        <v>7954</v>
      </c>
      <c r="F373">
        <v>435.8</v>
      </c>
      <c r="G373" s="7">
        <f>STANDARDIZE(E373,Climatology!B$2,Climatology!C$2)</f>
        <v>0.4953560917627936</v>
      </c>
      <c r="H373" s="6">
        <f>STANDARDIZE(F373,Climatology!D$2,Climatology!E$2)</f>
        <v>0.40471518188962002</v>
      </c>
      <c r="I373" s="6">
        <f t="shared" si="5"/>
        <v>5.4790042745788279</v>
      </c>
    </row>
    <row r="374" spans="1:9" x14ac:dyDescent="0.3">
      <c r="A374" s="10">
        <v>31017</v>
      </c>
      <c r="B374">
        <v>1984</v>
      </c>
      <c r="C374" t="s">
        <v>17</v>
      </c>
      <c r="D374" s="6">
        <v>1984.91666666118</v>
      </c>
      <c r="E374">
        <v>12508</v>
      </c>
      <c r="F374">
        <v>629</v>
      </c>
      <c r="G374" s="7">
        <f>STANDARDIZE(E374,Climatology!B$13,Climatology!C$13)</f>
        <v>0.97850338985946284</v>
      </c>
      <c r="H374" s="6">
        <f>STANDARDIZE(F374,Climatology!D$13,Climatology!E$13)</f>
        <v>1.0372032197732601</v>
      </c>
      <c r="I374" s="6">
        <f t="shared" si="5"/>
        <v>5.0287815797889355</v>
      </c>
    </row>
    <row r="375" spans="1:9" x14ac:dyDescent="0.3">
      <c r="A375" s="10">
        <v>30987</v>
      </c>
      <c r="B375">
        <v>1984</v>
      </c>
      <c r="C375" t="s">
        <v>18</v>
      </c>
      <c r="D375" s="6">
        <v>1984.8333333278199</v>
      </c>
      <c r="E375">
        <v>12762</v>
      </c>
      <c r="F375">
        <v>576</v>
      </c>
      <c r="G375" s="7">
        <f>STANDARDIZE(E375,Climatology!B$12,Climatology!C$12)</f>
        <v>1.1541288654994553</v>
      </c>
      <c r="H375" s="6">
        <f>STANDARDIZE(F375,Climatology!D$12,Climatology!E$12)</f>
        <v>0.83786830749805485</v>
      </c>
      <c r="I375" s="6">
        <f t="shared" si="5"/>
        <v>4.5133991537376588</v>
      </c>
    </row>
    <row r="376" spans="1:9" x14ac:dyDescent="0.3">
      <c r="A376" s="10">
        <v>30956</v>
      </c>
      <c r="B376">
        <v>1984</v>
      </c>
      <c r="C376" t="s">
        <v>19</v>
      </c>
      <c r="D376" s="6">
        <v>1984.74999999446</v>
      </c>
      <c r="E376">
        <v>11298</v>
      </c>
      <c r="F376">
        <v>474.2</v>
      </c>
      <c r="G376" s="7">
        <f>STANDARDIZE(E376,Climatology!B$11,Climatology!C$11)</f>
        <v>1.4579731754399694</v>
      </c>
      <c r="H376" s="6">
        <f>STANDARDIZE(F376,Climatology!D$11,Climatology!E$11)</f>
        <v>0.36755766769214226</v>
      </c>
      <c r="I376" s="6">
        <f t="shared" si="5"/>
        <v>4.1972030447866873</v>
      </c>
    </row>
    <row r="377" spans="1:9" x14ac:dyDescent="0.3">
      <c r="A377" s="10">
        <v>30926</v>
      </c>
      <c r="B377">
        <v>1984</v>
      </c>
      <c r="C377" t="s">
        <v>20</v>
      </c>
      <c r="D377" s="6">
        <v>1984.6666666611</v>
      </c>
      <c r="E377">
        <v>10112</v>
      </c>
      <c r="F377">
        <v>426.4</v>
      </c>
      <c r="G377" s="7">
        <f>STANDARDIZE(E377,Climatology!B$10,Climatology!C$10)</f>
        <v>1.2891038571356248</v>
      </c>
      <c r="H377" s="6">
        <f>STANDARDIZE(F377,Climatology!D$10,Climatology!E$10)</f>
        <v>0.29247846392612803</v>
      </c>
      <c r="I377" s="6">
        <f t="shared" si="5"/>
        <v>4.2167721518987333</v>
      </c>
    </row>
    <row r="378" spans="1:9" x14ac:dyDescent="0.3">
      <c r="A378" s="10">
        <v>30895</v>
      </c>
      <c r="B378">
        <v>1984</v>
      </c>
      <c r="C378" t="s">
        <v>21</v>
      </c>
      <c r="D378" s="6">
        <v>1984.5833333277401</v>
      </c>
      <c r="E378">
        <v>10415</v>
      </c>
      <c r="F378">
        <v>438.9</v>
      </c>
      <c r="G378" s="7">
        <f>STANDARDIZE(E378,Climatology!B$9,Climatology!C$9)</f>
        <v>1.554538179860145</v>
      </c>
      <c r="H378" s="6">
        <f>STANDARDIZE(F378,Climatology!D$9,Climatology!E$9)</f>
        <v>0.45307516690514649</v>
      </c>
      <c r="I378" s="6">
        <f t="shared" si="5"/>
        <v>4.2141142582813247</v>
      </c>
    </row>
    <row r="379" spans="1:9" x14ac:dyDescent="0.3">
      <c r="A379" s="10">
        <v>30864</v>
      </c>
      <c r="B379">
        <v>1984</v>
      </c>
      <c r="C379" t="s">
        <v>22</v>
      </c>
      <c r="D379" s="6">
        <v>1984.49999999438</v>
      </c>
      <c r="E379">
        <v>10403</v>
      </c>
      <c r="F379">
        <v>390.4</v>
      </c>
      <c r="G379" s="7">
        <f>STANDARDIZE(E379,Climatology!B$8,Climatology!C$8)</f>
        <v>1.2292678736262894</v>
      </c>
      <c r="H379" s="6">
        <f>STANDARDIZE(F379,Climatology!D$8,Climatology!E$8)</f>
        <v>-5.3880568232437025E-2</v>
      </c>
      <c r="I379" s="6">
        <f t="shared" si="5"/>
        <v>3.7527636258771508</v>
      </c>
    </row>
    <row r="380" spans="1:9" x14ac:dyDescent="0.3">
      <c r="A380" s="10">
        <v>30834</v>
      </c>
      <c r="B380">
        <v>1984</v>
      </c>
      <c r="C380" t="s">
        <v>23</v>
      </c>
      <c r="D380" s="6">
        <v>1984.4166666610199</v>
      </c>
      <c r="E380">
        <v>9164</v>
      </c>
      <c r="F380">
        <v>321.7</v>
      </c>
      <c r="G380" s="7">
        <f>STANDARDIZE(E380,Climatology!B$7,Climatology!C$7)</f>
        <v>0.59979470736338125</v>
      </c>
      <c r="H380" s="6">
        <f>STANDARDIZE(F380,Climatology!D$7,Climatology!E$7)</f>
        <v>-0.65106456759719888</v>
      </c>
      <c r="I380" s="6">
        <f t="shared" si="5"/>
        <v>3.5104757747708422</v>
      </c>
    </row>
    <row r="381" spans="1:9" x14ac:dyDescent="0.3">
      <c r="A381" s="10">
        <v>30803</v>
      </c>
      <c r="B381">
        <v>1984</v>
      </c>
      <c r="C381" t="s">
        <v>24</v>
      </c>
      <c r="D381" s="6">
        <v>1984.3333333276601</v>
      </c>
      <c r="E381">
        <v>6784</v>
      </c>
      <c r="F381">
        <v>219.3</v>
      </c>
      <c r="G381" s="7">
        <f>STANDARDIZE(E381,Climatology!B$6,Climatology!C$6)</f>
        <v>-4.8823134289412526E-2</v>
      </c>
      <c r="H381" s="6">
        <f>STANDARDIZE(F381,Climatology!D$6,Climatology!E$6)</f>
        <v>-0.98439315367721791</v>
      </c>
      <c r="I381" s="6">
        <f t="shared" si="5"/>
        <v>3.232606132075472</v>
      </c>
    </row>
    <row r="382" spans="1:9" x14ac:dyDescent="0.3">
      <c r="A382" s="10">
        <v>30773</v>
      </c>
      <c r="B382">
        <v>1984</v>
      </c>
      <c r="C382" t="s">
        <v>25</v>
      </c>
      <c r="D382" s="6">
        <v>1984.2499999943</v>
      </c>
      <c r="E382">
        <v>4613</v>
      </c>
      <c r="F382">
        <v>131.1</v>
      </c>
      <c r="G382" s="7">
        <f>STANDARDIZE(E382,Climatology!B$5,Climatology!C$5)</f>
        <v>-0.23200456866655644</v>
      </c>
      <c r="H382" s="6">
        <f>STANDARDIZE(F382,Climatology!D$5,Climatology!E$5)</f>
        <v>-0.98175990591770557</v>
      </c>
      <c r="I382" s="6">
        <f t="shared" si="5"/>
        <v>2.8419683503143287</v>
      </c>
    </row>
    <row r="383" spans="1:9" x14ac:dyDescent="0.3">
      <c r="A383" s="10">
        <v>30742</v>
      </c>
      <c r="B383">
        <v>1984</v>
      </c>
      <c r="C383" t="s">
        <v>26</v>
      </c>
      <c r="D383" s="6">
        <v>1984.1666666609401</v>
      </c>
      <c r="E383">
        <v>5016</v>
      </c>
      <c r="F383">
        <v>173.2</v>
      </c>
      <c r="G383" s="7">
        <f>STANDARDIZE(E383,Climatology!B$4,Climatology!C$4)</f>
        <v>0.56991896400016373</v>
      </c>
      <c r="H383" s="6">
        <f>STANDARDIZE(F383,Climatology!D$4,Climatology!E$4)</f>
        <v>-0.30062283611464075</v>
      </c>
      <c r="I383" s="6">
        <f t="shared" si="5"/>
        <v>3.4529505582137161</v>
      </c>
    </row>
    <row r="384" spans="1:9" x14ac:dyDescent="0.3">
      <c r="A384" s="10">
        <v>30713</v>
      </c>
      <c r="B384">
        <v>1984</v>
      </c>
      <c r="C384" t="s">
        <v>27</v>
      </c>
      <c r="D384" s="6">
        <v>1984.08333332758</v>
      </c>
      <c r="E384">
        <v>5769</v>
      </c>
      <c r="F384">
        <v>223.7</v>
      </c>
      <c r="G384" s="7">
        <f>STANDARDIZE(E384,Climatology!B$3,Climatology!C$3)</f>
        <v>0.76720632101072972</v>
      </c>
      <c r="H384" s="6">
        <f>STANDARDIZE(F384,Climatology!D$3,Climatology!E$3)</f>
        <v>-0.15681595740241824</v>
      </c>
      <c r="I384" s="6">
        <f t="shared" si="5"/>
        <v>3.8776217715375281</v>
      </c>
    </row>
    <row r="385" spans="1:9" x14ac:dyDescent="0.3">
      <c r="A385" s="10">
        <v>30682</v>
      </c>
      <c r="B385">
        <v>1984</v>
      </c>
      <c r="C385" t="s">
        <v>28</v>
      </c>
      <c r="D385" s="6">
        <v>1983.9999999942199</v>
      </c>
      <c r="E385">
        <v>7046</v>
      </c>
      <c r="F385">
        <v>347.1</v>
      </c>
      <c r="G385" s="7">
        <f>STANDARDIZE(E385,Climatology!B$2,Climatology!C$2)</f>
        <v>9.9350341348445545E-2</v>
      </c>
      <c r="H385" s="6">
        <f>STANDARDIZE(F385,Climatology!D$2,Climatology!E$2)</f>
        <v>-0.19112595198385732</v>
      </c>
      <c r="I385" s="6">
        <f t="shared" si="5"/>
        <v>4.9261992619926209</v>
      </c>
    </row>
    <row r="386" spans="1:9" x14ac:dyDescent="0.3">
      <c r="A386" s="10">
        <v>30651</v>
      </c>
      <c r="B386">
        <v>1983</v>
      </c>
      <c r="C386" t="s">
        <v>17</v>
      </c>
      <c r="D386" s="6">
        <v>1983.9166666608601</v>
      </c>
      <c r="E386">
        <v>7490</v>
      </c>
      <c r="F386">
        <v>310.5</v>
      </c>
      <c r="G386" s="7">
        <f>STANDARDIZE(E386,Climatology!B$13,Climatology!C$13)</f>
        <v>-0.81333569608824419</v>
      </c>
      <c r="H386" s="6">
        <f>STANDARDIZE(F386,Climatology!D$13,Climatology!E$13)</f>
        <v>-1.2868149692927731</v>
      </c>
      <c r="I386" s="6">
        <f t="shared" si="5"/>
        <v>4.1455273698264348</v>
      </c>
    </row>
    <row r="387" spans="1:9" x14ac:dyDescent="0.3">
      <c r="A387" s="10">
        <v>30621</v>
      </c>
      <c r="B387">
        <v>1983</v>
      </c>
      <c r="C387" t="s">
        <v>18</v>
      </c>
      <c r="D387" s="6">
        <v>1983.8333333275</v>
      </c>
      <c r="E387">
        <v>8007</v>
      </c>
      <c r="F387">
        <v>313.10000000000002</v>
      </c>
      <c r="G387" s="7">
        <f>STANDARDIZE(E387,Climatology!B$12,Climatology!C$12)</f>
        <v>-0.71409089670503101</v>
      </c>
      <c r="H387" s="6">
        <f>STANDARDIZE(F387,Climatology!D$12,Climatology!E$12)</f>
        <v>-1.4590615990842015</v>
      </c>
      <c r="I387" s="6">
        <f t="shared" ref="I387:I450" si="6">F387/E387*100</f>
        <v>3.910328462595229</v>
      </c>
    </row>
    <row r="388" spans="1:9" x14ac:dyDescent="0.3">
      <c r="A388" s="10">
        <v>30590</v>
      </c>
      <c r="B388">
        <v>1983</v>
      </c>
      <c r="C388" t="s">
        <v>19</v>
      </c>
      <c r="D388" s="6">
        <v>1983.7499999941399</v>
      </c>
      <c r="E388">
        <v>7230</v>
      </c>
      <c r="F388">
        <v>272.2</v>
      </c>
      <c r="G388" s="7">
        <f>STANDARDIZE(E388,Climatology!B$11,Climatology!C$11)</f>
        <v>-0.63795686322836198</v>
      </c>
      <c r="H388" s="6">
        <f>STANDARDIZE(F388,Climatology!D$11,Climatology!E$11)</f>
        <v>-1.2984461216292118</v>
      </c>
      <c r="I388" s="6">
        <f t="shared" si="6"/>
        <v>3.7648686030428764</v>
      </c>
    </row>
    <row r="389" spans="1:9" x14ac:dyDescent="0.3">
      <c r="A389" s="10">
        <v>30560</v>
      </c>
      <c r="B389">
        <v>1983</v>
      </c>
      <c r="C389" t="s">
        <v>20</v>
      </c>
      <c r="D389" s="6">
        <v>1983.66666666078</v>
      </c>
      <c r="E389">
        <v>6475</v>
      </c>
      <c r="F389">
        <v>224.2</v>
      </c>
      <c r="G389" s="7">
        <f>STANDARDIZE(E389,Climatology!B$10,Climatology!C$10)</f>
        <v>-0.50808055365135685</v>
      </c>
      <c r="H389" s="6">
        <f>STANDARDIZE(F389,Climatology!D$10,Climatology!E$10)</f>
        <v>-1.2645172403052629</v>
      </c>
      <c r="I389" s="6">
        <f t="shared" si="6"/>
        <v>3.4625482625482622</v>
      </c>
    </row>
    <row r="390" spans="1:9" x14ac:dyDescent="0.3">
      <c r="A390" s="10">
        <v>30529</v>
      </c>
      <c r="B390">
        <v>1983</v>
      </c>
      <c r="C390" t="s">
        <v>21</v>
      </c>
      <c r="D390" s="6">
        <v>1983.58333332742</v>
      </c>
      <c r="E390">
        <v>5830</v>
      </c>
      <c r="F390">
        <v>209.2</v>
      </c>
      <c r="G390" s="7">
        <f>STANDARDIZE(E390,Climatology!B$9,Climatology!C$9)</f>
        <v>-0.7571820811625386</v>
      </c>
      <c r="H390" s="6">
        <f>STANDARDIZE(F390,Climatology!D$9,Climatology!E$9)</f>
        <v>-1.3149559972215994</v>
      </c>
      <c r="I390" s="6">
        <f t="shared" si="6"/>
        <v>3.5883361921097769</v>
      </c>
    </row>
    <row r="391" spans="1:9" x14ac:dyDescent="0.3">
      <c r="A391" s="10">
        <v>30498</v>
      </c>
      <c r="B391">
        <v>1983</v>
      </c>
      <c r="C391" t="s">
        <v>22</v>
      </c>
      <c r="D391" s="6">
        <v>1983.4999999940601</v>
      </c>
      <c r="E391">
        <v>6361</v>
      </c>
      <c r="F391">
        <v>141.80000000000001</v>
      </c>
      <c r="G391" s="7">
        <f>STANDARDIZE(E391,Climatology!B$8,Climatology!C$8)</f>
        <v>-0.76255725900868276</v>
      </c>
      <c r="H391" s="6">
        <f>STANDARDIZE(F391,Climatology!D$8,Climatology!E$8)</f>
        <v>-2.0429124909750556</v>
      </c>
      <c r="I391" s="6">
        <f t="shared" si="6"/>
        <v>2.2292092438295867</v>
      </c>
    </row>
    <row r="392" spans="1:9" x14ac:dyDescent="0.3">
      <c r="A392" s="10">
        <v>30468</v>
      </c>
      <c r="B392">
        <v>1983</v>
      </c>
      <c r="C392" t="s">
        <v>23</v>
      </c>
      <c r="D392" s="6">
        <v>1983.4166666607</v>
      </c>
      <c r="E392">
        <v>8204</v>
      </c>
      <c r="F392">
        <v>104.4</v>
      </c>
      <c r="G392" s="7">
        <f>STANDARDIZE(E392,Climatology!B$7,Climatology!C$7)</f>
        <v>3.028674958781449E-2</v>
      </c>
      <c r="H392" s="6">
        <f>STANDARDIZE(F392,Climatology!D$7,Climatology!E$7)</f>
        <v>-2.5976293796345016</v>
      </c>
      <c r="I392" s="6">
        <f t="shared" si="6"/>
        <v>1.2725499756216481</v>
      </c>
    </row>
    <row r="393" spans="1:9" x14ac:dyDescent="0.3">
      <c r="A393" s="10">
        <v>30437</v>
      </c>
      <c r="B393">
        <v>1983</v>
      </c>
      <c r="C393" t="s">
        <v>24</v>
      </c>
      <c r="D393" s="6">
        <v>1983.3333333273399</v>
      </c>
      <c r="E393">
        <v>7320</v>
      </c>
      <c r="F393">
        <v>81.27</v>
      </c>
      <c r="G393" s="7">
        <f>STANDARDIZE(E393,Climatology!B$6,Climatology!C$6)</f>
        <v>0.32128623746890844</v>
      </c>
      <c r="H393" s="6">
        <f>STANDARDIZE(F393,Climatology!D$6,Climatology!E$6)</f>
        <v>-2.2311658959838985</v>
      </c>
      <c r="I393" s="6">
        <f t="shared" si="6"/>
        <v>1.1102459016393442</v>
      </c>
    </row>
    <row r="394" spans="1:9" x14ac:dyDescent="0.3">
      <c r="A394" s="10">
        <v>30407</v>
      </c>
      <c r="B394">
        <v>1983</v>
      </c>
      <c r="C394" t="s">
        <v>25</v>
      </c>
      <c r="D394" s="6">
        <v>1983.2499999939801</v>
      </c>
      <c r="E394">
        <v>4473</v>
      </c>
      <c r="F394">
        <v>62.67</v>
      </c>
      <c r="G394" s="7">
        <f>STANDARDIZE(E394,Climatology!B$5,Climatology!C$5)</f>
        <v>-0.3322241963772482</v>
      </c>
      <c r="H394" s="6">
        <f>STANDARDIZE(F394,Climatology!D$5,Climatology!E$5)</f>
        <v>-1.6240932211522909</v>
      </c>
      <c r="I394" s="6">
        <f t="shared" si="6"/>
        <v>1.4010731052984575</v>
      </c>
    </row>
    <row r="395" spans="1:9" x14ac:dyDescent="0.3">
      <c r="A395" s="10">
        <v>30376</v>
      </c>
      <c r="B395">
        <v>1983</v>
      </c>
      <c r="C395" t="s">
        <v>26</v>
      </c>
      <c r="D395" s="6">
        <v>1983.16666666062</v>
      </c>
      <c r="E395">
        <v>2714</v>
      </c>
      <c r="F395">
        <v>39.31</v>
      </c>
      <c r="G395" s="7">
        <f>STANDARDIZE(E395,Climatology!B$4,Climatology!C$4)</f>
        <v>-0.89374759579101182</v>
      </c>
      <c r="H395" s="6">
        <f>STANDARDIZE(F395,Climatology!D$4,Climatology!E$4)</f>
        <v>-1.7107967134506017</v>
      </c>
      <c r="I395" s="6">
        <f t="shared" si="6"/>
        <v>1.4484156226971261</v>
      </c>
    </row>
    <row r="396" spans="1:9" x14ac:dyDescent="0.3">
      <c r="A396" s="10">
        <v>30348</v>
      </c>
      <c r="B396">
        <v>1983</v>
      </c>
      <c r="C396" t="s">
        <v>27</v>
      </c>
      <c r="D396" s="6">
        <v>1983.0833333272601</v>
      </c>
      <c r="E396">
        <v>2490</v>
      </c>
      <c r="F396">
        <v>40.630000000000003</v>
      </c>
      <c r="G396" s="7">
        <f>STANDARDIZE(E396,Climatology!B$3,Climatology!C$3)</f>
        <v>-1.14453596192798</v>
      </c>
      <c r="H396" s="6">
        <f>STANDARDIZE(F396,Climatology!D$3,Climatology!E$3)</f>
        <v>-1.629947319083793</v>
      </c>
      <c r="I396" s="6">
        <f t="shared" si="6"/>
        <v>1.6317269076305221</v>
      </c>
    </row>
    <row r="397" spans="1:9" x14ac:dyDescent="0.3">
      <c r="A397" s="10">
        <v>30317</v>
      </c>
      <c r="B397">
        <v>1983</v>
      </c>
      <c r="C397" t="s">
        <v>28</v>
      </c>
      <c r="D397" s="6">
        <v>1982.9999999939</v>
      </c>
      <c r="E397">
        <v>4439</v>
      </c>
      <c r="F397">
        <v>84.92</v>
      </c>
      <c r="G397" s="7">
        <f>STANDARDIZE(E397,Climatology!B$2,Climatology!C$2)</f>
        <v>-1.0376397372090493</v>
      </c>
      <c r="H397" s="6">
        <f>STANDARDIZE(F397,Climatology!D$2,Climatology!E$2)</f>
        <v>-1.9523168029302871</v>
      </c>
      <c r="I397" s="6">
        <f t="shared" si="6"/>
        <v>1.9130434782608694</v>
      </c>
    </row>
    <row r="398" spans="1:9" x14ac:dyDescent="0.3">
      <c r="A398" s="10">
        <v>30286</v>
      </c>
      <c r="B398">
        <v>1982</v>
      </c>
      <c r="C398" t="s">
        <v>17</v>
      </c>
      <c r="D398" s="6">
        <v>1982.9166666605399</v>
      </c>
      <c r="E398">
        <v>7576</v>
      </c>
      <c r="F398">
        <v>264.39999999999998</v>
      </c>
      <c r="G398" s="7">
        <f>STANDARDIZE(E398,Climatology!B$13,Climatology!C$13)</f>
        <v>-0.78262661649647403</v>
      </c>
      <c r="H398" s="6">
        <f>STANDARDIZE(F398,Climatology!D$13,Climatology!E$13)</f>
        <v>-1.6231956239739167</v>
      </c>
      <c r="I398" s="6">
        <f t="shared" si="6"/>
        <v>3.4899683210137269</v>
      </c>
    </row>
    <row r="399" spans="1:9" x14ac:dyDescent="0.3">
      <c r="A399" s="10">
        <v>30256</v>
      </c>
      <c r="B399">
        <v>1982</v>
      </c>
      <c r="C399" t="s">
        <v>18</v>
      </c>
      <c r="D399" s="6">
        <v>1982.8333333271801</v>
      </c>
      <c r="E399">
        <v>9399</v>
      </c>
      <c r="F399">
        <v>299.5</v>
      </c>
      <c r="G399" s="7">
        <f>STANDARDIZE(E399,Climatology!B$12,Climatology!C$12)</f>
        <v>-0.16717987483570501</v>
      </c>
      <c r="H399" s="6">
        <f>STANDARDIZE(F399,Climatology!D$12,Climatology!E$12)</f>
        <v>-1.5778833820036338</v>
      </c>
      <c r="I399" s="6">
        <f t="shared" si="6"/>
        <v>3.1865092031067133</v>
      </c>
    </row>
    <row r="400" spans="1:9" x14ac:dyDescent="0.3">
      <c r="A400" s="10">
        <v>30225</v>
      </c>
      <c r="B400">
        <v>1982</v>
      </c>
      <c r="C400" t="s">
        <v>19</v>
      </c>
      <c r="D400" s="6">
        <v>1982.74999999382</v>
      </c>
      <c r="E400">
        <v>7715</v>
      </c>
      <c r="F400">
        <v>221</v>
      </c>
      <c r="G400" s="7">
        <f>STANDARDIZE(E400,Climatology!B$11,Climatology!C$11)</f>
        <v>-0.38807336550118871</v>
      </c>
      <c r="H400" s="6">
        <f>STANDARDIZE(F400,Climatology!D$11,Climatology!E$11)</f>
        <v>-1.7207203494175944</v>
      </c>
      <c r="I400" s="6">
        <f t="shared" si="6"/>
        <v>2.8645495787427091</v>
      </c>
    </row>
    <row r="401" spans="1:9" x14ac:dyDescent="0.3">
      <c r="A401" s="10">
        <v>30195</v>
      </c>
      <c r="B401">
        <v>1982</v>
      </c>
      <c r="C401" t="s">
        <v>20</v>
      </c>
      <c r="D401" s="6">
        <v>1982.6666666604599</v>
      </c>
      <c r="E401">
        <v>6023</v>
      </c>
      <c r="F401">
        <v>170.1</v>
      </c>
      <c r="G401" s="7">
        <f>STANDARDIZE(E401,Climatology!B$10,Climatology!C$10)</f>
        <v>-0.73143148949840542</v>
      </c>
      <c r="H401" s="6">
        <f>STANDARDIZE(F401,Climatology!D$10,Climatology!E$10)</f>
        <v>-1.6811021443553038</v>
      </c>
      <c r="I401" s="6">
        <f t="shared" si="6"/>
        <v>2.8241739996679396</v>
      </c>
    </row>
    <row r="402" spans="1:9" x14ac:dyDescent="0.3">
      <c r="A402" s="10">
        <v>30164</v>
      </c>
      <c r="B402">
        <v>1982</v>
      </c>
      <c r="C402" t="s">
        <v>21</v>
      </c>
      <c r="D402" s="6">
        <v>1982.5833333271</v>
      </c>
      <c r="E402">
        <v>6893</v>
      </c>
      <c r="F402">
        <v>220.8</v>
      </c>
      <c r="G402" s="7">
        <f>STANDARDIZE(E402,Climatology!B$9,Climatology!C$9)</f>
        <v>-0.22122599883601457</v>
      </c>
      <c r="H402" s="6">
        <f>STANDARDIZE(F402,Climatology!D$9,Climatology!E$9)</f>
        <v>-1.2256692688634354</v>
      </c>
      <c r="I402" s="6">
        <f t="shared" si="6"/>
        <v>3.2032496735818947</v>
      </c>
    </row>
    <row r="403" spans="1:9" x14ac:dyDescent="0.3">
      <c r="A403" s="10">
        <v>30133</v>
      </c>
      <c r="B403">
        <v>1982</v>
      </c>
      <c r="C403" t="s">
        <v>22</v>
      </c>
      <c r="D403" s="6">
        <v>1982.4999999937399</v>
      </c>
      <c r="E403">
        <v>9569</v>
      </c>
      <c r="F403">
        <v>348.8</v>
      </c>
      <c r="G403" s="7">
        <f>STANDARDIZE(E403,Climatology!B$8,Climatology!C$8)</f>
        <v>0.81828762607122596</v>
      </c>
      <c r="H403" s="6">
        <f>STANDARDIZE(F403,Climatology!D$8,Climatology!E$8)</f>
        <v>-0.3867193775087559</v>
      </c>
      <c r="I403" s="6">
        <f t="shared" si="6"/>
        <v>3.6451039816072734</v>
      </c>
    </row>
    <row r="404" spans="1:9" x14ac:dyDescent="0.3">
      <c r="A404" s="10">
        <v>30103</v>
      </c>
      <c r="B404">
        <v>1982</v>
      </c>
      <c r="C404" t="s">
        <v>23</v>
      </c>
      <c r="D404" s="6">
        <v>1982.4166666603801</v>
      </c>
      <c r="E404">
        <v>11092</v>
      </c>
      <c r="F404">
        <v>352.6</v>
      </c>
      <c r="G404" s="7">
        <f>STANDARDIZE(E404,Climatology!B$7,Climatology!C$7)</f>
        <v>1.7435565225626446</v>
      </c>
      <c r="H404" s="6">
        <f>STANDARDIZE(F404,Climatology!D$7,Climatology!E$7)</f>
        <v>-0.37426358880312283</v>
      </c>
      <c r="I404" s="6">
        <f t="shared" si="6"/>
        <v>3.1788676523620629</v>
      </c>
    </row>
    <row r="405" spans="1:9" x14ac:dyDescent="0.3">
      <c r="A405" s="10">
        <v>30072</v>
      </c>
      <c r="B405">
        <v>1982</v>
      </c>
      <c r="C405" t="s">
        <v>24</v>
      </c>
      <c r="D405" s="6">
        <v>1982.33333332702</v>
      </c>
      <c r="E405">
        <v>9027</v>
      </c>
      <c r="F405">
        <v>242.5</v>
      </c>
      <c r="G405" s="7">
        <f>STANDARDIZE(E405,Climatology!B$6,Climatology!C$6)</f>
        <v>1.4999741061096807</v>
      </c>
      <c r="H405" s="6">
        <f>STANDARDIZE(F405,Climatology!D$6,Climatology!E$6)</f>
        <v>-0.77483633543832076</v>
      </c>
      <c r="I405" s="6">
        <f t="shared" si="6"/>
        <v>2.6863852885787085</v>
      </c>
    </row>
    <row r="406" spans="1:9" x14ac:dyDescent="0.3">
      <c r="A406" s="10">
        <v>30042</v>
      </c>
      <c r="B406">
        <v>1982</v>
      </c>
      <c r="C406" t="s">
        <v>25</v>
      </c>
      <c r="D406" s="6">
        <v>1982.2499999936599</v>
      </c>
      <c r="E406">
        <v>6370</v>
      </c>
      <c r="F406">
        <v>149.6</v>
      </c>
      <c r="G406" s="7">
        <f>STANDARDIZE(E406,Climatology!B$5,Climatology!C$5)</f>
        <v>1.0257517591026255</v>
      </c>
      <c r="H406" s="6">
        <f>STANDARDIZE(F406,Climatology!D$5,Climatology!E$5)</f>
        <v>-0.80810556817344392</v>
      </c>
      <c r="I406" s="6">
        <f t="shared" si="6"/>
        <v>2.3485086342229198</v>
      </c>
    </row>
    <row r="407" spans="1:9" x14ac:dyDescent="0.3">
      <c r="A407" s="10">
        <v>30011</v>
      </c>
      <c r="B407">
        <v>1982</v>
      </c>
      <c r="C407" t="s">
        <v>26</v>
      </c>
      <c r="D407" s="6">
        <v>1982.1666666603001</v>
      </c>
      <c r="E407">
        <v>5140</v>
      </c>
      <c r="F407">
        <v>120.9</v>
      </c>
      <c r="G407" s="7">
        <f>STANDARDIZE(E407,Climatology!B$4,Climatology!C$4)</f>
        <v>0.64876112447544865</v>
      </c>
      <c r="H407" s="6">
        <f>STANDARDIZE(F407,Climatology!D$4,Climatology!E$4)</f>
        <v>-0.85146377856494126</v>
      </c>
      <c r="I407" s="6">
        <f t="shared" si="6"/>
        <v>2.3521400778210118</v>
      </c>
    </row>
    <row r="408" spans="1:9" x14ac:dyDescent="0.3">
      <c r="A408" s="10">
        <v>29983</v>
      </c>
      <c r="B408">
        <v>1982</v>
      </c>
      <c r="C408" t="s">
        <v>27</v>
      </c>
      <c r="D408" s="6">
        <v>1982.08333332694</v>
      </c>
      <c r="E408">
        <v>5825</v>
      </c>
      <c r="F408">
        <v>188.5</v>
      </c>
      <c r="G408" s="7">
        <f>STANDARDIZE(E408,Climatology!B$3,Climatology!C$3)</f>
        <v>0.79985577750495596</v>
      </c>
      <c r="H408" s="6">
        <f>STANDARDIZE(F408,Climatology!D$3,Climatology!E$3)</f>
        <v>-0.44006402607114808</v>
      </c>
      <c r="I408" s="6">
        <f t="shared" si="6"/>
        <v>3.2360515021459229</v>
      </c>
    </row>
    <row r="409" spans="1:9" x14ac:dyDescent="0.3">
      <c r="A409" s="10">
        <v>29952</v>
      </c>
      <c r="B409">
        <v>1982</v>
      </c>
      <c r="C409" t="s">
        <v>28</v>
      </c>
      <c r="D409" s="6">
        <v>1981.9999999935801</v>
      </c>
      <c r="E409">
        <v>8325</v>
      </c>
      <c r="F409">
        <v>297.8</v>
      </c>
      <c r="G409" s="7">
        <f>STANDARDIZE(E409,Climatology!B$2,Climatology!C$2)</f>
        <v>0.65716020344090276</v>
      </c>
      <c r="H409" s="6">
        <f>STANDARDIZE(F409,Climatology!D$2,Climatology!E$2)</f>
        <v>-0.5222980816339412</v>
      </c>
      <c r="I409" s="6">
        <f t="shared" si="6"/>
        <v>3.5771771771771772</v>
      </c>
    </row>
    <row r="410" spans="1:9" x14ac:dyDescent="0.3">
      <c r="A410" s="10">
        <v>29921</v>
      </c>
      <c r="B410">
        <v>1981</v>
      </c>
      <c r="C410" t="s">
        <v>17</v>
      </c>
      <c r="D410" s="6">
        <v>1981.91666666022</v>
      </c>
      <c r="E410">
        <v>11579</v>
      </c>
      <c r="F410">
        <v>341.9</v>
      </c>
      <c r="G410" s="7">
        <f>STANDARDIZE(E410,Climatology!B$13,Climatology!C$13)</f>
        <v>0.64677391380417792</v>
      </c>
      <c r="H410" s="6">
        <f>STANDARDIZE(F410,Climatology!D$13,Climatology!E$13)</f>
        <v>-1.0576966925685238</v>
      </c>
      <c r="I410" s="6">
        <f t="shared" si="6"/>
        <v>2.9527593056395194</v>
      </c>
    </row>
    <row r="411" spans="1:9" x14ac:dyDescent="0.3">
      <c r="A411" s="10">
        <v>29891</v>
      </c>
      <c r="B411">
        <v>1981</v>
      </c>
      <c r="C411" t="s">
        <v>18</v>
      </c>
      <c r="D411" s="6">
        <v>1981.8333333268599</v>
      </c>
      <c r="E411">
        <v>11148</v>
      </c>
      <c r="F411">
        <v>320.60000000000002</v>
      </c>
      <c r="G411" s="7">
        <f>STANDARDIZE(E411,Climatology!B$12,Climatology!C$12)</f>
        <v>0.519994965142349</v>
      </c>
      <c r="H411" s="6">
        <f>STANDARDIZE(F411,Climatology!D$12,Climatology!E$12)</f>
        <v>-1.3935348805624559</v>
      </c>
      <c r="I411" s="6">
        <f t="shared" si="6"/>
        <v>2.8758521707929674</v>
      </c>
    </row>
    <row r="412" spans="1:9" x14ac:dyDescent="0.3">
      <c r="A412" s="10">
        <v>29860</v>
      </c>
      <c r="B412">
        <v>1981</v>
      </c>
      <c r="C412" t="s">
        <v>19</v>
      </c>
      <c r="D412" s="6">
        <v>1981.7499999935001</v>
      </c>
      <c r="E412">
        <v>9926</v>
      </c>
      <c r="F412">
        <v>303.7</v>
      </c>
      <c r="G412" s="7">
        <f>STANDARDIZE(E412,Climatology!B$11,Climatology!C$11)</f>
        <v>0.75108624991072881</v>
      </c>
      <c r="H412" s="6">
        <f>STANDARDIZE(F412,Climatology!D$11,Climatology!E$11)</f>
        <v>-1.0386485010172184</v>
      </c>
      <c r="I412" s="6">
        <f t="shared" si="6"/>
        <v>3.0596413459601046</v>
      </c>
    </row>
    <row r="413" spans="1:9" x14ac:dyDescent="0.3">
      <c r="A413" s="10">
        <v>29830</v>
      </c>
      <c r="B413">
        <v>1981</v>
      </c>
      <c r="C413" t="s">
        <v>20</v>
      </c>
      <c r="D413" s="6">
        <v>1981.66666666014</v>
      </c>
      <c r="E413">
        <v>10343</v>
      </c>
      <c r="F413">
        <v>310</v>
      </c>
      <c r="G413" s="7">
        <f>STANDARDIZE(E413,Climatology!B$10,Climatology!C$10)</f>
        <v>1.4032500212521475</v>
      </c>
      <c r="H413" s="6">
        <f>STANDARDIZE(F413,Climatology!D$10,Climatology!E$10)</f>
        <v>-0.60383360319817403</v>
      </c>
      <c r="I413" s="6">
        <f t="shared" si="6"/>
        <v>2.9971961713236004</v>
      </c>
    </row>
    <row r="414" spans="1:9" x14ac:dyDescent="0.3">
      <c r="A414" s="10">
        <v>29799</v>
      </c>
      <c r="B414">
        <v>1981</v>
      </c>
      <c r="C414" t="s">
        <v>21</v>
      </c>
      <c r="D414" s="6">
        <v>1981.5833333267799</v>
      </c>
      <c r="E414">
        <v>10851</v>
      </c>
      <c r="F414">
        <v>346.6</v>
      </c>
      <c r="G414" s="7">
        <f>STANDARDIZE(E414,Climatology!B$9,Climatology!C$9)</f>
        <v>1.7743658862518332</v>
      </c>
      <c r="H414" s="6">
        <f>STANDARDIZE(F414,Climatology!D$9,Climatology!E$9)</f>
        <v>-0.25737009408265749</v>
      </c>
      <c r="I414" s="6">
        <f t="shared" si="6"/>
        <v>3.1941756520136395</v>
      </c>
    </row>
    <row r="415" spans="1:9" x14ac:dyDescent="0.3">
      <c r="A415" s="10">
        <v>29768</v>
      </c>
      <c r="B415">
        <v>1981</v>
      </c>
      <c r="C415" t="s">
        <v>22</v>
      </c>
      <c r="D415" s="6">
        <v>1981.49999999342</v>
      </c>
      <c r="E415">
        <v>13567</v>
      </c>
      <c r="F415">
        <v>385.8</v>
      </c>
      <c r="G415" s="7">
        <f>STANDARDIZE(E415,Climatology!B$8,Climatology!C$8)</f>
        <v>2.7884303475642045</v>
      </c>
      <c r="H415" s="6">
        <f>STANDARDIZE(F415,Climatology!D$8,Climatology!E$8)</f>
        <v>-9.068485964279896E-2</v>
      </c>
      <c r="I415" s="6">
        <f t="shared" si="6"/>
        <v>2.8436647748212573</v>
      </c>
    </row>
    <row r="416" spans="1:9" x14ac:dyDescent="0.3">
      <c r="A416" s="10">
        <v>29738</v>
      </c>
      <c r="B416">
        <v>1981</v>
      </c>
      <c r="C416" t="s">
        <v>23</v>
      </c>
      <c r="D416" s="6">
        <v>1981.4166666600599</v>
      </c>
      <c r="E416">
        <v>13531</v>
      </c>
      <c r="F416">
        <v>351.2</v>
      </c>
      <c r="G416" s="7">
        <f>STANDARDIZE(E416,Climatology!B$7,Climatology!C$7)</f>
        <v>3.190462677786194</v>
      </c>
      <c r="H416" s="6">
        <f>STANDARDIZE(F416,Climatology!D$7,Climatology!E$7)</f>
        <v>-0.38680473347340488</v>
      </c>
      <c r="I416" s="6">
        <f t="shared" si="6"/>
        <v>2.5955213953144631</v>
      </c>
    </row>
    <row r="417" spans="1:9" x14ac:dyDescent="0.3">
      <c r="A417" s="10">
        <v>29707</v>
      </c>
      <c r="B417">
        <v>1981</v>
      </c>
      <c r="C417" t="s">
        <v>24</v>
      </c>
      <c r="D417" s="6">
        <v>1981.3333333267001</v>
      </c>
      <c r="E417">
        <v>9666</v>
      </c>
      <c r="F417">
        <v>219.4</v>
      </c>
      <c r="G417" s="7">
        <f>STANDARDIZE(E417,Climatology!B$6,Climatology!C$6)</f>
        <v>1.9412052414708134</v>
      </c>
      <c r="H417" s="6">
        <f>STANDARDIZE(F417,Climatology!D$6,Climatology!E$6)</f>
        <v>-0.98348989152963651</v>
      </c>
      <c r="I417" s="6">
        <f t="shared" si="6"/>
        <v>2.2698117111524931</v>
      </c>
    </row>
    <row r="418" spans="1:9" x14ac:dyDescent="0.3">
      <c r="A418" s="10">
        <v>29677</v>
      </c>
      <c r="B418">
        <v>1981</v>
      </c>
      <c r="C418" t="s">
        <v>25</v>
      </c>
      <c r="D418" s="6">
        <v>1981.24999999334</v>
      </c>
      <c r="E418">
        <v>5002</v>
      </c>
      <c r="F418">
        <v>106</v>
      </c>
      <c r="G418" s="7">
        <f>STANDARDIZE(E418,Climatology!B$5,Climatology!C$5)</f>
        <v>4.64628254724372E-2</v>
      </c>
      <c r="H418" s="6">
        <f>STANDARDIZE(F418,Climatology!D$5,Climatology!E$5)</f>
        <v>-1.2173666019923524</v>
      </c>
      <c r="I418" s="6">
        <f t="shared" si="6"/>
        <v>2.1191523390643745</v>
      </c>
    </row>
    <row r="419" spans="1:9" x14ac:dyDescent="0.3">
      <c r="A419" s="10">
        <v>29646</v>
      </c>
      <c r="B419">
        <v>1981</v>
      </c>
      <c r="C419" t="s">
        <v>26</v>
      </c>
      <c r="D419" s="6">
        <v>1981.1666666599799</v>
      </c>
      <c r="E419">
        <v>4969</v>
      </c>
      <c r="F419">
        <v>97.09</v>
      </c>
      <c r="G419" s="7">
        <f>STANDARDIZE(E419,Climatology!B$4,Climatology!C$4)</f>
        <v>0.54003524188453156</v>
      </c>
      <c r="H419" s="6">
        <f>STANDARDIZE(F419,Climatology!D$4,Climatology!E$4)</f>
        <v>-1.1022385938563688</v>
      </c>
      <c r="I419" s="6">
        <f t="shared" si="6"/>
        <v>1.9539142684644799</v>
      </c>
    </row>
    <row r="420" spans="1:9" x14ac:dyDescent="0.3">
      <c r="A420" s="10">
        <v>29618</v>
      </c>
      <c r="B420">
        <v>1981</v>
      </c>
      <c r="C420" t="s">
        <v>27</v>
      </c>
      <c r="D420" s="6">
        <v>1981.08333332662</v>
      </c>
      <c r="E420">
        <v>3794</v>
      </c>
      <c r="F420">
        <v>88.46</v>
      </c>
      <c r="G420" s="7">
        <f>STANDARDIZE(E420,Climatology!B$3,Climatology!C$3)</f>
        <v>-0.38427004641956969</v>
      </c>
      <c r="H420" s="6">
        <f>STANDARDIZE(F420,Climatology!D$3,Climatology!E$3)</f>
        <v>-1.2450679121398907</v>
      </c>
      <c r="I420" s="6">
        <f t="shared" si="6"/>
        <v>2.3315761729045859</v>
      </c>
    </row>
    <row r="421" spans="1:9" x14ac:dyDescent="0.3">
      <c r="A421" s="10">
        <v>29587</v>
      </c>
      <c r="B421">
        <v>1981</v>
      </c>
      <c r="C421" t="s">
        <v>28</v>
      </c>
      <c r="D421" s="6">
        <v>1980.99999999326</v>
      </c>
      <c r="E421">
        <v>6688</v>
      </c>
      <c r="F421">
        <v>204.2</v>
      </c>
      <c r="G421" s="7">
        <f>STANDARDIZE(E421,Climatology!B$2,Climatology!C$2)</f>
        <v>-5.6784084475713703E-2</v>
      </c>
      <c r="H421" s="6">
        <f>STANDARDIZE(F421,Climatology!D$2,Climatology!E$2)</f>
        <v>-1.151054903849922</v>
      </c>
      <c r="I421" s="6">
        <f t="shared" si="6"/>
        <v>3.0532296650717701</v>
      </c>
    </row>
    <row r="422" spans="1:9" x14ac:dyDescent="0.3">
      <c r="A422" s="10">
        <v>29556</v>
      </c>
      <c r="B422">
        <v>1980</v>
      </c>
      <c r="C422" t="s">
        <v>17</v>
      </c>
      <c r="D422" s="6">
        <v>1980.9166666599001</v>
      </c>
      <c r="E422">
        <v>8713</v>
      </c>
      <c r="F422" s="12">
        <f>(0.0329*E422)-33.8</f>
        <v>252.85769999999997</v>
      </c>
      <c r="G422" s="7">
        <f>STANDARDIZE(E422,Climatology!B$13,Climatology!C$13)</f>
        <v>-0.37662401770760534</v>
      </c>
      <c r="H422" s="7"/>
      <c r="I422" s="6">
        <f t="shared" si="6"/>
        <v>2.9020739125444734</v>
      </c>
    </row>
    <row r="423" spans="1:9" x14ac:dyDescent="0.3">
      <c r="A423" s="10">
        <v>29526</v>
      </c>
      <c r="B423">
        <v>1980</v>
      </c>
      <c r="C423" t="s">
        <v>18</v>
      </c>
      <c r="D423" s="6">
        <v>1980.83333332654</v>
      </c>
      <c r="E423">
        <v>9039</v>
      </c>
      <c r="F423" s="12">
        <f t="shared" ref="F423:F486" si="7">(0.0329*E423)-33.8</f>
        <v>263.5831</v>
      </c>
      <c r="G423" s="7">
        <f>STANDARDIZE(E423,Climatology!B$12,Climatology!C$12)</f>
        <v>-0.30862238049156515</v>
      </c>
      <c r="H423" s="7"/>
      <c r="I423" s="6">
        <f t="shared" si="6"/>
        <v>2.9160648301803298</v>
      </c>
    </row>
    <row r="424" spans="1:9" x14ac:dyDescent="0.3">
      <c r="A424" s="10">
        <v>29495</v>
      </c>
      <c r="B424">
        <v>1980</v>
      </c>
      <c r="C424" t="s">
        <v>19</v>
      </c>
      <c r="D424" s="6">
        <v>1980.7499999931799</v>
      </c>
      <c r="E424">
        <v>8012</v>
      </c>
      <c r="F424" s="12">
        <f t="shared" si="7"/>
        <v>229.79479999999995</v>
      </c>
      <c r="G424" s="7">
        <f>STANDARDIZE(E424,Climatology!B$11,Climatology!C$11)</f>
        <v>-0.235051924624961</v>
      </c>
      <c r="H424" s="7"/>
      <c r="I424" s="6">
        <f t="shared" si="6"/>
        <v>2.8681328007988012</v>
      </c>
    </row>
    <row r="425" spans="1:9" x14ac:dyDescent="0.3">
      <c r="A425" s="10">
        <v>29465</v>
      </c>
      <c r="B425">
        <v>1980</v>
      </c>
      <c r="C425" t="s">
        <v>20</v>
      </c>
      <c r="D425" s="6">
        <v>1980.6666666598201</v>
      </c>
      <c r="E425">
        <v>6136</v>
      </c>
      <c r="F425" s="12">
        <f t="shared" si="7"/>
        <v>168.07439999999997</v>
      </c>
      <c r="G425" s="7">
        <f>STANDARDIZE(E425,Climatology!B$10,Climatology!C$10)</f>
        <v>-0.67559375553664325</v>
      </c>
      <c r="H425" s="7"/>
      <c r="I425" s="6">
        <f t="shared" si="6"/>
        <v>2.7391525423728811</v>
      </c>
    </row>
    <row r="426" spans="1:9" x14ac:dyDescent="0.3">
      <c r="A426" s="10">
        <v>29434</v>
      </c>
      <c r="B426">
        <v>1980</v>
      </c>
      <c r="C426" t="s">
        <v>21</v>
      </c>
      <c r="D426" s="6">
        <v>1980.58333332646</v>
      </c>
      <c r="E426">
        <v>6260</v>
      </c>
      <c r="F426" s="12">
        <f t="shared" si="7"/>
        <v>172.154</v>
      </c>
      <c r="G426" s="7">
        <f>STANDARDIZE(E426,Climatology!B$9,Climatology!C$9)</f>
        <v>-0.54037952669367184</v>
      </c>
      <c r="H426" s="7"/>
      <c r="I426" s="6">
        <f t="shared" si="6"/>
        <v>2.7500638977635781</v>
      </c>
    </row>
    <row r="427" spans="1:9" x14ac:dyDescent="0.3">
      <c r="A427" s="10">
        <v>29403</v>
      </c>
      <c r="B427">
        <v>1980</v>
      </c>
      <c r="C427" t="s">
        <v>22</v>
      </c>
      <c r="D427" s="6">
        <v>1980.4999999930999</v>
      </c>
      <c r="E427">
        <v>5896</v>
      </c>
      <c r="F427" s="12">
        <f t="shared" si="7"/>
        <v>160.17840000000001</v>
      </c>
      <c r="G427" s="7">
        <f>STANDARDIZE(E427,Climatology!B$8,Climatology!C$8)</f>
        <v>-0.99170092221384409</v>
      </c>
      <c r="H427" s="7"/>
      <c r="I427" s="6">
        <f t="shared" si="6"/>
        <v>2.7167299864314791</v>
      </c>
    </row>
    <row r="428" spans="1:9" x14ac:dyDescent="0.3">
      <c r="A428" s="10">
        <v>29373</v>
      </c>
      <c r="B428">
        <v>1980</v>
      </c>
      <c r="C428" t="s">
        <v>23</v>
      </c>
      <c r="D428" s="6">
        <v>1980.41666665974</v>
      </c>
      <c r="E428">
        <v>6636</v>
      </c>
      <c r="F428" s="12">
        <f t="shared" si="7"/>
        <v>184.52440000000001</v>
      </c>
      <c r="G428" s="7">
        <f>STANDARDIZE(E428,Climatology!B$7,Climatology!C$7)</f>
        <v>-0.89990958144561128</v>
      </c>
      <c r="H428" s="7"/>
      <c r="I428" s="6">
        <f t="shared" si="6"/>
        <v>2.7806570223025919</v>
      </c>
    </row>
    <row r="429" spans="1:9" x14ac:dyDescent="0.3">
      <c r="A429" s="10">
        <v>29342</v>
      </c>
      <c r="B429">
        <v>1980</v>
      </c>
      <c r="C429" t="s">
        <v>24</v>
      </c>
      <c r="D429" s="6">
        <v>1980.3333333263799</v>
      </c>
      <c r="E429">
        <v>5139</v>
      </c>
      <c r="F429" s="12">
        <f t="shared" si="7"/>
        <v>135.2731</v>
      </c>
      <c r="G429" s="7">
        <f>STANDARDIZE(E429,Climatology!B$6,Climatology!C$6)</f>
        <v>-1.1846998442566476</v>
      </c>
      <c r="H429" s="7"/>
      <c r="I429" s="6">
        <f t="shared" si="6"/>
        <v>2.6322844911461374</v>
      </c>
    </row>
    <row r="430" spans="1:9" x14ac:dyDescent="0.3">
      <c r="A430" s="10">
        <v>29312</v>
      </c>
      <c r="B430">
        <v>1980</v>
      </c>
      <c r="C430" t="s">
        <v>25</v>
      </c>
      <c r="D430" s="6">
        <v>1980.2499999930201</v>
      </c>
      <c r="E430">
        <v>3352</v>
      </c>
      <c r="F430" s="12">
        <f t="shared" si="7"/>
        <v>76.480800000000002</v>
      </c>
      <c r="G430" s="7">
        <f>STANDARDIZE(E430,Climatology!B$5,Climatology!C$5)</f>
        <v>-1.1346970725464305</v>
      </c>
      <c r="H430" s="7"/>
      <c r="I430" s="6">
        <f t="shared" si="6"/>
        <v>2.2816467780429597</v>
      </c>
    </row>
    <row r="431" spans="1:9" x14ac:dyDescent="0.3">
      <c r="A431" s="10">
        <v>29281</v>
      </c>
      <c r="B431">
        <v>1980</v>
      </c>
      <c r="C431" t="s">
        <v>26</v>
      </c>
      <c r="D431" s="6">
        <v>1980.16666665966</v>
      </c>
      <c r="E431">
        <v>3159</v>
      </c>
      <c r="F431" s="12">
        <f t="shared" si="7"/>
        <v>70.131100000000004</v>
      </c>
      <c r="G431" s="7">
        <f>STANDARDIZE(E431,Climatology!B$4,Climatology!C$4)</f>
        <v>-0.61080597150470728</v>
      </c>
      <c r="H431" s="7"/>
      <c r="I431" s="6">
        <f t="shared" si="6"/>
        <v>2.2200411522633745</v>
      </c>
    </row>
    <row r="432" spans="1:9" x14ac:dyDescent="0.3">
      <c r="A432" s="10">
        <v>29252</v>
      </c>
      <c r="B432">
        <v>1980</v>
      </c>
      <c r="C432" t="s">
        <v>27</v>
      </c>
      <c r="D432" s="6">
        <v>1980.0833333262999</v>
      </c>
      <c r="E432">
        <v>4656</v>
      </c>
      <c r="F432" s="12">
        <f t="shared" si="7"/>
        <v>119.3824</v>
      </c>
      <c r="G432" s="7">
        <f>STANDARDIZE(E432,Climatology!B$3,Climatology!C$3)</f>
        <v>0.11829837318798377</v>
      </c>
      <c r="H432" s="7"/>
      <c r="I432" s="6">
        <f t="shared" si="6"/>
        <v>2.5640549828178694</v>
      </c>
    </row>
    <row r="433" spans="1:9" x14ac:dyDescent="0.3">
      <c r="A433" s="10">
        <v>29221</v>
      </c>
      <c r="B433">
        <v>1980</v>
      </c>
      <c r="C433" t="s">
        <v>28</v>
      </c>
      <c r="D433" s="6">
        <v>1979.99999999294</v>
      </c>
      <c r="E433">
        <v>7503</v>
      </c>
      <c r="F433" s="12">
        <f t="shared" si="7"/>
        <v>213.0487</v>
      </c>
      <c r="G433" s="7">
        <f>STANDARDIZE(E433,Climatology!B$2,Climatology!C$2)</f>
        <v>0.29866160559883875</v>
      </c>
      <c r="H433" s="7"/>
      <c r="I433" s="6">
        <f t="shared" si="6"/>
        <v>2.8395135279221644</v>
      </c>
    </row>
    <row r="434" spans="1:9" x14ac:dyDescent="0.3">
      <c r="A434" s="10">
        <v>29190</v>
      </c>
      <c r="B434">
        <v>1979</v>
      </c>
      <c r="C434" t="s">
        <v>17</v>
      </c>
      <c r="D434" s="6">
        <v>1979.91666665958</v>
      </c>
      <c r="E434">
        <v>12341</v>
      </c>
      <c r="F434" s="12">
        <f t="shared" si="7"/>
        <v>372.21889999999996</v>
      </c>
      <c r="G434" s="7">
        <f>STANDARDIZE(E434,Climatology!B$13,Climatology!C$13)</f>
        <v>0.91887064228009518</v>
      </c>
      <c r="H434" s="7"/>
      <c r="I434" s="6">
        <f t="shared" si="6"/>
        <v>3.0161161980390565</v>
      </c>
    </row>
    <row r="435" spans="1:9" x14ac:dyDescent="0.3">
      <c r="A435" s="10">
        <v>29160</v>
      </c>
      <c r="B435">
        <v>1979</v>
      </c>
      <c r="C435" t="s">
        <v>18</v>
      </c>
      <c r="D435" s="6">
        <v>1979.8333333262201</v>
      </c>
      <c r="E435">
        <v>10863</v>
      </c>
      <c r="F435" s="12">
        <f t="shared" si="7"/>
        <v>323.59269999999998</v>
      </c>
      <c r="G435" s="7">
        <f>STANDARDIZE(E435,Climatology!B$12,Climatology!C$12)</f>
        <v>0.40801964816479303</v>
      </c>
      <c r="H435" s="7"/>
      <c r="I435" s="6">
        <f t="shared" si="6"/>
        <v>2.9788520666482552</v>
      </c>
    </row>
    <row r="436" spans="1:9" x14ac:dyDescent="0.3">
      <c r="A436" s="10">
        <v>29129</v>
      </c>
      <c r="B436">
        <v>1979</v>
      </c>
      <c r="C436" t="s">
        <v>19</v>
      </c>
      <c r="D436" s="6">
        <v>1979.74999999286</v>
      </c>
      <c r="E436">
        <v>9138</v>
      </c>
      <c r="F436" s="12">
        <f t="shared" si="7"/>
        <v>266.84019999999998</v>
      </c>
      <c r="G436" s="7">
        <f>STANDARDIZE(E436,Climatology!B$11,Climatology!C$11)</f>
        <v>0.34508996906740408</v>
      </c>
      <c r="H436" s="7"/>
      <c r="I436" s="6">
        <f t="shared" si="6"/>
        <v>2.9201159991245347</v>
      </c>
    </row>
    <row r="437" spans="1:9" x14ac:dyDescent="0.3">
      <c r="A437" s="10">
        <v>29099</v>
      </c>
      <c r="B437">
        <v>1979</v>
      </c>
      <c r="C437" t="s">
        <v>20</v>
      </c>
      <c r="D437" s="6">
        <v>1979.6666666594999</v>
      </c>
      <c r="E437">
        <v>8187</v>
      </c>
      <c r="F437" s="12">
        <f t="shared" si="7"/>
        <v>235.5523</v>
      </c>
      <c r="G437" s="7">
        <f>STANDARDIZE(E437,Climatology!B$10,Climatology!C$10)</f>
        <v>0.33788582283126972</v>
      </c>
      <c r="H437" s="7"/>
      <c r="I437" s="6">
        <f t="shared" si="6"/>
        <v>2.8771503603273483</v>
      </c>
    </row>
    <row r="438" spans="1:9" x14ac:dyDescent="0.3">
      <c r="A438" s="10">
        <v>29068</v>
      </c>
      <c r="B438">
        <v>1979</v>
      </c>
      <c r="C438" t="s">
        <v>21</v>
      </c>
      <c r="D438" s="6">
        <v>1979.5833333261401</v>
      </c>
      <c r="E438">
        <v>6925</v>
      </c>
      <c r="F438" s="12">
        <f t="shared" si="7"/>
        <v>194.03249999999997</v>
      </c>
      <c r="G438" s="7">
        <f>STANDARDIZE(E438,Climatology!B$9,Climatology!C$9)</f>
        <v>-0.20509185524763379</v>
      </c>
      <c r="H438" s="7"/>
      <c r="I438" s="6">
        <f t="shared" si="6"/>
        <v>2.8019133574007213</v>
      </c>
    </row>
    <row r="439" spans="1:9" x14ac:dyDescent="0.3">
      <c r="A439" s="10">
        <v>29037</v>
      </c>
      <c r="B439">
        <v>1979</v>
      </c>
      <c r="C439" t="s">
        <v>22</v>
      </c>
      <c r="D439" s="6">
        <v>1979.49999999278</v>
      </c>
      <c r="E439">
        <v>8789</v>
      </c>
      <c r="F439" s="12">
        <f t="shared" si="7"/>
        <v>255.35809999999998</v>
      </c>
      <c r="G439" s="7">
        <f>STANDARDIZE(E439,Climatology!B$8,Climatology!C$8)</f>
        <v>0.43391761037224563</v>
      </c>
      <c r="H439" s="7"/>
      <c r="I439" s="6">
        <f t="shared" si="6"/>
        <v>2.9054283763795654</v>
      </c>
    </row>
    <row r="440" spans="1:9" x14ac:dyDescent="0.3">
      <c r="A440" s="10">
        <v>29007</v>
      </c>
      <c r="B440">
        <v>1979</v>
      </c>
      <c r="C440" t="s">
        <v>23</v>
      </c>
      <c r="D440" s="6">
        <v>1979.4166666594199</v>
      </c>
      <c r="E440">
        <v>8825</v>
      </c>
      <c r="F440" s="12">
        <f t="shared" si="7"/>
        <v>256.54249999999996</v>
      </c>
      <c r="G440" s="7">
        <f>STANDARDIZE(E440,Climatology!B$7,Climatology!C$7)</f>
        <v>0.39868720977388428</v>
      </c>
      <c r="H440" s="7"/>
      <c r="I440" s="6">
        <f t="shared" si="6"/>
        <v>2.90699716713881</v>
      </c>
    </row>
    <row r="441" spans="1:9" x14ac:dyDescent="0.3">
      <c r="A441" s="10">
        <v>28976</v>
      </c>
      <c r="B441">
        <v>1979</v>
      </c>
      <c r="C441" t="s">
        <v>24</v>
      </c>
      <c r="D441" s="6">
        <v>1979.33333332606</v>
      </c>
      <c r="E441">
        <v>6962</v>
      </c>
      <c r="F441" s="12">
        <f t="shared" si="7"/>
        <v>195.24979999999999</v>
      </c>
      <c r="G441" s="7">
        <f>STANDARDIZE(E441,Climatology!B$6,Climatology!C$6)</f>
        <v>7.4086321257194068E-2</v>
      </c>
      <c r="H441" s="7"/>
      <c r="I441" s="6">
        <f t="shared" si="6"/>
        <v>2.8045073254811834</v>
      </c>
    </row>
    <row r="442" spans="1:9" x14ac:dyDescent="0.3">
      <c r="A442" s="10">
        <v>28946</v>
      </c>
      <c r="B442">
        <v>1979</v>
      </c>
      <c r="C442" t="s">
        <v>25</v>
      </c>
      <c r="D442" s="6">
        <v>1979.2499999926999</v>
      </c>
      <c r="E442">
        <v>4257</v>
      </c>
      <c r="F442" s="12">
        <f t="shared" si="7"/>
        <v>106.25529999999999</v>
      </c>
      <c r="G442" s="7">
        <f>STANDARDIZE(E442,Climatology!B$5,Climatology!C$5)</f>
        <v>-0.4868487648451727</v>
      </c>
      <c r="H442" s="7"/>
      <c r="I442" s="6">
        <f t="shared" si="6"/>
        <v>2.4960136246182754</v>
      </c>
    </row>
    <row r="443" spans="1:9" x14ac:dyDescent="0.3">
      <c r="A443" s="10">
        <v>28915</v>
      </c>
      <c r="B443">
        <v>1979</v>
      </c>
      <c r="C443" t="s">
        <v>26</v>
      </c>
      <c r="D443" s="6">
        <v>1979.1666666593401</v>
      </c>
      <c r="E443">
        <v>3337</v>
      </c>
      <c r="F443" s="12">
        <f t="shared" si="7"/>
        <v>75.987300000000005</v>
      </c>
      <c r="G443" s="7">
        <f>STANDARDIZE(E443,Climatology!B$4,Climatology!C$4)</f>
        <v>-0.49762932179018543</v>
      </c>
      <c r="H443" s="7"/>
      <c r="I443" s="6">
        <f t="shared" si="6"/>
        <v>2.2771141744081511</v>
      </c>
    </row>
    <row r="444" spans="1:9" x14ac:dyDescent="0.3">
      <c r="A444" s="10">
        <v>28887</v>
      </c>
      <c r="B444">
        <v>1979</v>
      </c>
      <c r="C444" t="s">
        <v>27</v>
      </c>
      <c r="D444" s="6">
        <v>1979.08333332598</v>
      </c>
      <c r="E444">
        <v>2826</v>
      </c>
      <c r="F444" s="12">
        <f t="shared" si="7"/>
        <v>59.175399999999996</v>
      </c>
      <c r="G444" s="7">
        <f>STANDARDIZE(E444,Climatology!B$3,Climatology!C$3)</f>
        <v>-0.94863922296262282</v>
      </c>
      <c r="H444" s="7"/>
      <c r="I444" s="6">
        <f t="shared" si="6"/>
        <v>2.0939631988676575</v>
      </c>
    </row>
    <row r="445" spans="1:9" x14ac:dyDescent="0.3">
      <c r="A445" s="10">
        <v>28856</v>
      </c>
      <c r="B445">
        <v>1979</v>
      </c>
      <c r="C445" t="s">
        <v>28</v>
      </c>
      <c r="D445" s="6">
        <v>1978.9999999926199</v>
      </c>
      <c r="E445">
        <v>5471</v>
      </c>
      <c r="F445" s="12">
        <f t="shared" si="7"/>
        <v>146.19589999999999</v>
      </c>
      <c r="G445" s="7">
        <f>STANDARDIZE(E445,Climatology!B$2,Climatology!C$2)</f>
        <v>-0.58755390634164051</v>
      </c>
      <c r="H445" s="7"/>
      <c r="I445" s="6">
        <f t="shared" si="6"/>
        <v>2.6721970389325533</v>
      </c>
    </row>
    <row r="446" spans="1:9" x14ac:dyDescent="0.3">
      <c r="A446" s="10">
        <v>28825</v>
      </c>
      <c r="B446">
        <v>1978</v>
      </c>
      <c r="C446" t="s">
        <v>17</v>
      </c>
      <c r="D446" s="6">
        <v>1978.91666665926</v>
      </c>
      <c r="E446">
        <v>9153</v>
      </c>
      <c r="F446" s="12">
        <f t="shared" si="7"/>
        <v>267.33369999999996</v>
      </c>
      <c r="G446" s="7">
        <f>STANDARDIZE(E446,Climatology!B$13,Climatology!C$13)</f>
        <v>-0.21950779654040906</v>
      </c>
      <c r="H446" s="7"/>
      <c r="I446" s="6">
        <f t="shared" si="6"/>
        <v>2.9207221675953234</v>
      </c>
    </row>
    <row r="447" spans="1:9" x14ac:dyDescent="0.3">
      <c r="A447" s="10">
        <v>28795</v>
      </c>
      <c r="B447">
        <v>1978</v>
      </c>
      <c r="C447" t="s">
        <v>18</v>
      </c>
      <c r="D447" s="6">
        <v>1978.8333333259</v>
      </c>
      <c r="E447">
        <v>9520</v>
      </c>
      <c r="F447" s="12">
        <f t="shared" si="7"/>
        <v>279.40799999999996</v>
      </c>
      <c r="G447" s="7">
        <f>STANDARDIZE(E447,Climatology!B$12,Climatology!C$12)</f>
        <v>-0.11963947710137422</v>
      </c>
      <c r="H447" s="7"/>
      <c r="I447" s="6">
        <f t="shared" si="6"/>
        <v>2.9349579831932768</v>
      </c>
    </row>
    <row r="448" spans="1:9" x14ac:dyDescent="0.3">
      <c r="A448" s="10">
        <v>28764</v>
      </c>
      <c r="B448">
        <v>1978</v>
      </c>
      <c r="C448" t="s">
        <v>19</v>
      </c>
      <c r="D448" s="6">
        <v>1978.7499999925401</v>
      </c>
      <c r="E448">
        <v>7930</v>
      </c>
      <c r="F448" s="12">
        <f t="shared" si="7"/>
        <v>227.09699999999998</v>
      </c>
      <c r="G448" s="7">
        <f>STANDARDIZE(E448,Climatology!B$11,Climatology!C$11)</f>
        <v>-0.27730026857058615</v>
      </c>
      <c r="H448" s="7"/>
      <c r="I448" s="6">
        <f t="shared" si="6"/>
        <v>2.8637704918032787</v>
      </c>
    </row>
    <row r="449" spans="1:9" x14ac:dyDescent="0.3">
      <c r="A449" s="10">
        <v>28734</v>
      </c>
      <c r="B449">
        <v>1978</v>
      </c>
      <c r="C449" t="s">
        <v>20</v>
      </c>
      <c r="D449" s="6">
        <v>1978.66666665918</v>
      </c>
      <c r="E449">
        <v>6553</v>
      </c>
      <c r="F449" s="12">
        <f t="shared" si="7"/>
        <v>181.7937</v>
      </c>
      <c r="G449" s="7">
        <f>STANDARDIZE(E449,Climatology!B$10,Climatology!C$10)</f>
        <v>-0.4695376930405829</v>
      </c>
      <c r="H449" s="7"/>
      <c r="I449" s="6">
        <f t="shared" si="6"/>
        <v>2.7742057073096293</v>
      </c>
    </row>
    <row r="450" spans="1:9" x14ac:dyDescent="0.3">
      <c r="A450" s="10">
        <v>28703</v>
      </c>
      <c r="B450">
        <v>1978</v>
      </c>
      <c r="C450" t="s">
        <v>21</v>
      </c>
      <c r="D450" s="6">
        <v>1978.5833333258199</v>
      </c>
      <c r="E450">
        <v>7005</v>
      </c>
      <c r="F450" s="12">
        <f t="shared" si="7"/>
        <v>196.66449999999998</v>
      </c>
      <c r="G450" s="7">
        <f>STANDARDIZE(E450,Climatology!B$9,Climatology!C$9)</f>
        <v>-0.16475649627668185</v>
      </c>
      <c r="H450" s="7"/>
      <c r="I450" s="6">
        <f t="shared" si="6"/>
        <v>2.8074875089221978</v>
      </c>
    </row>
    <row r="451" spans="1:9" x14ac:dyDescent="0.3">
      <c r="A451" s="10">
        <v>28672</v>
      </c>
      <c r="B451">
        <v>1978</v>
      </c>
      <c r="C451" t="s">
        <v>22</v>
      </c>
      <c r="D451" s="6">
        <v>1978.4999999924601</v>
      </c>
      <c r="E451">
        <v>8703</v>
      </c>
      <c r="F451" s="12">
        <f t="shared" si="7"/>
        <v>252.52869999999996</v>
      </c>
      <c r="G451" s="7">
        <f>STANDARDIZE(E451,Climatology!B$8,Climatology!C$8)</f>
        <v>0.39153835223107603</v>
      </c>
      <c r="H451" s="7"/>
      <c r="I451" s="6">
        <f t="shared" ref="I451:I514" si="8">F451/E451*100</f>
        <v>2.9016281741928065</v>
      </c>
    </row>
    <row r="452" spans="1:9" x14ac:dyDescent="0.3">
      <c r="A452" s="10">
        <v>28642</v>
      </c>
      <c r="B452">
        <v>1978</v>
      </c>
      <c r="C452" t="s">
        <v>23</v>
      </c>
      <c r="D452" s="6">
        <v>1978.4166666591</v>
      </c>
      <c r="E452">
        <v>9034</v>
      </c>
      <c r="F452" s="12">
        <f t="shared" si="7"/>
        <v>263.41859999999997</v>
      </c>
      <c r="G452" s="7">
        <f>STANDARDIZE(E452,Climatology!B$7,Climatology!C$7)</f>
        <v>0.52267383808127332</v>
      </c>
      <c r="H452" s="7"/>
      <c r="I452" s="6">
        <f t="shared" si="8"/>
        <v>2.9158578702678768</v>
      </c>
    </row>
    <row r="453" spans="1:9" x14ac:dyDescent="0.3">
      <c r="A453" s="10">
        <v>28611</v>
      </c>
      <c r="B453">
        <v>1978</v>
      </c>
      <c r="C453" t="s">
        <v>24</v>
      </c>
      <c r="D453" s="6">
        <v>1978.3333333257401</v>
      </c>
      <c r="E453">
        <v>8375</v>
      </c>
      <c r="F453" s="12">
        <f t="shared" si="7"/>
        <v>241.73749999999995</v>
      </c>
      <c r="G453" s="7">
        <f>STANDARDIZE(E453,Climatology!B$6,Climatology!C$6)</f>
        <v>1.0497664374782902</v>
      </c>
      <c r="H453" s="7"/>
      <c r="I453" s="6">
        <f t="shared" si="8"/>
        <v>2.8864179104477605</v>
      </c>
    </row>
    <row r="454" spans="1:9" x14ac:dyDescent="0.3">
      <c r="A454" s="10">
        <v>28581</v>
      </c>
      <c r="B454">
        <v>1978</v>
      </c>
      <c r="C454" t="s">
        <v>25</v>
      </c>
      <c r="D454" s="6">
        <v>1978.24999999238</v>
      </c>
      <c r="E454">
        <v>5916</v>
      </c>
      <c r="F454" s="12">
        <f t="shared" si="7"/>
        <v>160.83639999999997</v>
      </c>
      <c r="G454" s="7">
        <f>STANDARDIZE(E454,Climatology!B$5,Climatology!C$5)</f>
        <v>0.70075382352652504</v>
      </c>
      <c r="H454" s="7"/>
      <c r="I454" s="6">
        <f t="shared" si="8"/>
        <v>2.7186680189317101</v>
      </c>
    </row>
    <row r="455" spans="1:9" x14ac:dyDescent="0.3">
      <c r="A455" s="10">
        <v>28550</v>
      </c>
      <c r="B455">
        <v>1978</v>
      </c>
      <c r="C455" t="s">
        <v>26</v>
      </c>
      <c r="D455" s="6">
        <v>1978.1666666590099</v>
      </c>
      <c r="E455">
        <v>2697</v>
      </c>
      <c r="F455" s="12">
        <f t="shared" si="7"/>
        <v>54.931299999999993</v>
      </c>
      <c r="G455" s="7">
        <f>STANDARDIZE(E455,Climatology!B$4,Climatology!C$4)</f>
        <v>-0.90455660166262342</v>
      </c>
      <c r="H455" s="7"/>
      <c r="I455" s="6">
        <f t="shared" si="8"/>
        <v>2.0367556544308489</v>
      </c>
    </row>
    <row r="456" spans="1:9" x14ac:dyDescent="0.3">
      <c r="A456" s="10">
        <v>28522</v>
      </c>
      <c r="B456">
        <v>1978</v>
      </c>
      <c r="C456" t="s">
        <v>27</v>
      </c>
      <c r="D456" s="6">
        <v>1978.0833333256501</v>
      </c>
      <c r="E456">
        <v>2776</v>
      </c>
      <c r="F456" s="12">
        <f t="shared" si="7"/>
        <v>57.5304</v>
      </c>
      <c r="G456" s="7">
        <f>STANDARDIZE(E456,Climatology!B$3,Climatology!C$3)</f>
        <v>-0.97779052340389627</v>
      </c>
      <c r="H456" s="7"/>
      <c r="I456" s="6">
        <f t="shared" si="8"/>
        <v>2.072420749279539</v>
      </c>
    </row>
    <row r="457" spans="1:9" x14ac:dyDescent="0.3">
      <c r="A457" s="10">
        <v>28491</v>
      </c>
      <c r="B457">
        <v>1978</v>
      </c>
      <c r="C457" t="s">
        <v>28</v>
      </c>
      <c r="D457" s="6">
        <v>1977.99999999229</v>
      </c>
      <c r="E457">
        <v>5147</v>
      </c>
      <c r="F457" s="12">
        <f t="shared" si="7"/>
        <v>135.53629999999998</v>
      </c>
      <c r="G457" s="7">
        <f>STANDARDIZE(E457,Climatology!B$2,Climatology!C$2)</f>
        <v>-0.72885992300931535</v>
      </c>
      <c r="H457" s="7"/>
      <c r="I457" s="6">
        <f t="shared" si="8"/>
        <v>2.6333067806489212</v>
      </c>
    </row>
    <row r="458" spans="1:9" x14ac:dyDescent="0.3">
      <c r="A458" s="10">
        <v>28460</v>
      </c>
      <c r="B458">
        <v>1977</v>
      </c>
      <c r="C458" t="s">
        <v>17</v>
      </c>
      <c r="D458" s="6">
        <v>1977.9166666589299</v>
      </c>
      <c r="E458">
        <v>9909</v>
      </c>
      <c r="F458" s="12">
        <f t="shared" si="7"/>
        <v>292.20609999999999</v>
      </c>
      <c r="G458" s="7">
        <f>STANDARDIZE(E458,Climatology!B$13,Climatology!C$13)</f>
        <v>5.0446438010500985E-2</v>
      </c>
      <c r="H458" s="7"/>
      <c r="I458" s="6">
        <f t="shared" si="8"/>
        <v>2.9488959531738823</v>
      </c>
    </row>
    <row r="459" spans="1:9" x14ac:dyDescent="0.3">
      <c r="A459" s="10">
        <v>28430</v>
      </c>
      <c r="B459">
        <v>1977</v>
      </c>
      <c r="C459" t="s">
        <v>18</v>
      </c>
      <c r="D459" s="6">
        <v>1977.83333332557</v>
      </c>
      <c r="E459">
        <v>10328</v>
      </c>
      <c r="F459" s="12">
        <f t="shared" si="7"/>
        <v>305.99119999999999</v>
      </c>
      <c r="G459" s="7">
        <f>STANDARDIZE(E459,Climatology!B$12,Climatology!C$12)</f>
        <v>0.19782036892622304</v>
      </c>
      <c r="H459" s="7"/>
      <c r="I459" s="6">
        <f t="shared" si="8"/>
        <v>2.9627343144848952</v>
      </c>
    </row>
    <row r="460" spans="1:9" x14ac:dyDescent="0.3">
      <c r="A460" s="10">
        <v>28399</v>
      </c>
      <c r="B460">
        <v>1977</v>
      </c>
      <c r="C460" t="s">
        <v>19</v>
      </c>
      <c r="D460" s="6">
        <v>1977.74999999221</v>
      </c>
      <c r="E460">
        <v>8275</v>
      </c>
      <c r="F460" s="12">
        <f t="shared" si="7"/>
        <v>238.44749999999999</v>
      </c>
      <c r="G460" s="7">
        <f>STANDARDIZE(E460,Climatology!B$11,Climatology!C$11)</f>
        <v>-9.9548089774968082E-2</v>
      </c>
      <c r="H460" s="7"/>
      <c r="I460" s="6">
        <f t="shared" si="8"/>
        <v>2.8815407854984891</v>
      </c>
    </row>
    <row r="461" spans="1:9" x14ac:dyDescent="0.3">
      <c r="A461" s="10">
        <v>28369</v>
      </c>
      <c r="B461">
        <v>1977</v>
      </c>
      <c r="C461" t="s">
        <v>20</v>
      </c>
      <c r="D461" s="6">
        <v>1977.6666666588501</v>
      </c>
      <c r="E461">
        <v>5730</v>
      </c>
      <c r="F461" s="12">
        <f t="shared" si="7"/>
        <v>154.71699999999998</v>
      </c>
      <c r="G461" s="7">
        <f>STANDARDIZE(E461,Climatology!B$10,Climatology!C$10)</f>
        <v>-0.87621428640810728</v>
      </c>
      <c r="H461" s="7"/>
      <c r="I461" s="6">
        <f t="shared" si="8"/>
        <v>2.7001221640488655</v>
      </c>
    </row>
    <row r="462" spans="1:9" x14ac:dyDescent="0.3">
      <c r="A462" s="10">
        <v>28338</v>
      </c>
      <c r="B462">
        <v>1977</v>
      </c>
      <c r="C462" t="s">
        <v>21</v>
      </c>
      <c r="D462" s="6">
        <v>1977.58333332549</v>
      </c>
      <c r="E462">
        <v>6383</v>
      </c>
      <c r="F462" s="12">
        <f t="shared" si="7"/>
        <v>176.20069999999998</v>
      </c>
      <c r="G462" s="7">
        <f>STANDARDIZE(E462,Climatology!B$9,Climatology!C$9)</f>
        <v>-0.47836391227583325</v>
      </c>
      <c r="H462" s="7"/>
      <c r="I462" s="6">
        <f t="shared" si="8"/>
        <v>2.7604684317718937</v>
      </c>
    </row>
    <row r="463" spans="1:9" x14ac:dyDescent="0.3">
      <c r="A463" s="10">
        <v>28307</v>
      </c>
      <c r="B463">
        <v>1977</v>
      </c>
      <c r="C463" t="s">
        <v>22</v>
      </c>
      <c r="D463" s="6">
        <v>1977.4999999921299</v>
      </c>
      <c r="E463">
        <v>6289</v>
      </c>
      <c r="F463" s="12">
        <f t="shared" si="7"/>
        <v>173.10809999999998</v>
      </c>
      <c r="G463" s="7">
        <f>STANDARDIZE(E463,Climatology!B$8,Climatology!C$8)</f>
        <v>-0.79803756815012716</v>
      </c>
      <c r="H463" s="7"/>
      <c r="I463" s="6">
        <f t="shared" si="8"/>
        <v>2.7525536651295908</v>
      </c>
    </row>
    <row r="464" spans="1:9" x14ac:dyDescent="0.3">
      <c r="A464" s="10">
        <v>28277</v>
      </c>
      <c r="B464">
        <v>1977</v>
      </c>
      <c r="C464" t="s">
        <v>23</v>
      </c>
      <c r="D464" s="6">
        <v>1977.4166666587701</v>
      </c>
      <c r="E464">
        <v>6776</v>
      </c>
      <c r="F464" s="12">
        <f t="shared" si="7"/>
        <v>189.13040000000001</v>
      </c>
      <c r="G464" s="7">
        <f>STANDARDIZE(E464,Climatology!B$7,Climatology!C$7)</f>
        <v>-0.81685633760334109</v>
      </c>
      <c r="H464" s="7"/>
      <c r="I464" s="6">
        <f t="shared" si="8"/>
        <v>2.791180637544274</v>
      </c>
    </row>
    <row r="465" spans="1:9" x14ac:dyDescent="0.3">
      <c r="A465" s="10">
        <v>28246</v>
      </c>
      <c r="B465">
        <v>1977</v>
      </c>
      <c r="C465" t="s">
        <v>24</v>
      </c>
      <c r="D465" s="6">
        <v>1977.33333332541</v>
      </c>
      <c r="E465">
        <v>4768</v>
      </c>
      <c r="F465" s="12">
        <f t="shared" si="7"/>
        <v>123.0672</v>
      </c>
      <c r="G465" s="7">
        <f>STANDARDIZE(E465,Climatology!B$6,Climatology!C$6)</f>
        <v>-1.4408762937386199</v>
      </c>
      <c r="H465" s="7"/>
      <c r="I465" s="6">
        <f t="shared" si="8"/>
        <v>2.5811073825503357</v>
      </c>
    </row>
    <row r="466" spans="1:9" x14ac:dyDescent="0.3">
      <c r="A466" s="10">
        <v>28216</v>
      </c>
      <c r="B466">
        <v>1977</v>
      </c>
      <c r="C466" t="s">
        <v>25</v>
      </c>
      <c r="D466" s="6">
        <v>1977.2499999920501</v>
      </c>
      <c r="E466">
        <v>2953</v>
      </c>
      <c r="F466" s="12">
        <f t="shared" si="7"/>
        <v>63.353700000000003</v>
      </c>
      <c r="G466" s="7">
        <f>STANDARDIZE(E466,Climatology!B$5,Climatology!C$5)</f>
        <v>-1.4203230115219021</v>
      </c>
      <c r="H466" s="7"/>
      <c r="I466" s="6">
        <f t="shared" si="8"/>
        <v>2.1454012868269556</v>
      </c>
    </row>
    <row r="467" spans="1:9" x14ac:dyDescent="0.3">
      <c r="A467" s="10">
        <v>28185</v>
      </c>
      <c r="B467">
        <v>1977</v>
      </c>
      <c r="C467" t="s">
        <v>26</v>
      </c>
      <c r="D467" s="6">
        <v>1977.16666665869</v>
      </c>
      <c r="E467">
        <v>1953</v>
      </c>
      <c r="F467" s="12">
        <f t="shared" si="7"/>
        <v>30.453699999999998</v>
      </c>
      <c r="G467" s="7">
        <f>STANDARDIZE(E467,Climatology!B$4,Climatology!C$4)</f>
        <v>-1.3776095645143327</v>
      </c>
      <c r="H467" s="7"/>
      <c r="I467" s="6">
        <f t="shared" si="8"/>
        <v>1.5593292370711724</v>
      </c>
    </row>
    <row r="468" spans="1:9" x14ac:dyDescent="0.3">
      <c r="A468" s="10">
        <v>28157</v>
      </c>
      <c r="B468">
        <v>1977</v>
      </c>
      <c r="C468" t="s">
        <v>27</v>
      </c>
      <c r="D468" s="6">
        <v>1977.0833333253299</v>
      </c>
      <c r="E468">
        <v>2120</v>
      </c>
      <c r="F468" s="12">
        <f t="shared" si="7"/>
        <v>35.947999999999993</v>
      </c>
      <c r="G468" s="7">
        <f>STANDARDIZE(E468,Climatology!B$3,Climatology!C$3)</f>
        <v>-1.3602555851934033</v>
      </c>
      <c r="H468" s="7"/>
      <c r="I468" s="6">
        <f t="shared" si="8"/>
        <v>1.6956603773584902</v>
      </c>
    </row>
    <row r="469" spans="1:9" x14ac:dyDescent="0.3">
      <c r="A469" s="10">
        <v>28126</v>
      </c>
      <c r="B469">
        <v>1977</v>
      </c>
      <c r="C469" t="s">
        <v>28</v>
      </c>
      <c r="D469" s="6">
        <v>1976.9999999919701</v>
      </c>
      <c r="E469">
        <v>3132</v>
      </c>
      <c r="F469" s="12">
        <f t="shared" si="7"/>
        <v>69.242800000000003</v>
      </c>
      <c r="G469" s="7">
        <f>STANDARDIZE(E469,Climatology!B$2,Climatology!C$2)</f>
        <v>-1.6076612303715525</v>
      </c>
      <c r="H469" s="7"/>
      <c r="I469" s="6">
        <f t="shared" si="8"/>
        <v>2.2108173690932311</v>
      </c>
    </row>
    <row r="470" spans="1:9" x14ac:dyDescent="0.3">
      <c r="A470" s="10">
        <v>28095</v>
      </c>
      <c r="B470">
        <v>1976</v>
      </c>
      <c r="C470" t="s">
        <v>17</v>
      </c>
      <c r="D470" s="6">
        <v>1976.91666665861</v>
      </c>
      <c r="E470">
        <v>6946</v>
      </c>
      <c r="F470" s="12">
        <f t="shared" si="7"/>
        <v>194.72339999999997</v>
      </c>
      <c r="G470" s="7">
        <f>STANDARDIZE(E470,Climatology!B$13,Climatology!C$13)</f>
        <v>-1.0075884786222324</v>
      </c>
      <c r="H470" s="7"/>
      <c r="I470" s="6">
        <f t="shared" si="8"/>
        <v>2.803389000863806</v>
      </c>
    </row>
    <row r="471" spans="1:9" x14ac:dyDescent="0.3">
      <c r="A471" s="10">
        <v>28065</v>
      </c>
      <c r="B471">
        <v>1976</v>
      </c>
      <c r="C471" t="s">
        <v>18</v>
      </c>
      <c r="D471" s="6">
        <v>1976.8333333252499</v>
      </c>
      <c r="E471">
        <v>9042</v>
      </c>
      <c r="F471" s="12">
        <f t="shared" si="7"/>
        <v>263.68179999999995</v>
      </c>
      <c r="G471" s="7">
        <f>STANDARDIZE(E471,Climatology!B$12,Climatology!C$12)</f>
        <v>-0.30744369294443297</v>
      </c>
      <c r="H471" s="7"/>
      <c r="I471" s="6">
        <f t="shared" si="8"/>
        <v>2.9161888962618883</v>
      </c>
    </row>
    <row r="472" spans="1:9" x14ac:dyDescent="0.3">
      <c r="A472" s="10">
        <v>28034</v>
      </c>
      <c r="B472">
        <v>1976</v>
      </c>
      <c r="C472" t="s">
        <v>19</v>
      </c>
      <c r="D472" s="6">
        <v>1976.74999999189</v>
      </c>
      <c r="E472">
        <v>7210</v>
      </c>
      <c r="F472" s="12">
        <f t="shared" si="7"/>
        <v>203.40899999999999</v>
      </c>
      <c r="G472" s="7">
        <f>STANDARDIZE(E472,Climatology!B$11,Climatology!C$11)</f>
        <v>-0.64826133736144131</v>
      </c>
      <c r="H472" s="7"/>
      <c r="I472" s="6">
        <f t="shared" si="8"/>
        <v>2.8212066574202495</v>
      </c>
    </row>
    <row r="473" spans="1:9" x14ac:dyDescent="0.3">
      <c r="A473" s="10">
        <v>28004</v>
      </c>
      <c r="B473">
        <v>1976</v>
      </c>
      <c r="C473" t="s">
        <v>20</v>
      </c>
      <c r="D473" s="6">
        <v>1976.6666666585299</v>
      </c>
      <c r="E473">
        <v>4574</v>
      </c>
      <c r="F473" s="12">
        <f t="shared" si="7"/>
        <v>116.6846</v>
      </c>
      <c r="G473" s="7">
        <f>STANDARDIZE(E473,Climatology!B$10,Climatology!C$10)</f>
        <v>-1.44743924622932</v>
      </c>
      <c r="H473" s="7"/>
      <c r="I473" s="6">
        <f t="shared" si="8"/>
        <v>2.5510406646261479</v>
      </c>
    </row>
    <row r="474" spans="1:9" x14ac:dyDescent="0.3">
      <c r="A474" s="10">
        <v>27973</v>
      </c>
      <c r="B474">
        <v>1976</v>
      </c>
      <c r="C474" t="s">
        <v>21</v>
      </c>
      <c r="D474" s="6">
        <v>1976.5833333251701</v>
      </c>
      <c r="E474">
        <v>5593</v>
      </c>
      <c r="F474" s="12">
        <f t="shared" si="7"/>
        <v>150.2097</v>
      </c>
      <c r="G474" s="7">
        <f>STANDARDIZE(E474,Climatology!B$9,Climatology!C$9)</f>
        <v>-0.87667558211398378</v>
      </c>
      <c r="H474" s="7"/>
      <c r="I474" s="6">
        <f t="shared" si="8"/>
        <v>2.6856731628821739</v>
      </c>
    </row>
    <row r="475" spans="1:9" x14ac:dyDescent="0.3">
      <c r="A475" s="10">
        <v>27942</v>
      </c>
      <c r="B475">
        <v>1976</v>
      </c>
      <c r="C475" t="s">
        <v>22</v>
      </c>
      <c r="D475" s="6">
        <v>1976.49999999181</v>
      </c>
      <c r="E475">
        <v>7425</v>
      </c>
      <c r="F475" s="12">
        <f t="shared" si="7"/>
        <v>210.48250000000002</v>
      </c>
      <c r="G475" s="7">
        <f>STANDARDIZE(E475,Climatology!B$8,Climatology!C$8)</f>
        <v>-0.23823713502956093</v>
      </c>
      <c r="H475" s="7"/>
      <c r="I475" s="6">
        <f t="shared" si="8"/>
        <v>2.8347811447811453</v>
      </c>
    </row>
    <row r="476" spans="1:9" x14ac:dyDescent="0.3">
      <c r="A476" s="10">
        <v>27912</v>
      </c>
      <c r="B476">
        <v>1976</v>
      </c>
      <c r="C476" t="s">
        <v>23</v>
      </c>
      <c r="D476" s="6">
        <v>1976.4166666584499</v>
      </c>
      <c r="E476">
        <v>8307</v>
      </c>
      <c r="F476" s="12">
        <f t="shared" si="7"/>
        <v>239.50029999999998</v>
      </c>
      <c r="G476" s="7">
        <f>STANDARDIZE(E476,Climatology!B$7,Climatology!C$7)</f>
        <v>9.1390207557484671E-2</v>
      </c>
      <c r="H476" s="7"/>
      <c r="I476" s="6">
        <f t="shared" si="8"/>
        <v>2.8831142410015649</v>
      </c>
    </row>
    <row r="477" spans="1:9" x14ac:dyDescent="0.3">
      <c r="A477" s="10">
        <v>27881</v>
      </c>
      <c r="B477">
        <v>1976</v>
      </c>
      <c r="C477" t="s">
        <v>24</v>
      </c>
      <c r="D477" s="6">
        <v>1976.3333333250901</v>
      </c>
      <c r="E477">
        <v>7897</v>
      </c>
      <c r="F477" s="12">
        <f t="shared" si="7"/>
        <v>226.01130000000001</v>
      </c>
      <c r="G477" s="7">
        <f>STANDARDIZE(E477,Climatology!B$6,Climatology!C$6)</f>
        <v>0.71970621415650404</v>
      </c>
      <c r="H477" s="7"/>
      <c r="I477" s="6">
        <f t="shared" si="8"/>
        <v>2.8619893630492594</v>
      </c>
    </row>
    <row r="478" spans="1:9" x14ac:dyDescent="0.3">
      <c r="A478" s="10">
        <v>27851</v>
      </c>
      <c r="B478">
        <v>1976</v>
      </c>
      <c r="C478" t="s">
        <v>25</v>
      </c>
      <c r="D478" s="6">
        <v>1976.24999999173</v>
      </c>
      <c r="E478">
        <v>5986</v>
      </c>
      <c r="F478" s="12">
        <f t="shared" si="7"/>
        <v>163.13940000000002</v>
      </c>
      <c r="G478" s="7">
        <f>STANDARDIZE(E478,Climatology!B$5,Climatology!C$5)</f>
        <v>0.75086363738187101</v>
      </c>
      <c r="H478" s="7"/>
      <c r="I478" s="6">
        <f t="shared" si="8"/>
        <v>2.7253491480120284</v>
      </c>
    </row>
    <row r="479" spans="1:9" x14ac:dyDescent="0.3">
      <c r="A479" s="10">
        <v>27820</v>
      </c>
      <c r="B479">
        <v>1976</v>
      </c>
      <c r="C479" t="s">
        <v>26</v>
      </c>
      <c r="D479" s="6">
        <v>1976.1666666583701</v>
      </c>
      <c r="E479">
        <v>5418</v>
      </c>
      <c r="F479" s="12">
        <f t="shared" si="7"/>
        <v>144.4522</v>
      </c>
      <c r="G479" s="7">
        <f>STANDARDIZE(E479,Climatology!B$4,Climatology!C$4)</f>
        <v>0.82552016167003883</v>
      </c>
      <c r="H479" s="7"/>
      <c r="I479" s="6">
        <f t="shared" si="8"/>
        <v>2.666153562200074</v>
      </c>
    </row>
    <row r="480" spans="1:9" x14ac:dyDescent="0.3">
      <c r="A480" s="10">
        <v>27791</v>
      </c>
      <c r="B480">
        <v>1976</v>
      </c>
      <c r="C480" t="s">
        <v>27</v>
      </c>
      <c r="D480" s="6">
        <v>1976.08333332501</v>
      </c>
      <c r="E480">
        <v>6053</v>
      </c>
      <c r="F480" s="12">
        <f t="shared" si="7"/>
        <v>165.34370000000001</v>
      </c>
      <c r="G480" s="7">
        <f>STANDARDIZE(E480,Climatology!B$3,Climatology!C$3)</f>
        <v>0.93278570751716272</v>
      </c>
      <c r="H480" s="7"/>
      <c r="I480" s="6">
        <f t="shared" si="8"/>
        <v>2.7315992070047912</v>
      </c>
    </row>
    <row r="481" spans="1:9" x14ac:dyDescent="0.3">
      <c r="A481" s="10">
        <v>27760</v>
      </c>
      <c r="B481">
        <v>1976</v>
      </c>
      <c r="C481" t="s">
        <v>28</v>
      </c>
      <c r="D481" s="6">
        <v>1975.9999999916499</v>
      </c>
      <c r="E481">
        <v>10435</v>
      </c>
      <c r="F481" s="12">
        <f t="shared" si="7"/>
        <v>309.51149999999996</v>
      </c>
      <c r="G481" s="7">
        <f>STANDARDIZE(E481,Climatology!B$2,Climatology!C$2)</f>
        <v>1.5773938305050816</v>
      </c>
      <c r="H481" s="7"/>
      <c r="I481" s="6">
        <f t="shared" si="8"/>
        <v>2.966090081456636</v>
      </c>
    </row>
    <row r="482" spans="1:9" x14ac:dyDescent="0.3">
      <c r="A482" s="10">
        <v>27729</v>
      </c>
      <c r="B482">
        <v>1975</v>
      </c>
      <c r="C482" t="s">
        <v>17</v>
      </c>
      <c r="D482" s="6">
        <v>1975.9166666582901</v>
      </c>
      <c r="E482">
        <v>15373</v>
      </c>
      <c r="F482" s="12">
        <f t="shared" si="7"/>
        <v>471.97169999999994</v>
      </c>
      <c r="G482" s="7">
        <f>STANDARDIZE(E482,Climatology!B$13,Climatology!C$13)</f>
        <v>2.0015442390504115</v>
      </c>
      <c r="H482" s="7"/>
      <c r="I482" s="6">
        <f t="shared" si="8"/>
        <v>3.0701340011708838</v>
      </c>
    </row>
    <row r="483" spans="1:9" x14ac:dyDescent="0.3">
      <c r="A483" s="10">
        <v>27699</v>
      </c>
      <c r="B483">
        <v>1975</v>
      </c>
      <c r="C483" t="s">
        <v>18</v>
      </c>
      <c r="D483" s="6">
        <v>1975.83333332493</v>
      </c>
      <c r="E483">
        <v>15382</v>
      </c>
      <c r="F483" s="12">
        <f t="shared" si="7"/>
        <v>472.26779999999997</v>
      </c>
      <c r="G483" s="7">
        <f>STANDARDIZE(E483,Climatology!B$12,Climatology!C$12)</f>
        <v>2.1835159899948819</v>
      </c>
      <c r="H483" s="7"/>
      <c r="I483" s="6">
        <f t="shared" si="8"/>
        <v>3.0702626446495902</v>
      </c>
    </row>
    <row r="484" spans="1:9" x14ac:dyDescent="0.3">
      <c r="A484" s="10">
        <v>27668</v>
      </c>
      <c r="B484">
        <v>1975</v>
      </c>
      <c r="C484" t="s">
        <v>19</v>
      </c>
      <c r="D484" s="6">
        <v>1975.7499999915699</v>
      </c>
      <c r="E484">
        <v>12699</v>
      </c>
      <c r="F484" s="12">
        <f t="shared" si="7"/>
        <v>383.99709999999999</v>
      </c>
      <c r="G484" s="7">
        <f>STANDARDIZE(E484,Climatology!B$11,Climatology!C$11)</f>
        <v>2.1798015884621749</v>
      </c>
      <c r="H484" s="7"/>
      <c r="I484" s="6">
        <f t="shared" si="8"/>
        <v>3.0238373100244114</v>
      </c>
    </row>
    <row r="485" spans="1:9" x14ac:dyDescent="0.3">
      <c r="A485" s="10">
        <v>27638</v>
      </c>
      <c r="B485">
        <v>1975</v>
      </c>
      <c r="C485" t="s">
        <v>20</v>
      </c>
      <c r="D485" s="6">
        <v>1975.66666665821</v>
      </c>
      <c r="E485">
        <v>10697</v>
      </c>
      <c r="F485" s="12">
        <f t="shared" si="7"/>
        <v>318.13129999999995</v>
      </c>
      <c r="G485" s="7">
        <f>STANDARDIZE(E485,Climatology!B$10,Climatology!C$10)</f>
        <v>1.5781753117164288</v>
      </c>
      <c r="H485" s="7"/>
      <c r="I485" s="6">
        <f t="shared" si="8"/>
        <v>2.9740235580069174</v>
      </c>
    </row>
    <row r="486" spans="1:9" x14ac:dyDescent="0.3">
      <c r="A486" s="10">
        <v>27607</v>
      </c>
      <c r="B486">
        <v>1975</v>
      </c>
      <c r="C486" t="s">
        <v>21</v>
      </c>
      <c r="D486" s="6">
        <v>1975.5833333248499</v>
      </c>
      <c r="E486">
        <v>9192</v>
      </c>
      <c r="F486" s="12">
        <f t="shared" si="7"/>
        <v>268.61679999999996</v>
      </c>
      <c r="G486" s="7">
        <f>STANDARDIZE(E486,Climatology!B$9,Climatology!C$9)</f>
        <v>0.93791137959171711</v>
      </c>
      <c r="H486" s="7"/>
      <c r="I486" s="6">
        <f t="shared" si="8"/>
        <v>2.9222889469103563</v>
      </c>
    </row>
    <row r="487" spans="1:9" x14ac:dyDescent="0.3">
      <c r="A487" s="10">
        <v>27576</v>
      </c>
      <c r="B487">
        <v>1975</v>
      </c>
      <c r="C487" t="s">
        <v>22</v>
      </c>
      <c r="D487" s="6">
        <v>1975.4999999914901</v>
      </c>
      <c r="E487">
        <v>8708</v>
      </c>
      <c r="F487" s="12">
        <f t="shared" ref="F487:F550" si="9">(0.0329*E487)-33.8</f>
        <v>252.69319999999999</v>
      </c>
      <c r="G487" s="7">
        <f>STANDARDIZE(E487,Climatology!B$8,Climatology!C$8)</f>
        <v>0.39400226258812077</v>
      </c>
      <c r="H487" s="7"/>
      <c r="I487" s="6">
        <f t="shared" si="8"/>
        <v>2.9018511713367019</v>
      </c>
    </row>
    <row r="488" spans="1:9" x14ac:dyDescent="0.3">
      <c r="A488" s="10">
        <v>27546</v>
      </c>
      <c r="B488">
        <v>1975</v>
      </c>
      <c r="C488" t="s">
        <v>23</v>
      </c>
      <c r="D488" s="6">
        <v>1975.41666665813</v>
      </c>
      <c r="E488">
        <v>7786</v>
      </c>
      <c r="F488" s="12">
        <f t="shared" si="9"/>
        <v>222.35939999999999</v>
      </c>
      <c r="G488" s="7">
        <f>STANDARDIZE(E488,Climatology!B$7,Climatology!C$7)</f>
        <v>-0.21768650702696354</v>
      </c>
      <c r="H488" s="7"/>
      <c r="I488" s="6">
        <f t="shared" si="8"/>
        <v>2.8558874903673259</v>
      </c>
    </row>
    <row r="489" spans="1:9" x14ac:dyDescent="0.3">
      <c r="A489" s="10">
        <v>27515</v>
      </c>
      <c r="B489">
        <v>1975</v>
      </c>
      <c r="C489" t="s">
        <v>24</v>
      </c>
      <c r="D489" s="6">
        <v>1975.3333333247699</v>
      </c>
      <c r="E489">
        <v>6222</v>
      </c>
      <c r="F489" s="12">
        <f t="shared" si="9"/>
        <v>170.90379999999999</v>
      </c>
      <c r="G489" s="7">
        <f>STANDARDIZE(E489,Climatology!B$6,Climatology!C$6)</f>
        <v>-0.43688557258824912</v>
      </c>
      <c r="H489" s="7"/>
      <c r="I489" s="6">
        <f t="shared" si="8"/>
        <v>2.7467663130826101</v>
      </c>
    </row>
    <row r="490" spans="1:9" x14ac:dyDescent="0.3">
      <c r="A490" s="10">
        <v>27485</v>
      </c>
      <c r="B490">
        <v>1975</v>
      </c>
      <c r="C490" t="s">
        <v>25</v>
      </c>
      <c r="D490" s="6">
        <v>1975.24999999141</v>
      </c>
      <c r="E490">
        <v>4242</v>
      </c>
      <c r="F490" s="12">
        <f t="shared" si="9"/>
        <v>105.76180000000001</v>
      </c>
      <c r="G490" s="7">
        <f>STANDARDIZE(E490,Climatology!B$5,Climatology!C$5)</f>
        <v>-0.49758658209988971</v>
      </c>
      <c r="H490" s="7"/>
      <c r="I490" s="6">
        <f t="shared" si="8"/>
        <v>2.4932060348892033</v>
      </c>
    </row>
    <row r="491" spans="1:9" x14ac:dyDescent="0.3">
      <c r="A491" s="10">
        <v>27454</v>
      </c>
      <c r="B491">
        <v>1975</v>
      </c>
      <c r="C491" t="s">
        <v>26</v>
      </c>
      <c r="D491" s="6">
        <v>1975.16666665805</v>
      </c>
      <c r="E491">
        <v>4896</v>
      </c>
      <c r="F491" s="12">
        <f t="shared" si="9"/>
        <v>127.27839999999999</v>
      </c>
      <c r="G491" s="7">
        <f>STANDARDIZE(E491,Climatology!B$4,Climatology!C$4)</f>
        <v>0.4936200990240816</v>
      </c>
      <c r="H491" s="7"/>
      <c r="I491" s="6">
        <f t="shared" si="8"/>
        <v>2.5996405228758168</v>
      </c>
    </row>
    <row r="492" spans="1:9" x14ac:dyDescent="0.3">
      <c r="A492" s="10">
        <v>27426</v>
      </c>
      <c r="B492">
        <v>1975</v>
      </c>
      <c r="C492" t="s">
        <v>27</v>
      </c>
      <c r="D492" s="6">
        <v>1975.0833333246901</v>
      </c>
      <c r="E492">
        <v>3880</v>
      </c>
      <c r="F492" s="12">
        <f t="shared" si="9"/>
        <v>93.852000000000004</v>
      </c>
      <c r="G492" s="7">
        <f>STANDARDIZE(E492,Climatology!B$3,Climatology!C$3)</f>
        <v>-0.33412980966057948</v>
      </c>
      <c r="H492" s="7"/>
      <c r="I492" s="6">
        <f t="shared" si="8"/>
        <v>2.4188659793814438</v>
      </c>
    </row>
    <row r="493" spans="1:9" x14ac:dyDescent="0.3">
      <c r="A493" s="10">
        <v>27395</v>
      </c>
      <c r="B493">
        <v>1975</v>
      </c>
      <c r="C493" t="s">
        <v>28</v>
      </c>
      <c r="D493" s="6">
        <v>1974.99999999133</v>
      </c>
      <c r="E493">
        <v>7015</v>
      </c>
      <c r="F493" s="12">
        <f t="shared" si="9"/>
        <v>196.99349999999998</v>
      </c>
      <c r="G493" s="7">
        <f>STANDARDIZE(E493,Climatology!B$2,Climatology!C$2)</f>
        <v>8.5830321235180362E-2</v>
      </c>
      <c r="H493" s="7"/>
      <c r="I493" s="6">
        <f t="shared" si="8"/>
        <v>2.8081753385602277</v>
      </c>
    </row>
    <row r="494" spans="1:9" x14ac:dyDescent="0.3">
      <c r="A494" s="10">
        <v>27364</v>
      </c>
      <c r="B494">
        <v>1974</v>
      </c>
      <c r="C494" t="s">
        <v>17</v>
      </c>
      <c r="D494" s="6">
        <v>1974.9166666579699</v>
      </c>
      <c r="E494">
        <v>14159</v>
      </c>
      <c r="F494" s="12">
        <f t="shared" si="9"/>
        <v>432.03109999999998</v>
      </c>
      <c r="G494" s="7">
        <f>STANDARDIZE(E494,Climatology!B$13,Climatology!C$13)</f>
        <v>1.5680463015572836</v>
      </c>
      <c r="H494" s="7"/>
      <c r="I494" s="6">
        <f t="shared" si="8"/>
        <v>3.0512825764531395</v>
      </c>
    </row>
    <row r="495" spans="1:9" x14ac:dyDescent="0.3">
      <c r="A495" s="10">
        <v>27334</v>
      </c>
      <c r="B495">
        <v>1974</v>
      </c>
      <c r="C495" t="s">
        <v>18</v>
      </c>
      <c r="D495" s="6">
        <v>1974.8333333246101</v>
      </c>
      <c r="E495">
        <v>14475</v>
      </c>
      <c r="F495" s="12">
        <f t="shared" si="9"/>
        <v>442.42749999999995</v>
      </c>
      <c r="G495" s="7">
        <f>STANDARDIZE(E495,Climatology!B$12,Climatology!C$12)</f>
        <v>1.8271594549119232</v>
      </c>
      <c r="H495" s="7"/>
      <c r="I495" s="6">
        <f t="shared" si="8"/>
        <v>3.0564939550949912</v>
      </c>
    </row>
    <row r="496" spans="1:9" x14ac:dyDescent="0.3">
      <c r="A496" s="10">
        <v>27303</v>
      </c>
      <c r="B496">
        <v>1974</v>
      </c>
      <c r="C496" t="s">
        <v>19</v>
      </c>
      <c r="D496" s="6">
        <v>1974.74999999125</v>
      </c>
      <c r="E496">
        <v>10593</v>
      </c>
      <c r="F496" s="12">
        <f t="shared" si="9"/>
        <v>314.7097</v>
      </c>
      <c r="G496" s="7">
        <f>STANDARDIZE(E496,Climatology!B$11,Climatology!C$11)</f>
        <v>1.0947404622489239</v>
      </c>
      <c r="H496" s="7"/>
      <c r="I496" s="6">
        <f t="shared" si="8"/>
        <v>2.9709213631643538</v>
      </c>
    </row>
    <row r="497" spans="1:9" x14ac:dyDescent="0.3">
      <c r="A497" s="10">
        <v>27273</v>
      </c>
      <c r="B497">
        <v>1974</v>
      </c>
      <c r="C497" t="s">
        <v>20</v>
      </c>
      <c r="D497" s="6">
        <v>1974.6666666578899</v>
      </c>
      <c r="E497">
        <v>7316</v>
      </c>
      <c r="F497" s="12">
        <f t="shared" si="9"/>
        <v>206.89639999999997</v>
      </c>
      <c r="G497" s="7">
        <f>STANDARDIZE(E497,Climatology!B$10,Climatology!C$10)</f>
        <v>-9.2509453989038523E-2</v>
      </c>
      <c r="H497" s="7"/>
      <c r="I497" s="6">
        <f t="shared" si="8"/>
        <v>2.8279989065062874</v>
      </c>
    </row>
    <row r="498" spans="1:9" x14ac:dyDescent="0.3">
      <c r="A498" s="10">
        <v>27242</v>
      </c>
      <c r="B498">
        <v>1974</v>
      </c>
      <c r="C498" t="s">
        <v>21</v>
      </c>
      <c r="D498" s="6">
        <v>1974.58333332453</v>
      </c>
      <c r="E498">
        <v>7024</v>
      </c>
      <c r="F498" s="12">
        <f t="shared" si="9"/>
        <v>197.28960000000001</v>
      </c>
      <c r="G498" s="7">
        <f>STANDARDIZE(E498,Climatology!B$9,Climatology!C$9)</f>
        <v>-0.15517684852108074</v>
      </c>
      <c r="H498" s="7"/>
      <c r="I498" s="6">
        <f t="shared" si="8"/>
        <v>2.8087927107061503</v>
      </c>
    </row>
    <row r="499" spans="1:9" x14ac:dyDescent="0.3">
      <c r="A499" s="10">
        <v>27211</v>
      </c>
      <c r="B499">
        <v>1974</v>
      </c>
      <c r="C499" t="s">
        <v>22</v>
      </c>
      <c r="D499" s="6">
        <v>1974.4999999911699</v>
      </c>
      <c r="E499">
        <v>7253</v>
      </c>
      <c r="F499" s="12">
        <f t="shared" si="9"/>
        <v>204.82369999999997</v>
      </c>
      <c r="G499" s="7">
        <f>STANDARDIZE(E499,Climatology!B$8,Climatology!C$8)</f>
        <v>-0.32299565131190017</v>
      </c>
      <c r="H499" s="7"/>
      <c r="I499" s="6">
        <f t="shared" si="8"/>
        <v>2.8239859368537155</v>
      </c>
    </row>
    <row r="500" spans="1:9" x14ac:dyDescent="0.3">
      <c r="A500" s="10">
        <v>27181</v>
      </c>
      <c r="B500">
        <v>1974</v>
      </c>
      <c r="C500" t="s">
        <v>23</v>
      </c>
      <c r="D500" s="6">
        <v>1974.4166666578101</v>
      </c>
      <c r="E500">
        <v>7957</v>
      </c>
      <c r="F500" s="12">
        <f t="shared" si="9"/>
        <v>227.9853</v>
      </c>
      <c r="G500" s="7">
        <f>STANDARDIZE(E500,Climatology!B$7,Climatology!C$7)</f>
        <v>-0.11624290204819072</v>
      </c>
      <c r="H500" s="7"/>
      <c r="I500" s="6">
        <f t="shared" si="8"/>
        <v>2.8652167902475809</v>
      </c>
    </row>
    <row r="501" spans="1:9" x14ac:dyDescent="0.3">
      <c r="A501" s="10">
        <v>27150</v>
      </c>
      <c r="B501">
        <v>1974</v>
      </c>
      <c r="C501" t="s">
        <v>24</v>
      </c>
      <c r="D501" s="6">
        <v>1974.33333332445</v>
      </c>
      <c r="E501">
        <v>7658</v>
      </c>
      <c r="F501" s="12">
        <f t="shared" si="9"/>
        <v>218.14819999999997</v>
      </c>
      <c r="G501" s="7">
        <f>STANDARDIZE(E501,Climatology!B$6,Climatology!C$6)</f>
        <v>0.55467610249561083</v>
      </c>
      <c r="H501" s="7"/>
      <c r="I501" s="6">
        <f t="shared" si="8"/>
        <v>2.8486314964742752</v>
      </c>
    </row>
    <row r="502" spans="1:9" x14ac:dyDescent="0.3">
      <c r="A502" s="10">
        <v>27120</v>
      </c>
      <c r="B502">
        <v>1974</v>
      </c>
      <c r="C502" t="s">
        <v>25</v>
      </c>
      <c r="D502" s="6">
        <v>1974.2499999910899</v>
      </c>
      <c r="E502">
        <v>6208</v>
      </c>
      <c r="F502" s="12">
        <f t="shared" si="9"/>
        <v>170.44319999999999</v>
      </c>
      <c r="G502" s="7">
        <f>STANDARDIZE(E502,Climatology!B$5,Climatology!C$5)</f>
        <v>0.90978333275168222</v>
      </c>
      <c r="H502" s="7"/>
      <c r="I502" s="6">
        <f t="shared" si="8"/>
        <v>2.7455412371134016</v>
      </c>
    </row>
    <row r="503" spans="1:9" x14ac:dyDescent="0.3">
      <c r="A503" s="10">
        <v>27089</v>
      </c>
      <c r="B503">
        <v>1974</v>
      </c>
      <c r="C503" t="s">
        <v>26</v>
      </c>
      <c r="D503" s="6">
        <v>1974.16666665773</v>
      </c>
      <c r="E503">
        <v>6449</v>
      </c>
      <c r="F503" s="12">
        <f t="shared" si="9"/>
        <v>178.37209999999999</v>
      </c>
      <c r="G503" s="7">
        <f>STANDARDIZE(E503,Climatology!B$4,Climatology!C$4)</f>
        <v>1.4810545765895444</v>
      </c>
      <c r="H503" s="7"/>
      <c r="I503" s="6">
        <f t="shared" si="8"/>
        <v>2.7658877345324853</v>
      </c>
    </row>
    <row r="504" spans="1:9" x14ac:dyDescent="0.3">
      <c r="A504" s="10">
        <v>27061</v>
      </c>
      <c r="B504">
        <v>1974</v>
      </c>
      <c r="C504" t="s">
        <v>27</v>
      </c>
      <c r="D504" s="6">
        <v>1974.08333332437</v>
      </c>
      <c r="E504">
        <v>7292</v>
      </c>
      <c r="F504" s="12">
        <f t="shared" si="9"/>
        <v>206.10680000000002</v>
      </c>
      <c r="G504" s="7">
        <f>STANDARDIZE(E504,Climatology!B$3,Climatology!C$3)</f>
        <v>1.6551549324519177</v>
      </c>
      <c r="H504" s="7"/>
      <c r="I504" s="6">
        <f t="shared" si="8"/>
        <v>2.8264783324190899</v>
      </c>
    </row>
    <row r="505" spans="1:9" x14ac:dyDescent="0.3">
      <c r="A505" s="10">
        <v>27030</v>
      </c>
      <c r="B505">
        <v>1974</v>
      </c>
      <c r="C505" t="s">
        <v>28</v>
      </c>
      <c r="D505" s="6">
        <v>1973.9999999910101</v>
      </c>
      <c r="E505">
        <v>10495</v>
      </c>
      <c r="F505" s="12">
        <f t="shared" si="9"/>
        <v>311.4855</v>
      </c>
      <c r="G505" s="7">
        <f>STANDARDIZE(E505,Climatology!B$2,Climatology!C$2)</f>
        <v>1.6035616113694657</v>
      </c>
      <c r="H505" s="7"/>
      <c r="I505" s="6">
        <f t="shared" si="8"/>
        <v>2.9679418770843258</v>
      </c>
    </row>
    <row r="506" spans="1:9" x14ac:dyDescent="0.3">
      <c r="A506" s="10">
        <v>26999</v>
      </c>
      <c r="B506">
        <v>1973</v>
      </c>
      <c r="C506" t="s">
        <v>17</v>
      </c>
      <c r="D506" s="6">
        <v>1973.91666665765</v>
      </c>
      <c r="E506">
        <v>12731</v>
      </c>
      <c r="F506" s="12">
        <f t="shared" si="9"/>
        <v>385.04989999999998</v>
      </c>
      <c r="G506" s="7">
        <f>STANDARDIZE(E506,Climatology!B$13,Climatology!C$13)</f>
        <v>1.0581327474055646</v>
      </c>
      <c r="H506" s="7"/>
      <c r="I506" s="6">
        <f t="shared" si="8"/>
        <v>3.0245063231482208</v>
      </c>
    </row>
    <row r="507" spans="1:9" x14ac:dyDescent="0.3">
      <c r="A507" s="10">
        <v>26969</v>
      </c>
      <c r="B507">
        <v>1973</v>
      </c>
      <c r="C507" t="s">
        <v>18</v>
      </c>
      <c r="D507" s="6">
        <v>1973.8333333242899</v>
      </c>
      <c r="E507">
        <v>12396</v>
      </c>
      <c r="F507" s="12">
        <f t="shared" si="9"/>
        <v>374.02839999999998</v>
      </c>
      <c r="G507" s="7">
        <f>STANDARDIZE(E507,Climatology!B$12,Climatology!C$12)</f>
        <v>1.0103289847493309</v>
      </c>
      <c r="H507" s="7"/>
      <c r="I507" s="6">
        <f t="shared" si="8"/>
        <v>3.0173313972249112</v>
      </c>
    </row>
    <row r="508" spans="1:9" x14ac:dyDescent="0.3">
      <c r="A508" s="10">
        <v>26938</v>
      </c>
      <c r="B508">
        <v>1973</v>
      </c>
      <c r="C508" t="s">
        <v>19</v>
      </c>
      <c r="D508" s="6">
        <v>1973.7499999909301</v>
      </c>
      <c r="E508">
        <v>11374</v>
      </c>
      <c r="F508" s="12">
        <f t="shared" si="9"/>
        <v>340.40459999999996</v>
      </c>
      <c r="G508" s="7">
        <f>STANDARDIZE(E508,Climatology!B$11,Climatology!C$11)</f>
        <v>1.4971301771456709</v>
      </c>
      <c r="H508" s="7"/>
      <c r="I508" s="6">
        <f t="shared" si="8"/>
        <v>2.9928310181114819</v>
      </c>
    </row>
    <row r="509" spans="1:9" x14ac:dyDescent="0.3">
      <c r="A509" s="10">
        <v>26908</v>
      </c>
      <c r="B509">
        <v>1973</v>
      </c>
      <c r="C509" t="s">
        <v>20</v>
      </c>
      <c r="D509" s="6">
        <v>1973.66666665757</v>
      </c>
      <c r="E509">
        <v>9129</v>
      </c>
      <c r="F509" s="12">
        <f t="shared" si="9"/>
        <v>266.54409999999996</v>
      </c>
      <c r="G509" s="7">
        <f>STANDARDIZE(E509,Climatology!B$10,Climatology!C$10)</f>
        <v>0.80336498559215419</v>
      </c>
      <c r="H509" s="7"/>
      <c r="I509" s="6">
        <f t="shared" si="8"/>
        <v>2.9197513418775327</v>
      </c>
    </row>
    <row r="510" spans="1:9" x14ac:dyDescent="0.3">
      <c r="A510" s="10">
        <v>26877</v>
      </c>
      <c r="B510">
        <v>1973</v>
      </c>
      <c r="C510" t="s">
        <v>21</v>
      </c>
      <c r="D510" s="6">
        <v>1973.5833333242099</v>
      </c>
      <c r="E510">
        <v>7417</v>
      </c>
      <c r="F510" s="12">
        <f t="shared" si="9"/>
        <v>210.21929999999998</v>
      </c>
      <c r="G510" s="7">
        <f>STANDARDIZE(E510,Climatology!B$9,Climatology!C$9)</f>
        <v>4.2970602423720708E-2</v>
      </c>
      <c r="H510" s="7"/>
      <c r="I510" s="6">
        <f t="shared" si="8"/>
        <v>2.8342901442631789</v>
      </c>
    </row>
    <row r="511" spans="1:9" x14ac:dyDescent="0.3">
      <c r="A511" s="10">
        <v>26846</v>
      </c>
      <c r="B511">
        <v>1973</v>
      </c>
      <c r="C511" t="s">
        <v>22</v>
      </c>
      <c r="D511" s="6">
        <v>1973.49999999085</v>
      </c>
      <c r="E511">
        <v>6546</v>
      </c>
      <c r="F511" s="12">
        <f t="shared" si="9"/>
        <v>181.5634</v>
      </c>
      <c r="G511" s="7">
        <f>STANDARDIZE(E511,Climatology!B$8,Climatology!C$8)</f>
        <v>-0.67139257579802725</v>
      </c>
      <c r="H511" s="7"/>
      <c r="I511" s="6">
        <f t="shared" si="8"/>
        <v>2.7736541399327836</v>
      </c>
    </row>
    <row r="512" spans="1:9" x14ac:dyDescent="0.3">
      <c r="A512" s="10">
        <v>26816</v>
      </c>
      <c r="B512">
        <v>1973</v>
      </c>
      <c r="C512" t="s">
        <v>23</v>
      </c>
      <c r="D512" s="6">
        <v>1973.4166666574899</v>
      </c>
      <c r="E512">
        <v>5443</v>
      </c>
      <c r="F512" s="12">
        <f t="shared" si="9"/>
        <v>145.2747</v>
      </c>
      <c r="G512" s="7">
        <f>STANDARDIZE(E512,Climatology!B$7,Climatology!C$7)</f>
        <v>-1.6076418664729564</v>
      </c>
      <c r="H512" s="7"/>
      <c r="I512" s="6">
        <f t="shared" si="8"/>
        <v>2.6690189233878376</v>
      </c>
    </row>
    <row r="513" spans="1:9" x14ac:dyDescent="0.3">
      <c r="A513" s="10">
        <v>26785</v>
      </c>
      <c r="B513">
        <v>1973</v>
      </c>
      <c r="C513" t="s">
        <v>24</v>
      </c>
      <c r="D513" s="6">
        <v>1973.3333333241301</v>
      </c>
      <c r="E513">
        <v>4529</v>
      </c>
      <c r="F513" s="12">
        <f t="shared" si="9"/>
        <v>115.2041</v>
      </c>
      <c r="G513" s="7">
        <f>STANDARDIZE(E513,Climatology!B$6,Climatology!C$6)</f>
        <v>-1.6059064053995129</v>
      </c>
      <c r="H513" s="7"/>
      <c r="I513" s="6">
        <f t="shared" si="8"/>
        <v>2.5436983881651578</v>
      </c>
    </row>
    <row r="514" spans="1:9" x14ac:dyDescent="0.3">
      <c r="A514" s="10">
        <v>26755</v>
      </c>
      <c r="B514">
        <v>1973</v>
      </c>
      <c r="C514" t="s">
        <v>25</v>
      </c>
      <c r="D514" s="6">
        <v>1973.24999999077</v>
      </c>
      <c r="E514">
        <v>2960</v>
      </c>
      <c r="F514" s="12">
        <f t="shared" si="9"/>
        <v>63.584000000000003</v>
      </c>
      <c r="G514" s="7">
        <f>STANDARDIZE(E514,Climatology!B$5,Climatology!C$5)</f>
        <v>-1.4153120301363675</v>
      </c>
      <c r="H514" s="7"/>
      <c r="I514" s="6">
        <f t="shared" si="8"/>
        <v>2.1481081081081084</v>
      </c>
    </row>
    <row r="515" spans="1:9" x14ac:dyDescent="0.3">
      <c r="A515" s="10">
        <v>26724</v>
      </c>
      <c r="B515">
        <v>1973</v>
      </c>
      <c r="C515" t="s">
        <v>26</v>
      </c>
      <c r="D515" s="6">
        <v>1973.1666666574099</v>
      </c>
      <c r="E515">
        <v>2304</v>
      </c>
      <c r="F515" s="12">
        <f t="shared" si="9"/>
        <v>42.001599999999996</v>
      </c>
      <c r="G515" s="7">
        <f>STANDARDIZE(E515,Climatology!B$4,Climatology!C$4)</f>
        <v>-1.1544353844592925</v>
      </c>
      <c r="H515" s="7"/>
      <c r="I515" s="6">
        <f t="shared" ref="I515:I578" si="10">F515/E515*100</f>
        <v>1.822986111111111</v>
      </c>
    </row>
    <row r="516" spans="1:9" x14ac:dyDescent="0.3">
      <c r="A516" s="10">
        <v>26696</v>
      </c>
      <c r="B516">
        <v>1973</v>
      </c>
      <c r="C516" t="s">
        <v>27</v>
      </c>
      <c r="D516" s="6">
        <v>1973.08333332405</v>
      </c>
      <c r="E516">
        <v>2436</v>
      </c>
      <c r="F516" s="12">
        <f t="shared" si="9"/>
        <v>46.344399999999993</v>
      </c>
      <c r="G516" s="7">
        <f>STANDARDIZE(E516,Climatology!B$3,Climatology!C$3)</f>
        <v>-1.1760193664045553</v>
      </c>
      <c r="H516" s="7"/>
      <c r="I516" s="6">
        <f t="shared" si="10"/>
        <v>1.9024794745484397</v>
      </c>
    </row>
    <row r="517" spans="1:9" x14ac:dyDescent="0.3">
      <c r="A517" s="10">
        <v>26665</v>
      </c>
      <c r="B517">
        <v>1973</v>
      </c>
      <c r="C517" t="s">
        <v>28</v>
      </c>
      <c r="D517" s="6">
        <v>1972.99999999069</v>
      </c>
      <c r="E517">
        <v>4160</v>
      </c>
      <c r="F517" s="12">
        <f t="shared" si="9"/>
        <v>103.06400000000001</v>
      </c>
      <c r="G517" s="7">
        <f>STANDARDIZE(E517,Climatology!B$2,Climatology!C$2)</f>
        <v>-1.1593199182284359</v>
      </c>
      <c r="H517" s="7"/>
      <c r="I517" s="6">
        <f t="shared" si="10"/>
        <v>2.4775</v>
      </c>
    </row>
    <row r="518" spans="1:9" x14ac:dyDescent="0.3">
      <c r="A518" s="10">
        <v>26634</v>
      </c>
      <c r="B518">
        <v>1972</v>
      </c>
      <c r="C518" t="s">
        <v>17</v>
      </c>
      <c r="D518" s="6">
        <v>1972.9166666573301</v>
      </c>
      <c r="E518">
        <v>7553</v>
      </c>
      <c r="F518" s="12">
        <f t="shared" si="9"/>
        <v>214.69369999999998</v>
      </c>
      <c r="G518" s="7">
        <f>STANDARDIZE(E518,Climatology!B$13,Climatology!C$13)</f>
        <v>-0.79083950987566831</v>
      </c>
      <c r="H518" s="7"/>
      <c r="I518" s="6">
        <f t="shared" si="10"/>
        <v>2.8424956970740101</v>
      </c>
    </row>
    <row r="519" spans="1:9" x14ac:dyDescent="0.3">
      <c r="A519" s="10">
        <v>26604</v>
      </c>
      <c r="B519">
        <v>1972</v>
      </c>
      <c r="C519" t="s">
        <v>18</v>
      </c>
      <c r="D519" s="6">
        <v>1972.83333332397</v>
      </c>
      <c r="E519">
        <v>8036</v>
      </c>
      <c r="F519" s="12">
        <f t="shared" si="9"/>
        <v>230.58439999999996</v>
      </c>
      <c r="G519" s="7">
        <f>STANDARDIZE(E519,Climatology!B$12,Climatology!C$12)</f>
        <v>-0.70269691708275339</v>
      </c>
      <c r="H519" s="7"/>
      <c r="I519" s="6">
        <f t="shared" si="10"/>
        <v>2.8693927327028366</v>
      </c>
    </row>
    <row r="520" spans="1:9" x14ac:dyDescent="0.3">
      <c r="A520" s="10">
        <v>26573</v>
      </c>
      <c r="B520">
        <v>1972</v>
      </c>
      <c r="C520" t="s">
        <v>19</v>
      </c>
      <c r="D520" s="6">
        <v>1972.7499999906099</v>
      </c>
      <c r="E520">
        <v>7051</v>
      </c>
      <c r="F520" s="12">
        <f t="shared" si="9"/>
        <v>198.17789999999997</v>
      </c>
      <c r="G520" s="7">
        <f>STANDARDIZE(E520,Climatology!B$11,Climatology!C$11)</f>
        <v>-0.73018190671942174</v>
      </c>
      <c r="H520" s="7"/>
      <c r="I520" s="6">
        <f t="shared" si="10"/>
        <v>2.8106353708693801</v>
      </c>
    </row>
    <row r="521" spans="1:9" x14ac:dyDescent="0.3">
      <c r="A521" s="10">
        <v>26543</v>
      </c>
      <c r="B521">
        <v>1972</v>
      </c>
      <c r="C521" t="s">
        <v>20</v>
      </c>
      <c r="D521" s="6">
        <v>1972.6666666572501</v>
      </c>
      <c r="E521">
        <v>6590</v>
      </c>
      <c r="F521" s="12">
        <f t="shared" si="9"/>
        <v>183.01099999999997</v>
      </c>
      <c r="G521" s="7">
        <f>STANDARDIZE(E521,Climatology!B$10,Climatology!C$10)</f>
        <v>-0.45125454121239533</v>
      </c>
      <c r="H521" s="7"/>
      <c r="I521" s="6">
        <f t="shared" si="10"/>
        <v>2.7771016691957509</v>
      </c>
    </row>
    <row r="522" spans="1:9" x14ac:dyDescent="0.3">
      <c r="A522" s="10">
        <v>26512</v>
      </c>
      <c r="B522">
        <v>1972</v>
      </c>
      <c r="C522" t="s">
        <v>21</v>
      </c>
      <c r="D522" s="6">
        <v>1972.58333332389</v>
      </c>
      <c r="E522">
        <v>6556</v>
      </c>
      <c r="F522" s="12">
        <f t="shared" si="9"/>
        <v>181.89240000000001</v>
      </c>
      <c r="G522" s="7">
        <f>STANDARDIZE(E522,Climatology!B$9,Climatology!C$9)</f>
        <v>-0.39113869850114968</v>
      </c>
      <c r="H522" s="7"/>
      <c r="I522" s="6">
        <f t="shared" si="10"/>
        <v>2.7744417327638806</v>
      </c>
    </row>
    <row r="523" spans="1:9" x14ac:dyDescent="0.3">
      <c r="A523" s="10">
        <v>26481</v>
      </c>
      <c r="B523">
        <v>1972</v>
      </c>
      <c r="C523" t="s">
        <v>22</v>
      </c>
      <c r="D523" s="6">
        <v>1972.4999999905299</v>
      </c>
      <c r="E523">
        <v>9531</v>
      </c>
      <c r="F523" s="12">
        <f t="shared" si="9"/>
        <v>279.76989999999995</v>
      </c>
      <c r="G523" s="7">
        <f>STANDARDIZE(E523,Climatology!B$8,Climatology!C$8)</f>
        <v>0.79956190735768584</v>
      </c>
      <c r="H523" s="7"/>
      <c r="I523" s="6">
        <f t="shared" si="10"/>
        <v>2.9353677473507496</v>
      </c>
    </row>
    <row r="524" spans="1:9" x14ac:dyDescent="0.3">
      <c r="A524" s="10">
        <v>26451</v>
      </c>
      <c r="B524">
        <v>1972</v>
      </c>
      <c r="C524" t="s">
        <v>23</v>
      </c>
      <c r="D524" s="6">
        <v>1972.41666665717</v>
      </c>
      <c r="E524">
        <v>9887</v>
      </c>
      <c r="F524" s="12">
        <f t="shared" si="9"/>
        <v>291.48229999999995</v>
      </c>
      <c r="G524" s="7">
        <f>STANDARDIZE(E524,Climatology!B$7,Climatology!C$7)</f>
        <v>1.028705388063105</v>
      </c>
      <c r="H524" s="7"/>
      <c r="I524" s="6">
        <f t="shared" si="10"/>
        <v>2.9481369475068266</v>
      </c>
    </row>
    <row r="525" spans="1:9" x14ac:dyDescent="0.3">
      <c r="A525" s="10">
        <v>26420</v>
      </c>
      <c r="B525">
        <v>1972</v>
      </c>
      <c r="C525" t="s">
        <v>24</v>
      </c>
      <c r="D525" s="6">
        <v>1972.3333333238099</v>
      </c>
      <c r="E525">
        <v>7967</v>
      </c>
      <c r="F525" s="12">
        <f t="shared" si="9"/>
        <v>228.3143</v>
      </c>
      <c r="G525" s="7">
        <f>STANDARDIZE(E525,Climatology!B$6,Climatology!C$6)</f>
        <v>0.76804139330404597</v>
      </c>
      <c r="H525" s="7"/>
      <c r="I525" s="6">
        <f t="shared" si="10"/>
        <v>2.8657499686205599</v>
      </c>
    </row>
    <row r="526" spans="1:9" x14ac:dyDescent="0.3">
      <c r="A526" s="10">
        <v>26390</v>
      </c>
      <c r="B526">
        <v>1972</v>
      </c>
      <c r="C526" t="s">
        <v>25</v>
      </c>
      <c r="D526" s="6">
        <v>1972.2499999904501</v>
      </c>
      <c r="E526">
        <v>5426</v>
      </c>
      <c r="F526" s="12">
        <f t="shared" si="9"/>
        <v>144.71539999999999</v>
      </c>
      <c r="G526" s="7">
        <f>STANDARDIZE(E526,Climatology!B$5,Climatology!C$5)</f>
        <v>0.3499851265391038</v>
      </c>
      <c r="H526" s="7"/>
      <c r="I526" s="6">
        <f t="shared" si="10"/>
        <v>2.6670733505344635</v>
      </c>
    </row>
    <row r="527" spans="1:9" x14ac:dyDescent="0.3">
      <c r="A527" s="10">
        <v>26359</v>
      </c>
      <c r="B527">
        <v>1972</v>
      </c>
      <c r="C527" t="s">
        <v>26</v>
      </c>
      <c r="D527" s="6">
        <v>1972.16666665709</v>
      </c>
      <c r="E527">
        <v>4347</v>
      </c>
      <c r="F527" s="12">
        <f t="shared" si="9"/>
        <v>109.2163</v>
      </c>
      <c r="G527" s="7">
        <f>STANDARDIZE(E527,Climatology!B$4,Climatology!C$4)</f>
        <v>0.14455279175850586</v>
      </c>
      <c r="H527" s="7"/>
      <c r="I527" s="6">
        <f t="shared" si="10"/>
        <v>2.5124522659305271</v>
      </c>
    </row>
    <row r="528" spans="1:9" x14ac:dyDescent="0.3">
      <c r="A528" s="10">
        <v>26330</v>
      </c>
      <c r="B528">
        <v>1972</v>
      </c>
      <c r="C528" t="s">
        <v>27</v>
      </c>
      <c r="D528" s="6">
        <v>1972.0833333237299</v>
      </c>
      <c r="E528">
        <v>5918</v>
      </c>
      <c r="F528" s="12">
        <f t="shared" si="9"/>
        <v>160.90219999999999</v>
      </c>
      <c r="G528" s="7">
        <f>STANDARDIZE(E528,Climatology!B$3,Climatology!C$3)</f>
        <v>0.85407719632572443</v>
      </c>
      <c r="H528" s="7"/>
      <c r="I528" s="6">
        <f t="shared" si="10"/>
        <v>2.7188611017235553</v>
      </c>
    </row>
    <row r="529" spans="1:9" x14ac:dyDescent="0.3">
      <c r="A529" s="10">
        <v>26299</v>
      </c>
      <c r="B529">
        <v>1972</v>
      </c>
      <c r="C529" t="s">
        <v>28</v>
      </c>
      <c r="D529" s="6">
        <v>1971.99999999037</v>
      </c>
      <c r="E529">
        <v>7223</v>
      </c>
      <c r="F529" s="12">
        <f t="shared" si="9"/>
        <v>203.83670000000001</v>
      </c>
      <c r="G529" s="7">
        <f>STANDARDIZE(E529,Climatology!B$2,Climatology!C$2)</f>
        <v>0.17654529489837903</v>
      </c>
      <c r="H529" s="7"/>
      <c r="I529" s="6">
        <f t="shared" si="10"/>
        <v>2.8220503945728925</v>
      </c>
    </row>
    <row r="530" spans="1:9" x14ac:dyDescent="0.3">
      <c r="A530" s="10">
        <v>26268</v>
      </c>
      <c r="B530">
        <v>1971</v>
      </c>
      <c r="C530" t="s">
        <v>17</v>
      </c>
      <c r="D530" s="6">
        <v>1971.91666665701</v>
      </c>
      <c r="E530">
        <v>10721</v>
      </c>
      <c r="F530" s="12">
        <f t="shared" si="9"/>
        <v>318.92089999999996</v>
      </c>
      <c r="G530" s="7">
        <f>STANDARDIZE(E530,Climatology!B$13,Climatology!C$13)</f>
        <v>0.34039728252814511</v>
      </c>
      <c r="H530" s="7"/>
      <c r="I530" s="6">
        <f t="shared" si="10"/>
        <v>2.9747309019680994</v>
      </c>
    </row>
    <row r="531" spans="1:9" x14ac:dyDescent="0.3">
      <c r="A531" s="10">
        <v>26238</v>
      </c>
      <c r="B531">
        <v>1971</v>
      </c>
      <c r="C531" t="s">
        <v>18</v>
      </c>
      <c r="D531" s="6">
        <v>1971.8333333236501</v>
      </c>
      <c r="E531">
        <v>12027</v>
      </c>
      <c r="F531" s="12">
        <f t="shared" si="9"/>
        <v>361.88829999999996</v>
      </c>
      <c r="G531" s="7">
        <f>STANDARDIZE(E531,Climatology!B$12,Climatology!C$12)</f>
        <v>0.86535041645207422</v>
      </c>
      <c r="H531" s="7"/>
      <c r="I531" s="6">
        <f t="shared" si="10"/>
        <v>3.0089656605969899</v>
      </c>
    </row>
    <row r="532" spans="1:9" x14ac:dyDescent="0.3">
      <c r="A532" s="10">
        <v>26207</v>
      </c>
      <c r="B532">
        <v>1971</v>
      </c>
      <c r="C532" t="s">
        <v>19</v>
      </c>
      <c r="D532" s="6">
        <v>1971.74999999029</v>
      </c>
      <c r="E532">
        <v>11315</v>
      </c>
      <c r="F532" s="12">
        <f t="shared" si="9"/>
        <v>338.46349999999995</v>
      </c>
      <c r="G532" s="7">
        <f>STANDARDIZE(E532,Climatology!B$11,Climatology!C$11)</f>
        <v>1.4667319784530868</v>
      </c>
      <c r="H532" s="7"/>
      <c r="I532" s="6">
        <f t="shared" si="10"/>
        <v>2.99128148475475</v>
      </c>
    </row>
    <row r="533" spans="1:9" x14ac:dyDescent="0.3">
      <c r="A533" s="10">
        <v>26177</v>
      </c>
      <c r="B533">
        <v>1971</v>
      </c>
      <c r="C533" t="s">
        <v>20</v>
      </c>
      <c r="D533" s="6">
        <v>1971.6666666569299</v>
      </c>
      <c r="E533">
        <v>10591</v>
      </c>
      <c r="F533" s="12">
        <f t="shared" si="9"/>
        <v>314.64389999999997</v>
      </c>
      <c r="G533" s="7">
        <f>STANDARDIZE(E533,Climatology!B$10,Climatology!C$10)</f>
        <v>1.5257965524248644</v>
      </c>
      <c r="H533" s="7"/>
      <c r="I533" s="6">
        <f t="shared" si="10"/>
        <v>2.970861108488339</v>
      </c>
    </row>
    <row r="534" spans="1:9" x14ac:dyDescent="0.3">
      <c r="A534" s="10">
        <v>26146</v>
      </c>
      <c r="B534">
        <v>1971</v>
      </c>
      <c r="C534" t="s">
        <v>21</v>
      </c>
      <c r="D534" s="6">
        <v>1971.5833333235701</v>
      </c>
      <c r="E534">
        <v>9767</v>
      </c>
      <c r="F534" s="12">
        <f t="shared" si="9"/>
        <v>287.53429999999997</v>
      </c>
      <c r="G534" s="7">
        <f>STANDARDIZE(E534,Climatology!B$9,Climatology!C$9)</f>
        <v>1.2278217721954343</v>
      </c>
      <c r="H534" s="7"/>
      <c r="I534" s="6">
        <f t="shared" si="10"/>
        <v>2.9439367257090199</v>
      </c>
    </row>
    <row r="535" spans="1:9" x14ac:dyDescent="0.3">
      <c r="A535" s="10">
        <v>26115</v>
      </c>
      <c r="B535">
        <v>1971</v>
      </c>
      <c r="C535" t="s">
        <v>22</v>
      </c>
      <c r="D535" s="6">
        <v>1971.49999999021</v>
      </c>
      <c r="E535">
        <v>10931</v>
      </c>
      <c r="F535" s="12">
        <f t="shared" si="9"/>
        <v>325.82989999999995</v>
      </c>
      <c r="G535" s="7">
        <f>STANDARDIZE(E535,Climatology!B$8,Climatology!C$8)</f>
        <v>1.4894568073302146</v>
      </c>
      <c r="H535" s="7"/>
      <c r="I535" s="6">
        <f t="shared" si="10"/>
        <v>2.9807876680998993</v>
      </c>
    </row>
    <row r="536" spans="1:9" x14ac:dyDescent="0.3">
      <c r="A536" s="10">
        <v>26085</v>
      </c>
      <c r="B536">
        <v>1971</v>
      </c>
      <c r="C536" t="s">
        <v>23</v>
      </c>
      <c r="D536" s="6">
        <v>1971.4166666568501</v>
      </c>
      <c r="E536">
        <v>11467</v>
      </c>
      <c r="F536" s="12">
        <f t="shared" si="9"/>
        <v>343.46429999999998</v>
      </c>
      <c r="G536" s="7">
        <f>STANDARDIZE(E536,Climatology!B$7,Climatology!C$7)</f>
        <v>1.9660205685687253</v>
      </c>
      <c r="H536" s="7"/>
      <c r="I536" s="6">
        <f t="shared" si="10"/>
        <v>2.9952411267114325</v>
      </c>
    </row>
    <row r="537" spans="1:9" x14ac:dyDescent="0.3">
      <c r="A537" s="10">
        <v>26054</v>
      </c>
      <c r="B537">
        <v>1971</v>
      </c>
      <c r="C537" t="s">
        <v>24</v>
      </c>
      <c r="D537" s="6">
        <v>1971.33333332349</v>
      </c>
      <c r="E537">
        <v>9970</v>
      </c>
      <c r="F537" s="12">
        <f t="shared" si="9"/>
        <v>294.21299999999997</v>
      </c>
      <c r="G537" s="7">
        <f>STANDARDIZE(E537,Climatology!B$6,Climatology!C$6)</f>
        <v>2.1511180194829955</v>
      </c>
      <c r="H537" s="7"/>
      <c r="I537" s="6">
        <f t="shared" si="10"/>
        <v>2.9509829488465393</v>
      </c>
    </row>
    <row r="538" spans="1:9" x14ac:dyDescent="0.3">
      <c r="A538" s="10">
        <v>26024</v>
      </c>
      <c r="B538">
        <v>1971</v>
      </c>
      <c r="C538" t="s">
        <v>25</v>
      </c>
      <c r="D538" s="6">
        <v>1971.2499999901299</v>
      </c>
      <c r="E538">
        <v>9037</v>
      </c>
      <c r="F538" s="12">
        <f t="shared" si="9"/>
        <v>263.51729999999998</v>
      </c>
      <c r="G538" s="7">
        <f>STANDARDIZE(E538,Climatology!B$5,Climatology!C$5)</f>
        <v>2.9349356669913043</v>
      </c>
      <c r="H538" s="7"/>
      <c r="I538" s="6">
        <f t="shared" si="10"/>
        <v>2.9159820736970232</v>
      </c>
    </row>
    <row r="539" spans="1:9" x14ac:dyDescent="0.3">
      <c r="A539" s="10">
        <v>25993</v>
      </c>
      <c r="B539">
        <v>1971</v>
      </c>
      <c r="C539" t="s">
        <v>26</v>
      </c>
      <c r="D539" s="6">
        <v>1971.1666666567701</v>
      </c>
      <c r="E539">
        <v>8075</v>
      </c>
      <c r="F539" s="12">
        <f t="shared" si="9"/>
        <v>231.86749999999995</v>
      </c>
      <c r="G539" s="7">
        <f>STANDARDIZE(E539,Climatology!B$4,Climatology!C$4)</f>
        <v>2.5149041970154573</v>
      </c>
      <c r="H539" s="7"/>
      <c r="I539" s="6">
        <f t="shared" si="10"/>
        <v>2.8714241486068106</v>
      </c>
    </row>
    <row r="540" spans="1:9" x14ac:dyDescent="0.3">
      <c r="A540" s="10">
        <v>25965</v>
      </c>
      <c r="B540">
        <v>1971</v>
      </c>
      <c r="C540" t="s">
        <v>27</v>
      </c>
      <c r="D540" s="6">
        <v>1971.08333332341</v>
      </c>
      <c r="E540">
        <v>9078</v>
      </c>
      <c r="F540" s="12">
        <f t="shared" si="9"/>
        <v>264.86619999999999</v>
      </c>
      <c r="G540" s="7">
        <f>STANDARDIZE(E540,Climatology!B$3,Climatology!C$3)</f>
        <v>2.6964393842142038</v>
      </c>
      <c r="H540" s="7"/>
      <c r="I540" s="6">
        <f t="shared" si="10"/>
        <v>2.9176712932363955</v>
      </c>
    </row>
    <row r="541" spans="1:9" x14ac:dyDescent="0.3">
      <c r="A541" s="10">
        <v>25934</v>
      </c>
      <c r="B541">
        <v>1971</v>
      </c>
      <c r="C541" t="s">
        <v>28</v>
      </c>
      <c r="D541" s="6">
        <v>1970.9999999900499</v>
      </c>
      <c r="E541">
        <v>10874</v>
      </c>
      <c r="F541" s="12">
        <f t="shared" si="9"/>
        <v>323.95459999999997</v>
      </c>
      <c r="G541" s="7">
        <f>STANDARDIZE(E541,Climatology!B$2,Climatology!C$2)</f>
        <v>1.7688547604961595</v>
      </c>
      <c r="H541" s="7"/>
      <c r="I541" s="6">
        <f t="shared" si="10"/>
        <v>2.9791668199374652</v>
      </c>
    </row>
    <row r="542" spans="1:9" x14ac:dyDescent="0.3">
      <c r="A542" s="10">
        <v>25903</v>
      </c>
      <c r="B542">
        <v>1970</v>
      </c>
      <c r="C542" t="s">
        <v>17</v>
      </c>
      <c r="D542" s="6">
        <v>1970.91666665669</v>
      </c>
      <c r="E542">
        <v>10483</v>
      </c>
      <c r="F542" s="12">
        <f t="shared" si="9"/>
        <v>311.09069999999997</v>
      </c>
      <c r="G542" s="7">
        <f>STANDARDIZE(E542,Climatology!B$13,Climatology!C$13)</f>
        <v>0.25541169016952525</v>
      </c>
      <c r="H542" s="7"/>
      <c r="I542" s="6">
        <f t="shared" si="10"/>
        <v>2.9675732137746822</v>
      </c>
    </row>
    <row r="543" spans="1:9" x14ac:dyDescent="0.3">
      <c r="A543" s="10">
        <v>25873</v>
      </c>
      <c r="B543">
        <v>1970</v>
      </c>
      <c r="C543" t="s">
        <v>18</v>
      </c>
      <c r="D543" s="6">
        <v>1970.83333332333</v>
      </c>
      <c r="E543">
        <v>10589</v>
      </c>
      <c r="F543" s="12">
        <f t="shared" si="9"/>
        <v>314.57809999999995</v>
      </c>
      <c r="G543" s="7">
        <f>STANDARDIZE(E543,Climatology!B$12,Climatology!C$12)</f>
        <v>0.30036618552672167</v>
      </c>
      <c r="H543" s="7"/>
      <c r="I543" s="6">
        <f t="shared" si="10"/>
        <v>2.9708008310510903</v>
      </c>
    </row>
    <row r="544" spans="1:9" x14ac:dyDescent="0.3">
      <c r="A544" s="10">
        <v>25842</v>
      </c>
      <c r="B544">
        <v>1970</v>
      </c>
      <c r="C544" t="s">
        <v>19</v>
      </c>
      <c r="D544" s="6">
        <v>1970.7499999899701</v>
      </c>
      <c r="E544">
        <v>11062</v>
      </c>
      <c r="F544" s="12">
        <f t="shared" si="9"/>
        <v>330.13979999999998</v>
      </c>
      <c r="G544" s="7">
        <f>STANDARDIZE(E544,Climatology!B$11,Climatology!C$11)</f>
        <v>1.3363803806696335</v>
      </c>
      <c r="H544" s="7"/>
      <c r="I544" s="6">
        <f t="shared" si="10"/>
        <v>2.9844494666425598</v>
      </c>
    </row>
    <row r="545" spans="1:9" x14ac:dyDescent="0.3">
      <c r="A545" s="10">
        <v>25812</v>
      </c>
      <c r="B545">
        <v>1970</v>
      </c>
      <c r="C545" t="s">
        <v>20</v>
      </c>
      <c r="D545" s="6">
        <v>1970.66666665661</v>
      </c>
      <c r="E545">
        <v>10099</v>
      </c>
      <c r="F545" s="12">
        <f t="shared" si="9"/>
        <v>298.45709999999997</v>
      </c>
      <c r="G545" s="7">
        <f>STANDARDIZE(E545,Climatology!B$10,Climatology!C$10)</f>
        <v>1.2826800470338291</v>
      </c>
      <c r="H545" s="7"/>
      <c r="I545" s="6">
        <f t="shared" si="10"/>
        <v>2.9553133973660755</v>
      </c>
    </row>
    <row r="546" spans="1:9" x14ac:dyDescent="0.3">
      <c r="A546" s="10">
        <v>25781</v>
      </c>
      <c r="B546">
        <v>1970</v>
      </c>
      <c r="C546" t="s">
        <v>21</v>
      </c>
      <c r="D546" s="6">
        <v>1970.5833333232499</v>
      </c>
      <c r="E546">
        <v>9101</v>
      </c>
      <c r="F546" s="12">
        <f t="shared" si="9"/>
        <v>265.62289999999996</v>
      </c>
      <c r="G546" s="7">
        <f>STANDARDIZE(E546,Climatology!B$9,Climatology!C$9)</f>
        <v>0.89202990876225929</v>
      </c>
      <c r="H546" s="7"/>
      <c r="I546" s="6">
        <f t="shared" si="10"/>
        <v>2.9186122404131409</v>
      </c>
    </row>
    <row r="547" spans="1:9" x14ac:dyDescent="0.3">
      <c r="A547" s="10">
        <v>25750</v>
      </c>
      <c r="B547">
        <v>1970</v>
      </c>
      <c r="C547" t="s">
        <v>22</v>
      </c>
      <c r="D547" s="6">
        <v>1970.4999999898901</v>
      </c>
      <c r="E547">
        <v>8772</v>
      </c>
      <c r="F547" s="12">
        <f t="shared" si="9"/>
        <v>254.79879999999997</v>
      </c>
      <c r="G547" s="7">
        <f>STANDARDIZE(E547,Climatology!B$8,Climatology!C$8)</f>
        <v>0.42554031515829349</v>
      </c>
      <c r="H547" s="7"/>
      <c r="I547" s="6">
        <f t="shared" si="10"/>
        <v>2.9046830825353394</v>
      </c>
    </row>
    <row r="548" spans="1:9" x14ac:dyDescent="0.3">
      <c r="A548" s="10">
        <v>25720</v>
      </c>
      <c r="B548">
        <v>1970</v>
      </c>
      <c r="C548" t="s">
        <v>23</v>
      </c>
      <c r="D548" s="6">
        <v>1970.41666665653</v>
      </c>
      <c r="E548">
        <v>9005</v>
      </c>
      <c r="F548" s="12">
        <f t="shared" si="9"/>
        <v>262.46449999999999</v>
      </c>
      <c r="G548" s="7">
        <f>STANDARDIZE(E548,Climatology!B$7,Climatology!C$7)</f>
        <v>0.50546995185680299</v>
      </c>
      <c r="H548" s="7"/>
      <c r="I548" s="6">
        <f t="shared" si="10"/>
        <v>2.9146529705719044</v>
      </c>
    </row>
    <row r="549" spans="1:9" x14ac:dyDescent="0.3">
      <c r="A549" s="10">
        <v>25689</v>
      </c>
      <c r="B549">
        <v>1970</v>
      </c>
      <c r="C549" t="s">
        <v>24</v>
      </c>
      <c r="D549" s="6">
        <v>1970.3333333231701</v>
      </c>
      <c r="E549">
        <v>7166</v>
      </c>
      <c r="F549" s="12">
        <f t="shared" si="9"/>
        <v>201.96139999999997</v>
      </c>
      <c r="G549" s="7">
        <f>STANDARDIZE(E549,Climatology!B$6,Climatology!C$6)</f>
        <v>0.21494884334431624</v>
      </c>
      <c r="H549" s="7"/>
      <c r="I549" s="6">
        <f t="shared" si="10"/>
        <v>2.8183282165782861</v>
      </c>
    </row>
    <row r="550" spans="1:9" x14ac:dyDescent="0.3">
      <c r="A550" s="10">
        <v>25659</v>
      </c>
      <c r="B550">
        <v>1970</v>
      </c>
      <c r="C550" t="s">
        <v>25</v>
      </c>
      <c r="D550" s="6">
        <v>1970.24999998981</v>
      </c>
      <c r="E550">
        <v>4971</v>
      </c>
      <c r="F550" s="12">
        <f t="shared" si="9"/>
        <v>129.74590000000001</v>
      </c>
      <c r="G550" s="7">
        <f>STANDARDIZE(E550,Climatology!B$5,Climatology!C$5)</f>
        <v>2.4271336479355449E-2</v>
      </c>
      <c r="H550" s="7"/>
      <c r="I550" s="6">
        <f t="shared" si="10"/>
        <v>2.61005632669483</v>
      </c>
    </row>
    <row r="551" spans="1:9" x14ac:dyDescent="0.3">
      <c r="A551" s="10">
        <v>25628</v>
      </c>
      <c r="B551">
        <v>1970</v>
      </c>
      <c r="C551" t="s">
        <v>26</v>
      </c>
      <c r="D551" s="6">
        <v>1970.1666666564499</v>
      </c>
      <c r="E551">
        <v>4546</v>
      </c>
      <c r="F551" s="12">
        <f t="shared" ref="F551:F614" si="11">(0.0329*E551)-33.8</f>
        <v>115.7634</v>
      </c>
      <c r="G551" s="7">
        <f>STANDARDIZE(E551,Climatology!B$4,Climatology!C$4)</f>
        <v>0.27108174284384207</v>
      </c>
      <c r="H551" s="7"/>
      <c r="I551" s="6">
        <f t="shared" si="10"/>
        <v>2.5464892212934447</v>
      </c>
    </row>
    <row r="552" spans="1:9" x14ac:dyDescent="0.3">
      <c r="A552" s="10">
        <v>25600</v>
      </c>
      <c r="B552">
        <v>1970</v>
      </c>
      <c r="C552" t="s">
        <v>27</v>
      </c>
      <c r="D552" s="6">
        <v>1970.0833333230901</v>
      </c>
      <c r="E552">
        <v>5731</v>
      </c>
      <c r="F552" s="12">
        <f t="shared" si="11"/>
        <v>154.74989999999997</v>
      </c>
      <c r="G552" s="7">
        <f>STANDARDIZE(E552,Climatology!B$3,Climatology!C$3)</f>
        <v>0.74505133267536194</v>
      </c>
      <c r="H552" s="7"/>
      <c r="I552" s="6">
        <f t="shared" si="10"/>
        <v>2.7002250916070487</v>
      </c>
    </row>
    <row r="553" spans="1:9" x14ac:dyDescent="0.3">
      <c r="A553" s="10">
        <v>25569</v>
      </c>
      <c r="B553">
        <v>1970</v>
      </c>
      <c r="C553" t="s">
        <v>28</v>
      </c>
      <c r="D553" s="6">
        <v>1969.99999998973</v>
      </c>
      <c r="E553">
        <v>9141</v>
      </c>
      <c r="F553" s="12">
        <f t="shared" si="11"/>
        <v>266.93889999999999</v>
      </c>
      <c r="G553" s="7">
        <f>STANDARDIZE(E553,Climatology!B$2,Climatology!C$2)</f>
        <v>1.0130420231965283</v>
      </c>
      <c r="H553" s="7"/>
      <c r="I553" s="6">
        <f t="shared" si="10"/>
        <v>2.920237391970244</v>
      </c>
    </row>
    <row r="554" spans="1:9" x14ac:dyDescent="0.3">
      <c r="A554" s="10">
        <v>25538</v>
      </c>
      <c r="B554">
        <v>1969</v>
      </c>
      <c r="C554" t="s">
        <v>17</v>
      </c>
      <c r="D554" s="6">
        <v>1969.9166666563699</v>
      </c>
      <c r="E554">
        <v>11668</v>
      </c>
      <c r="F554" s="12">
        <f t="shared" si="11"/>
        <v>350.07719999999995</v>
      </c>
      <c r="G554" s="7">
        <f>STANDARDIZE(E554,Climatology!B$13,Climatology!C$13)</f>
        <v>0.67855424035845169</v>
      </c>
      <c r="H554" s="7"/>
      <c r="I554" s="6">
        <f t="shared" si="10"/>
        <v>3.0003188207062044</v>
      </c>
    </row>
    <row r="555" spans="1:9" x14ac:dyDescent="0.3">
      <c r="A555" s="10">
        <v>25508</v>
      </c>
      <c r="B555">
        <v>1969</v>
      </c>
      <c r="C555" t="s">
        <v>18</v>
      </c>
      <c r="D555" s="6">
        <v>1969.83333332301</v>
      </c>
      <c r="E555">
        <v>11160</v>
      </c>
      <c r="F555" s="12">
        <f t="shared" si="11"/>
        <v>333.36399999999998</v>
      </c>
      <c r="G555" s="7">
        <f>STANDARDIZE(E555,Climatology!B$12,Climatology!C$12)</f>
        <v>0.52470971533087762</v>
      </c>
      <c r="H555" s="7"/>
      <c r="I555" s="6">
        <f t="shared" si="10"/>
        <v>2.9871326164874548</v>
      </c>
    </row>
    <row r="556" spans="1:9" x14ac:dyDescent="0.3">
      <c r="A556" s="10">
        <v>25477</v>
      </c>
      <c r="B556">
        <v>1969</v>
      </c>
      <c r="C556" t="s">
        <v>19</v>
      </c>
      <c r="D556" s="6">
        <v>1969.74999998965</v>
      </c>
      <c r="E556">
        <v>9205</v>
      </c>
      <c r="F556" s="12">
        <f t="shared" si="11"/>
        <v>269.04449999999997</v>
      </c>
      <c r="G556" s="7">
        <f>STANDARDIZE(E556,Climatology!B$11,Climatology!C$11)</f>
        <v>0.37960995741321979</v>
      </c>
      <c r="H556" s="7"/>
      <c r="I556" s="6">
        <f t="shared" si="10"/>
        <v>2.9228082563824005</v>
      </c>
    </row>
    <row r="557" spans="1:9" x14ac:dyDescent="0.3">
      <c r="A557" s="10">
        <v>25447</v>
      </c>
      <c r="B557">
        <v>1969</v>
      </c>
      <c r="C557" t="s">
        <v>20</v>
      </c>
      <c r="D557" s="6">
        <v>1969.6666666562901</v>
      </c>
      <c r="E557">
        <v>7402</v>
      </c>
      <c r="F557" s="12">
        <f t="shared" si="11"/>
        <v>209.72579999999999</v>
      </c>
      <c r="G557" s="7">
        <f>STANDARDIZE(E557,Climatology!B$10,Climatology!C$10)</f>
        <v>-5.0013479469467333E-2</v>
      </c>
      <c r="H557" s="7"/>
      <c r="I557" s="6">
        <f t="shared" si="10"/>
        <v>2.8333666576600915</v>
      </c>
    </row>
    <row r="558" spans="1:9" x14ac:dyDescent="0.3">
      <c r="A558" s="10">
        <v>25416</v>
      </c>
      <c r="B558">
        <v>1969</v>
      </c>
      <c r="C558" t="s">
        <v>21</v>
      </c>
      <c r="D558" s="6">
        <v>1969.58333332293</v>
      </c>
      <c r="E558">
        <v>6634</v>
      </c>
      <c r="F558" s="12">
        <f t="shared" si="11"/>
        <v>184.45859999999999</v>
      </c>
      <c r="G558" s="7">
        <f>STANDARDIZE(E558,Climatology!B$9,Climatology!C$9)</f>
        <v>-0.35181172350447149</v>
      </c>
      <c r="H558" s="7"/>
      <c r="I558" s="6">
        <f t="shared" si="10"/>
        <v>2.7805034669882422</v>
      </c>
    </row>
    <row r="559" spans="1:9" x14ac:dyDescent="0.3">
      <c r="A559" s="10">
        <v>25385</v>
      </c>
      <c r="B559">
        <v>1969</v>
      </c>
      <c r="C559" t="s">
        <v>22</v>
      </c>
      <c r="D559" s="6">
        <v>1969.4999999895699</v>
      </c>
      <c r="E559">
        <v>7507</v>
      </c>
      <c r="F559" s="12">
        <f t="shared" si="11"/>
        <v>213.18029999999999</v>
      </c>
      <c r="G559" s="7">
        <f>STANDARDIZE(E559,Climatology!B$8,Climatology!C$8)</f>
        <v>-0.1978290051740271</v>
      </c>
      <c r="H559" s="7"/>
      <c r="I559" s="6">
        <f t="shared" si="10"/>
        <v>2.8397535633408815</v>
      </c>
    </row>
    <row r="560" spans="1:9" x14ac:dyDescent="0.3">
      <c r="A560" s="10">
        <v>25355</v>
      </c>
      <c r="B560">
        <v>1969</v>
      </c>
      <c r="C560" t="s">
        <v>23</v>
      </c>
      <c r="D560" s="6">
        <v>1969.4166666562101</v>
      </c>
      <c r="E560">
        <v>8598</v>
      </c>
      <c r="F560" s="12">
        <f t="shared" si="11"/>
        <v>249.07419999999996</v>
      </c>
      <c r="G560" s="7">
        <f>STANDARDIZE(E560,Climatology!B$7,Climatology!C$7)</f>
        <v>0.26402230725820336</v>
      </c>
      <c r="H560" s="7"/>
      <c r="I560" s="6">
        <f t="shared" si="10"/>
        <v>2.8968853221679454</v>
      </c>
    </row>
    <row r="561" spans="1:9" x14ac:dyDescent="0.3">
      <c r="A561" s="10">
        <v>25324</v>
      </c>
      <c r="B561">
        <v>1969</v>
      </c>
      <c r="C561" t="s">
        <v>24</v>
      </c>
      <c r="D561" s="6">
        <v>1969.33333332285</v>
      </c>
      <c r="E561">
        <v>7686</v>
      </c>
      <c r="F561" s="12">
        <f t="shared" si="11"/>
        <v>219.06939999999997</v>
      </c>
      <c r="G561" s="7">
        <f>STANDARDIZE(E561,Climatology!B$6,Climatology!C$6)</f>
        <v>0.57401017415462763</v>
      </c>
      <c r="H561" s="7"/>
      <c r="I561" s="6">
        <f t="shared" si="10"/>
        <v>2.8502393963049695</v>
      </c>
    </row>
    <row r="562" spans="1:9" x14ac:dyDescent="0.3">
      <c r="A562" s="10">
        <v>25294</v>
      </c>
      <c r="B562">
        <v>1969</v>
      </c>
      <c r="C562" t="s">
        <v>25</v>
      </c>
      <c r="D562" s="6">
        <v>1969.2499999894901</v>
      </c>
      <c r="E562">
        <v>5190</v>
      </c>
      <c r="F562" s="12">
        <f t="shared" si="11"/>
        <v>136.95100000000002</v>
      </c>
      <c r="G562" s="7">
        <f>STANDARDIZE(E562,Climatology!B$5,Climatology!C$5)</f>
        <v>0.18104346839822333</v>
      </c>
      <c r="H562" s="7"/>
      <c r="I562" s="6">
        <f t="shared" si="10"/>
        <v>2.6387475915221583</v>
      </c>
    </row>
    <row r="563" spans="1:9" x14ac:dyDescent="0.3">
      <c r="A563" s="10">
        <v>25263</v>
      </c>
      <c r="B563">
        <v>1969</v>
      </c>
      <c r="C563" t="s">
        <v>26</v>
      </c>
      <c r="D563" s="6">
        <v>1969.16666665613</v>
      </c>
      <c r="E563">
        <v>3650</v>
      </c>
      <c r="F563" s="12">
        <f t="shared" si="11"/>
        <v>86.284999999999997</v>
      </c>
      <c r="G563" s="7">
        <f>STANDARDIZE(E563,Climatology!B$4,Climatology!C$4)</f>
        <v>-0.29861644897757117</v>
      </c>
      <c r="H563" s="7"/>
      <c r="I563" s="6">
        <f t="shared" si="10"/>
        <v>2.3639726027397256</v>
      </c>
    </row>
    <row r="564" spans="1:9" x14ac:dyDescent="0.3">
      <c r="A564" s="10">
        <v>25235</v>
      </c>
      <c r="B564">
        <v>1969</v>
      </c>
      <c r="C564" t="s">
        <v>27</v>
      </c>
      <c r="D564" s="6">
        <v>1969.0833333227699</v>
      </c>
      <c r="E564">
        <v>4114</v>
      </c>
      <c r="F564" s="12">
        <f t="shared" si="11"/>
        <v>101.55059999999999</v>
      </c>
      <c r="G564" s="7">
        <f>STANDARDIZE(E564,Climatology!B$3,Climatology!C$3)</f>
        <v>-0.19770172359541993</v>
      </c>
      <c r="H564" s="7"/>
      <c r="I564" s="6">
        <f t="shared" si="10"/>
        <v>2.4684151677199799</v>
      </c>
    </row>
    <row r="565" spans="1:9" x14ac:dyDescent="0.3">
      <c r="A565" s="10">
        <v>25204</v>
      </c>
      <c r="B565">
        <v>1969</v>
      </c>
      <c r="C565" t="s">
        <v>28</v>
      </c>
      <c r="D565" s="6">
        <v>1968.9999999894101</v>
      </c>
      <c r="E565">
        <v>6294</v>
      </c>
      <c r="F565" s="12">
        <f t="shared" si="11"/>
        <v>173.27260000000001</v>
      </c>
      <c r="G565" s="7">
        <f>STANDARDIZE(E565,Climatology!B$2,Climatology!C$2)</f>
        <v>-0.22861917881850349</v>
      </c>
      <c r="H565" s="7"/>
      <c r="I565" s="6">
        <f t="shared" si="10"/>
        <v>2.7529806164601207</v>
      </c>
    </row>
    <row r="566" spans="1:9" x14ac:dyDescent="0.3">
      <c r="A566" s="10">
        <v>25173</v>
      </c>
      <c r="B566">
        <v>1968</v>
      </c>
      <c r="C566" t="s">
        <v>17</v>
      </c>
      <c r="D566" s="6">
        <v>1968.91666665605</v>
      </c>
      <c r="E566">
        <v>10426</v>
      </c>
      <c r="F566" s="12">
        <f t="shared" si="11"/>
        <v>309.21539999999999</v>
      </c>
      <c r="G566" s="7">
        <f>STANDARDIZE(E566,Climatology!B$13,Climatology!C$13)</f>
        <v>0.23505799788195664</v>
      </c>
      <c r="H566" s="7"/>
      <c r="I566" s="6">
        <f t="shared" si="10"/>
        <v>2.9658104738154609</v>
      </c>
    </row>
    <row r="567" spans="1:9" x14ac:dyDescent="0.3">
      <c r="A567" s="10">
        <v>25143</v>
      </c>
      <c r="B567">
        <v>1968</v>
      </c>
      <c r="C567" t="s">
        <v>18</v>
      </c>
      <c r="D567" s="6">
        <v>1968.8333333226899</v>
      </c>
      <c r="E567">
        <v>10413</v>
      </c>
      <c r="F567" s="12">
        <f t="shared" si="11"/>
        <v>308.78769999999997</v>
      </c>
      <c r="G567" s="7">
        <f>STANDARDIZE(E567,Climatology!B$12,Climatology!C$12)</f>
        <v>0.23121651609496779</v>
      </c>
      <c r="H567" s="7"/>
      <c r="I567" s="6">
        <f t="shared" si="10"/>
        <v>2.9654057428214728</v>
      </c>
    </row>
    <row r="568" spans="1:9" x14ac:dyDescent="0.3">
      <c r="A568" s="10">
        <v>25112</v>
      </c>
      <c r="B568">
        <v>1968</v>
      </c>
      <c r="C568" t="s">
        <v>19</v>
      </c>
      <c r="D568" s="6">
        <v>1968.74999998933</v>
      </c>
      <c r="E568">
        <v>9339</v>
      </c>
      <c r="F568" s="12">
        <f t="shared" si="11"/>
        <v>273.45309999999995</v>
      </c>
      <c r="G568" s="7">
        <f>STANDARDIZE(E568,Climatology!B$11,Climatology!C$11)</f>
        <v>0.44864993410485116</v>
      </c>
      <c r="H568" s="7"/>
      <c r="I568" s="6">
        <f t="shared" si="10"/>
        <v>2.9280768818931358</v>
      </c>
    </row>
    <row r="569" spans="1:9" x14ac:dyDescent="0.3">
      <c r="A569" s="10">
        <v>25082</v>
      </c>
      <c r="B569">
        <v>1968</v>
      </c>
      <c r="C569" t="s">
        <v>20</v>
      </c>
      <c r="D569" s="6">
        <v>1968.6666666559599</v>
      </c>
      <c r="E569">
        <v>8547</v>
      </c>
      <c r="F569" s="12">
        <f t="shared" si="11"/>
        <v>247.3963</v>
      </c>
      <c r="G569" s="7">
        <f>STANDARDIZE(E569,Climatology!B$10,Climatology!C$10)</f>
        <v>0.51577594872714916</v>
      </c>
      <c r="H569" s="7"/>
      <c r="I569" s="6">
        <f t="shared" si="10"/>
        <v>2.8945396045396046</v>
      </c>
    </row>
    <row r="570" spans="1:9" x14ac:dyDescent="0.3">
      <c r="A570" s="10">
        <v>25051</v>
      </c>
      <c r="B570">
        <v>1968</v>
      </c>
      <c r="C570" t="s">
        <v>21</v>
      </c>
      <c r="D570" s="6">
        <v>1968.5833333226001</v>
      </c>
      <c r="E570">
        <v>8243</v>
      </c>
      <c r="F570" s="12">
        <f t="shared" si="11"/>
        <v>237.3947</v>
      </c>
      <c r="G570" s="7">
        <f>STANDARDIZE(E570,Climatology!B$9,Climatology!C$9)</f>
        <v>0.4594331837987996</v>
      </c>
      <c r="H570" s="7"/>
      <c r="I570" s="6">
        <f t="shared" si="10"/>
        <v>2.8799551134295767</v>
      </c>
    </row>
    <row r="571" spans="1:9" x14ac:dyDescent="0.3">
      <c r="A571" s="10">
        <v>25020</v>
      </c>
      <c r="B571">
        <v>1968</v>
      </c>
      <c r="C571" t="s">
        <v>22</v>
      </c>
      <c r="D571" s="6">
        <v>1968.49999998924</v>
      </c>
      <c r="E571">
        <v>8602</v>
      </c>
      <c r="F571" s="12">
        <f t="shared" si="11"/>
        <v>249.20579999999995</v>
      </c>
      <c r="G571" s="7">
        <f>STANDARDIZE(E571,Climatology!B$8,Climatology!C$8)</f>
        <v>0.34176736301877214</v>
      </c>
      <c r="H571" s="7"/>
      <c r="I571" s="6">
        <f t="shared" si="10"/>
        <v>2.897068123692164</v>
      </c>
    </row>
    <row r="572" spans="1:9" x14ac:dyDescent="0.3">
      <c r="A572" s="10">
        <v>24990</v>
      </c>
      <c r="B572">
        <v>1968</v>
      </c>
      <c r="C572" t="s">
        <v>23</v>
      </c>
      <c r="D572" s="6">
        <v>1968.4166666558799</v>
      </c>
      <c r="E572">
        <v>7805</v>
      </c>
      <c r="F572" s="12">
        <f t="shared" si="11"/>
        <v>222.98449999999997</v>
      </c>
      <c r="G572" s="7">
        <f>STANDARDIZE(E572,Climatology!B$7,Climatology!C$7)</f>
        <v>-0.20641499536265545</v>
      </c>
      <c r="H572" s="7"/>
      <c r="I572" s="6">
        <f t="shared" si="10"/>
        <v>2.8569442664958355</v>
      </c>
    </row>
    <row r="573" spans="1:9" x14ac:dyDescent="0.3">
      <c r="A573" s="10">
        <v>24959</v>
      </c>
      <c r="B573">
        <v>1968</v>
      </c>
      <c r="C573" t="s">
        <v>24</v>
      </c>
      <c r="D573" s="6">
        <v>1968.33333332252</v>
      </c>
      <c r="E573">
        <v>6329</v>
      </c>
      <c r="F573" s="12">
        <f t="shared" si="11"/>
        <v>174.42410000000001</v>
      </c>
      <c r="G573" s="7">
        <f>STANDARDIZE(E573,Climatology!B$6,Climatology!C$6)</f>
        <v>-0.36300179874843502</v>
      </c>
      <c r="H573" s="7"/>
      <c r="I573" s="6">
        <f t="shared" si="10"/>
        <v>2.7559503871069682</v>
      </c>
    </row>
    <row r="574" spans="1:9" x14ac:dyDescent="0.3">
      <c r="A574" s="10">
        <v>24929</v>
      </c>
      <c r="B574">
        <v>1968</v>
      </c>
      <c r="C574" t="s">
        <v>25</v>
      </c>
      <c r="D574" s="6">
        <v>1968.24999998916</v>
      </c>
      <c r="E574">
        <v>4679</v>
      </c>
      <c r="F574" s="12">
        <f t="shared" si="11"/>
        <v>120.1391</v>
      </c>
      <c r="G574" s="7">
        <f>STANDARDIZE(E574,Climatology!B$5,Climatology!C$5)</f>
        <v>-0.18475817274580172</v>
      </c>
      <c r="H574" s="7"/>
      <c r="I574" s="6">
        <f t="shared" si="10"/>
        <v>2.5676234238085063</v>
      </c>
    </row>
    <row r="575" spans="1:9" x14ac:dyDescent="0.3">
      <c r="A575" s="10">
        <v>24898</v>
      </c>
      <c r="B575">
        <v>1968</v>
      </c>
      <c r="C575" t="s">
        <v>26</v>
      </c>
      <c r="D575" s="6">
        <v>1968.1666666558001</v>
      </c>
      <c r="E575">
        <v>3527</v>
      </c>
      <c r="F575" s="12">
        <f t="shared" si="11"/>
        <v>82.238299999999995</v>
      </c>
      <c r="G575" s="7">
        <f>STANDARDIZE(E575,Climatology!B$4,Climatology!C$4)</f>
        <v>-0.37682278557805537</v>
      </c>
      <c r="H575" s="7"/>
      <c r="I575" s="6">
        <f t="shared" si="10"/>
        <v>2.331678480294868</v>
      </c>
    </row>
    <row r="576" spans="1:9" x14ac:dyDescent="0.3">
      <c r="A576" s="10">
        <v>24869</v>
      </c>
      <c r="B576">
        <v>1968</v>
      </c>
      <c r="C576" t="s">
        <v>27</v>
      </c>
      <c r="D576" s="6">
        <v>1968.08333332244</v>
      </c>
      <c r="E576">
        <v>3659</v>
      </c>
      <c r="F576" s="12">
        <f t="shared" si="11"/>
        <v>86.581099999999992</v>
      </c>
      <c r="G576" s="7">
        <f>STANDARDIZE(E576,Climatology!B$3,Climatology!C$3)</f>
        <v>-0.46297855761100792</v>
      </c>
      <c r="H576" s="7"/>
      <c r="I576" s="6">
        <f t="shared" si="10"/>
        <v>2.366250341623394</v>
      </c>
    </row>
    <row r="577" spans="1:9" x14ac:dyDescent="0.3">
      <c r="A577" s="10">
        <v>24838</v>
      </c>
      <c r="B577">
        <v>1968</v>
      </c>
      <c r="C577" t="s">
        <v>28</v>
      </c>
      <c r="D577" s="6">
        <v>1967.9999999890799</v>
      </c>
      <c r="E577">
        <v>4730</v>
      </c>
      <c r="F577" s="12">
        <f t="shared" si="11"/>
        <v>121.81699999999999</v>
      </c>
      <c r="G577" s="7">
        <f>STANDARDIZE(E577,Climatology!B$2,Climatology!C$2)</f>
        <v>-0.91072600001678583</v>
      </c>
      <c r="H577" s="7"/>
      <c r="I577" s="6">
        <f t="shared" si="10"/>
        <v>2.5754122621564481</v>
      </c>
    </row>
    <row r="578" spans="1:9" x14ac:dyDescent="0.3">
      <c r="A578" s="10">
        <v>24807</v>
      </c>
      <c r="B578">
        <v>1967</v>
      </c>
      <c r="C578" t="s">
        <v>17</v>
      </c>
      <c r="D578" s="6">
        <v>1967.9166666557201</v>
      </c>
      <c r="E578">
        <v>8232</v>
      </c>
      <c r="F578" s="12">
        <f t="shared" si="11"/>
        <v>237.03279999999995</v>
      </c>
      <c r="G578" s="7">
        <f>STANDARDIZE(E578,Climatology!B$13,Climatology!C$13)</f>
        <v>-0.54838061402901772</v>
      </c>
      <c r="H578" s="7"/>
      <c r="I578" s="6">
        <f t="shared" si="10"/>
        <v>2.8794071914480073</v>
      </c>
    </row>
    <row r="579" spans="1:9" x14ac:dyDescent="0.3">
      <c r="A579" s="10">
        <v>24777</v>
      </c>
      <c r="B579">
        <v>1967</v>
      </c>
      <c r="C579" t="s">
        <v>18</v>
      </c>
      <c r="D579" s="6">
        <v>1967.83333332236</v>
      </c>
      <c r="E579">
        <v>8579</v>
      </c>
      <c r="F579" s="12">
        <f t="shared" si="11"/>
        <v>248.44909999999999</v>
      </c>
      <c r="G579" s="7">
        <f>STANDARDIZE(E579,Climatology!B$12,Climatology!C$12)</f>
        <v>-0.48935447105183094</v>
      </c>
      <c r="H579" s="7"/>
      <c r="I579" s="6">
        <f t="shared" ref="I579:I642" si="12">F579/E579*100</f>
        <v>2.8960146870264598</v>
      </c>
    </row>
    <row r="580" spans="1:9" x14ac:dyDescent="0.3">
      <c r="A580" s="10">
        <v>24746</v>
      </c>
      <c r="B580">
        <v>1967</v>
      </c>
      <c r="C580" t="s">
        <v>19</v>
      </c>
      <c r="D580" s="6">
        <v>1967.7499999889999</v>
      </c>
      <c r="E580">
        <v>7131</v>
      </c>
      <c r="F580" s="12">
        <f t="shared" si="11"/>
        <v>200.80989999999997</v>
      </c>
      <c r="G580" s="7">
        <f>STANDARDIZE(E580,Climatology!B$11,Climatology!C$11)</f>
        <v>-0.68896401018710451</v>
      </c>
      <c r="H580" s="7"/>
      <c r="I580" s="6">
        <f t="shared" si="12"/>
        <v>2.8160131818819236</v>
      </c>
    </row>
    <row r="581" spans="1:9" x14ac:dyDescent="0.3">
      <c r="A581" s="10">
        <v>24716</v>
      </c>
      <c r="B581">
        <v>1967</v>
      </c>
      <c r="C581" t="s">
        <v>20</v>
      </c>
      <c r="D581" s="6">
        <v>1967.66666665564</v>
      </c>
      <c r="E581">
        <v>7046</v>
      </c>
      <c r="F581" s="12">
        <f t="shared" si="11"/>
        <v>198.01339999999999</v>
      </c>
      <c r="G581" s="7">
        <f>STANDARDIZE(E581,Climatology!B$10,Climatology!C$10)</f>
        <v>-0.22592704841094807</v>
      </c>
      <c r="H581" s="7"/>
      <c r="I581" s="6">
        <f t="shared" si="12"/>
        <v>2.8102952029520294</v>
      </c>
    </row>
    <row r="582" spans="1:9" x14ac:dyDescent="0.3">
      <c r="A582" s="10">
        <v>24685</v>
      </c>
      <c r="B582">
        <v>1967</v>
      </c>
      <c r="C582" t="s">
        <v>21</v>
      </c>
      <c r="D582" s="6">
        <v>1967.5833333222799</v>
      </c>
      <c r="E582">
        <v>7482</v>
      </c>
      <c r="F582" s="12">
        <f t="shared" si="11"/>
        <v>212.3578</v>
      </c>
      <c r="G582" s="7">
        <f>STANDARDIZE(E582,Climatology!B$9,Climatology!C$9)</f>
        <v>7.5743081587619165E-2</v>
      </c>
      <c r="H582" s="7"/>
      <c r="I582" s="6">
        <f t="shared" si="12"/>
        <v>2.8382491312483293</v>
      </c>
    </row>
    <row r="583" spans="1:9" x14ac:dyDescent="0.3">
      <c r="A583" s="10">
        <v>24654</v>
      </c>
      <c r="B583">
        <v>1967</v>
      </c>
      <c r="C583" t="s">
        <v>22</v>
      </c>
      <c r="D583" s="6">
        <v>1967.4999999889201</v>
      </c>
      <c r="E583">
        <v>8636</v>
      </c>
      <c r="F583" s="12">
        <f t="shared" si="11"/>
        <v>250.32439999999997</v>
      </c>
      <c r="G583" s="7">
        <f>STANDARDIZE(E583,Climatology!B$8,Climatology!C$8)</f>
        <v>0.35852195344667642</v>
      </c>
      <c r="H583" s="7"/>
      <c r="I583" s="6">
        <f t="shared" si="12"/>
        <v>2.8986150995831399</v>
      </c>
    </row>
    <row r="584" spans="1:9" x14ac:dyDescent="0.3">
      <c r="A584" s="10">
        <v>24624</v>
      </c>
      <c r="B584">
        <v>1967</v>
      </c>
      <c r="C584" t="s">
        <v>23</v>
      </c>
      <c r="D584" s="6">
        <v>1967.41666665556</v>
      </c>
      <c r="E584">
        <v>8195</v>
      </c>
      <c r="F584" s="12">
        <f t="shared" si="11"/>
        <v>235.81549999999999</v>
      </c>
      <c r="G584" s="7">
        <f>STANDARDIZE(E584,Climatology!B$7,Climatology!C$7)</f>
        <v>2.4947612483668551E-2</v>
      </c>
      <c r="H584" s="7"/>
      <c r="I584" s="6">
        <f t="shared" si="12"/>
        <v>2.8775533862111042</v>
      </c>
    </row>
    <row r="585" spans="1:9" x14ac:dyDescent="0.3">
      <c r="A585" s="10">
        <v>24593</v>
      </c>
      <c r="B585">
        <v>1967</v>
      </c>
      <c r="C585" t="s">
        <v>24</v>
      </c>
      <c r="D585" s="6">
        <v>1967.3333333221999</v>
      </c>
      <c r="E585">
        <v>6672</v>
      </c>
      <c r="F585" s="12">
        <f t="shared" si="11"/>
        <v>185.7088</v>
      </c>
      <c r="G585" s="7">
        <f>STANDARDIZE(E585,Climatology!B$6,Climatology!C$6)</f>
        <v>-0.1261594209254796</v>
      </c>
      <c r="H585" s="7"/>
      <c r="I585" s="6">
        <f t="shared" si="12"/>
        <v>2.7834052757793764</v>
      </c>
    </row>
    <row r="586" spans="1:9" x14ac:dyDescent="0.3">
      <c r="A586" s="10">
        <v>24563</v>
      </c>
      <c r="B586">
        <v>1967</v>
      </c>
      <c r="C586" t="s">
        <v>25</v>
      </c>
      <c r="D586" s="6">
        <v>1967.24999998884</v>
      </c>
      <c r="E586">
        <v>4686</v>
      </c>
      <c r="F586" s="12">
        <f t="shared" si="11"/>
        <v>120.3694</v>
      </c>
      <c r="G586" s="7">
        <f>STANDARDIZE(E586,Climatology!B$5,Climatology!C$5)</f>
        <v>-0.17974719136026715</v>
      </c>
      <c r="H586" s="7"/>
      <c r="I586" s="6">
        <f t="shared" si="12"/>
        <v>2.5687025181391379</v>
      </c>
    </row>
    <row r="587" spans="1:9" x14ac:dyDescent="0.3">
      <c r="A587" s="10">
        <v>24532</v>
      </c>
      <c r="B587">
        <v>1967</v>
      </c>
      <c r="C587" t="s">
        <v>26</v>
      </c>
      <c r="D587" s="6">
        <v>1967.16666665548</v>
      </c>
      <c r="E587">
        <v>4605</v>
      </c>
      <c r="F587" s="12">
        <f t="shared" si="11"/>
        <v>117.70450000000001</v>
      </c>
      <c r="G587" s="7">
        <f>STANDARDIZE(E587,Climatology!B$4,Climatology!C$4)</f>
        <v>0.30859535145708245</v>
      </c>
      <c r="H587" s="7"/>
      <c r="I587" s="6">
        <f t="shared" si="12"/>
        <v>2.5560152008686212</v>
      </c>
    </row>
    <row r="588" spans="1:9" x14ac:dyDescent="0.3">
      <c r="A588" s="10">
        <v>24504</v>
      </c>
      <c r="B588">
        <v>1967</v>
      </c>
      <c r="C588" t="s">
        <v>27</v>
      </c>
      <c r="D588" s="6">
        <v>1967.0833333221201</v>
      </c>
      <c r="E588">
        <v>6099</v>
      </c>
      <c r="F588" s="12">
        <f t="shared" si="11"/>
        <v>166.8571</v>
      </c>
      <c r="G588" s="7">
        <f>STANDARDIZE(E588,Climatology!B$3,Climatology!C$3)</f>
        <v>0.95960490392313424</v>
      </c>
      <c r="H588" s="7"/>
      <c r="I588" s="6">
        <f t="shared" si="12"/>
        <v>2.7358107886538776</v>
      </c>
    </row>
    <row r="589" spans="1:9" x14ac:dyDescent="0.3">
      <c r="A589" s="10">
        <v>24473</v>
      </c>
      <c r="B589">
        <v>1967</v>
      </c>
      <c r="C589" t="s">
        <v>28</v>
      </c>
      <c r="D589" s="6">
        <v>1966.99999998876</v>
      </c>
      <c r="E589">
        <v>9942</v>
      </c>
      <c r="F589" s="12">
        <f t="shared" si="11"/>
        <v>293.29179999999997</v>
      </c>
      <c r="G589" s="7">
        <f>STANDARDIZE(E589,Climatology!B$2,Climatology!C$2)</f>
        <v>1.3623818977360578</v>
      </c>
      <c r="H589" s="7"/>
      <c r="I589" s="6">
        <f t="shared" si="12"/>
        <v>2.9500281633474148</v>
      </c>
    </row>
    <row r="590" spans="1:9" x14ac:dyDescent="0.3">
      <c r="A590" s="10">
        <v>24442</v>
      </c>
      <c r="B590">
        <v>1966</v>
      </c>
      <c r="C590" t="s">
        <v>17</v>
      </c>
      <c r="D590" s="6">
        <v>1966.9166666553999</v>
      </c>
      <c r="E590">
        <v>10688</v>
      </c>
      <c r="F590" s="12">
        <f t="shared" si="11"/>
        <v>317.83519999999999</v>
      </c>
      <c r="G590" s="7">
        <f>STANDARDIZE(E590,Climatology!B$13,Climatology!C$13)</f>
        <v>0.32861356594060537</v>
      </c>
      <c r="H590" s="7"/>
      <c r="I590" s="6">
        <f t="shared" si="12"/>
        <v>2.9737574850299398</v>
      </c>
    </row>
    <row r="591" spans="1:9" x14ac:dyDescent="0.3">
      <c r="A591" s="10">
        <v>24412</v>
      </c>
      <c r="B591">
        <v>1966</v>
      </c>
      <c r="C591" t="s">
        <v>18</v>
      </c>
      <c r="D591" s="6">
        <v>1966.8333333220401</v>
      </c>
      <c r="E591">
        <v>9666</v>
      </c>
      <c r="F591" s="12">
        <f t="shared" si="11"/>
        <v>284.21139999999997</v>
      </c>
      <c r="G591" s="7">
        <f>STANDARDIZE(E591,Climatology!B$12,Climatology!C$12)</f>
        <v>-6.2276683140942042E-2</v>
      </c>
      <c r="H591" s="7"/>
      <c r="I591" s="6">
        <f t="shared" si="12"/>
        <v>2.9403207117732255</v>
      </c>
    </row>
    <row r="592" spans="1:9" x14ac:dyDescent="0.3">
      <c r="A592" s="10">
        <v>24381</v>
      </c>
      <c r="B592">
        <v>1966</v>
      </c>
      <c r="C592" t="s">
        <v>19</v>
      </c>
      <c r="D592" s="6">
        <v>1966.74999998868</v>
      </c>
      <c r="E592">
        <v>8608</v>
      </c>
      <c r="F592" s="12">
        <f t="shared" si="11"/>
        <v>249.40319999999997</v>
      </c>
      <c r="G592" s="7">
        <f>STANDARDIZE(E592,Climatology!B$11,Climatology!C$11)</f>
        <v>7.2021404540802414E-2</v>
      </c>
      <c r="H592" s="7"/>
      <c r="I592" s="6">
        <f t="shared" si="12"/>
        <v>2.8973420074349439</v>
      </c>
    </row>
    <row r="593" spans="1:9" x14ac:dyDescent="0.3">
      <c r="A593" s="10">
        <v>24351</v>
      </c>
      <c r="B593">
        <v>1966</v>
      </c>
      <c r="C593" t="s">
        <v>20</v>
      </c>
      <c r="D593" s="6">
        <v>1966.6666666553199</v>
      </c>
      <c r="E593">
        <v>8311</v>
      </c>
      <c r="F593" s="12">
        <f t="shared" si="11"/>
        <v>239.63189999999997</v>
      </c>
      <c r="G593" s="7">
        <f>STANDARDIZE(E593,Climatology!B$10,Climatology!C$10)</f>
        <v>0.39915908841762815</v>
      </c>
      <c r="H593" s="7"/>
      <c r="I593" s="6">
        <f t="shared" si="12"/>
        <v>2.8833100709902535</v>
      </c>
    </row>
    <row r="594" spans="1:9" x14ac:dyDescent="0.3">
      <c r="A594" s="10">
        <v>24320</v>
      </c>
      <c r="B594">
        <v>1966</v>
      </c>
      <c r="C594" t="s">
        <v>21</v>
      </c>
      <c r="D594" s="6">
        <v>1966.58333332196</v>
      </c>
      <c r="E594">
        <v>8274</v>
      </c>
      <c r="F594" s="12">
        <f t="shared" si="11"/>
        <v>238.41459999999995</v>
      </c>
      <c r="G594" s="7">
        <f>STANDARDIZE(E594,Climatology!B$9,Climatology!C$9)</f>
        <v>0.47506313540004347</v>
      </c>
      <c r="H594" s="7"/>
      <c r="I594" s="6">
        <f t="shared" si="12"/>
        <v>2.881491418902586</v>
      </c>
    </row>
    <row r="595" spans="1:9" x14ac:dyDescent="0.3">
      <c r="A595" s="10">
        <v>24289</v>
      </c>
      <c r="B595">
        <v>1966</v>
      </c>
      <c r="C595" t="s">
        <v>22</v>
      </c>
      <c r="D595" s="6">
        <v>1966.4999999885999</v>
      </c>
      <c r="E595">
        <v>8656</v>
      </c>
      <c r="F595" s="12">
        <f t="shared" si="11"/>
        <v>250.98239999999998</v>
      </c>
      <c r="G595" s="7">
        <f>STANDARDIZE(E595,Climatology!B$8,Climatology!C$8)</f>
        <v>0.36837759487485539</v>
      </c>
      <c r="H595" s="7"/>
      <c r="I595" s="6">
        <f t="shared" si="12"/>
        <v>2.8995194085027722</v>
      </c>
    </row>
    <row r="596" spans="1:9" x14ac:dyDescent="0.3">
      <c r="A596" s="10">
        <v>24259</v>
      </c>
      <c r="B596">
        <v>1966</v>
      </c>
      <c r="C596" t="s">
        <v>23</v>
      </c>
      <c r="D596" s="6">
        <v>1966.4166666552401</v>
      </c>
      <c r="E596">
        <v>7452</v>
      </c>
      <c r="F596" s="12">
        <f t="shared" si="11"/>
        <v>211.37079999999997</v>
      </c>
      <c r="G596" s="7">
        <f>STANDARDIZE(E596,Climatology!B$7,Climatology!C$7)</f>
        <v>-0.41582781733637952</v>
      </c>
      <c r="H596" s="7"/>
      <c r="I596" s="6">
        <f t="shared" si="12"/>
        <v>2.8364304884594738</v>
      </c>
    </row>
    <row r="597" spans="1:9" x14ac:dyDescent="0.3">
      <c r="A597" s="10">
        <v>24228</v>
      </c>
      <c r="B597">
        <v>1966</v>
      </c>
      <c r="C597" t="s">
        <v>24</v>
      </c>
      <c r="D597" s="6">
        <v>1966.33333332188</v>
      </c>
      <c r="E597">
        <v>5300</v>
      </c>
      <c r="F597" s="12">
        <f t="shared" si="11"/>
        <v>140.57</v>
      </c>
      <c r="G597" s="7">
        <f>STANDARDIZE(E597,Climatology!B$6,Climatology!C$6)</f>
        <v>-1.0735289322173012</v>
      </c>
      <c r="H597" s="7"/>
      <c r="I597" s="6">
        <f t="shared" si="12"/>
        <v>2.6522641509433962</v>
      </c>
    </row>
    <row r="598" spans="1:9" x14ac:dyDescent="0.3">
      <c r="A598" s="10">
        <v>24198</v>
      </c>
      <c r="B598">
        <v>1966</v>
      </c>
      <c r="C598" t="s">
        <v>25</v>
      </c>
      <c r="D598" s="6">
        <v>1966.2499999885199</v>
      </c>
      <c r="E598">
        <v>3569</v>
      </c>
      <c r="F598" s="12">
        <f t="shared" si="11"/>
        <v>83.620099999999994</v>
      </c>
      <c r="G598" s="7">
        <f>STANDARDIZE(E598,Climatology!B$5,Climatology!C$5)</f>
        <v>-0.97935664959485813</v>
      </c>
      <c r="H598" s="7"/>
      <c r="I598" s="6">
        <f t="shared" si="12"/>
        <v>2.3429560100868589</v>
      </c>
    </row>
    <row r="599" spans="1:9" x14ac:dyDescent="0.3">
      <c r="A599" s="10">
        <v>24167</v>
      </c>
      <c r="B599">
        <v>1966</v>
      </c>
      <c r="C599" t="s">
        <v>26</v>
      </c>
      <c r="D599" s="6">
        <v>1966.16666665516</v>
      </c>
      <c r="E599">
        <v>3115</v>
      </c>
      <c r="F599" s="12">
        <f t="shared" si="11"/>
        <v>68.683499999999995</v>
      </c>
      <c r="G599" s="7">
        <f>STANDARDIZE(E599,Climatology!B$4,Climatology!C$4)</f>
        <v>-0.63878222199593737</v>
      </c>
      <c r="H599" s="7"/>
      <c r="I599" s="6">
        <f t="shared" si="12"/>
        <v>2.2049277688603532</v>
      </c>
    </row>
    <row r="600" spans="1:9" x14ac:dyDescent="0.3">
      <c r="A600" s="10">
        <v>24139</v>
      </c>
      <c r="B600">
        <v>1966</v>
      </c>
      <c r="C600" t="s">
        <v>27</v>
      </c>
      <c r="D600" s="6">
        <v>1966.0833333218</v>
      </c>
      <c r="E600">
        <v>4129</v>
      </c>
      <c r="F600" s="12">
        <f t="shared" si="11"/>
        <v>102.0441</v>
      </c>
      <c r="G600" s="7">
        <f>STANDARDIZE(E600,Climatology!B$3,Climatology!C$3)</f>
        <v>-0.18895633346303792</v>
      </c>
      <c r="H600" s="7"/>
      <c r="I600" s="6">
        <f t="shared" si="12"/>
        <v>2.4713998546863647</v>
      </c>
    </row>
    <row r="601" spans="1:9" x14ac:dyDescent="0.3">
      <c r="A601" s="10">
        <v>24108</v>
      </c>
      <c r="B601">
        <v>1966</v>
      </c>
      <c r="C601" t="s">
        <v>28</v>
      </c>
      <c r="D601" s="6">
        <v>1965.9999999884401</v>
      </c>
      <c r="E601">
        <v>7794</v>
      </c>
      <c r="F601" s="12">
        <f t="shared" si="11"/>
        <v>222.62259999999998</v>
      </c>
      <c r="G601" s="7">
        <f>STANDARDIZE(E601,Climatology!B$2,Climatology!C$2)</f>
        <v>0.42557534279110232</v>
      </c>
      <c r="H601" s="7"/>
      <c r="I601" s="6">
        <f t="shared" si="12"/>
        <v>2.856333076725686</v>
      </c>
    </row>
    <row r="602" spans="1:9" x14ac:dyDescent="0.3">
      <c r="A602" s="10">
        <v>24077</v>
      </c>
      <c r="B602">
        <v>1965</v>
      </c>
      <c r="C602" t="s">
        <v>17</v>
      </c>
      <c r="D602" s="6">
        <v>1965.91666665508</v>
      </c>
      <c r="E602">
        <v>9908</v>
      </c>
      <c r="F602" s="12">
        <f t="shared" si="11"/>
        <v>292.17319999999995</v>
      </c>
      <c r="G602" s="7">
        <f>STANDARDIZE(E602,Climatology!B$13,Climatology!C$13)</f>
        <v>5.0089355689666444E-2</v>
      </c>
      <c r="H602" s="7"/>
      <c r="I602" s="6">
        <f t="shared" si="12"/>
        <v>2.9488615260395634</v>
      </c>
    </row>
    <row r="603" spans="1:9" x14ac:dyDescent="0.3">
      <c r="A603" s="10">
        <v>24047</v>
      </c>
      <c r="B603">
        <v>1965</v>
      </c>
      <c r="C603" t="s">
        <v>18</v>
      </c>
      <c r="D603" s="6">
        <v>1965.8333333217199</v>
      </c>
      <c r="E603">
        <v>8564</v>
      </c>
      <c r="F603" s="12">
        <f t="shared" si="11"/>
        <v>247.9556</v>
      </c>
      <c r="G603" s="7">
        <f>STANDARDIZE(E603,Climatology!B$12,Climatology!C$12)</f>
        <v>-0.49524790878749175</v>
      </c>
      <c r="H603" s="7"/>
      <c r="I603" s="6">
        <f t="shared" si="12"/>
        <v>2.8953246146660438</v>
      </c>
    </row>
    <row r="604" spans="1:9" x14ac:dyDescent="0.3">
      <c r="A604" s="10">
        <v>24016</v>
      </c>
      <c r="B604">
        <v>1965</v>
      </c>
      <c r="C604" t="s">
        <v>19</v>
      </c>
      <c r="D604" s="6">
        <v>1965.7499999883601</v>
      </c>
      <c r="E604">
        <v>7215</v>
      </c>
      <c r="F604" s="12">
        <f t="shared" si="11"/>
        <v>203.57349999999997</v>
      </c>
      <c r="G604" s="7">
        <f>STANDARDIZE(E604,Climatology!B$11,Climatology!C$11)</f>
        <v>-0.64568521882817143</v>
      </c>
      <c r="H604" s="7"/>
      <c r="I604" s="6">
        <f t="shared" si="12"/>
        <v>2.821531531531531</v>
      </c>
    </row>
    <row r="605" spans="1:9" x14ac:dyDescent="0.3">
      <c r="A605" s="10">
        <v>23986</v>
      </c>
      <c r="B605">
        <v>1965</v>
      </c>
      <c r="C605" t="s">
        <v>20</v>
      </c>
      <c r="D605" s="6">
        <v>1965.666666655</v>
      </c>
      <c r="E605">
        <v>5905</v>
      </c>
      <c r="F605" s="12">
        <f t="shared" si="11"/>
        <v>160.47449999999998</v>
      </c>
      <c r="G605" s="7">
        <f>STANDARDIZE(E605,Climatology!B$10,Climatology!C$10)</f>
        <v>-0.78973991965316581</v>
      </c>
      <c r="H605" s="7"/>
      <c r="I605" s="6">
        <f t="shared" si="12"/>
        <v>2.7176037256562231</v>
      </c>
    </row>
    <row r="606" spans="1:9" x14ac:dyDescent="0.3">
      <c r="A606" s="10">
        <v>23955</v>
      </c>
      <c r="B606">
        <v>1965</v>
      </c>
      <c r="C606" t="s">
        <v>21</v>
      </c>
      <c r="D606" s="6">
        <v>1965.5833333216401</v>
      </c>
      <c r="E606">
        <v>5239</v>
      </c>
      <c r="F606" s="12">
        <f t="shared" si="11"/>
        <v>138.56310000000002</v>
      </c>
      <c r="G606" s="7">
        <f>STANDARDIZE(E606,Climatology!B$9,Climatology!C$9)</f>
        <v>-1.0551595455604461</v>
      </c>
      <c r="H606" s="7"/>
      <c r="I606" s="6">
        <f t="shared" si="12"/>
        <v>2.6448387096774195</v>
      </c>
    </row>
    <row r="607" spans="1:9" x14ac:dyDescent="0.3">
      <c r="A607" s="10">
        <v>23924</v>
      </c>
      <c r="B607">
        <v>1965</v>
      </c>
      <c r="C607" t="s">
        <v>22</v>
      </c>
      <c r="D607" s="6">
        <v>1965.49999998828</v>
      </c>
      <c r="E607">
        <v>4865</v>
      </c>
      <c r="F607" s="12">
        <f t="shared" si="11"/>
        <v>126.25849999999998</v>
      </c>
      <c r="G607" s="7">
        <f>STANDARDIZE(E607,Climatology!B$8,Climatology!C$8)</f>
        <v>-1.4997592378364706</v>
      </c>
      <c r="H607" s="7"/>
      <c r="I607" s="6">
        <f t="shared" si="12"/>
        <v>2.5952415210688589</v>
      </c>
    </row>
    <row r="608" spans="1:9" x14ac:dyDescent="0.3">
      <c r="A608" s="10">
        <v>23894</v>
      </c>
      <c r="B608">
        <v>1965</v>
      </c>
      <c r="C608" t="s">
        <v>23</v>
      </c>
      <c r="D608" s="6">
        <v>1965.4166666549199</v>
      </c>
      <c r="E608">
        <v>6375</v>
      </c>
      <c r="F608" s="12">
        <f t="shared" si="11"/>
        <v>175.9375</v>
      </c>
      <c r="G608" s="7">
        <f>STANDARDIZE(E608,Climatology!B$7,Climatology!C$7)</f>
        <v>-1.0547445574658436</v>
      </c>
      <c r="H608" s="7"/>
      <c r="I608" s="6">
        <f t="shared" si="12"/>
        <v>2.7598039215686274</v>
      </c>
    </row>
    <row r="609" spans="1:9" x14ac:dyDescent="0.3">
      <c r="A609" s="10">
        <v>23863</v>
      </c>
      <c r="B609">
        <v>1965</v>
      </c>
      <c r="C609" t="s">
        <v>24</v>
      </c>
      <c r="D609" s="6">
        <v>1965.3333333215601</v>
      </c>
      <c r="E609">
        <v>5872</v>
      </c>
      <c r="F609" s="12">
        <f t="shared" si="11"/>
        <v>159.3888</v>
      </c>
      <c r="G609" s="7">
        <f>STANDARDIZE(E609,Climatology!B$6,Climatology!C$6)</f>
        <v>-0.67856146832595865</v>
      </c>
      <c r="H609" s="7"/>
      <c r="I609" s="6">
        <f t="shared" si="12"/>
        <v>2.7143869209809264</v>
      </c>
    </row>
    <row r="610" spans="1:9" x14ac:dyDescent="0.3">
      <c r="A610" s="10">
        <v>23833</v>
      </c>
      <c r="B610">
        <v>1965</v>
      </c>
      <c r="C610" t="s">
        <v>25</v>
      </c>
      <c r="D610" s="6">
        <v>1965.2499999882</v>
      </c>
      <c r="E610">
        <v>3984</v>
      </c>
      <c r="F610" s="12">
        <f t="shared" si="11"/>
        <v>97.273600000000002</v>
      </c>
      <c r="G610" s="7">
        <f>STANDARDIZE(E610,Climatology!B$5,Climatology!C$5)</f>
        <v>-0.68227703888102176</v>
      </c>
      <c r="H610" s="7"/>
      <c r="I610" s="6">
        <f t="shared" si="12"/>
        <v>2.4416064257028114</v>
      </c>
    </row>
    <row r="611" spans="1:9" x14ac:dyDescent="0.3">
      <c r="A611" s="10">
        <v>23802</v>
      </c>
      <c r="B611">
        <v>1965</v>
      </c>
      <c r="C611" t="s">
        <v>26</v>
      </c>
      <c r="D611" s="6">
        <v>1965.1666666548399</v>
      </c>
      <c r="E611">
        <v>2894</v>
      </c>
      <c r="F611" s="12">
        <f t="shared" si="11"/>
        <v>61.412599999999998</v>
      </c>
      <c r="G611" s="7">
        <f>STANDARDIZE(E611,Climatology!B$4,Climatology!C$4)</f>
        <v>-0.7792992983268886</v>
      </c>
      <c r="H611" s="7"/>
      <c r="I611" s="6">
        <f t="shared" si="12"/>
        <v>2.1220663441603316</v>
      </c>
    </row>
    <row r="612" spans="1:9" x14ac:dyDescent="0.3">
      <c r="A612" s="10">
        <v>23774</v>
      </c>
      <c r="B612">
        <v>1965</v>
      </c>
      <c r="C612" t="s">
        <v>27</v>
      </c>
      <c r="D612" s="6">
        <v>1965.08333332148</v>
      </c>
      <c r="E612">
        <v>3269</v>
      </c>
      <c r="F612" s="12">
        <f t="shared" si="11"/>
        <v>73.750100000000003</v>
      </c>
      <c r="G612" s="7">
        <f>STANDARDIZE(E612,Climatology!B$3,Climatology!C$3)</f>
        <v>-0.6903587010529405</v>
      </c>
      <c r="H612" s="7"/>
      <c r="I612" s="6">
        <f t="shared" si="12"/>
        <v>2.2560446619761398</v>
      </c>
    </row>
    <row r="613" spans="1:9" x14ac:dyDescent="0.3">
      <c r="A613" s="10">
        <v>23743</v>
      </c>
      <c r="B613">
        <v>1965</v>
      </c>
      <c r="C613" t="s">
        <v>28</v>
      </c>
      <c r="D613" s="6">
        <v>1964.99999998812</v>
      </c>
      <c r="E613">
        <v>5614</v>
      </c>
      <c r="F613" s="12">
        <f t="shared" si="11"/>
        <v>150.9006</v>
      </c>
      <c r="G613" s="7">
        <f>STANDARDIZE(E613,Climatology!B$2,Climatology!C$2)</f>
        <v>-0.52518736194819149</v>
      </c>
      <c r="H613" s="7"/>
      <c r="I613" s="6">
        <f t="shared" si="12"/>
        <v>2.6879337370858565</v>
      </c>
    </row>
    <row r="614" spans="1:9" x14ac:dyDescent="0.3">
      <c r="A614" s="10">
        <v>23712</v>
      </c>
      <c r="B614">
        <v>1964</v>
      </c>
      <c r="C614" t="s">
        <v>17</v>
      </c>
      <c r="D614" s="6">
        <v>1964.9166666547601</v>
      </c>
      <c r="E614">
        <v>9146</v>
      </c>
      <c r="F614" s="12">
        <f t="shared" si="11"/>
        <v>267.10339999999997</v>
      </c>
      <c r="G614" s="7">
        <f>STANDARDIZE(E614,Climatology!B$13,Climatology!C$13)</f>
        <v>-0.2220073727862508</v>
      </c>
      <c r="H614" s="7"/>
      <c r="I614" s="6">
        <f t="shared" si="12"/>
        <v>2.9204395364093592</v>
      </c>
    </row>
    <row r="615" spans="1:9" x14ac:dyDescent="0.3">
      <c r="A615" s="10">
        <v>23682</v>
      </c>
      <c r="B615">
        <v>1964</v>
      </c>
      <c r="C615" t="s">
        <v>18</v>
      </c>
      <c r="D615" s="6">
        <v>1964.8333333214</v>
      </c>
      <c r="E615">
        <v>10615</v>
      </c>
      <c r="F615" s="12">
        <f t="shared" ref="F615:F678" si="13">(0.0329*E615)-33.8</f>
        <v>315.43349999999998</v>
      </c>
      <c r="G615" s="7">
        <f>STANDARDIZE(E615,Climatology!B$12,Climatology!C$12)</f>
        <v>0.31058147760186711</v>
      </c>
      <c r="H615" s="7"/>
      <c r="I615" s="6">
        <f t="shared" si="12"/>
        <v>2.9715826660386244</v>
      </c>
    </row>
    <row r="616" spans="1:9" x14ac:dyDescent="0.3">
      <c r="A616" s="10">
        <v>23651</v>
      </c>
      <c r="B616">
        <v>1964</v>
      </c>
      <c r="C616" t="s">
        <v>19</v>
      </c>
      <c r="D616" s="6">
        <v>1964.7499999880399</v>
      </c>
      <c r="E616">
        <v>10006</v>
      </c>
      <c r="F616" s="12">
        <f t="shared" si="13"/>
        <v>295.39739999999995</v>
      </c>
      <c r="G616" s="7">
        <f>STANDARDIZE(E616,Climatology!B$11,Climatology!C$11)</f>
        <v>0.79230414644304614</v>
      </c>
      <c r="H616" s="7"/>
      <c r="I616" s="6">
        <f t="shared" si="12"/>
        <v>2.9522026783929638</v>
      </c>
    </row>
    <row r="617" spans="1:9" x14ac:dyDescent="0.3">
      <c r="A617" s="10">
        <v>23621</v>
      </c>
      <c r="B617">
        <v>1964</v>
      </c>
      <c r="C617" t="s">
        <v>20</v>
      </c>
      <c r="D617" s="6">
        <v>1964.6666666546801</v>
      </c>
      <c r="E617">
        <v>10150</v>
      </c>
      <c r="F617" s="12">
        <f t="shared" si="13"/>
        <v>300.13499999999999</v>
      </c>
      <c r="G617" s="7">
        <f>STANDARDIZE(E617,Climatology!B$10,Climatology!C$10)</f>
        <v>1.3078811482024122</v>
      </c>
      <c r="H617" s="7"/>
      <c r="I617" s="6">
        <f t="shared" si="12"/>
        <v>2.9569950738916257</v>
      </c>
    </row>
    <row r="618" spans="1:9" x14ac:dyDescent="0.3">
      <c r="A618" s="10">
        <v>23590</v>
      </c>
      <c r="B618">
        <v>1964</v>
      </c>
      <c r="C618" t="s">
        <v>21</v>
      </c>
      <c r="D618" s="6">
        <v>1964.58333332132</v>
      </c>
      <c r="E618">
        <v>9936</v>
      </c>
      <c r="F618" s="12">
        <f t="shared" si="13"/>
        <v>293.09439999999995</v>
      </c>
      <c r="G618" s="7">
        <f>STANDARDIZE(E618,Climatology!B$9,Climatology!C$9)</f>
        <v>1.3130302180215703</v>
      </c>
      <c r="H618" s="7"/>
      <c r="I618" s="6">
        <f t="shared" si="12"/>
        <v>2.9498228663446051</v>
      </c>
    </row>
    <row r="619" spans="1:9" x14ac:dyDescent="0.3">
      <c r="A619" s="10">
        <v>23559</v>
      </c>
      <c r="B619">
        <v>1964</v>
      </c>
      <c r="C619" t="s">
        <v>22</v>
      </c>
      <c r="D619" s="6">
        <v>1964.4999999879601</v>
      </c>
      <c r="E619">
        <v>9300</v>
      </c>
      <c r="F619" s="12">
        <f t="shared" si="13"/>
        <v>272.16999999999996</v>
      </c>
      <c r="G619" s="7">
        <f>STANDARDIZE(E619,Climatology!B$8,Climatology!C$8)</f>
        <v>0.68572924886221864</v>
      </c>
      <c r="H619" s="7"/>
      <c r="I619" s="6">
        <f t="shared" si="12"/>
        <v>2.926559139784946</v>
      </c>
    </row>
    <row r="620" spans="1:9" x14ac:dyDescent="0.3">
      <c r="A620" s="10">
        <v>23529</v>
      </c>
      <c r="B620">
        <v>1964</v>
      </c>
      <c r="C620" t="s">
        <v>23</v>
      </c>
      <c r="D620" s="6">
        <v>1964.4166666546</v>
      </c>
      <c r="E620">
        <v>7704</v>
      </c>
      <c r="F620" s="12">
        <f t="shared" si="13"/>
        <v>219.66159999999996</v>
      </c>
      <c r="G620" s="7">
        <f>STANDARDIZE(E620,Climatology!B$7,Climatology!C$7)</f>
        <v>-0.26633197842029321</v>
      </c>
      <c r="H620" s="7"/>
      <c r="I620" s="6">
        <f t="shared" si="12"/>
        <v>2.8512668743509861</v>
      </c>
    </row>
    <row r="621" spans="1:9" x14ac:dyDescent="0.3">
      <c r="A621" s="10">
        <v>23498</v>
      </c>
      <c r="B621">
        <v>1964</v>
      </c>
      <c r="C621" t="s">
        <v>24</v>
      </c>
      <c r="D621" s="6">
        <v>1964.3333333212399</v>
      </c>
      <c r="E621">
        <v>5625</v>
      </c>
      <c r="F621" s="12">
        <f t="shared" si="13"/>
        <v>151.26249999999999</v>
      </c>
      <c r="G621" s="7">
        <f>STANDARDIZE(E621,Climatology!B$6,Climatology!C$6)</f>
        <v>-0.84911560046085666</v>
      </c>
      <c r="H621" s="7"/>
      <c r="I621" s="6">
        <f t="shared" si="12"/>
        <v>2.689111111111111</v>
      </c>
    </row>
    <row r="622" spans="1:9" x14ac:dyDescent="0.3">
      <c r="A622" s="10">
        <v>23468</v>
      </c>
      <c r="B622">
        <v>1964</v>
      </c>
      <c r="C622" t="s">
        <v>25</v>
      </c>
      <c r="D622" s="6">
        <v>1964.2499999878801</v>
      </c>
      <c r="E622">
        <v>4125</v>
      </c>
      <c r="F622" s="12">
        <f t="shared" si="13"/>
        <v>101.91250000000001</v>
      </c>
      <c r="G622" s="7">
        <f>STANDARDIZE(E622,Climatology!B$5,Climatology!C$5)</f>
        <v>-0.58134155668668208</v>
      </c>
      <c r="H622" s="7"/>
      <c r="I622" s="6">
        <f t="shared" si="12"/>
        <v>2.4706060606060611</v>
      </c>
    </row>
    <row r="623" spans="1:9" x14ac:dyDescent="0.3">
      <c r="A623" s="10">
        <v>23437</v>
      </c>
      <c r="B623">
        <v>1964</v>
      </c>
      <c r="C623" t="s">
        <v>26</v>
      </c>
      <c r="D623" s="6">
        <v>1964.16666665452</v>
      </c>
      <c r="E623">
        <v>2779</v>
      </c>
      <c r="F623" s="12">
        <f t="shared" si="13"/>
        <v>57.629099999999994</v>
      </c>
      <c r="G623" s="7">
        <f>STANDARDIZE(E623,Climatology!B$4,Climatology!C$4)</f>
        <v>-0.85241904392896728</v>
      </c>
      <c r="H623" s="7"/>
      <c r="I623" s="6">
        <f t="shared" si="12"/>
        <v>2.0737351565311259</v>
      </c>
    </row>
    <row r="624" spans="1:9" x14ac:dyDescent="0.3">
      <c r="A624" s="10">
        <v>23408</v>
      </c>
      <c r="B624">
        <v>1964</v>
      </c>
      <c r="C624" t="s">
        <v>27</v>
      </c>
      <c r="D624" s="6">
        <v>1964.0833333211599</v>
      </c>
      <c r="E624">
        <v>2799</v>
      </c>
      <c r="F624" s="12">
        <f t="shared" si="13"/>
        <v>58.287099999999995</v>
      </c>
      <c r="G624" s="7">
        <f>STANDARDIZE(E624,Climatology!B$3,Climatology!C$3)</f>
        <v>-0.96438092520091045</v>
      </c>
      <c r="H624" s="7"/>
      <c r="I624" s="6">
        <f t="shared" si="12"/>
        <v>2.0824258663808504</v>
      </c>
    </row>
    <row r="625" spans="1:9" x14ac:dyDescent="0.3">
      <c r="A625" s="10">
        <v>23377</v>
      </c>
      <c r="B625">
        <v>1964</v>
      </c>
      <c r="C625" t="s">
        <v>28</v>
      </c>
      <c r="D625" s="6">
        <v>1963.9999999878</v>
      </c>
      <c r="E625">
        <v>5307</v>
      </c>
      <c r="F625" s="12">
        <f t="shared" si="13"/>
        <v>140.80029999999999</v>
      </c>
      <c r="G625" s="7">
        <f>STANDARDIZE(E625,Climatology!B$2,Climatology!C$2)</f>
        <v>-0.65907917403762406</v>
      </c>
      <c r="H625" s="7"/>
      <c r="I625" s="6">
        <f t="shared" si="12"/>
        <v>2.6531053325796119</v>
      </c>
    </row>
    <row r="626" spans="1:9" x14ac:dyDescent="0.3">
      <c r="A626" s="10">
        <v>23346</v>
      </c>
      <c r="B626">
        <v>1963</v>
      </c>
      <c r="C626" t="s">
        <v>17</v>
      </c>
      <c r="D626" s="6">
        <v>1963.91666665444</v>
      </c>
      <c r="E626">
        <v>9221</v>
      </c>
      <c r="F626" s="12">
        <f t="shared" si="13"/>
        <v>269.57089999999999</v>
      </c>
      <c r="G626" s="7">
        <f>STANDARDIZE(E626,Climatology!B$13,Climatology!C$13)</f>
        <v>-0.19522619872366054</v>
      </c>
      <c r="H626" s="7"/>
      <c r="I626" s="6">
        <f t="shared" si="12"/>
        <v>2.9234453963778333</v>
      </c>
    </row>
    <row r="627" spans="1:9" x14ac:dyDescent="0.3">
      <c r="A627" s="10">
        <v>23316</v>
      </c>
      <c r="B627">
        <v>1963</v>
      </c>
      <c r="C627" t="s">
        <v>18</v>
      </c>
      <c r="D627" s="6">
        <v>1963.8333333210801</v>
      </c>
      <c r="E627">
        <v>9039</v>
      </c>
      <c r="F627" s="12">
        <f t="shared" si="13"/>
        <v>263.5831</v>
      </c>
      <c r="G627" s="7">
        <f>STANDARDIZE(E627,Climatology!B$12,Climatology!C$12)</f>
        <v>-0.30862238049156515</v>
      </c>
      <c r="H627" s="7"/>
      <c r="I627" s="6">
        <f t="shared" si="12"/>
        <v>2.9160648301803298</v>
      </c>
    </row>
    <row r="628" spans="1:9" x14ac:dyDescent="0.3">
      <c r="A628" s="10">
        <v>23285</v>
      </c>
      <c r="B628">
        <v>1963</v>
      </c>
      <c r="C628" t="s">
        <v>19</v>
      </c>
      <c r="D628" s="6">
        <v>1963.74999998772</v>
      </c>
      <c r="E628">
        <v>7791</v>
      </c>
      <c r="F628" s="12">
        <f t="shared" si="13"/>
        <v>222.52389999999997</v>
      </c>
      <c r="G628" s="7">
        <f>STANDARDIZE(E628,Climatology!B$11,Climatology!C$11)</f>
        <v>-0.34891636379548735</v>
      </c>
      <c r="H628" s="7"/>
      <c r="I628" s="6">
        <f t="shared" si="12"/>
        <v>2.8561660890771399</v>
      </c>
    </row>
    <row r="629" spans="1:9" x14ac:dyDescent="0.3">
      <c r="A629" s="10">
        <v>23255</v>
      </c>
      <c r="B629">
        <v>1963</v>
      </c>
      <c r="C629" t="s">
        <v>20</v>
      </c>
      <c r="D629" s="6">
        <v>1963.6666666543599</v>
      </c>
      <c r="E629">
        <v>7457</v>
      </c>
      <c r="F629" s="12">
        <f t="shared" si="13"/>
        <v>211.53530000000001</v>
      </c>
      <c r="G629" s="7">
        <f>STANDARDIZE(E629,Climatology!B$10,Climatology!C$10)</f>
        <v>-2.2835821346485756E-2</v>
      </c>
      <c r="H629" s="7"/>
      <c r="I629" s="6">
        <f t="shared" si="12"/>
        <v>2.8367346117741721</v>
      </c>
    </row>
    <row r="630" spans="1:9" x14ac:dyDescent="0.3">
      <c r="A630" s="10">
        <v>23224</v>
      </c>
      <c r="B630">
        <v>1963</v>
      </c>
      <c r="C630" t="s">
        <v>21</v>
      </c>
      <c r="D630" s="6">
        <v>1963.5833333210001</v>
      </c>
      <c r="E630">
        <v>8263</v>
      </c>
      <c r="F630" s="12">
        <f t="shared" si="13"/>
        <v>238.05269999999996</v>
      </c>
      <c r="G630" s="7">
        <f>STANDARDIZE(E630,Climatology!B$9,Climatology!C$9)</f>
        <v>0.46951702354153757</v>
      </c>
      <c r="H630" s="7"/>
      <c r="I630" s="6">
        <f t="shared" si="12"/>
        <v>2.8809475977247967</v>
      </c>
    </row>
    <row r="631" spans="1:9" x14ac:dyDescent="0.3">
      <c r="A631" s="10">
        <v>23193</v>
      </c>
      <c r="B631">
        <v>1963</v>
      </c>
      <c r="C631" t="s">
        <v>22</v>
      </c>
      <c r="D631" s="6">
        <v>1963.49999998764</v>
      </c>
      <c r="E631">
        <v>8926</v>
      </c>
      <c r="F631" s="12">
        <f t="shared" si="13"/>
        <v>259.86539999999997</v>
      </c>
      <c r="G631" s="7">
        <f>STANDARDIZE(E631,Climatology!B$8,Climatology!C$8)</f>
        <v>0.50142875415527166</v>
      </c>
      <c r="H631" s="7"/>
      <c r="I631" s="6">
        <f t="shared" si="12"/>
        <v>2.9113309433116732</v>
      </c>
    </row>
    <row r="632" spans="1:9" x14ac:dyDescent="0.3">
      <c r="A632" s="10">
        <v>23163</v>
      </c>
      <c r="B632">
        <v>1963</v>
      </c>
      <c r="C632" t="s">
        <v>23</v>
      </c>
      <c r="D632" s="6">
        <v>1963.4166666542801</v>
      </c>
      <c r="E632">
        <v>9394</v>
      </c>
      <c r="F632" s="12">
        <f t="shared" si="13"/>
        <v>275.26259999999996</v>
      </c>
      <c r="G632" s="7">
        <f>STANDARDIZE(E632,Climatology!B$7,Climatology!C$7)</f>
        <v>0.73623932224711086</v>
      </c>
      <c r="H632" s="7"/>
      <c r="I632" s="6">
        <f t="shared" si="12"/>
        <v>2.930195869704066</v>
      </c>
    </row>
    <row r="633" spans="1:9" x14ac:dyDescent="0.3">
      <c r="A633" s="10">
        <v>23132</v>
      </c>
      <c r="B633">
        <v>1963</v>
      </c>
      <c r="C633" t="s">
        <v>24</v>
      </c>
      <c r="D633" s="6">
        <v>1963.33333332092</v>
      </c>
      <c r="E633">
        <v>8281</v>
      </c>
      <c r="F633" s="12">
        <f t="shared" si="13"/>
        <v>238.64489999999995</v>
      </c>
      <c r="G633" s="7">
        <f>STANDARDIZE(E633,Climatology!B$6,Climatology!C$6)</f>
        <v>0.98485919690873402</v>
      </c>
      <c r="H633" s="7"/>
      <c r="I633" s="6">
        <f t="shared" si="12"/>
        <v>2.8818367346938771</v>
      </c>
    </row>
    <row r="634" spans="1:9" x14ac:dyDescent="0.3">
      <c r="A634" s="10">
        <v>23102</v>
      </c>
      <c r="B634">
        <v>1963</v>
      </c>
      <c r="C634" t="s">
        <v>25</v>
      </c>
      <c r="D634" s="6">
        <v>1963.2499999875599</v>
      </c>
      <c r="E634">
        <v>6373</v>
      </c>
      <c r="F634" s="12">
        <f t="shared" si="13"/>
        <v>175.87169999999998</v>
      </c>
      <c r="G634" s="7">
        <f>STANDARDIZE(E634,Climatology!B$5,Climatology!C$5)</f>
        <v>1.0278993225535691</v>
      </c>
      <c r="H634" s="7"/>
      <c r="I634" s="6">
        <f t="shared" si="12"/>
        <v>2.7596375333437937</v>
      </c>
    </row>
    <row r="635" spans="1:9" x14ac:dyDescent="0.3">
      <c r="A635" s="10">
        <v>23071</v>
      </c>
      <c r="B635">
        <v>1963</v>
      </c>
      <c r="C635" t="s">
        <v>26</v>
      </c>
      <c r="D635" s="6">
        <v>1963.1666666542001</v>
      </c>
      <c r="E635">
        <v>4632</v>
      </c>
      <c r="F635" s="12">
        <f t="shared" si="13"/>
        <v>118.5928</v>
      </c>
      <c r="G635" s="7">
        <f>STANDARDIZE(E635,Climatology!B$4,Climatology!C$4)</f>
        <v>0.32576259607670094</v>
      </c>
      <c r="H635" s="7"/>
      <c r="I635" s="6">
        <f t="shared" si="12"/>
        <v>2.5602936096718478</v>
      </c>
    </row>
    <row r="636" spans="1:9" x14ac:dyDescent="0.3">
      <c r="A636" s="10">
        <v>23043</v>
      </c>
      <c r="B636">
        <v>1963</v>
      </c>
      <c r="C636" t="s">
        <v>27</v>
      </c>
      <c r="D636" s="6">
        <v>1963.08333332084</v>
      </c>
      <c r="E636">
        <v>4493</v>
      </c>
      <c r="F636" s="12">
        <f t="shared" si="13"/>
        <v>114.01969999999999</v>
      </c>
      <c r="G636" s="7">
        <f>STANDARDIZE(E636,Climatology!B$3,Climatology!C$3)</f>
        <v>2.3265133749432471E-2</v>
      </c>
      <c r="H636" s="7"/>
      <c r="I636" s="6">
        <f t="shared" si="12"/>
        <v>2.5377186734920985</v>
      </c>
    </row>
    <row r="637" spans="1:9" x14ac:dyDescent="0.3">
      <c r="A637" s="10">
        <v>23012</v>
      </c>
      <c r="B637">
        <v>1963</v>
      </c>
      <c r="C637" t="s">
        <v>28</v>
      </c>
      <c r="D637" s="6">
        <v>1962.9999999874799</v>
      </c>
      <c r="E637">
        <v>6048</v>
      </c>
      <c r="F637" s="12">
        <f t="shared" si="13"/>
        <v>165.17919999999998</v>
      </c>
      <c r="G637" s="7">
        <f>STANDARDIZE(E637,Climatology!B$2,Climatology!C$2)</f>
        <v>-0.33590708036247885</v>
      </c>
      <c r="H637" s="7"/>
      <c r="I637" s="6">
        <f t="shared" si="12"/>
        <v>2.7311375661375656</v>
      </c>
    </row>
    <row r="638" spans="1:9" x14ac:dyDescent="0.3">
      <c r="A638" s="10">
        <v>22981</v>
      </c>
      <c r="B638">
        <v>1962</v>
      </c>
      <c r="C638" t="s">
        <v>17</v>
      </c>
      <c r="D638" s="6">
        <v>1962.91666665412</v>
      </c>
      <c r="E638">
        <v>9448</v>
      </c>
      <c r="F638" s="12">
        <f t="shared" si="13"/>
        <v>277.03919999999999</v>
      </c>
      <c r="G638" s="7">
        <f>STANDARDIZE(E638,Climatology!B$13,Climatology!C$13)</f>
        <v>-0.11416851189422061</v>
      </c>
      <c r="H638" s="7"/>
      <c r="I638" s="6">
        <f t="shared" si="12"/>
        <v>2.9322523285351396</v>
      </c>
    </row>
    <row r="639" spans="1:9" x14ac:dyDescent="0.3">
      <c r="A639" s="10">
        <v>22951</v>
      </c>
      <c r="B639">
        <v>1962</v>
      </c>
      <c r="C639" t="s">
        <v>18</v>
      </c>
      <c r="D639" s="6">
        <v>1962.8333333207599</v>
      </c>
      <c r="E639">
        <v>9980</v>
      </c>
      <c r="F639" s="12">
        <f t="shared" si="13"/>
        <v>294.54199999999997</v>
      </c>
      <c r="G639" s="7">
        <f>STANDARDIZE(E639,Climatology!B$12,Climatology!C$12)</f>
        <v>6.109261345889154E-2</v>
      </c>
      <c r="H639" s="7"/>
      <c r="I639" s="6">
        <f t="shared" si="12"/>
        <v>2.9513226452905812</v>
      </c>
    </row>
    <row r="640" spans="1:9" x14ac:dyDescent="0.3">
      <c r="A640" s="10">
        <v>22920</v>
      </c>
      <c r="B640">
        <v>1962</v>
      </c>
      <c r="C640" t="s">
        <v>19</v>
      </c>
      <c r="D640" s="6">
        <v>1962.7499999874001</v>
      </c>
      <c r="E640">
        <v>9180</v>
      </c>
      <c r="F640" s="12">
        <f t="shared" si="13"/>
        <v>268.22199999999998</v>
      </c>
      <c r="G640" s="7">
        <f>STANDARDIZE(E640,Climatology!B$11,Climatology!C$11)</f>
        <v>0.36672936474687062</v>
      </c>
      <c r="H640" s="7"/>
      <c r="I640" s="6">
        <f t="shared" si="12"/>
        <v>2.9218082788671018</v>
      </c>
    </row>
    <row r="641" spans="1:9" x14ac:dyDescent="0.3">
      <c r="A641" s="10">
        <v>22890</v>
      </c>
      <c r="B641">
        <v>1962</v>
      </c>
      <c r="C641" t="s">
        <v>20</v>
      </c>
      <c r="D641" s="6">
        <v>1962.66666665404</v>
      </c>
      <c r="E641">
        <v>9232</v>
      </c>
      <c r="F641" s="12">
        <f t="shared" si="13"/>
        <v>269.93279999999999</v>
      </c>
      <c r="G641" s="7">
        <f>STANDARDIZE(E641,Climatology!B$10,Climatology!C$10)</f>
        <v>0.85426132716791969</v>
      </c>
      <c r="H641" s="7"/>
      <c r="I641" s="6">
        <f t="shared" si="12"/>
        <v>2.9238821490467934</v>
      </c>
    </row>
    <row r="642" spans="1:9" x14ac:dyDescent="0.3">
      <c r="A642" s="10">
        <v>22859</v>
      </c>
      <c r="B642">
        <v>1962</v>
      </c>
      <c r="C642" t="s">
        <v>21</v>
      </c>
      <c r="D642" s="6">
        <v>1962.5833333206799</v>
      </c>
      <c r="E642">
        <v>9716</v>
      </c>
      <c r="F642" s="12">
        <f t="shared" si="13"/>
        <v>285.85639999999995</v>
      </c>
      <c r="G642" s="7">
        <f>STANDARDIZE(E642,Climatology!B$9,Climatology!C$9)</f>
        <v>1.2021079808514523</v>
      </c>
      <c r="H642" s="7"/>
      <c r="I642" s="6">
        <f t="shared" si="12"/>
        <v>2.9421202140798677</v>
      </c>
    </row>
    <row r="643" spans="1:9" x14ac:dyDescent="0.3">
      <c r="A643" s="10">
        <v>22828</v>
      </c>
      <c r="B643">
        <v>1962</v>
      </c>
      <c r="C643" t="s">
        <v>22</v>
      </c>
      <c r="D643" s="6">
        <v>1962.4999999873201</v>
      </c>
      <c r="E643">
        <v>10054</v>
      </c>
      <c r="F643" s="12">
        <f t="shared" si="13"/>
        <v>296.97659999999996</v>
      </c>
      <c r="G643" s="7">
        <f>STANDARDIZE(E643,Climatology!B$8,Climatology!C$8)</f>
        <v>1.0572869307045663</v>
      </c>
      <c r="H643" s="7"/>
      <c r="I643" s="6">
        <f t="shared" ref="I643:I706" si="14">F643/E643*100</f>
        <v>2.9538153968569718</v>
      </c>
    </row>
    <row r="644" spans="1:9" x14ac:dyDescent="0.3">
      <c r="A644" s="10">
        <v>22798</v>
      </c>
      <c r="B644">
        <v>1962</v>
      </c>
      <c r="C644" t="s">
        <v>23</v>
      </c>
      <c r="D644" s="6">
        <v>1962.41666665396</v>
      </c>
      <c r="E644">
        <v>9211</v>
      </c>
      <c r="F644" s="12">
        <f t="shared" si="13"/>
        <v>269.24189999999999</v>
      </c>
      <c r="G644" s="7">
        <f>STANDARDIZE(E644,Climatology!B$7,Climatology!C$7)</f>
        <v>0.6276768677961434</v>
      </c>
      <c r="H644" s="7"/>
      <c r="I644" s="6">
        <f t="shared" si="14"/>
        <v>2.9230474432743456</v>
      </c>
    </row>
    <row r="645" spans="1:9" x14ac:dyDescent="0.3">
      <c r="A645" s="10">
        <v>22767</v>
      </c>
      <c r="B645">
        <v>1962</v>
      </c>
      <c r="C645" t="s">
        <v>24</v>
      </c>
      <c r="D645" s="6">
        <v>1962.3333333206001</v>
      </c>
      <c r="E645">
        <v>7250</v>
      </c>
      <c r="F645" s="12">
        <f t="shared" si="13"/>
        <v>204.72499999999997</v>
      </c>
      <c r="G645" s="7">
        <f>STANDARDIZE(E645,Climatology!B$6,Climatology!C$6)</f>
        <v>0.27295105832136657</v>
      </c>
      <c r="H645" s="7"/>
      <c r="I645" s="6">
        <f t="shared" si="14"/>
        <v>2.8237931034482755</v>
      </c>
    </row>
    <row r="646" spans="1:9" x14ac:dyDescent="0.3">
      <c r="A646" s="10">
        <v>22737</v>
      </c>
      <c r="B646">
        <v>1962</v>
      </c>
      <c r="C646" t="s">
        <v>25</v>
      </c>
      <c r="D646" s="6">
        <v>1962.24999998724</v>
      </c>
      <c r="E646">
        <v>4828</v>
      </c>
      <c r="F646" s="12">
        <f t="shared" si="13"/>
        <v>125.04119999999999</v>
      </c>
      <c r="G646" s="7">
        <f>STANDARDIZE(E646,Climatology!B$5,Climatology!C$5)</f>
        <v>-7.8095854682279739E-2</v>
      </c>
      <c r="H646" s="7"/>
      <c r="I646" s="6">
        <f t="shared" si="14"/>
        <v>2.5899171499585747</v>
      </c>
    </row>
    <row r="647" spans="1:9" x14ac:dyDescent="0.3">
      <c r="A647" s="10">
        <v>22706</v>
      </c>
      <c r="B647">
        <v>1962</v>
      </c>
      <c r="C647" t="s">
        <v>26</v>
      </c>
      <c r="D647" s="6">
        <v>1962.1666666538799</v>
      </c>
      <c r="E647">
        <v>4031</v>
      </c>
      <c r="F647" s="12">
        <f t="shared" si="13"/>
        <v>98.819900000000004</v>
      </c>
      <c r="G647" s="7">
        <f>STANDARDIZE(E647,Climatology!B$4,Climatology!C$4)</f>
        <v>-5.6367552678510416E-2</v>
      </c>
      <c r="H647" s="7"/>
      <c r="I647" s="6">
        <f t="shared" si="14"/>
        <v>2.451498387496899</v>
      </c>
    </row>
    <row r="648" spans="1:9" x14ac:dyDescent="0.3">
      <c r="A648" s="10">
        <v>22678</v>
      </c>
      <c r="B648">
        <v>1962</v>
      </c>
      <c r="C648" t="s">
        <v>27</v>
      </c>
      <c r="D648" s="6">
        <v>1962.0833333205201</v>
      </c>
      <c r="E648">
        <v>4102</v>
      </c>
      <c r="F648" s="12">
        <f t="shared" si="13"/>
        <v>101.15579999999999</v>
      </c>
      <c r="G648" s="7">
        <f>STANDARDIZE(E648,Climatology!B$3,Climatology!C$3)</f>
        <v>-0.20469803570132555</v>
      </c>
      <c r="H648" s="7"/>
      <c r="I648" s="6">
        <f t="shared" si="14"/>
        <v>2.4660117016089709</v>
      </c>
    </row>
    <row r="649" spans="1:9" x14ac:dyDescent="0.3">
      <c r="A649" s="10">
        <v>22647</v>
      </c>
      <c r="B649">
        <v>1962</v>
      </c>
      <c r="C649" t="s">
        <v>28</v>
      </c>
      <c r="D649" s="6">
        <v>1961.99999998716</v>
      </c>
      <c r="E649">
        <v>7141</v>
      </c>
      <c r="F649" s="12">
        <f t="shared" si="13"/>
        <v>201.13889999999998</v>
      </c>
      <c r="G649" s="7">
        <f>STANDARDIZE(E649,Climatology!B$2,Climatology!C$2)</f>
        <v>0.14078266105038725</v>
      </c>
      <c r="H649" s="7"/>
      <c r="I649" s="6">
        <f t="shared" si="14"/>
        <v>2.8166769360033603</v>
      </c>
    </row>
    <row r="650" spans="1:9" x14ac:dyDescent="0.3">
      <c r="A650" s="10">
        <v>22616</v>
      </c>
      <c r="B650">
        <v>1961</v>
      </c>
      <c r="C650" t="s">
        <v>17</v>
      </c>
      <c r="D650" s="6">
        <v>1961.9166666537999</v>
      </c>
      <c r="E650">
        <v>10821</v>
      </c>
      <c r="F650" s="12">
        <f t="shared" si="13"/>
        <v>322.21089999999998</v>
      </c>
      <c r="G650" s="7">
        <f>STANDARDIZE(E650,Climatology!B$13,Climatology!C$13)</f>
        <v>0.3761055146115988</v>
      </c>
      <c r="H650" s="7"/>
      <c r="I650" s="6">
        <f t="shared" si="14"/>
        <v>2.9776443951575637</v>
      </c>
    </row>
    <row r="651" spans="1:9" x14ac:dyDescent="0.3">
      <c r="A651" s="10">
        <v>22586</v>
      </c>
      <c r="B651">
        <v>1961</v>
      </c>
      <c r="C651" t="s">
        <v>18</v>
      </c>
      <c r="D651" s="6">
        <v>1961.83333332044</v>
      </c>
      <c r="E651">
        <v>9698</v>
      </c>
      <c r="F651" s="12">
        <f t="shared" si="13"/>
        <v>285.26419999999996</v>
      </c>
      <c r="G651" s="7">
        <f>STANDARDIZE(E651,Climatology!B$12,Climatology!C$12)</f>
        <v>-4.9704015971532255E-2</v>
      </c>
      <c r="H651" s="7"/>
      <c r="I651" s="6">
        <f t="shared" si="14"/>
        <v>2.9414745308310986</v>
      </c>
    </row>
    <row r="652" spans="1:9" x14ac:dyDescent="0.3">
      <c r="A652" s="10">
        <v>22555</v>
      </c>
      <c r="B652">
        <v>1961</v>
      </c>
      <c r="C652" t="s">
        <v>19</v>
      </c>
      <c r="D652" s="6">
        <v>1961.7499999870799</v>
      </c>
      <c r="E652">
        <v>7490</v>
      </c>
      <c r="F652" s="12">
        <f t="shared" si="13"/>
        <v>212.62099999999998</v>
      </c>
      <c r="G652" s="7">
        <f>STANDARDIZE(E652,Climatology!B$11,Climatology!C$11)</f>
        <v>-0.50399869949833098</v>
      </c>
      <c r="H652" s="7"/>
      <c r="I652" s="6">
        <f t="shared" si="14"/>
        <v>2.8387316421895856</v>
      </c>
    </row>
    <row r="653" spans="1:9" x14ac:dyDescent="0.3">
      <c r="A653" s="10">
        <v>22525</v>
      </c>
      <c r="B653">
        <v>1961</v>
      </c>
      <c r="C653" t="s">
        <v>20</v>
      </c>
      <c r="D653" s="6">
        <v>1961.6666666537201</v>
      </c>
      <c r="E653">
        <v>6797</v>
      </c>
      <c r="F653" s="12">
        <f t="shared" si="13"/>
        <v>189.82130000000001</v>
      </c>
      <c r="G653" s="7">
        <f>STANDARDIZE(E653,Climatology!B$10,Climatology!C$10)</f>
        <v>-0.34896771882226468</v>
      </c>
      <c r="H653" s="7"/>
      <c r="I653" s="6">
        <f t="shared" si="14"/>
        <v>2.7927217890245699</v>
      </c>
    </row>
    <row r="654" spans="1:9" x14ac:dyDescent="0.3">
      <c r="A654" s="10">
        <v>22494</v>
      </c>
      <c r="B654">
        <v>1961</v>
      </c>
      <c r="C654" t="s">
        <v>21</v>
      </c>
      <c r="D654" s="6">
        <v>1961.58333332036</v>
      </c>
      <c r="E654">
        <v>5872</v>
      </c>
      <c r="F654" s="12">
        <f t="shared" si="13"/>
        <v>159.3888</v>
      </c>
      <c r="G654" s="7">
        <f>STANDARDIZE(E654,Climatology!B$9,Climatology!C$9)</f>
        <v>-0.73600601770278884</v>
      </c>
      <c r="H654" s="7"/>
      <c r="I654" s="6">
        <f t="shared" si="14"/>
        <v>2.7143869209809264</v>
      </c>
    </row>
    <row r="655" spans="1:9" x14ac:dyDescent="0.3">
      <c r="A655" s="10">
        <v>22463</v>
      </c>
      <c r="B655">
        <v>1961</v>
      </c>
      <c r="C655" t="s">
        <v>22</v>
      </c>
      <c r="D655" s="6">
        <v>1961.4999999869999</v>
      </c>
      <c r="E655">
        <v>6121</v>
      </c>
      <c r="F655" s="12">
        <f t="shared" si="13"/>
        <v>167.58089999999999</v>
      </c>
      <c r="G655" s="7">
        <f>STANDARDIZE(E655,Climatology!B$8,Climatology!C$8)</f>
        <v>-0.88082495614683054</v>
      </c>
      <c r="H655" s="7"/>
      <c r="I655" s="6">
        <f t="shared" si="14"/>
        <v>2.7378026466263679</v>
      </c>
    </row>
    <row r="656" spans="1:9" x14ac:dyDescent="0.3">
      <c r="A656" s="10">
        <v>22433</v>
      </c>
      <c r="B656">
        <v>1961</v>
      </c>
      <c r="C656" t="s">
        <v>23</v>
      </c>
      <c r="D656" s="6">
        <v>1961.41666665364</v>
      </c>
      <c r="E656">
        <v>5772</v>
      </c>
      <c r="F656" s="12">
        <f t="shared" si="13"/>
        <v>156.09879999999998</v>
      </c>
      <c r="G656" s="7">
        <f>STANDARDIZE(E656,Climatology!B$7,Climatology!C$7)</f>
        <v>-1.4124667434436213</v>
      </c>
      <c r="H656" s="7"/>
      <c r="I656" s="6">
        <f t="shared" si="14"/>
        <v>2.7044144144144142</v>
      </c>
    </row>
    <row r="657" spans="1:9" x14ac:dyDescent="0.3">
      <c r="A657" s="10">
        <v>22402</v>
      </c>
      <c r="B657">
        <v>1961</v>
      </c>
      <c r="C657" t="s">
        <v>24</v>
      </c>
      <c r="D657" s="6">
        <v>1961.33333332028</v>
      </c>
      <c r="E657">
        <v>5702</v>
      </c>
      <c r="F657" s="12">
        <f t="shared" si="13"/>
        <v>153.79579999999999</v>
      </c>
      <c r="G657" s="7">
        <f>STANDARDIZE(E657,Climatology!B$6,Climatology!C$6)</f>
        <v>-0.79594690339856045</v>
      </c>
      <c r="H657" s="7"/>
      <c r="I657" s="6">
        <f t="shared" si="14"/>
        <v>2.6972255349000345</v>
      </c>
    </row>
    <row r="658" spans="1:9" x14ac:dyDescent="0.3">
      <c r="A658" s="10">
        <v>22372</v>
      </c>
      <c r="B658">
        <v>1961</v>
      </c>
      <c r="C658" t="s">
        <v>25</v>
      </c>
      <c r="D658" s="6">
        <v>1961.2499999869201</v>
      </c>
      <c r="E658">
        <v>4407</v>
      </c>
      <c r="F658" s="12">
        <f t="shared" si="13"/>
        <v>111.19029999999999</v>
      </c>
      <c r="G658" s="7">
        <f>STANDARDIZE(E658,Climatology!B$5,Climatology!C$5)</f>
        <v>-0.37947059229800295</v>
      </c>
      <c r="H658" s="7"/>
      <c r="I658" s="6">
        <f t="shared" si="14"/>
        <v>2.5230383480825957</v>
      </c>
    </row>
    <row r="659" spans="1:9" x14ac:dyDescent="0.3">
      <c r="A659" s="10">
        <v>22341</v>
      </c>
      <c r="B659">
        <v>1961</v>
      </c>
      <c r="C659" t="s">
        <v>26</v>
      </c>
      <c r="D659" s="6">
        <v>1961.16666665356</v>
      </c>
      <c r="E659">
        <v>3098</v>
      </c>
      <c r="F659" s="12">
        <f t="shared" si="13"/>
        <v>68.124200000000002</v>
      </c>
      <c r="G659" s="7">
        <f>STANDARDIZE(E659,Climatology!B$4,Climatology!C$4)</f>
        <v>-0.64959122786754897</v>
      </c>
      <c r="H659" s="7"/>
      <c r="I659" s="6">
        <f t="shared" si="14"/>
        <v>2.1989735313105228</v>
      </c>
    </row>
    <row r="660" spans="1:9" x14ac:dyDescent="0.3">
      <c r="A660" s="10">
        <v>22313</v>
      </c>
      <c r="B660">
        <v>1961</v>
      </c>
      <c r="C660" t="s">
        <v>27</v>
      </c>
      <c r="D660" s="6">
        <v>1961.0833333201999</v>
      </c>
      <c r="E660">
        <v>4318</v>
      </c>
      <c r="F660" s="12">
        <f t="shared" si="13"/>
        <v>108.26219999999999</v>
      </c>
      <c r="G660" s="7">
        <f>STANDARDIZE(E660,Climatology!B$3,Climatology!C$3)</f>
        <v>-7.8764417795024438E-2</v>
      </c>
      <c r="H660" s="7"/>
      <c r="I660" s="6">
        <f t="shared" si="14"/>
        <v>2.5072301991662806</v>
      </c>
    </row>
    <row r="661" spans="1:9" x14ac:dyDescent="0.3">
      <c r="A661" s="10">
        <v>22282</v>
      </c>
      <c r="B661">
        <v>1961</v>
      </c>
      <c r="C661" t="s">
        <v>28</v>
      </c>
      <c r="D661" s="6">
        <v>1960.9999999868401</v>
      </c>
      <c r="E661">
        <v>7496</v>
      </c>
      <c r="F661" s="12">
        <f t="shared" si="13"/>
        <v>212.8184</v>
      </c>
      <c r="G661" s="7">
        <f>STANDARDIZE(E661,Climatology!B$2,Climatology!C$2)</f>
        <v>0.29560869783132726</v>
      </c>
      <c r="H661" s="7"/>
      <c r="I661" s="6">
        <f t="shared" si="14"/>
        <v>2.8390928495197438</v>
      </c>
    </row>
    <row r="662" spans="1:9" x14ac:dyDescent="0.3">
      <c r="A662" s="10">
        <v>22251</v>
      </c>
      <c r="B662">
        <v>1960</v>
      </c>
      <c r="C662" t="s">
        <v>17</v>
      </c>
      <c r="D662" s="6">
        <v>1960.91666665348</v>
      </c>
      <c r="E662">
        <v>10340</v>
      </c>
      <c r="F662" s="12">
        <f t="shared" si="13"/>
        <v>306.38599999999997</v>
      </c>
      <c r="G662" s="7">
        <f>STANDARDIZE(E662,Climatology!B$13,Climatology!C$13)</f>
        <v>0.20434891829018645</v>
      </c>
      <c r="H662" s="7"/>
      <c r="I662" s="6">
        <f t="shared" si="14"/>
        <v>2.9631141199226301</v>
      </c>
    </row>
    <row r="663" spans="1:9" x14ac:dyDescent="0.3">
      <c r="A663" s="10">
        <v>22221</v>
      </c>
      <c r="B663">
        <v>1960</v>
      </c>
      <c r="C663" t="s">
        <v>18</v>
      </c>
      <c r="D663" s="6">
        <v>1960.8333333201199</v>
      </c>
      <c r="E663">
        <v>9379</v>
      </c>
      <c r="F663" s="12">
        <f t="shared" si="13"/>
        <v>274.76909999999998</v>
      </c>
      <c r="G663" s="7">
        <f>STANDARDIZE(E663,Climatology!B$12,Climatology!C$12)</f>
        <v>-0.17503779181658613</v>
      </c>
      <c r="H663" s="7"/>
      <c r="I663" s="6">
        <f t="shared" si="14"/>
        <v>2.929620428617123</v>
      </c>
    </row>
    <row r="664" spans="1:9" x14ac:dyDescent="0.3">
      <c r="A664" s="10">
        <v>22190</v>
      </c>
      <c r="B664">
        <v>1960</v>
      </c>
      <c r="C664" t="s">
        <v>19</v>
      </c>
      <c r="D664" s="6">
        <v>1960.74999998676</v>
      </c>
      <c r="E664">
        <v>7585</v>
      </c>
      <c r="F664" s="12">
        <f t="shared" si="13"/>
        <v>215.74649999999997</v>
      </c>
      <c r="G664" s="7">
        <f>STANDARDIZE(E664,Climatology!B$11,Climatology!C$11)</f>
        <v>-0.4550524473662042</v>
      </c>
      <c r="H664" s="7"/>
      <c r="I664" s="6">
        <f t="shared" si="14"/>
        <v>2.8443836519446273</v>
      </c>
    </row>
    <row r="665" spans="1:9" x14ac:dyDescent="0.3">
      <c r="A665" s="10">
        <v>22160</v>
      </c>
      <c r="B665">
        <v>1960</v>
      </c>
      <c r="C665" t="s">
        <v>20</v>
      </c>
      <c r="D665" s="6">
        <v>1960.6666666533999</v>
      </c>
      <c r="E665">
        <v>7813</v>
      </c>
      <c r="F665" s="12">
        <f t="shared" si="13"/>
        <v>223.24769999999995</v>
      </c>
      <c r="G665" s="7">
        <f>STANDARDIZE(E665,Climatology!B$10,Climatology!C$10)</f>
        <v>0.15307774759499498</v>
      </c>
      <c r="H665" s="7"/>
      <c r="I665" s="6">
        <f t="shared" si="14"/>
        <v>2.8573876871880195</v>
      </c>
    </row>
    <row r="666" spans="1:9" x14ac:dyDescent="0.3">
      <c r="A666" s="10">
        <v>22129</v>
      </c>
      <c r="B666">
        <v>1960</v>
      </c>
      <c r="C666" t="s">
        <v>21</v>
      </c>
      <c r="D666" s="6">
        <v>1960.5833333200401</v>
      </c>
      <c r="E666">
        <v>7157</v>
      </c>
      <c r="F666" s="12">
        <f t="shared" si="13"/>
        <v>201.6653</v>
      </c>
      <c r="G666" s="7">
        <f>STANDARDIZE(E666,Climatology!B$9,Climatology!C$9)</f>
        <v>-8.8119314231873136E-2</v>
      </c>
      <c r="H666" s="7"/>
      <c r="I666" s="6">
        <f t="shared" si="14"/>
        <v>2.8177350845326252</v>
      </c>
    </row>
    <row r="667" spans="1:9" x14ac:dyDescent="0.3">
      <c r="A667" s="10">
        <v>22098</v>
      </c>
      <c r="B667">
        <v>1960</v>
      </c>
      <c r="C667" t="s">
        <v>22</v>
      </c>
      <c r="D667" s="6">
        <v>1960.49999998668</v>
      </c>
      <c r="E667">
        <v>7877</v>
      </c>
      <c r="F667" s="12">
        <f t="shared" si="13"/>
        <v>225.35329999999999</v>
      </c>
      <c r="G667" s="7">
        <f>STANDARDIZE(E667,Climatology!B$8,Climatology!C$8)</f>
        <v>-1.5499638752715943E-2</v>
      </c>
      <c r="H667" s="7"/>
      <c r="I667" s="6">
        <f t="shared" si="14"/>
        <v>2.8609026279040242</v>
      </c>
    </row>
    <row r="668" spans="1:9" x14ac:dyDescent="0.3">
      <c r="A668" s="10">
        <v>22068</v>
      </c>
      <c r="B668">
        <v>1960</v>
      </c>
      <c r="C668" t="s">
        <v>23</v>
      </c>
      <c r="D668" s="6">
        <v>1960.4166666533199</v>
      </c>
      <c r="E668">
        <v>7877</v>
      </c>
      <c r="F668" s="12">
        <f t="shared" si="13"/>
        <v>225.35329999999999</v>
      </c>
      <c r="G668" s="7">
        <f>STANDARDIZE(E668,Climatology!B$7,Climatology!C$7)</f>
        <v>-0.16370189852948794</v>
      </c>
      <c r="H668" s="7"/>
      <c r="I668" s="6">
        <f t="shared" si="14"/>
        <v>2.8609026279040242</v>
      </c>
    </row>
    <row r="669" spans="1:9" x14ac:dyDescent="0.3">
      <c r="A669" s="10">
        <v>22037</v>
      </c>
      <c r="B669">
        <v>1960</v>
      </c>
      <c r="C669" t="s">
        <v>24</v>
      </c>
      <c r="D669" s="6">
        <v>1960.33333331996</v>
      </c>
      <c r="E669">
        <v>6926</v>
      </c>
      <c r="F669" s="12">
        <f t="shared" si="13"/>
        <v>194.06540000000001</v>
      </c>
      <c r="G669" s="7">
        <f>STANDARDIZE(E669,Climatology!B$6,Climatology!C$6)</f>
        <v>4.9228229124172511E-2</v>
      </c>
      <c r="H669" s="7"/>
      <c r="I669" s="6">
        <f t="shared" si="14"/>
        <v>2.8019838290499566</v>
      </c>
    </row>
    <row r="670" spans="1:9" x14ac:dyDescent="0.3">
      <c r="A670" s="10">
        <v>22007</v>
      </c>
      <c r="B670">
        <v>1960</v>
      </c>
      <c r="C670" t="s">
        <v>25</v>
      </c>
      <c r="D670" s="6">
        <v>1960.2499999866</v>
      </c>
      <c r="E670">
        <v>4725</v>
      </c>
      <c r="F670" s="12">
        <f t="shared" si="13"/>
        <v>121.65249999999999</v>
      </c>
      <c r="G670" s="7">
        <f>STANDARDIZE(E670,Climatology!B$5,Climatology!C$5)</f>
        <v>-0.15182886649800301</v>
      </c>
      <c r="H670" s="7"/>
      <c r="I670" s="6">
        <f t="shared" si="14"/>
        <v>2.5746560846560844</v>
      </c>
    </row>
    <row r="671" spans="1:9" x14ac:dyDescent="0.3">
      <c r="A671" s="10">
        <v>21976</v>
      </c>
      <c r="B671">
        <v>1960</v>
      </c>
      <c r="C671" t="s">
        <v>26</v>
      </c>
      <c r="D671" s="6">
        <v>1960.1666666532401</v>
      </c>
      <c r="E671">
        <v>3722</v>
      </c>
      <c r="F671" s="12">
        <f t="shared" si="13"/>
        <v>88.653800000000004</v>
      </c>
      <c r="G671" s="7">
        <f>STANDARDIZE(E671,Climatology!B$4,Climatology!C$4)</f>
        <v>-0.25283712999192193</v>
      </c>
      <c r="H671" s="7"/>
      <c r="I671" s="6">
        <f t="shared" si="14"/>
        <v>2.3818860827512092</v>
      </c>
    </row>
    <row r="672" spans="1:9" x14ac:dyDescent="0.3">
      <c r="A672" s="10">
        <v>21947</v>
      </c>
      <c r="B672">
        <v>1960</v>
      </c>
      <c r="C672" t="s">
        <v>27</v>
      </c>
      <c r="D672" s="6">
        <v>1960.08333331988</v>
      </c>
      <c r="E672">
        <v>4808</v>
      </c>
      <c r="F672" s="12">
        <f t="shared" si="13"/>
        <v>124.3832</v>
      </c>
      <c r="G672" s="7">
        <f>STANDARDIZE(E672,Climatology!B$3,Climatology!C$3)</f>
        <v>0.20691832652945491</v>
      </c>
      <c r="H672" s="7"/>
      <c r="I672" s="6">
        <f t="shared" si="14"/>
        <v>2.5870049916805327</v>
      </c>
    </row>
    <row r="673" spans="1:9" x14ac:dyDescent="0.3">
      <c r="A673" s="10">
        <v>21916</v>
      </c>
      <c r="B673">
        <v>1960</v>
      </c>
      <c r="C673" t="s">
        <v>28</v>
      </c>
      <c r="D673" s="6">
        <v>1959.9999999865199</v>
      </c>
      <c r="E673">
        <v>6761</v>
      </c>
      <c r="F673" s="12">
        <f t="shared" si="13"/>
        <v>188.63689999999997</v>
      </c>
      <c r="G673" s="7">
        <f>STANDARDIZE(E673,Climatology!B$2,Climatology!C$2)</f>
        <v>-2.4946617757379556E-2</v>
      </c>
      <c r="H673" s="7"/>
      <c r="I673" s="6">
        <f t="shared" si="14"/>
        <v>2.7900739535571657</v>
      </c>
    </row>
    <row r="674" spans="1:9" x14ac:dyDescent="0.3">
      <c r="A674" s="10">
        <v>21885</v>
      </c>
      <c r="B674">
        <v>1959</v>
      </c>
      <c r="C674" t="s">
        <v>17</v>
      </c>
      <c r="D674" s="6">
        <v>1959.9166666531601</v>
      </c>
      <c r="E674">
        <v>8926</v>
      </c>
      <c r="F674" s="12">
        <f t="shared" si="13"/>
        <v>259.86539999999997</v>
      </c>
      <c r="G674" s="7">
        <f>STANDARDIZE(E674,Climatology!B$13,Climatology!C$13)</f>
        <v>-0.30056548336984895</v>
      </c>
      <c r="H674" s="7"/>
      <c r="I674" s="6">
        <f t="shared" si="14"/>
        <v>2.9113309433116732</v>
      </c>
    </row>
    <row r="675" spans="1:9" x14ac:dyDescent="0.3">
      <c r="A675" s="10">
        <v>21855</v>
      </c>
      <c r="B675">
        <v>1959</v>
      </c>
      <c r="C675" t="s">
        <v>18</v>
      </c>
      <c r="D675" s="6">
        <v>1959.8333333198</v>
      </c>
      <c r="E675">
        <v>9129</v>
      </c>
      <c r="F675" s="12">
        <f t="shared" si="13"/>
        <v>266.54409999999996</v>
      </c>
      <c r="G675" s="7">
        <f>STANDARDIZE(E675,Climatology!B$12,Climatology!C$12)</f>
        <v>-0.27326175407760012</v>
      </c>
      <c r="H675" s="7"/>
      <c r="I675" s="6">
        <f t="shared" si="14"/>
        <v>2.9197513418775327</v>
      </c>
    </row>
    <row r="676" spans="1:9" x14ac:dyDescent="0.3">
      <c r="A676" s="10">
        <v>21824</v>
      </c>
      <c r="B676">
        <v>1959</v>
      </c>
      <c r="C676" t="s">
        <v>19</v>
      </c>
      <c r="D676" s="6">
        <v>1959.7499999864399</v>
      </c>
      <c r="E676">
        <v>7289</v>
      </c>
      <c r="F676" s="12">
        <f t="shared" si="13"/>
        <v>206.00810000000001</v>
      </c>
      <c r="G676" s="7">
        <f>STANDARDIZE(E676,Climatology!B$11,Climatology!C$11)</f>
        <v>-0.607558664535778</v>
      </c>
      <c r="H676" s="7"/>
      <c r="I676" s="6">
        <f t="shared" si="14"/>
        <v>2.8262875565921255</v>
      </c>
    </row>
    <row r="677" spans="1:9" x14ac:dyDescent="0.3">
      <c r="A677" s="10">
        <v>21794</v>
      </c>
      <c r="B677">
        <v>1959</v>
      </c>
      <c r="C677" t="s">
        <v>20</v>
      </c>
      <c r="D677" s="6">
        <v>1959.66666665308</v>
      </c>
      <c r="E677">
        <v>6218</v>
      </c>
      <c r="F677" s="12">
        <f t="shared" si="13"/>
        <v>170.7722</v>
      </c>
      <c r="G677" s="7">
        <f>STANDARDIZE(E677,Climatology!B$10,Climatology!C$10)</f>
        <v>-0.63507433797147073</v>
      </c>
      <c r="H677" s="7"/>
      <c r="I677" s="6">
        <f t="shared" si="14"/>
        <v>2.7464168542939853</v>
      </c>
    </row>
    <row r="678" spans="1:9" x14ac:dyDescent="0.3">
      <c r="A678" s="10">
        <v>21763</v>
      </c>
      <c r="B678">
        <v>1959</v>
      </c>
      <c r="C678" t="s">
        <v>21</v>
      </c>
      <c r="D678" s="6">
        <v>1959.5833333197199</v>
      </c>
      <c r="E678">
        <v>6096</v>
      </c>
      <c r="F678" s="12">
        <f t="shared" si="13"/>
        <v>166.75839999999999</v>
      </c>
      <c r="G678" s="7">
        <f>STANDARDIZE(E678,Climatology!B$9,Climatology!C$9)</f>
        <v>-0.62306701258412334</v>
      </c>
      <c r="H678" s="7"/>
      <c r="I678" s="6">
        <f t="shared" si="14"/>
        <v>2.7355380577427821</v>
      </c>
    </row>
    <row r="679" spans="1:9" x14ac:dyDescent="0.3">
      <c r="A679" s="10">
        <v>21732</v>
      </c>
      <c r="B679">
        <v>1959</v>
      </c>
      <c r="C679" t="s">
        <v>22</v>
      </c>
      <c r="D679" s="6">
        <v>1959.4999999863601</v>
      </c>
      <c r="E679">
        <v>6924</v>
      </c>
      <c r="F679" s="12">
        <f t="shared" ref="F679:F742" si="15">(0.0329*E679)-33.8</f>
        <v>193.99959999999999</v>
      </c>
      <c r="G679" s="7">
        <f>STANDARDIZE(E679,Climatology!B$8,Climatology!C$8)</f>
        <v>-0.48512095280544443</v>
      </c>
      <c r="H679" s="7"/>
      <c r="I679" s="6">
        <f t="shared" si="14"/>
        <v>2.8018428653957246</v>
      </c>
    </row>
    <row r="680" spans="1:9" x14ac:dyDescent="0.3">
      <c r="A680" s="10">
        <v>21702</v>
      </c>
      <c r="B680">
        <v>1959</v>
      </c>
      <c r="C680" t="s">
        <v>23</v>
      </c>
      <c r="D680" s="6">
        <v>1959.416666653</v>
      </c>
      <c r="E680">
        <v>6802</v>
      </c>
      <c r="F680" s="12">
        <f t="shared" si="15"/>
        <v>189.98579999999998</v>
      </c>
      <c r="G680" s="7">
        <f>STANDARDIZE(E680,Climatology!B$7,Climatology!C$7)</f>
        <v>-0.8014321637469195</v>
      </c>
      <c r="H680" s="7"/>
      <c r="I680" s="6">
        <f t="shared" si="14"/>
        <v>2.7930873272566892</v>
      </c>
    </row>
    <row r="681" spans="1:9" x14ac:dyDescent="0.3">
      <c r="A681" s="10">
        <v>21671</v>
      </c>
      <c r="B681">
        <v>1959</v>
      </c>
      <c r="C681" t="s">
        <v>24</v>
      </c>
      <c r="D681" s="6">
        <v>1959.3333333196399</v>
      </c>
      <c r="E681">
        <v>5828</v>
      </c>
      <c r="F681" s="12">
        <f t="shared" si="15"/>
        <v>157.94119999999998</v>
      </c>
      <c r="G681" s="7">
        <f>STANDARDIZE(E681,Climatology!B$6,Climatology!C$6)</f>
        <v>-0.70894358093298504</v>
      </c>
      <c r="H681" s="7"/>
      <c r="I681" s="6">
        <f t="shared" si="14"/>
        <v>2.7100411805078926</v>
      </c>
    </row>
    <row r="682" spans="1:9" x14ac:dyDescent="0.3">
      <c r="A682" s="10">
        <v>21641</v>
      </c>
      <c r="B682">
        <v>1959</v>
      </c>
      <c r="C682" t="s">
        <v>25</v>
      </c>
      <c r="D682" s="6">
        <v>1959.24999998628</v>
      </c>
      <c r="E682">
        <v>3098</v>
      </c>
      <c r="F682" s="12">
        <f t="shared" si="15"/>
        <v>68.124200000000002</v>
      </c>
      <c r="G682" s="7">
        <f>STANDARDIZE(E682,Climatology!B$5,Climatology!C$5)</f>
        <v>-1.3165241113929713</v>
      </c>
      <c r="H682" s="7"/>
      <c r="I682" s="6">
        <f t="shared" si="14"/>
        <v>2.1989735313105228</v>
      </c>
    </row>
    <row r="683" spans="1:9" x14ac:dyDescent="0.3">
      <c r="A683" s="10">
        <v>21610</v>
      </c>
      <c r="B683">
        <v>1959</v>
      </c>
      <c r="C683" t="s">
        <v>26</v>
      </c>
      <c r="D683" s="6">
        <v>1959.16666665291</v>
      </c>
      <c r="E683">
        <v>2299</v>
      </c>
      <c r="F683" s="12">
        <f t="shared" si="15"/>
        <v>41.837100000000007</v>
      </c>
      <c r="G683" s="7">
        <f>STANDARDIZE(E683,Climatology!B$4,Climatology!C$4)</f>
        <v>-1.1576145038332959</v>
      </c>
      <c r="H683" s="7"/>
      <c r="I683" s="6">
        <f t="shared" si="14"/>
        <v>1.8197955632883864</v>
      </c>
    </row>
    <row r="684" spans="1:9" x14ac:dyDescent="0.3">
      <c r="A684" s="10">
        <v>21582</v>
      </c>
      <c r="B684">
        <v>1959</v>
      </c>
      <c r="C684" t="s">
        <v>27</v>
      </c>
      <c r="D684" s="6">
        <v>1959.0833333195501</v>
      </c>
      <c r="E684">
        <v>2138</v>
      </c>
      <c r="F684" s="12">
        <f t="shared" si="15"/>
        <v>36.540199999999999</v>
      </c>
      <c r="G684" s="7">
        <f>STANDARDIZE(E684,Climatology!B$3,Climatology!C$3)</f>
        <v>-1.3497611170345449</v>
      </c>
      <c r="H684" s="7"/>
      <c r="I684" s="6">
        <f t="shared" si="14"/>
        <v>1.7090832553788589</v>
      </c>
    </row>
    <row r="685" spans="1:9" x14ac:dyDescent="0.3">
      <c r="A685" s="10">
        <v>21551</v>
      </c>
      <c r="B685">
        <v>1959</v>
      </c>
      <c r="C685" t="s">
        <v>28</v>
      </c>
      <c r="D685" s="6">
        <v>1958.99999998619</v>
      </c>
      <c r="E685">
        <v>3454</v>
      </c>
      <c r="F685" s="12">
        <f t="shared" si="15"/>
        <v>79.836600000000004</v>
      </c>
      <c r="G685" s="7">
        <f>STANDARDIZE(E685,Climatology!B$2,Climatology!C$2)</f>
        <v>-1.4672274730660237</v>
      </c>
      <c r="H685" s="7"/>
      <c r="I685" s="6">
        <f t="shared" si="14"/>
        <v>2.3114244354371745</v>
      </c>
    </row>
    <row r="686" spans="1:9" x14ac:dyDescent="0.3">
      <c r="A686" s="10">
        <v>21520</v>
      </c>
      <c r="B686">
        <v>1958</v>
      </c>
      <c r="C686" t="s">
        <v>17</v>
      </c>
      <c r="D686" s="6">
        <v>1958.9166666528299</v>
      </c>
      <c r="E686">
        <v>5562</v>
      </c>
      <c r="F686" s="12">
        <f t="shared" si="15"/>
        <v>149.18979999999999</v>
      </c>
      <c r="G686" s="7">
        <f>STANDARDIZE(E686,Climatology!B$13,Climatology!C$13)</f>
        <v>-1.5017904106572317</v>
      </c>
      <c r="H686" s="7"/>
      <c r="I686" s="6">
        <f t="shared" si="14"/>
        <v>2.6823049262855085</v>
      </c>
    </row>
    <row r="687" spans="1:9" x14ac:dyDescent="0.3">
      <c r="A687" s="10">
        <v>21490</v>
      </c>
      <c r="B687">
        <v>1958</v>
      </c>
      <c r="C687" t="s">
        <v>18</v>
      </c>
      <c r="D687" s="6">
        <v>1958.8333333194701</v>
      </c>
      <c r="E687">
        <v>7208</v>
      </c>
      <c r="F687" s="12">
        <f t="shared" si="15"/>
        <v>203.34319999999997</v>
      </c>
      <c r="G687" s="7">
        <f>STANDARDIZE(E687,Climatology!B$12,Climatology!C$12)</f>
        <v>-1.0280146800912318</v>
      </c>
      <c r="H687" s="7"/>
      <c r="I687" s="6">
        <f t="shared" si="14"/>
        <v>2.8210765815760261</v>
      </c>
    </row>
    <row r="688" spans="1:9" x14ac:dyDescent="0.3">
      <c r="A688" s="10">
        <v>21459</v>
      </c>
      <c r="B688">
        <v>1958</v>
      </c>
      <c r="C688" t="s">
        <v>19</v>
      </c>
      <c r="D688" s="6">
        <v>1958.74999998611</v>
      </c>
      <c r="E688">
        <v>5663</v>
      </c>
      <c r="F688" s="12">
        <f t="shared" si="15"/>
        <v>152.5127</v>
      </c>
      <c r="G688" s="7">
        <f>STANDARDIZE(E688,Climatology!B$11,Climatology!C$11)</f>
        <v>-1.4453124115551259</v>
      </c>
      <c r="H688" s="7"/>
      <c r="I688" s="6">
        <f t="shared" si="14"/>
        <v>2.693143210312555</v>
      </c>
    </row>
    <row r="689" spans="1:9" x14ac:dyDescent="0.3">
      <c r="A689" s="10">
        <v>21429</v>
      </c>
      <c r="B689">
        <v>1958</v>
      </c>
      <c r="C689" t="s">
        <v>20</v>
      </c>
      <c r="D689" s="6">
        <v>1958.6666666527501</v>
      </c>
      <c r="E689">
        <v>5019</v>
      </c>
      <c r="F689" s="12">
        <f t="shared" si="15"/>
        <v>131.32510000000002</v>
      </c>
      <c r="G689" s="7">
        <f>STANDARDIZE(E689,Climatology!B$10,Climatology!C$10)</f>
        <v>-1.2275472850524691</v>
      </c>
      <c r="H689" s="7"/>
      <c r="I689" s="6">
        <f t="shared" si="14"/>
        <v>2.616559075513051</v>
      </c>
    </row>
    <row r="690" spans="1:9" x14ac:dyDescent="0.3">
      <c r="A690" s="10">
        <v>21398</v>
      </c>
      <c r="B690">
        <v>1958</v>
      </c>
      <c r="C690" t="s">
        <v>21</v>
      </c>
      <c r="D690" s="6">
        <v>1958.58333331939</v>
      </c>
      <c r="E690">
        <v>5607</v>
      </c>
      <c r="F690" s="12">
        <f t="shared" si="15"/>
        <v>150.6703</v>
      </c>
      <c r="G690" s="7">
        <f>STANDARDIZE(E690,Climatology!B$9,Climatology!C$9)</f>
        <v>-0.86961689429406719</v>
      </c>
      <c r="H690" s="7"/>
      <c r="I690" s="6">
        <f t="shared" si="14"/>
        <v>2.6871820938113071</v>
      </c>
    </row>
    <row r="691" spans="1:9" x14ac:dyDescent="0.3">
      <c r="A691" s="10">
        <v>21367</v>
      </c>
      <c r="B691">
        <v>1958</v>
      </c>
      <c r="C691" t="s">
        <v>22</v>
      </c>
      <c r="D691" s="6">
        <v>1958.4999999860299</v>
      </c>
      <c r="E691">
        <v>4748</v>
      </c>
      <c r="F691" s="12">
        <f t="shared" si="15"/>
        <v>122.40919999999998</v>
      </c>
      <c r="G691" s="7">
        <f>STANDARDIZE(E691,Climatology!B$8,Climatology!C$8)</f>
        <v>-1.5574147401913176</v>
      </c>
      <c r="H691" s="7"/>
      <c r="I691" s="6">
        <f t="shared" si="14"/>
        <v>2.5781213142375732</v>
      </c>
    </row>
    <row r="692" spans="1:9" x14ac:dyDescent="0.3">
      <c r="A692" s="10">
        <v>21337</v>
      </c>
      <c r="B692">
        <v>1958</v>
      </c>
      <c r="C692" t="s">
        <v>23</v>
      </c>
      <c r="D692" s="6">
        <v>1958.4166666526701</v>
      </c>
      <c r="E692">
        <v>6442</v>
      </c>
      <c r="F692" s="12">
        <f t="shared" si="15"/>
        <v>178.14179999999999</v>
      </c>
      <c r="G692" s="7">
        <f>STANDARDIZE(E692,Climatology!B$7,Climatology!C$7)</f>
        <v>-1.0149976479127572</v>
      </c>
      <c r="H692" s="7"/>
      <c r="I692" s="6">
        <f t="shared" si="14"/>
        <v>2.7653182241539893</v>
      </c>
    </row>
    <row r="693" spans="1:9" x14ac:dyDescent="0.3">
      <c r="A693" s="10">
        <v>21306</v>
      </c>
      <c r="B693">
        <v>1958</v>
      </c>
      <c r="C693" t="s">
        <v>24</v>
      </c>
      <c r="D693" s="6">
        <v>1958.33333331931</v>
      </c>
      <c r="E693">
        <v>5668</v>
      </c>
      <c r="F693" s="12">
        <f t="shared" si="15"/>
        <v>152.67719999999997</v>
      </c>
      <c r="G693" s="7">
        <f>STANDARDIZE(E693,Climatology!B$6,Climatology!C$6)</f>
        <v>-0.81942399041308089</v>
      </c>
      <c r="H693" s="7"/>
      <c r="I693" s="6">
        <f t="shared" si="14"/>
        <v>2.6936697247706416</v>
      </c>
    </row>
    <row r="694" spans="1:9" x14ac:dyDescent="0.3">
      <c r="A694" s="10">
        <v>21276</v>
      </c>
      <c r="B694">
        <v>1958</v>
      </c>
      <c r="C694" t="s">
        <v>25</v>
      </c>
      <c r="D694" s="6">
        <v>1958.2499999859499</v>
      </c>
      <c r="E694">
        <v>3441</v>
      </c>
      <c r="F694" s="12">
        <f t="shared" si="15"/>
        <v>79.408900000000003</v>
      </c>
      <c r="G694" s="7">
        <f>STANDARDIZE(E694,Climatology!B$5,Climatology!C$5)</f>
        <v>-1.0709860235017763</v>
      </c>
      <c r="H694" s="7"/>
      <c r="I694" s="6">
        <f t="shared" si="14"/>
        <v>2.3077274048241789</v>
      </c>
    </row>
    <row r="695" spans="1:9" x14ac:dyDescent="0.3">
      <c r="A695" s="10">
        <v>21245</v>
      </c>
      <c r="B695">
        <v>1958</v>
      </c>
      <c r="C695" t="s">
        <v>26</v>
      </c>
      <c r="D695" s="6">
        <v>1958.16666665259</v>
      </c>
      <c r="E695">
        <v>2527</v>
      </c>
      <c r="F695" s="12">
        <f t="shared" si="15"/>
        <v>49.338300000000004</v>
      </c>
      <c r="G695" s="7">
        <f>STANDARDIZE(E695,Climatology!B$4,Climatology!C$4)</f>
        <v>-1.0126466603787398</v>
      </c>
      <c r="H695" s="7"/>
      <c r="I695" s="6">
        <f t="shared" si="14"/>
        <v>1.952445587653344</v>
      </c>
    </row>
    <row r="696" spans="1:9" x14ac:dyDescent="0.3">
      <c r="A696" s="10">
        <v>21217</v>
      </c>
      <c r="B696">
        <v>1958</v>
      </c>
      <c r="C696" t="s">
        <v>27</v>
      </c>
      <c r="D696" s="6">
        <v>1958.08333331923</v>
      </c>
      <c r="E696">
        <v>2651</v>
      </c>
      <c r="F696" s="12">
        <f t="shared" si="15"/>
        <v>53.417900000000003</v>
      </c>
      <c r="G696" s="7">
        <f>STANDARDIZE(E696,Climatology!B$3,Climatology!C$3)</f>
        <v>-1.0506687745070797</v>
      </c>
      <c r="H696" s="7"/>
      <c r="I696" s="6">
        <f t="shared" si="14"/>
        <v>2.0150094304036212</v>
      </c>
    </row>
    <row r="697" spans="1:9" x14ac:dyDescent="0.3">
      <c r="A697" s="10">
        <v>21186</v>
      </c>
      <c r="B697">
        <v>1958</v>
      </c>
      <c r="C697" t="s">
        <v>28</v>
      </c>
      <c r="D697" s="6">
        <v>1957.9999999858701</v>
      </c>
      <c r="E697">
        <v>3656</v>
      </c>
      <c r="F697" s="12">
        <f t="shared" si="15"/>
        <v>86.482399999999998</v>
      </c>
      <c r="G697" s="7">
        <f>STANDARDIZE(E697,Climatology!B$2,Climatology!C$2)</f>
        <v>-1.3791292774892636</v>
      </c>
      <c r="H697" s="7"/>
      <c r="I697" s="6">
        <f t="shared" si="14"/>
        <v>2.3654923413566737</v>
      </c>
    </row>
    <row r="698" spans="1:9" x14ac:dyDescent="0.3">
      <c r="A698" s="10">
        <v>21155</v>
      </c>
      <c r="B698">
        <v>1957</v>
      </c>
      <c r="C698" t="s">
        <v>17</v>
      </c>
      <c r="D698" s="6">
        <v>1957.91666665251</v>
      </c>
      <c r="E698">
        <v>6407</v>
      </c>
      <c r="F698" s="12">
        <f t="shared" si="15"/>
        <v>176.99029999999999</v>
      </c>
      <c r="G698" s="7">
        <f>STANDARDIZE(E698,Climatology!B$13,Climatology!C$13)</f>
        <v>-1.2000558495520479</v>
      </c>
      <c r="H698" s="7"/>
      <c r="I698" s="6">
        <f t="shared" si="14"/>
        <v>2.7624520056188544</v>
      </c>
    </row>
    <row r="699" spans="1:9" x14ac:dyDescent="0.3">
      <c r="A699" s="10">
        <v>21125</v>
      </c>
      <c r="B699">
        <v>1957</v>
      </c>
      <c r="C699" t="s">
        <v>18</v>
      </c>
      <c r="D699" s="6">
        <v>1957.8333333191499</v>
      </c>
      <c r="E699">
        <v>7167</v>
      </c>
      <c r="F699" s="12">
        <f t="shared" si="15"/>
        <v>201.99430000000001</v>
      </c>
      <c r="G699" s="7">
        <f>STANDARDIZE(E699,Climatology!B$12,Climatology!C$12)</f>
        <v>-1.044123409902038</v>
      </c>
      <c r="H699" s="7"/>
      <c r="I699" s="6">
        <f t="shared" si="14"/>
        <v>2.8183940281847359</v>
      </c>
    </row>
    <row r="700" spans="1:9" x14ac:dyDescent="0.3">
      <c r="A700" s="10">
        <v>21094</v>
      </c>
      <c r="B700">
        <v>1957</v>
      </c>
      <c r="C700" t="s">
        <v>19</v>
      </c>
      <c r="D700" s="6">
        <v>1957.7499999857901</v>
      </c>
      <c r="E700">
        <v>6284</v>
      </c>
      <c r="F700" s="12">
        <f t="shared" si="15"/>
        <v>172.9436</v>
      </c>
      <c r="G700" s="7">
        <f>STANDARDIZE(E700,Climatology!B$11,Climatology!C$11)</f>
        <v>-1.1253584897230133</v>
      </c>
      <c r="H700" s="7"/>
      <c r="I700" s="6">
        <f t="shared" si="14"/>
        <v>2.7521260343730107</v>
      </c>
    </row>
    <row r="701" spans="1:9" x14ac:dyDescent="0.3">
      <c r="A701" s="10">
        <v>21064</v>
      </c>
      <c r="B701">
        <v>1957</v>
      </c>
      <c r="C701" t="s">
        <v>20</v>
      </c>
      <c r="D701" s="6">
        <v>1957.66666665243</v>
      </c>
      <c r="E701">
        <v>5136</v>
      </c>
      <c r="F701" s="12">
        <f t="shared" si="15"/>
        <v>135.17439999999999</v>
      </c>
      <c r="G701" s="7">
        <f>STANDARDIZE(E701,Climatology!B$10,Climatology!C$10)</f>
        <v>-1.1697329941363082</v>
      </c>
      <c r="H701" s="7"/>
      <c r="I701" s="6">
        <f t="shared" si="14"/>
        <v>2.6319003115264796</v>
      </c>
    </row>
    <row r="702" spans="1:9" x14ac:dyDescent="0.3">
      <c r="A702" s="10">
        <v>21033</v>
      </c>
      <c r="B702">
        <v>1957</v>
      </c>
      <c r="C702" t="s">
        <v>21</v>
      </c>
      <c r="D702" s="6">
        <v>1957.5833333190701</v>
      </c>
      <c r="E702">
        <v>5317</v>
      </c>
      <c r="F702" s="12">
        <f t="shared" si="15"/>
        <v>141.1293</v>
      </c>
      <c r="G702" s="7">
        <f>STANDARDIZE(E702,Climatology!B$9,Climatology!C$9)</f>
        <v>-1.0158325705637681</v>
      </c>
      <c r="H702" s="7"/>
      <c r="I702" s="6">
        <f t="shared" si="14"/>
        <v>2.6543031784841076</v>
      </c>
    </row>
    <row r="703" spans="1:9" x14ac:dyDescent="0.3">
      <c r="A703" s="10">
        <v>21002</v>
      </c>
      <c r="B703">
        <v>1957</v>
      </c>
      <c r="C703" t="s">
        <v>22</v>
      </c>
      <c r="D703" s="6">
        <v>1957.49999998571</v>
      </c>
      <c r="E703">
        <v>6377</v>
      </c>
      <c r="F703" s="12">
        <f t="shared" si="15"/>
        <v>176.00329999999997</v>
      </c>
      <c r="G703" s="7">
        <f>STANDARDIZE(E703,Climatology!B$8,Climatology!C$8)</f>
        <v>-0.75467274586613964</v>
      </c>
      <c r="H703" s="7"/>
      <c r="I703" s="6">
        <f t="shared" si="14"/>
        <v>2.7599702054257484</v>
      </c>
    </row>
    <row r="704" spans="1:9" x14ac:dyDescent="0.3">
      <c r="A704" s="10">
        <v>20972</v>
      </c>
      <c r="B704">
        <v>1957</v>
      </c>
      <c r="C704" t="s">
        <v>23</v>
      </c>
      <c r="D704" s="6">
        <v>1957.4166666523499</v>
      </c>
      <c r="E704">
        <v>7896</v>
      </c>
      <c r="F704" s="12">
        <f t="shared" si="15"/>
        <v>225.97839999999997</v>
      </c>
      <c r="G704" s="7">
        <f>STANDARDIZE(E704,Climatology!B$7,Climatology!C$7)</f>
        <v>-0.15243038686517985</v>
      </c>
      <c r="H704" s="7"/>
      <c r="I704" s="6">
        <f t="shared" si="14"/>
        <v>2.8619351570415397</v>
      </c>
    </row>
    <row r="705" spans="1:9" x14ac:dyDescent="0.3">
      <c r="A705" s="10">
        <v>20941</v>
      </c>
      <c r="B705">
        <v>1957</v>
      </c>
      <c r="C705" t="s">
        <v>24</v>
      </c>
      <c r="D705" s="6">
        <v>1957.3333333189901</v>
      </c>
      <c r="E705">
        <v>5821</v>
      </c>
      <c r="F705" s="12">
        <f t="shared" si="15"/>
        <v>157.71089999999998</v>
      </c>
      <c r="G705" s="7">
        <f>STANDARDIZE(E705,Climatology!B$6,Climatology!C$6)</f>
        <v>-0.71377709884773921</v>
      </c>
      <c r="H705" s="7"/>
      <c r="I705" s="6">
        <f t="shared" si="14"/>
        <v>2.7093437553684927</v>
      </c>
    </row>
    <row r="706" spans="1:9" x14ac:dyDescent="0.3">
      <c r="A706" s="10">
        <v>20911</v>
      </c>
      <c r="B706">
        <v>1957</v>
      </c>
      <c r="C706" t="s">
        <v>25</v>
      </c>
      <c r="D706" s="6">
        <v>1957.24999998563</v>
      </c>
      <c r="E706">
        <v>4337</v>
      </c>
      <c r="F706" s="12">
        <f t="shared" si="15"/>
        <v>108.8873</v>
      </c>
      <c r="G706" s="7">
        <f>STANDARDIZE(E706,Climatology!B$5,Climatology!C$5)</f>
        <v>-0.4295804061533488</v>
      </c>
      <c r="H706" s="7"/>
      <c r="I706" s="6">
        <f t="shared" si="14"/>
        <v>2.5106594420106063</v>
      </c>
    </row>
    <row r="707" spans="1:9" x14ac:dyDescent="0.3">
      <c r="A707" s="10">
        <v>20880</v>
      </c>
      <c r="B707">
        <v>1957</v>
      </c>
      <c r="C707" t="s">
        <v>26</v>
      </c>
      <c r="D707" s="6">
        <v>1957.1666666522699</v>
      </c>
      <c r="E707">
        <v>3838</v>
      </c>
      <c r="F707" s="12">
        <f t="shared" si="15"/>
        <v>92.470199999999991</v>
      </c>
      <c r="G707" s="7">
        <f>STANDARDIZE(E707,Climatology!B$4,Climatology!C$4)</f>
        <v>-0.17908156051504251</v>
      </c>
      <c r="H707" s="7"/>
      <c r="I707" s="6">
        <f t="shared" ref="I707:I770" si="16">F707/E707*100</f>
        <v>2.4093329859301718</v>
      </c>
    </row>
    <row r="708" spans="1:9" x14ac:dyDescent="0.3">
      <c r="A708" s="10">
        <v>20852</v>
      </c>
      <c r="B708">
        <v>1957</v>
      </c>
      <c r="C708" t="s">
        <v>27</v>
      </c>
      <c r="D708" s="6">
        <v>1957.08333331891</v>
      </c>
      <c r="E708">
        <v>4213</v>
      </c>
      <c r="F708" s="12">
        <f t="shared" si="15"/>
        <v>104.8077</v>
      </c>
      <c r="G708" s="7">
        <f>STANDARDIZE(E708,Climatology!B$3,Climatology!C$3)</f>
        <v>-0.13998214872169859</v>
      </c>
      <c r="H708" s="7"/>
      <c r="I708" s="6">
        <f t="shared" si="16"/>
        <v>2.4877213387135058</v>
      </c>
    </row>
    <row r="709" spans="1:9" x14ac:dyDescent="0.3">
      <c r="A709" s="10">
        <v>20821</v>
      </c>
      <c r="B709">
        <v>1957</v>
      </c>
      <c r="C709" t="s">
        <v>28</v>
      </c>
      <c r="D709" s="6">
        <v>1956.9999999855499</v>
      </c>
      <c r="E709">
        <v>8189</v>
      </c>
      <c r="F709" s="12">
        <f t="shared" si="15"/>
        <v>235.61809999999997</v>
      </c>
      <c r="G709" s="7">
        <f>STANDARDIZE(E709,Climatology!B$2,Climatology!C$2)</f>
        <v>0.59784656681496517</v>
      </c>
      <c r="H709" s="7"/>
      <c r="I709" s="6">
        <f t="shared" si="16"/>
        <v>2.877251190621565</v>
      </c>
    </row>
    <row r="710" spans="1:9" x14ac:dyDescent="0.3">
      <c r="A710" s="10">
        <v>20790</v>
      </c>
      <c r="B710">
        <v>1956</v>
      </c>
      <c r="C710" t="s">
        <v>17</v>
      </c>
      <c r="D710" s="6">
        <v>1956.9166666521901</v>
      </c>
      <c r="F710" s="12"/>
      <c r="G710" s="7"/>
      <c r="H710" s="7"/>
      <c r="I710" s="6"/>
    </row>
    <row r="711" spans="1:9" x14ac:dyDescent="0.3">
      <c r="A711" s="10">
        <v>20760</v>
      </c>
      <c r="B711">
        <v>1956</v>
      </c>
      <c r="C711" t="s">
        <v>18</v>
      </c>
      <c r="D711" s="6">
        <v>1956.83333331883</v>
      </c>
      <c r="F711" s="12"/>
      <c r="G711" s="7"/>
      <c r="H711" s="7"/>
      <c r="I711" s="6"/>
    </row>
    <row r="712" spans="1:9" x14ac:dyDescent="0.3">
      <c r="A712" s="10">
        <v>20729</v>
      </c>
      <c r="B712">
        <v>1956</v>
      </c>
      <c r="C712" t="s">
        <v>19</v>
      </c>
      <c r="D712" s="6">
        <v>1956.7499999854699</v>
      </c>
      <c r="E712">
        <v>9777</v>
      </c>
      <c r="F712" s="12">
        <f t="shared" si="15"/>
        <v>287.86329999999998</v>
      </c>
      <c r="G712" s="7">
        <f>STANDARDIZE(E712,Climatology!B$11,Climatology!C$11)</f>
        <v>0.67431791761928805</v>
      </c>
      <c r="H712" s="7"/>
      <c r="I712" s="6">
        <f t="shared" si="16"/>
        <v>2.9442906822133579</v>
      </c>
    </row>
    <row r="713" spans="1:9" x14ac:dyDescent="0.3">
      <c r="A713" s="10">
        <v>20699</v>
      </c>
      <c r="B713">
        <v>1956</v>
      </c>
      <c r="C713" t="s">
        <v>20</v>
      </c>
      <c r="D713" s="6">
        <v>1956.6666666521101</v>
      </c>
      <c r="E713">
        <v>8480</v>
      </c>
      <c r="F713" s="12">
        <f t="shared" si="15"/>
        <v>245.19199999999995</v>
      </c>
      <c r="G713" s="7">
        <f>STANDARDIZE(E713,Climatology!B$10,Climatology!C$10)</f>
        <v>0.48266861974097153</v>
      </c>
      <c r="H713" s="7"/>
      <c r="I713" s="6">
        <f t="shared" si="16"/>
        <v>2.8914150943396222</v>
      </c>
    </row>
    <row r="714" spans="1:9" x14ac:dyDescent="0.3">
      <c r="A714" s="10">
        <v>20668</v>
      </c>
      <c r="B714">
        <v>1956</v>
      </c>
      <c r="C714" t="s">
        <v>21</v>
      </c>
      <c r="D714" s="6">
        <v>1956.58333331875</v>
      </c>
      <c r="E714">
        <v>8293</v>
      </c>
      <c r="F714" s="12">
        <f t="shared" si="15"/>
        <v>239.03969999999998</v>
      </c>
      <c r="G714" s="7">
        <f>STANDARDIZE(E714,Climatology!B$9,Climatology!C$9)</f>
        <v>0.48464278315564457</v>
      </c>
      <c r="H714" s="7"/>
      <c r="I714" s="6">
        <f t="shared" si="16"/>
        <v>2.8824273483660918</v>
      </c>
    </row>
    <row r="715" spans="1:9" x14ac:dyDescent="0.3">
      <c r="A715" s="10">
        <v>20637</v>
      </c>
      <c r="B715">
        <v>1956</v>
      </c>
      <c r="C715" t="s">
        <v>22</v>
      </c>
      <c r="D715" s="6">
        <v>1956.4999999853901</v>
      </c>
      <c r="E715">
        <v>9889</v>
      </c>
      <c r="F715" s="12">
        <f t="shared" si="15"/>
        <v>291.54809999999998</v>
      </c>
      <c r="G715" s="7">
        <f>STANDARDIZE(E715,Climatology!B$8,Climatology!C$8)</f>
        <v>0.9759778889220897</v>
      </c>
      <c r="H715" s="7"/>
      <c r="I715" s="6">
        <f t="shared" si="16"/>
        <v>2.9482060875720495</v>
      </c>
    </row>
    <row r="716" spans="1:9" x14ac:dyDescent="0.3">
      <c r="A716" s="10">
        <v>20607</v>
      </c>
      <c r="B716">
        <v>1956</v>
      </c>
      <c r="C716" t="s">
        <v>23</v>
      </c>
      <c r="D716" s="6">
        <v>1956.41666665203</v>
      </c>
      <c r="E716">
        <v>9496</v>
      </c>
      <c r="F716" s="12">
        <f t="shared" si="15"/>
        <v>278.61839999999995</v>
      </c>
      <c r="G716" s="7">
        <f>STANDARDIZE(E716,Climatology!B$7,Climatology!C$7)</f>
        <v>0.79674954276076482</v>
      </c>
      <c r="H716" s="7"/>
      <c r="I716" s="6">
        <f t="shared" si="16"/>
        <v>2.9340606571187862</v>
      </c>
    </row>
    <row r="717" spans="1:9" x14ac:dyDescent="0.3">
      <c r="A717" s="10">
        <v>20576</v>
      </c>
      <c r="B717">
        <v>1956</v>
      </c>
      <c r="C717" t="s">
        <v>24</v>
      </c>
      <c r="D717" s="6">
        <v>1956.3333333186699</v>
      </c>
      <c r="E717">
        <v>7264</v>
      </c>
      <c r="F717" s="12">
        <f t="shared" si="15"/>
        <v>205.18559999999997</v>
      </c>
      <c r="G717" s="7">
        <f>STANDARDIZE(E717,Climatology!B$6,Climatology!C$6)</f>
        <v>0.28261809415087491</v>
      </c>
      <c r="H717" s="7"/>
      <c r="I717" s="6">
        <f t="shared" si="16"/>
        <v>2.8246916299559466</v>
      </c>
    </row>
    <row r="718" spans="1:9" x14ac:dyDescent="0.3">
      <c r="A718" s="10">
        <v>20546</v>
      </c>
      <c r="B718">
        <v>1956</v>
      </c>
      <c r="C718" t="s">
        <v>25</v>
      </c>
      <c r="D718" s="6">
        <v>1956.2499999853101</v>
      </c>
      <c r="E718">
        <v>6521</v>
      </c>
      <c r="F718" s="12">
        <f t="shared" si="15"/>
        <v>180.74090000000001</v>
      </c>
      <c r="G718" s="7">
        <f>STANDARDIZE(E718,Climatology!B$5,Climatology!C$5)</f>
        <v>1.1338457861334432</v>
      </c>
      <c r="H718" s="7"/>
      <c r="I718" s="6">
        <f t="shared" si="16"/>
        <v>2.7716745897868424</v>
      </c>
    </row>
    <row r="719" spans="1:9" x14ac:dyDescent="0.3">
      <c r="A719" s="10">
        <v>20515</v>
      </c>
      <c r="B719">
        <v>1956</v>
      </c>
      <c r="C719" t="s">
        <v>26</v>
      </c>
      <c r="D719" s="6">
        <v>1956.16666665195</v>
      </c>
      <c r="E719">
        <v>7076</v>
      </c>
      <c r="F719" s="12">
        <f t="shared" si="15"/>
        <v>199.00040000000001</v>
      </c>
      <c r="G719" s="7">
        <f>STANDARDIZE(E719,Climatology!B$4,Climatology!C$4)</f>
        <v>1.8797161460895737</v>
      </c>
      <c r="H719" s="7"/>
      <c r="I719" s="6">
        <f t="shared" si="16"/>
        <v>2.8123289994347092</v>
      </c>
    </row>
    <row r="720" spans="1:9" x14ac:dyDescent="0.3">
      <c r="A720" s="10">
        <v>20486</v>
      </c>
      <c r="B720">
        <v>1956</v>
      </c>
      <c r="C720" t="s">
        <v>27</v>
      </c>
      <c r="D720" s="6">
        <v>1956.0833333185899</v>
      </c>
      <c r="E720">
        <v>8184</v>
      </c>
      <c r="F720" s="12">
        <f t="shared" si="15"/>
        <v>235.45359999999999</v>
      </c>
      <c r="G720" s="7">
        <f>STANDARDIZE(E720,Climatology!B$3,Climatology!C$3)</f>
        <v>2.1752141323242351</v>
      </c>
      <c r="H720" s="7"/>
      <c r="I720" s="6">
        <f t="shared" si="16"/>
        <v>2.8769990224828934</v>
      </c>
    </row>
    <row r="721" spans="1:9" x14ac:dyDescent="0.3">
      <c r="A721" s="10">
        <v>20455</v>
      </c>
      <c r="B721">
        <v>1956</v>
      </c>
      <c r="C721" t="s">
        <v>28</v>
      </c>
      <c r="D721" s="6">
        <v>1955.99999998523</v>
      </c>
      <c r="E721">
        <v>10684</v>
      </c>
      <c r="F721" s="12">
        <f t="shared" si="15"/>
        <v>317.70359999999999</v>
      </c>
      <c r="G721" s="7">
        <f>STANDARDIZE(E721,Climatology!B$2,Climatology!C$2)</f>
        <v>1.6859901210922761</v>
      </c>
      <c r="H721" s="7"/>
      <c r="I721" s="6">
        <f t="shared" si="16"/>
        <v>2.9736390864844626</v>
      </c>
    </row>
    <row r="722" spans="1:9" x14ac:dyDescent="0.3">
      <c r="A722" s="10">
        <v>20424</v>
      </c>
      <c r="B722">
        <v>1955</v>
      </c>
      <c r="C722" t="s">
        <v>17</v>
      </c>
      <c r="D722" s="6">
        <v>1955.9166666518699</v>
      </c>
      <c r="F722" s="12"/>
      <c r="G722" s="7"/>
      <c r="H722" s="7"/>
      <c r="I722" s="6"/>
    </row>
    <row r="723" spans="1:9" x14ac:dyDescent="0.3">
      <c r="A723" s="10">
        <v>20394</v>
      </c>
      <c r="B723">
        <v>1955</v>
      </c>
      <c r="C723" t="s">
        <v>18</v>
      </c>
      <c r="D723" s="6">
        <v>1955.8333333185101</v>
      </c>
      <c r="F723" s="12"/>
      <c r="G723" s="7"/>
      <c r="H723" s="7"/>
      <c r="I723" s="6"/>
    </row>
    <row r="724" spans="1:9" x14ac:dyDescent="0.3">
      <c r="A724" s="10">
        <v>20363</v>
      </c>
      <c r="B724">
        <v>1955</v>
      </c>
      <c r="C724" t="s">
        <v>19</v>
      </c>
      <c r="D724" s="6">
        <v>1955.74999998515</v>
      </c>
      <c r="E724">
        <v>10622</v>
      </c>
      <c r="F724" s="12">
        <f t="shared" si="15"/>
        <v>315.66379999999998</v>
      </c>
      <c r="G724" s="7">
        <f>STANDARDIZE(E724,Climatology!B$11,Climatology!C$11)</f>
        <v>1.1096819497418888</v>
      </c>
      <c r="H724" s="7"/>
      <c r="I724" s="6">
        <f t="shared" si="16"/>
        <v>2.9717925061193746</v>
      </c>
    </row>
    <row r="725" spans="1:9" x14ac:dyDescent="0.3">
      <c r="A725" s="10">
        <v>20333</v>
      </c>
      <c r="B725">
        <v>1955</v>
      </c>
      <c r="C725" t="s">
        <v>20</v>
      </c>
      <c r="D725" s="6">
        <v>1955.6666666517899</v>
      </c>
      <c r="E725">
        <v>10162</v>
      </c>
      <c r="F725" s="12">
        <f t="shared" si="15"/>
        <v>300.52979999999997</v>
      </c>
      <c r="G725" s="7">
        <f>STANDARDIZE(E725,Climatology!B$10,Climatology!C$10)</f>
        <v>1.3138108190656081</v>
      </c>
      <c r="H725" s="7"/>
      <c r="I725" s="6">
        <f t="shared" si="16"/>
        <v>2.9573883093879152</v>
      </c>
    </row>
    <row r="726" spans="1:9" x14ac:dyDescent="0.3">
      <c r="A726" s="10">
        <v>20302</v>
      </c>
      <c r="B726">
        <v>1955</v>
      </c>
      <c r="C726" t="s">
        <v>21</v>
      </c>
      <c r="D726" s="6">
        <v>1955.58333331843</v>
      </c>
      <c r="E726">
        <v>10252</v>
      </c>
      <c r="F726" s="12">
        <f t="shared" si="15"/>
        <v>303.49079999999998</v>
      </c>
      <c r="G726" s="7">
        <f>STANDARDIZE(E726,Climatology!B$9,Climatology!C$9)</f>
        <v>1.4723548859568305</v>
      </c>
      <c r="H726" s="7"/>
      <c r="I726" s="6">
        <f t="shared" si="16"/>
        <v>2.9603082325399921</v>
      </c>
    </row>
    <row r="727" spans="1:9" x14ac:dyDescent="0.3">
      <c r="A727" s="10">
        <v>20271</v>
      </c>
      <c r="B727">
        <v>1955</v>
      </c>
      <c r="C727" t="s">
        <v>22</v>
      </c>
      <c r="D727" s="6">
        <v>1955.49999998507</v>
      </c>
      <c r="E727">
        <v>10142</v>
      </c>
      <c r="F727" s="12">
        <f t="shared" si="15"/>
        <v>299.87179999999995</v>
      </c>
      <c r="G727" s="7">
        <f>STANDARDIZE(E727,Climatology!B$8,Climatology!C$8)</f>
        <v>1.1006517529885538</v>
      </c>
      <c r="H727" s="7"/>
      <c r="I727" s="6">
        <f t="shared" si="16"/>
        <v>2.9567323999211195</v>
      </c>
    </row>
    <row r="728" spans="1:9" x14ac:dyDescent="0.3">
      <c r="A728" s="10">
        <v>20241</v>
      </c>
      <c r="B728">
        <v>1955</v>
      </c>
      <c r="C728" t="s">
        <v>23</v>
      </c>
      <c r="D728" s="6">
        <v>1955.4166666517101</v>
      </c>
      <c r="E728">
        <v>9442</v>
      </c>
      <c r="F728" s="12">
        <f t="shared" si="15"/>
        <v>276.84179999999998</v>
      </c>
      <c r="G728" s="7">
        <f>STANDARDIZE(E728,Climatology!B$7,Climatology!C$7)</f>
        <v>0.76471472013588915</v>
      </c>
      <c r="H728" s="7"/>
      <c r="I728" s="6">
        <f t="shared" si="16"/>
        <v>2.9320249947045114</v>
      </c>
    </row>
    <row r="729" spans="1:9" x14ac:dyDescent="0.3">
      <c r="A729" s="10">
        <v>20210</v>
      </c>
      <c r="B729">
        <v>1955</v>
      </c>
      <c r="C729" t="s">
        <v>24</v>
      </c>
      <c r="D729" s="6">
        <v>1955.33333331835</v>
      </c>
      <c r="E729">
        <v>8350</v>
      </c>
      <c r="F729" s="12">
        <f t="shared" si="15"/>
        <v>240.91499999999996</v>
      </c>
      <c r="G729" s="7">
        <f>STANDARDIZE(E729,Climatology!B$6,Climatology!C$6)</f>
        <v>1.0325038734970253</v>
      </c>
      <c r="H729" s="7"/>
      <c r="I729" s="6">
        <f t="shared" si="16"/>
        <v>2.8852095808383229</v>
      </c>
    </row>
    <row r="730" spans="1:9" x14ac:dyDescent="0.3">
      <c r="A730" s="10">
        <v>20180</v>
      </c>
      <c r="B730">
        <v>1955</v>
      </c>
      <c r="C730" t="s">
        <v>25</v>
      </c>
      <c r="D730" s="6">
        <v>1955.2499999849899</v>
      </c>
      <c r="E730">
        <v>6480</v>
      </c>
      <c r="F730" s="12">
        <f t="shared" si="15"/>
        <v>179.392</v>
      </c>
      <c r="G730" s="7">
        <f>STANDARDIZE(E730,Climatology!B$5,Climatology!C$5)</f>
        <v>1.1044957523038834</v>
      </c>
      <c r="H730" s="7"/>
      <c r="I730" s="6">
        <f t="shared" si="16"/>
        <v>2.7683950617283948</v>
      </c>
    </row>
    <row r="731" spans="1:9" x14ac:dyDescent="0.3">
      <c r="A731" s="10">
        <v>20149</v>
      </c>
      <c r="B731">
        <v>1955</v>
      </c>
      <c r="C731" t="s">
        <v>26</v>
      </c>
      <c r="D731" s="6">
        <v>1955.1666666516301</v>
      </c>
      <c r="E731">
        <v>4535</v>
      </c>
      <c r="F731" s="12">
        <f t="shared" si="15"/>
        <v>115.40149999999998</v>
      </c>
      <c r="G731" s="7">
        <f>STANDARDIZE(E731,Climatology!B$4,Climatology!C$4)</f>
        <v>0.26408768022103452</v>
      </c>
      <c r="H731" s="7"/>
      <c r="I731" s="6">
        <f t="shared" si="16"/>
        <v>2.5446857772877616</v>
      </c>
    </row>
    <row r="732" spans="1:9" x14ac:dyDescent="0.3">
      <c r="A732" s="10">
        <v>20121</v>
      </c>
      <c r="B732">
        <v>1955</v>
      </c>
      <c r="C732" t="s">
        <v>27</v>
      </c>
      <c r="D732" s="6">
        <v>1955.08333331827</v>
      </c>
      <c r="E732">
        <v>4973</v>
      </c>
      <c r="F732" s="12">
        <f t="shared" si="15"/>
        <v>129.81169999999997</v>
      </c>
      <c r="G732" s="7">
        <f>STANDARDIZE(E732,Climatology!B$3,Climatology!C$3)</f>
        <v>0.30311761798565717</v>
      </c>
      <c r="H732" s="7"/>
      <c r="I732" s="6">
        <f t="shared" si="16"/>
        <v>2.6103297808164081</v>
      </c>
    </row>
    <row r="733" spans="1:9" x14ac:dyDescent="0.3">
      <c r="A733" s="10">
        <v>20090</v>
      </c>
      <c r="B733">
        <v>1955</v>
      </c>
      <c r="C733" t="s">
        <v>28</v>
      </c>
      <c r="D733" s="6">
        <v>1954.9999999849099</v>
      </c>
      <c r="E733">
        <v>9458</v>
      </c>
      <c r="F733" s="12">
        <f t="shared" si="15"/>
        <v>277.3682</v>
      </c>
      <c r="G733" s="7">
        <f>STANDARDIZE(E733,Climatology!B$2,Climatology!C$2)</f>
        <v>1.1512951320966918</v>
      </c>
      <c r="H733" s="7"/>
      <c r="I733" s="6">
        <f t="shared" si="16"/>
        <v>2.9326305772890677</v>
      </c>
    </row>
    <row r="734" spans="1:9" x14ac:dyDescent="0.3">
      <c r="A734" s="10">
        <v>20059</v>
      </c>
      <c r="B734">
        <v>1954</v>
      </c>
      <c r="C734" t="s">
        <v>17</v>
      </c>
      <c r="D734" s="6">
        <v>1954.91666665155</v>
      </c>
      <c r="E734">
        <v>11458</v>
      </c>
      <c r="F734" s="12">
        <f t="shared" si="15"/>
        <v>343.16819999999996</v>
      </c>
      <c r="G734" s="7">
        <f>STANDARDIZE(E734,Climatology!B$13,Climatology!C$13)</f>
        <v>0.60356695298319896</v>
      </c>
      <c r="H734" s="7"/>
      <c r="I734" s="6">
        <f t="shared" si="16"/>
        <v>2.9950096002792801</v>
      </c>
    </row>
    <row r="735" spans="1:9" x14ac:dyDescent="0.3">
      <c r="A735" s="10">
        <v>20029</v>
      </c>
      <c r="B735">
        <v>1954</v>
      </c>
      <c r="C735" t="s">
        <v>18</v>
      </c>
      <c r="D735" s="6">
        <v>1954.8333333181899</v>
      </c>
      <c r="E735">
        <v>10989</v>
      </c>
      <c r="F735" s="12">
        <f t="shared" si="15"/>
        <v>327.73809999999997</v>
      </c>
      <c r="G735" s="7">
        <f>STANDARDIZE(E735,Climatology!B$12,Climatology!C$12)</f>
        <v>0.45752452514434405</v>
      </c>
      <c r="H735" s="7"/>
      <c r="I735" s="6">
        <f t="shared" si="16"/>
        <v>2.982419692419692</v>
      </c>
    </row>
    <row r="736" spans="1:9" x14ac:dyDescent="0.3">
      <c r="A736" s="10">
        <v>19998</v>
      </c>
      <c r="B736">
        <v>1954</v>
      </c>
      <c r="C736" t="s">
        <v>19</v>
      </c>
      <c r="D736" s="6">
        <v>1954.7499999848301</v>
      </c>
      <c r="E736">
        <v>9536</v>
      </c>
      <c r="F736" s="12">
        <f t="shared" si="15"/>
        <v>279.93439999999998</v>
      </c>
      <c r="G736" s="7">
        <f>STANDARDIZE(E736,Climatology!B$11,Climatology!C$11)</f>
        <v>0.55014900431568237</v>
      </c>
      <c r="H736" s="7"/>
      <c r="I736" s="6">
        <f t="shared" si="16"/>
        <v>2.9355536912751674</v>
      </c>
    </row>
    <row r="737" spans="1:9" x14ac:dyDescent="0.3">
      <c r="A737" s="10">
        <v>19968</v>
      </c>
      <c r="B737">
        <v>1954</v>
      </c>
      <c r="C737" t="s">
        <v>20</v>
      </c>
      <c r="D737" s="6">
        <v>1954.66666665147</v>
      </c>
      <c r="E737">
        <v>9183</v>
      </c>
      <c r="F737" s="12">
        <f t="shared" si="15"/>
        <v>268.32069999999999</v>
      </c>
      <c r="G737" s="7">
        <f>STANDARDIZE(E737,Climatology!B$10,Climatology!C$10)</f>
        <v>0.83004850447653611</v>
      </c>
      <c r="H737" s="7"/>
      <c r="I737" s="6">
        <f t="shared" si="16"/>
        <v>2.9219285636502232</v>
      </c>
    </row>
    <row r="738" spans="1:9" x14ac:dyDescent="0.3">
      <c r="A738" s="10">
        <v>19937</v>
      </c>
      <c r="B738">
        <v>1954</v>
      </c>
      <c r="C738" t="s">
        <v>21</v>
      </c>
      <c r="D738" s="6">
        <v>1954.5833333181099</v>
      </c>
      <c r="E738">
        <v>10413</v>
      </c>
      <c r="F738" s="12">
        <f t="shared" si="15"/>
        <v>308.78769999999997</v>
      </c>
      <c r="G738" s="7">
        <f>STANDARDIZE(E738,Climatology!B$9,Climatology!C$9)</f>
        <v>1.5535297958858714</v>
      </c>
      <c r="H738" s="7"/>
      <c r="I738" s="6">
        <f t="shared" si="16"/>
        <v>2.9654057428214728</v>
      </c>
    </row>
    <row r="739" spans="1:9" x14ac:dyDescent="0.3">
      <c r="A739" s="10">
        <v>19906</v>
      </c>
      <c r="B739">
        <v>1954</v>
      </c>
      <c r="C739" t="s">
        <v>22</v>
      </c>
      <c r="D739" s="6">
        <v>1954.49999998475</v>
      </c>
      <c r="E739">
        <v>9701</v>
      </c>
      <c r="F739" s="12">
        <f t="shared" si="15"/>
        <v>285.36289999999997</v>
      </c>
      <c r="G739" s="7">
        <f>STANDARDIZE(E739,Climatology!B$8,Climatology!C$8)</f>
        <v>0.88333485949720725</v>
      </c>
      <c r="H739" s="7"/>
      <c r="I739" s="6">
        <f t="shared" si="16"/>
        <v>2.9415823111019481</v>
      </c>
    </row>
    <row r="740" spans="1:9" x14ac:dyDescent="0.3">
      <c r="A740" s="10">
        <v>19876</v>
      </c>
      <c r="B740">
        <v>1954</v>
      </c>
      <c r="C740" t="s">
        <v>23</v>
      </c>
      <c r="D740" s="6">
        <v>1954.41666665139</v>
      </c>
      <c r="E740">
        <v>7892</v>
      </c>
      <c r="F740" s="12">
        <f t="shared" si="15"/>
        <v>225.84679999999997</v>
      </c>
      <c r="G740" s="7">
        <f>STANDARDIZE(E740,Climatology!B$7,Climatology!C$7)</f>
        <v>-0.15480333668924473</v>
      </c>
      <c r="H740" s="7"/>
      <c r="I740" s="6">
        <f t="shared" si="16"/>
        <v>2.8617181956411555</v>
      </c>
    </row>
    <row r="741" spans="1:9" x14ac:dyDescent="0.3">
      <c r="A741" s="10">
        <v>19845</v>
      </c>
      <c r="B741">
        <v>1954</v>
      </c>
      <c r="C741" t="s">
        <v>24</v>
      </c>
      <c r="D741" s="6">
        <v>1954.3333333180301</v>
      </c>
      <c r="E741">
        <v>6684</v>
      </c>
      <c r="F741" s="12">
        <f t="shared" si="15"/>
        <v>186.10359999999997</v>
      </c>
      <c r="G741" s="7">
        <f>STANDARDIZE(E741,Climatology!B$6,Climatology!C$6)</f>
        <v>-0.11787339021447242</v>
      </c>
      <c r="H741" s="7"/>
      <c r="I741" s="6">
        <f t="shared" si="16"/>
        <v>2.784314781567923</v>
      </c>
    </row>
    <row r="742" spans="1:9" x14ac:dyDescent="0.3">
      <c r="A742" s="10">
        <v>19815</v>
      </c>
      <c r="B742">
        <v>1954</v>
      </c>
      <c r="C742" t="s">
        <v>25</v>
      </c>
      <c r="D742" s="6">
        <v>1954.24999998467</v>
      </c>
      <c r="E742">
        <v>4445</v>
      </c>
      <c r="F742" s="12">
        <f t="shared" si="15"/>
        <v>112.4405</v>
      </c>
      <c r="G742" s="7">
        <f>STANDARDIZE(E742,Climatology!B$5,Climatology!C$5)</f>
        <v>-0.35226812191938661</v>
      </c>
      <c r="H742" s="7"/>
      <c r="I742" s="6">
        <f t="shared" si="16"/>
        <v>2.5295950506186724</v>
      </c>
    </row>
    <row r="743" spans="1:9" x14ac:dyDescent="0.3">
      <c r="A743" s="10">
        <v>19784</v>
      </c>
      <c r="B743">
        <v>1954</v>
      </c>
      <c r="C743" t="s">
        <v>26</v>
      </c>
      <c r="D743" s="6">
        <v>1954.1666666513099</v>
      </c>
      <c r="E743">
        <v>3534</v>
      </c>
      <c r="F743" s="12">
        <f t="shared" ref="F743:F806" si="17">(0.0329*E743)-33.8</f>
        <v>82.468599999999995</v>
      </c>
      <c r="G743" s="7">
        <f>STANDARDIZE(E743,Climatology!B$4,Climatology!C$4)</f>
        <v>-0.37237201845445056</v>
      </c>
      <c r="H743" s="7"/>
      <c r="I743" s="6">
        <f t="shared" si="16"/>
        <v>2.333576683644595</v>
      </c>
    </row>
    <row r="744" spans="1:9" x14ac:dyDescent="0.3">
      <c r="A744" s="10">
        <v>19756</v>
      </c>
      <c r="B744">
        <v>1954</v>
      </c>
      <c r="C744" t="s">
        <v>27</v>
      </c>
      <c r="D744" s="6">
        <v>1954.0833333179501</v>
      </c>
      <c r="E744">
        <v>3853</v>
      </c>
      <c r="F744" s="12">
        <f t="shared" si="17"/>
        <v>92.963700000000003</v>
      </c>
      <c r="G744" s="7">
        <f>STANDARDIZE(E744,Climatology!B$3,Climatology!C$3)</f>
        <v>-0.34987151189886712</v>
      </c>
      <c r="H744" s="7"/>
      <c r="I744" s="6">
        <f t="shared" si="16"/>
        <v>2.4127614845574876</v>
      </c>
    </row>
    <row r="745" spans="1:9" x14ac:dyDescent="0.3">
      <c r="A745" s="10">
        <v>19725</v>
      </c>
      <c r="B745">
        <v>1954</v>
      </c>
      <c r="C745" t="s">
        <v>28</v>
      </c>
      <c r="D745" s="6">
        <v>1953.99999998459</v>
      </c>
      <c r="E745">
        <v>6971</v>
      </c>
      <c r="F745" s="12">
        <f t="shared" si="17"/>
        <v>195.54590000000002</v>
      </c>
      <c r="G745" s="7">
        <f>STANDARDIZE(E745,Climatology!B$2,Climatology!C$2)</f>
        <v>6.6640615267965261E-2</v>
      </c>
      <c r="H745" s="7"/>
      <c r="I745" s="6">
        <f t="shared" si="16"/>
        <v>2.8051341270979777</v>
      </c>
    </row>
    <row r="746" spans="1:9" x14ac:dyDescent="0.3">
      <c r="A746" s="10">
        <v>19694</v>
      </c>
      <c r="B746">
        <v>1953</v>
      </c>
      <c r="C746" t="s">
        <v>17</v>
      </c>
      <c r="D746" s="6">
        <v>1953.9166666512299</v>
      </c>
      <c r="E746">
        <v>8587</v>
      </c>
      <c r="F746" s="12">
        <f t="shared" si="17"/>
        <v>248.71229999999997</v>
      </c>
      <c r="G746" s="7">
        <f>STANDARDIZE(E746,Climatology!B$13,Climatology!C$13)</f>
        <v>-0.42161639013275704</v>
      </c>
      <c r="H746" s="7"/>
      <c r="I746" s="6">
        <f t="shared" si="16"/>
        <v>2.8963817398392915</v>
      </c>
    </row>
    <row r="747" spans="1:9" x14ac:dyDescent="0.3">
      <c r="A747" s="10">
        <v>19664</v>
      </c>
      <c r="B747">
        <v>1953</v>
      </c>
      <c r="C747" t="s">
        <v>18</v>
      </c>
      <c r="D747" s="6">
        <v>1953.83333331787</v>
      </c>
      <c r="E747">
        <v>8330</v>
      </c>
      <c r="F747" s="12">
        <f t="shared" si="17"/>
        <v>240.25700000000001</v>
      </c>
      <c r="G747" s="7">
        <f>STANDARDIZE(E747,Climatology!B$12,Climatology!C$12)</f>
        <v>-0.58718553746380087</v>
      </c>
      <c r="H747" s="7"/>
      <c r="I747" s="6">
        <f t="shared" si="16"/>
        <v>2.8842376950780313</v>
      </c>
    </row>
    <row r="748" spans="1:9" x14ac:dyDescent="0.3">
      <c r="A748" s="10">
        <v>19633</v>
      </c>
      <c r="B748">
        <v>1953</v>
      </c>
      <c r="C748" t="s">
        <v>19</v>
      </c>
      <c r="D748" s="6">
        <v>1953.7499999845099</v>
      </c>
      <c r="E748">
        <v>7031</v>
      </c>
      <c r="F748" s="12">
        <f t="shared" si="17"/>
        <v>197.51990000000001</v>
      </c>
      <c r="G748" s="7">
        <f>STANDARDIZE(E748,Climatology!B$11,Climatology!C$11)</f>
        <v>-0.74048638085250107</v>
      </c>
      <c r="H748" s="7"/>
      <c r="I748" s="6">
        <f t="shared" si="16"/>
        <v>2.809271796330536</v>
      </c>
    </row>
    <row r="749" spans="1:9" x14ac:dyDescent="0.3">
      <c r="A749" s="10">
        <v>19603</v>
      </c>
      <c r="B749">
        <v>1953</v>
      </c>
      <c r="C749" t="s">
        <v>20</v>
      </c>
      <c r="D749" s="6">
        <v>1953.6666666511501</v>
      </c>
      <c r="E749">
        <v>5212</v>
      </c>
      <c r="F749" s="12">
        <f t="shared" si="17"/>
        <v>137.6748</v>
      </c>
      <c r="G749" s="7">
        <f>STANDARDIZE(E749,Climatology!B$10,Climatology!C$10)</f>
        <v>-1.1321784120027336</v>
      </c>
      <c r="H749" s="7"/>
      <c r="I749" s="6">
        <f t="shared" si="16"/>
        <v>2.6414965464313123</v>
      </c>
    </row>
    <row r="750" spans="1:9" x14ac:dyDescent="0.3">
      <c r="A750" s="10">
        <v>19572</v>
      </c>
      <c r="B750">
        <v>1953</v>
      </c>
      <c r="C750" t="s">
        <v>21</v>
      </c>
      <c r="D750" s="6">
        <v>1953.58333331779</v>
      </c>
      <c r="E750">
        <v>5152</v>
      </c>
      <c r="F750" s="12">
        <f t="shared" si="17"/>
        <v>135.70080000000002</v>
      </c>
      <c r="G750" s="7">
        <f>STANDARDIZE(E750,Climatology!B$9,Climatology!C$9)</f>
        <v>-1.0990242484413564</v>
      </c>
      <c r="H750" s="7"/>
      <c r="I750" s="6">
        <f t="shared" si="16"/>
        <v>2.6339440993788825</v>
      </c>
    </row>
    <row r="751" spans="1:9" x14ac:dyDescent="0.3">
      <c r="A751" s="10">
        <v>19541</v>
      </c>
      <c r="B751">
        <v>1953</v>
      </c>
      <c r="C751" t="s">
        <v>22</v>
      </c>
      <c r="D751" s="6">
        <v>1953.4999999844299</v>
      </c>
      <c r="E751">
        <v>6538</v>
      </c>
      <c r="F751" s="12">
        <f t="shared" si="17"/>
        <v>181.30020000000002</v>
      </c>
      <c r="G751" s="7">
        <f>STANDARDIZE(E751,Climatology!B$8,Climatology!C$8)</f>
        <v>-0.67533483236929881</v>
      </c>
      <c r="H751" s="7"/>
      <c r="I751" s="6">
        <f t="shared" si="16"/>
        <v>2.7730223309880699</v>
      </c>
    </row>
    <row r="752" spans="1:9" x14ac:dyDescent="0.3">
      <c r="A752" s="10">
        <v>19511</v>
      </c>
      <c r="B752">
        <v>1953</v>
      </c>
      <c r="C752" t="s">
        <v>23</v>
      </c>
      <c r="D752" s="6">
        <v>1953.41666665107</v>
      </c>
      <c r="E752">
        <v>7406</v>
      </c>
      <c r="F752" s="12">
        <f t="shared" si="17"/>
        <v>209.85739999999998</v>
      </c>
      <c r="G752" s="7">
        <f>STANDARDIZE(E752,Climatology!B$7,Climatology!C$7)</f>
        <v>-0.44311674031312542</v>
      </c>
      <c r="H752" s="7"/>
      <c r="I752" s="6">
        <f t="shared" si="16"/>
        <v>2.8336132865244394</v>
      </c>
    </row>
    <row r="753" spans="1:9" x14ac:dyDescent="0.3">
      <c r="A753" s="10">
        <v>19480</v>
      </c>
      <c r="B753">
        <v>1953</v>
      </c>
      <c r="C753" t="s">
        <v>24</v>
      </c>
      <c r="D753" s="6">
        <v>1953.33333331771</v>
      </c>
      <c r="E753">
        <v>5998</v>
      </c>
      <c r="F753" s="12">
        <f t="shared" si="17"/>
        <v>163.5342</v>
      </c>
      <c r="G753" s="7">
        <f>STANDARDIZE(E753,Climatology!B$6,Climatology!C$6)</f>
        <v>-0.59155814586038324</v>
      </c>
      <c r="H753" s="7"/>
      <c r="I753" s="6">
        <f t="shared" si="16"/>
        <v>2.7264788262754251</v>
      </c>
    </row>
    <row r="754" spans="1:9" x14ac:dyDescent="0.3">
      <c r="A754" s="10">
        <v>19450</v>
      </c>
      <c r="B754">
        <v>1953</v>
      </c>
      <c r="C754" t="s">
        <v>25</v>
      </c>
      <c r="D754" s="6">
        <v>1953.2499999843501</v>
      </c>
      <c r="E754">
        <v>4524</v>
      </c>
      <c r="F754" s="12">
        <f t="shared" si="17"/>
        <v>115.03959999999999</v>
      </c>
      <c r="G754" s="7">
        <f>STANDARDIZE(E754,Climatology!B$5,Climatology!C$5)</f>
        <v>-0.29571561771121052</v>
      </c>
      <c r="H754" s="7"/>
      <c r="I754" s="6">
        <f t="shared" si="16"/>
        <v>2.5428735632183908</v>
      </c>
    </row>
    <row r="755" spans="1:9" x14ac:dyDescent="0.3">
      <c r="A755" s="10">
        <v>19419</v>
      </c>
      <c r="B755">
        <v>1953</v>
      </c>
      <c r="C755" t="s">
        <v>26</v>
      </c>
      <c r="D755" s="6">
        <v>1953.16666665099</v>
      </c>
      <c r="E755">
        <v>3222</v>
      </c>
      <c r="F755" s="12">
        <f t="shared" si="17"/>
        <v>72.203800000000001</v>
      </c>
      <c r="G755" s="7">
        <f>STANDARDIZE(E755,Climatology!B$4,Climatology!C$4)</f>
        <v>-0.57074906739226416</v>
      </c>
      <c r="H755" s="7"/>
      <c r="I755" s="6">
        <f t="shared" si="16"/>
        <v>2.2409621353196774</v>
      </c>
    </row>
    <row r="756" spans="1:9" x14ac:dyDescent="0.3">
      <c r="A756" s="10">
        <v>19391</v>
      </c>
      <c r="B756">
        <v>1953</v>
      </c>
      <c r="C756" t="s">
        <v>27</v>
      </c>
      <c r="D756" s="6">
        <v>1953.0833333176299</v>
      </c>
      <c r="E756">
        <v>4516</v>
      </c>
      <c r="F756" s="12">
        <f t="shared" si="17"/>
        <v>114.77640000000001</v>
      </c>
      <c r="G756" s="7">
        <f>STANDARDIZE(E756,Climatology!B$3,Climatology!C$3)</f>
        <v>3.6674731952418237E-2</v>
      </c>
      <c r="H756" s="7"/>
      <c r="I756" s="6">
        <f t="shared" si="16"/>
        <v>2.5415500442869798</v>
      </c>
    </row>
    <row r="757" spans="1:9" x14ac:dyDescent="0.3">
      <c r="A757" s="10">
        <v>19360</v>
      </c>
      <c r="B757">
        <v>1953</v>
      </c>
      <c r="C757" t="s">
        <v>28</v>
      </c>
      <c r="D757" s="6">
        <v>1952.9999999842701</v>
      </c>
      <c r="E757">
        <v>6437</v>
      </c>
      <c r="F757" s="12">
        <f t="shared" si="17"/>
        <v>177.97730000000001</v>
      </c>
      <c r="G757" s="7">
        <f>STANDARDIZE(E757,Climatology!B$2,Climatology!C$2)</f>
        <v>-0.16625263442505442</v>
      </c>
      <c r="H757" s="7"/>
      <c r="I757" s="6">
        <f t="shared" si="16"/>
        <v>2.7649106726736061</v>
      </c>
    </row>
    <row r="758" spans="1:9" x14ac:dyDescent="0.3">
      <c r="A758" s="10">
        <v>19329</v>
      </c>
      <c r="B758">
        <v>1952</v>
      </c>
      <c r="C758" t="s">
        <v>17</v>
      </c>
      <c r="D758" s="6">
        <v>1952.91666665091</v>
      </c>
      <c r="E758">
        <v>8351</v>
      </c>
      <c r="F758" s="12">
        <f t="shared" si="17"/>
        <v>240.9479</v>
      </c>
      <c r="G758" s="7">
        <f>STANDARDIZE(E758,Climatology!B$13,Climatology!C$13)</f>
        <v>-0.50588781784970782</v>
      </c>
      <c r="H758" s="7"/>
      <c r="I758" s="6">
        <f t="shared" si="16"/>
        <v>2.8852580529277931</v>
      </c>
    </row>
    <row r="759" spans="1:9" x14ac:dyDescent="0.3">
      <c r="A759" s="10">
        <v>19299</v>
      </c>
      <c r="B759">
        <v>1952</v>
      </c>
      <c r="C759" t="s">
        <v>18</v>
      </c>
      <c r="D759" s="6">
        <v>1952.8333333175499</v>
      </c>
      <c r="E759">
        <v>7878</v>
      </c>
      <c r="F759" s="12">
        <f t="shared" si="17"/>
        <v>225.38619999999997</v>
      </c>
      <c r="G759" s="7">
        <f>STANDARDIZE(E759,Climatology!B$12,Climatology!C$12)</f>
        <v>-0.76477446123171422</v>
      </c>
      <c r="H759" s="7"/>
      <c r="I759" s="6">
        <f t="shared" si="16"/>
        <v>2.8609570957095705</v>
      </c>
    </row>
    <row r="760" spans="1:9" x14ac:dyDescent="0.3">
      <c r="A760" s="10">
        <v>19268</v>
      </c>
      <c r="B760">
        <v>1952</v>
      </c>
      <c r="C760" t="s">
        <v>19</v>
      </c>
      <c r="D760" s="6">
        <v>1952.74999998419</v>
      </c>
      <c r="E760">
        <v>7105</v>
      </c>
      <c r="F760" s="12">
        <f t="shared" si="17"/>
        <v>199.9545</v>
      </c>
      <c r="G760" s="7">
        <f>STANDARDIZE(E760,Climatology!B$11,Climatology!C$11)</f>
        <v>-0.70235982656010765</v>
      </c>
      <c r="H760" s="7"/>
      <c r="I760" s="6">
        <f t="shared" si="16"/>
        <v>2.8142786769880366</v>
      </c>
    </row>
    <row r="761" spans="1:9" x14ac:dyDescent="0.3">
      <c r="A761" s="10">
        <v>19238</v>
      </c>
      <c r="B761">
        <v>1952</v>
      </c>
      <c r="C761" t="s">
        <v>20</v>
      </c>
      <c r="D761" s="6">
        <v>1952.6666666508299</v>
      </c>
      <c r="E761">
        <v>6427</v>
      </c>
      <c r="F761" s="12">
        <f t="shared" si="17"/>
        <v>177.64830000000001</v>
      </c>
      <c r="G761" s="7">
        <f>STANDARDIZE(E761,Climatology!B$10,Climatology!C$10)</f>
        <v>-0.53179923710414068</v>
      </c>
      <c r="H761" s="7"/>
      <c r="I761" s="6">
        <f t="shared" si="16"/>
        <v>2.7640936673409056</v>
      </c>
    </row>
    <row r="762" spans="1:9" x14ac:dyDescent="0.3">
      <c r="A762" s="10">
        <v>19207</v>
      </c>
      <c r="B762">
        <v>1952</v>
      </c>
      <c r="C762" t="s">
        <v>21</v>
      </c>
      <c r="D762" s="6">
        <v>1952.5833333174701</v>
      </c>
      <c r="E762">
        <v>6938</v>
      </c>
      <c r="F762" s="12">
        <f t="shared" si="17"/>
        <v>194.46019999999999</v>
      </c>
      <c r="G762" s="7">
        <f>STANDARDIZE(E762,Climatology!B$9,Climatology!C$9)</f>
        <v>-0.19853735941485409</v>
      </c>
      <c r="H762" s="7"/>
      <c r="I762" s="6">
        <f t="shared" si="16"/>
        <v>2.8028279042951856</v>
      </c>
    </row>
    <row r="763" spans="1:9" x14ac:dyDescent="0.3">
      <c r="A763" s="10">
        <v>19176</v>
      </c>
      <c r="B763">
        <v>1952</v>
      </c>
      <c r="C763" t="s">
        <v>22</v>
      </c>
      <c r="D763" s="6">
        <v>1952.49999998411</v>
      </c>
      <c r="E763">
        <v>7043</v>
      </c>
      <c r="F763" s="12">
        <f t="shared" si="17"/>
        <v>197.91469999999998</v>
      </c>
      <c r="G763" s="7">
        <f>STANDARDIZE(E763,Climatology!B$8,Climatology!C$8)</f>
        <v>-0.4264798863077795</v>
      </c>
      <c r="H763" s="7"/>
      <c r="I763" s="6">
        <f t="shared" si="16"/>
        <v>2.8100908703677407</v>
      </c>
    </row>
    <row r="764" spans="1:9" x14ac:dyDescent="0.3">
      <c r="A764" s="10">
        <v>19146</v>
      </c>
      <c r="B764">
        <v>1952</v>
      </c>
      <c r="C764" t="s">
        <v>23</v>
      </c>
      <c r="D764" s="6">
        <v>1952.4166666507499</v>
      </c>
      <c r="E764">
        <v>7027</v>
      </c>
      <c r="F764" s="12">
        <f t="shared" si="17"/>
        <v>197.38830000000002</v>
      </c>
      <c r="G764" s="7">
        <f>STANDARDIZE(E764,Climatology!B$7,Climatology!C$7)</f>
        <v>-0.66795373614327103</v>
      </c>
      <c r="H764" s="7"/>
      <c r="I764" s="6">
        <f t="shared" si="16"/>
        <v>2.8089981499928847</v>
      </c>
    </row>
    <row r="765" spans="1:9" x14ac:dyDescent="0.3">
      <c r="A765" s="10">
        <v>19115</v>
      </c>
      <c r="B765">
        <v>1952</v>
      </c>
      <c r="C765" t="s">
        <v>24</v>
      </c>
      <c r="D765" s="6">
        <v>1952.33333331739</v>
      </c>
      <c r="E765">
        <v>6504</v>
      </c>
      <c r="F765" s="12">
        <f t="shared" si="17"/>
        <v>180.1816</v>
      </c>
      <c r="G765" s="7">
        <f>STANDARDIZE(E765,Climatology!B$6,Climatology!C$6)</f>
        <v>-0.2421638508795802</v>
      </c>
      <c r="H765" s="7"/>
      <c r="I765" s="6">
        <f t="shared" si="16"/>
        <v>2.7703198031980318</v>
      </c>
    </row>
    <row r="766" spans="1:9" x14ac:dyDescent="0.3">
      <c r="A766" s="10">
        <v>19085</v>
      </c>
      <c r="B766">
        <v>1952</v>
      </c>
      <c r="C766" t="s">
        <v>25</v>
      </c>
      <c r="D766" s="6">
        <v>1952.24999998403</v>
      </c>
      <c r="E766">
        <v>3841</v>
      </c>
      <c r="F766" s="12">
        <f t="shared" si="17"/>
        <v>92.568899999999999</v>
      </c>
      <c r="G766" s="7">
        <f>STANDARDIZE(E766,Climatology!B$5,Climatology!C$5)</f>
        <v>-0.78464423004265693</v>
      </c>
      <c r="H766" s="7"/>
      <c r="I766" s="6">
        <f t="shared" si="16"/>
        <v>2.4100208279093986</v>
      </c>
    </row>
    <row r="767" spans="1:9" x14ac:dyDescent="0.3">
      <c r="A767" s="10">
        <v>19054</v>
      </c>
      <c r="B767">
        <v>1952</v>
      </c>
      <c r="C767" t="s">
        <v>26</v>
      </c>
      <c r="D767" s="6">
        <v>1952.1666666506701</v>
      </c>
      <c r="E767">
        <v>3061</v>
      </c>
      <c r="F767" s="12">
        <f t="shared" si="17"/>
        <v>66.906899999999993</v>
      </c>
      <c r="G767" s="7">
        <f>STANDARDIZE(E767,Climatology!B$4,Climatology!C$4)</f>
        <v>-0.67311671123517436</v>
      </c>
      <c r="H767" s="7"/>
      <c r="I767" s="6">
        <f t="shared" si="16"/>
        <v>2.1857856909506692</v>
      </c>
    </row>
    <row r="768" spans="1:9" x14ac:dyDescent="0.3">
      <c r="A768" s="10">
        <v>19025</v>
      </c>
      <c r="B768">
        <v>1952</v>
      </c>
      <c r="C768" t="s">
        <v>27</v>
      </c>
      <c r="D768" s="6">
        <v>1952.08333331731</v>
      </c>
      <c r="E768">
        <v>3573</v>
      </c>
      <c r="F768" s="12">
        <f t="shared" si="17"/>
        <v>83.7517</v>
      </c>
      <c r="G768" s="7">
        <f>STANDARDIZE(E768,Climatology!B$3,Climatology!C$3)</f>
        <v>-0.51311879436999819</v>
      </c>
      <c r="H768" s="7"/>
      <c r="I768" s="6">
        <f t="shared" si="16"/>
        <v>2.3440162328575429</v>
      </c>
    </row>
    <row r="769" spans="1:9" x14ac:dyDescent="0.3">
      <c r="A769" s="10">
        <v>18994</v>
      </c>
      <c r="B769">
        <v>1952</v>
      </c>
      <c r="C769" t="s">
        <v>28</v>
      </c>
      <c r="D769" s="6">
        <v>1951.9999999839499</v>
      </c>
      <c r="E769">
        <v>6398</v>
      </c>
      <c r="F769" s="12">
        <f t="shared" si="17"/>
        <v>176.69419999999997</v>
      </c>
      <c r="G769" s="7">
        <f>STANDARDIZE(E769,Climatology!B$2,Climatology!C$2)</f>
        <v>-0.18326169198690415</v>
      </c>
      <c r="H769" s="7"/>
      <c r="I769" s="6">
        <f t="shared" si="16"/>
        <v>2.7617099093466702</v>
      </c>
    </row>
    <row r="770" spans="1:9" x14ac:dyDescent="0.3">
      <c r="A770" s="10">
        <v>18963</v>
      </c>
      <c r="B770">
        <v>1951</v>
      </c>
      <c r="C770" t="s">
        <v>17</v>
      </c>
      <c r="D770" s="6">
        <v>1951.9166666505901</v>
      </c>
      <c r="E770">
        <v>8980</v>
      </c>
      <c r="F770" s="12">
        <f t="shared" si="17"/>
        <v>261.642</v>
      </c>
      <c r="G770" s="7">
        <f>STANDARDIZE(E770,Climatology!B$13,Climatology!C$13)</f>
        <v>-0.28128303804478394</v>
      </c>
      <c r="H770" s="7"/>
      <c r="I770" s="6">
        <f t="shared" si="16"/>
        <v>2.913608017817372</v>
      </c>
    </row>
    <row r="771" spans="1:9" x14ac:dyDescent="0.3">
      <c r="A771" s="10">
        <v>18933</v>
      </c>
      <c r="B771">
        <v>1951</v>
      </c>
      <c r="C771" t="s">
        <v>18</v>
      </c>
      <c r="D771" s="6">
        <v>1951.83333331723</v>
      </c>
      <c r="E771">
        <v>8344</v>
      </c>
      <c r="F771" s="12">
        <f t="shared" si="17"/>
        <v>240.7176</v>
      </c>
      <c r="G771" s="7">
        <f>STANDARDIZE(E771,Climatology!B$12,Climatology!C$12)</f>
        <v>-0.58168499557718412</v>
      </c>
      <c r="H771" s="7"/>
      <c r="I771" s="6">
        <f t="shared" ref="I771:I834" si="18">F771/E771*100</f>
        <v>2.8849185043144776</v>
      </c>
    </row>
    <row r="772" spans="1:9" x14ac:dyDescent="0.3">
      <c r="A772" s="10">
        <v>18902</v>
      </c>
      <c r="B772">
        <v>1951</v>
      </c>
      <c r="C772" t="s">
        <v>19</v>
      </c>
      <c r="D772" s="6">
        <v>1951.7499999838701</v>
      </c>
      <c r="E772">
        <v>7360</v>
      </c>
      <c r="F772" s="12">
        <f t="shared" si="17"/>
        <v>208.34399999999999</v>
      </c>
      <c r="G772" s="7">
        <f>STANDARDIZE(E772,Climatology!B$11,Climatology!C$11)</f>
        <v>-0.57097778136334643</v>
      </c>
      <c r="H772" s="7"/>
      <c r="I772" s="6">
        <f t="shared" si="18"/>
        <v>2.8307608695652173</v>
      </c>
    </row>
    <row r="773" spans="1:9" x14ac:dyDescent="0.3">
      <c r="A773" s="10">
        <v>18872</v>
      </c>
      <c r="B773">
        <v>1951</v>
      </c>
      <c r="C773" t="s">
        <v>20</v>
      </c>
      <c r="D773" s="6">
        <v>1951.66666665051</v>
      </c>
      <c r="E773">
        <v>7237</v>
      </c>
      <c r="F773" s="12">
        <f t="shared" si="17"/>
        <v>204.29730000000001</v>
      </c>
      <c r="G773" s="7">
        <f>STANDARDIZE(E773,Climatology!B$10,Climatology!C$10)</f>
        <v>-0.13154645383841207</v>
      </c>
      <c r="H773" s="7"/>
      <c r="I773" s="6">
        <f t="shared" si="18"/>
        <v>2.822955644604118</v>
      </c>
    </row>
    <row r="774" spans="1:9" x14ac:dyDescent="0.3">
      <c r="A774" s="10">
        <v>18841</v>
      </c>
      <c r="B774">
        <v>1951</v>
      </c>
      <c r="C774" t="s">
        <v>21</v>
      </c>
      <c r="D774" s="6">
        <v>1951.5833333171499</v>
      </c>
      <c r="E774">
        <v>6825</v>
      </c>
      <c r="F774" s="12">
        <f t="shared" si="17"/>
        <v>190.74250000000001</v>
      </c>
      <c r="G774" s="7">
        <f>STANDARDIZE(E774,Climatology!B$9,Climatology!C$9)</f>
        <v>-0.25551105396132373</v>
      </c>
      <c r="H774" s="7"/>
      <c r="I774" s="6">
        <f t="shared" si="18"/>
        <v>2.7947619047619048</v>
      </c>
    </row>
    <row r="775" spans="1:9" x14ac:dyDescent="0.3">
      <c r="A775" s="10">
        <v>18810</v>
      </c>
      <c r="B775">
        <v>1951</v>
      </c>
      <c r="C775" t="s">
        <v>22</v>
      </c>
      <c r="D775" s="6">
        <v>1951.4999999837901</v>
      </c>
      <c r="E775">
        <v>7150</v>
      </c>
      <c r="F775" s="12">
        <f t="shared" si="17"/>
        <v>201.435</v>
      </c>
      <c r="G775" s="7">
        <f>STANDARDIZE(E775,Climatology!B$8,Climatology!C$8)</f>
        <v>-0.37375220466702191</v>
      </c>
      <c r="H775" s="7"/>
      <c r="I775" s="6">
        <f t="shared" si="18"/>
        <v>2.8172727272727274</v>
      </c>
    </row>
    <row r="776" spans="1:9" x14ac:dyDescent="0.3">
      <c r="A776" s="10">
        <v>18780</v>
      </c>
      <c r="B776">
        <v>1951</v>
      </c>
      <c r="C776" t="s">
        <v>23</v>
      </c>
      <c r="D776" s="6">
        <v>1951.41666665043</v>
      </c>
      <c r="E776">
        <v>7035</v>
      </c>
      <c r="F776" s="12">
        <f t="shared" si="17"/>
        <v>197.6515</v>
      </c>
      <c r="G776" s="7">
        <f>STANDARDIZE(E776,Climatology!B$7,Climatology!C$7)</f>
        <v>-0.66320783649514137</v>
      </c>
      <c r="H776" s="7"/>
      <c r="I776" s="6">
        <f t="shared" si="18"/>
        <v>2.8095451314854301</v>
      </c>
    </row>
    <row r="777" spans="1:9" x14ac:dyDescent="0.3">
      <c r="A777" s="10">
        <v>18749</v>
      </c>
      <c r="B777">
        <v>1951</v>
      </c>
      <c r="C777" t="s">
        <v>24</v>
      </c>
      <c r="D777" s="6">
        <v>1951.3333333170699</v>
      </c>
      <c r="E777">
        <v>6072</v>
      </c>
      <c r="F777" s="12">
        <f t="shared" si="17"/>
        <v>165.96879999999999</v>
      </c>
      <c r="G777" s="7">
        <f>STANDARDIZE(E777,Climatology!B$6,Climatology!C$6)</f>
        <v>-0.54046095647583892</v>
      </c>
      <c r="H777" s="7"/>
      <c r="I777" s="6">
        <f t="shared" si="18"/>
        <v>2.7333465085638995</v>
      </c>
    </row>
    <row r="778" spans="1:9" x14ac:dyDescent="0.3">
      <c r="A778" s="10">
        <v>18719</v>
      </c>
      <c r="B778">
        <v>1951</v>
      </c>
      <c r="C778" t="s">
        <v>25</v>
      </c>
      <c r="D778" s="6">
        <v>1951.24999998371</v>
      </c>
      <c r="E778">
        <v>4544</v>
      </c>
      <c r="F778" s="12">
        <f t="shared" si="17"/>
        <v>115.69760000000001</v>
      </c>
      <c r="G778" s="7">
        <f>STANDARDIZE(E778,Climatology!B$5,Climatology!C$5)</f>
        <v>-0.28139852803825455</v>
      </c>
      <c r="H778" s="7"/>
      <c r="I778" s="6">
        <f t="shared" si="18"/>
        <v>2.546161971830986</v>
      </c>
    </row>
    <row r="779" spans="1:9" x14ac:dyDescent="0.3">
      <c r="A779" s="10">
        <v>18688</v>
      </c>
      <c r="B779">
        <v>1951</v>
      </c>
      <c r="C779" t="s">
        <v>26</v>
      </c>
      <c r="D779" s="6">
        <v>1951.16666665035</v>
      </c>
      <c r="E779">
        <v>5335</v>
      </c>
      <c r="F779" s="12">
        <f t="shared" si="17"/>
        <v>141.72149999999999</v>
      </c>
      <c r="G779" s="7">
        <f>STANDARDIZE(E779,Climatology!B$4,Climatology!C$4)</f>
        <v>0.77274678006158204</v>
      </c>
      <c r="H779" s="7"/>
      <c r="I779" s="6">
        <f t="shared" si="18"/>
        <v>2.6564479850046858</v>
      </c>
    </row>
    <row r="780" spans="1:9" x14ac:dyDescent="0.3">
      <c r="A780" s="10">
        <v>18660</v>
      </c>
      <c r="B780">
        <v>1951</v>
      </c>
      <c r="C780" t="s">
        <v>27</v>
      </c>
      <c r="D780" s="6">
        <v>1951.0833333169901</v>
      </c>
      <c r="E780">
        <v>6822</v>
      </c>
      <c r="F780" s="12">
        <f t="shared" si="17"/>
        <v>190.6438</v>
      </c>
      <c r="G780" s="7">
        <f>STANDARDIZE(E780,Climatology!B$3,Climatology!C$3)</f>
        <v>1.3811327083039475</v>
      </c>
      <c r="H780" s="7"/>
      <c r="I780" s="6">
        <f t="shared" si="18"/>
        <v>2.7945441219583698</v>
      </c>
    </row>
    <row r="781" spans="1:9" x14ac:dyDescent="0.3">
      <c r="A781" s="10">
        <v>18629</v>
      </c>
      <c r="B781">
        <v>1951</v>
      </c>
      <c r="C781" t="s">
        <v>28</v>
      </c>
      <c r="D781" s="6">
        <v>1950.99999998363</v>
      </c>
      <c r="E781">
        <v>8832</v>
      </c>
      <c r="F781" s="12">
        <f t="shared" si="17"/>
        <v>256.77279999999996</v>
      </c>
      <c r="G781" s="7">
        <f>STANDARDIZE(E781,Climatology!B$2,Climatology!C$2)</f>
        <v>0.87827795174494949</v>
      </c>
      <c r="H781" s="7"/>
      <c r="I781" s="6">
        <f t="shared" si="18"/>
        <v>2.9073007246376807</v>
      </c>
    </row>
    <row r="782" spans="1:9" x14ac:dyDescent="0.3">
      <c r="A782" s="10">
        <v>18598</v>
      </c>
      <c r="B782">
        <v>1950</v>
      </c>
      <c r="C782" t="s">
        <v>17</v>
      </c>
      <c r="D782" s="6">
        <v>1950.9166666502699</v>
      </c>
      <c r="E782">
        <v>11606</v>
      </c>
      <c r="F782" s="12">
        <f t="shared" si="17"/>
        <v>348.03739999999999</v>
      </c>
      <c r="G782" s="7">
        <f>STANDARDIZE(E782,Climatology!B$13,Climatology!C$13)</f>
        <v>0.65641513646671035</v>
      </c>
      <c r="H782" s="7"/>
      <c r="I782" s="6">
        <f t="shared" si="18"/>
        <v>2.9987713251766324</v>
      </c>
    </row>
    <row r="783" spans="1:9" x14ac:dyDescent="0.3">
      <c r="A783" s="10">
        <v>18568</v>
      </c>
      <c r="B783">
        <v>1950</v>
      </c>
      <c r="C783" t="s">
        <v>18</v>
      </c>
      <c r="D783" s="6">
        <v>1950.8333333169101</v>
      </c>
      <c r="E783">
        <v>10763</v>
      </c>
      <c r="F783" s="12">
        <f t="shared" si="17"/>
        <v>320.30269999999996</v>
      </c>
      <c r="G783" s="7">
        <f>STANDARDIZE(E783,Climatology!B$12,Climatology!C$12)</f>
        <v>0.36873006326038738</v>
      </c>
      <c r="H783" s="7"/>
      <c r="I783" s="6">
        <f t="shared" si="18"/>
        <v>2.975961163244448</v>
      </c>
    </row>
    <row r="784" spans="1:9" x14ac:dyDescent="0.3">
      <c r="A784" s="10">
        <v>18537</v>
      </c>
      <c r="B784">
        <v>1950</v>
      </c>
      <c r="C784" t="s">
        <v>19</v>
      </c>
      <c r="D784" s="6">
        <v>1950.74999998355</v>
      </c>
      <c r="E784">
        <v>9762</v>
      </c>
      <c r="F784" s="12">
        <f t="shared" si="17"/>
        <v>287.3698</v>
      </c>
      <c r="G784" s="7">
        <f>STANDARDIZE(E784,Climatology!B$11,Climatology!C$11)</f>
        <v>0.6665895620194785</v>
      </c>
      <c r="H784" s="7"/>
      <c r="I784" s="6">
        <f t="shared" si="18"/>
        <v>2.9437594755173118</v>
      </c>
    </row>
    <row r="785" spans="1:9" x14ac:dyDescent="0.3">
      <c r="A785" s="10">
        <v>18507</v>
      </c>
      <c r="B785">
        <v>1950</v>
      </c>
      <c r="C785" t="s">
        <v>20</v>
      </c>
      <c r="D785" s="6">
        <v>1950.6666666501901</v>
      </c>
      <c r="E785">
        <v>10746</v>
      </c>
      <c r="F785" s="12">
        <f t="shared" si="17"/>
        <v>319.74339999999995</v>
      </c>
      <c r="G785" s="7">
        <f>STANDARDIZE(E785,Climatology!B$10,Climatology!C$10)</f>
        <v>1.6023881344078124</v>
      </c>
      <c r="H785" s="7"/>
      <c r="I785" s="6">
        <f t="shared" si="18"/>
        <v>2.9754643588311924</v>
      </c>
    </row>
    <row r="786" spans="1:9" x14ac:dyDescent="0.3">
      <c r="A786" s="10">
        <v>18476</v>
      </c>
      <c r="B786">
        <v>1950</v>
      </c>
      <c r="C786" t="s">
        <v>21</v>
      </c>
      <c r="D786" s="6">
        <v>1950.58333331683</v>
      </c>
      <c r="E786">
        <v>11015</v>
      </c>
      <c r="F786" s="12">
        <f t="shared" si="17"/>
        <v>328.59349999999995</v>
      </c>
      <c r="G786" s="7">
        <f>STANDARDIZE(E786,Climatology!B$9,Climatology!C$9)</f>
        <v>1.8570533721422846</v>
      </c>
      <c r="H786" s="7"/>
      <c r="I786" s="6">
        <f t="shared" si="18"/>
        <v>2.9831457103949157</v>
      </c>
    </row>
    <row r="787" spans="1:9" x14ac:dyDescent="0.3">
      <c r="A787" s="10">
        <v>18445</v>
      </c>
      <c r="B787">
        <v>1950</v>
      </c>
      <c r="C787" t="s">
        <v>22</v>
      </c>
      <c r="D787" s="6">
        <v>1950.4999999834699</v>
      </c>
      <c r="E787">
        <v>11480</v>
      </c>
      <c r="F787" s="12">
        <f t="shared" si="17"/>
        <v>343.892</v>
      </c>
      <c r="G787" s="7">
        <f>STANDARDIZE(E787,Climatology!B$8,Climatology!C$8)</f>
        <v>1.7599941645337276</v>
      </c>
      <c r="H787" s="7"/>
      <c r="I787" s="6">
        <f t="shared" si="18"/>
        <v>2.995574912891986</v>
      </c>
    </row>
    <row r="788" spans="1:9" x14ac:dyDescent="0.3">
      <c r="A788" s="10">
        <v>18415</v>
      </c>
      <c r="B788">
        <v>1950</v>
      </c>
      <c r="C788" t="s">
        <v>23</v>
      </c>
      <c r="D788" s="6">
        <v>1950.4166666501101</v>
      </c>
      <c r="E788">
        <v>9653</v>
      </c>
      <c r="F788" s="12">
        <f t="shared" si="17"/>
        <v>283.78369999999995</v>
      </c>
      <c r="G788" s="7">
        <f>STANDARDIZE(E788,Climatology!B$7,Climatology!C$7)</f>
        <v>0.88988782335531058</v>
      </c>
      <c r="H788" s="7"/>
      <c r="I788" s="6">
        <f t="shared" si="18"/>
        <v>2.9398497876307879</v>
      </c>
    </row>
    <row r="789" spans="1:9" x14ac:dyDescent="0.3">
      <c r="A789" s="10">
        <v>18384</v>
      </c>
      <c r="B789">
        <v>1950</v>
      </c>
      <c r="C789" t="s">
        <v>24</v>
      </c>
      <c r="D789" s="6">
        <v>1950.33333331675</v>
      </c>
      <c r="E789">
        <v>7553</v>
      </c>
      <c r="F789" s="12">
        <f t="shared" si="17"/>
        <v>214.69369999999998</v>
      </c>
      <c r="G789" s="7">
        <f>STANDARDIZE(E789,Climatology!B$6,Climatology!C$6)</f>
        <v>0.482173333774298</v>
      </c>
      <c r="H789" s="7"/>
      <c r="I789" s="6">
        <f t="shared" si="18"/>
        <v>2.8424956970740101</v>
      </c>
    </row>
    <row r="790" spans="1:9" x14ac:dyDescent="0.3">
      <c r="A790" s="10">
        <v>18354</v>
      </c>
      <c r="B790">
        <v>1950</v>
      </c>
      <c r="C790" t="s">
        <v>25</v>
      </c>
      <c r="D790" s="6">
        <v>1950.2499999833899</v>
      </c>
      <c r="E790">
        <v>6032</v>
      </c>
      <c r="F790" s="12">
        <f t="shared" si="17"/>
        <v>164.65280000000001</v>
      </c>
      <c r="G790" s="7">
        <f>STANDARDIZE(E790,Climatology!B$5,Climatology!C$5)</f>
        <v>0.78379294362966967</v>
      </c>
      <c r="H790" s="7"/>
      <c r="I790" s="6">
        <f t="shared" si="18"/>
        <v>2.7296551724137932</v>
      </c>
    </row>
    <row r="791" spans="1:9" x14ac:dyDescent="0.3">
      <c r="A791" s="10">
        <v>18323</v>
      </c>
      <c r="B791">
        <v>1950</v>
      </c>
      <c r="C791" t="s">
        <v>26</v>
      </c>
      <c r="D791" s="6">
        <v>1950.16666665003</v>
      </c>
      <c r="E791">
        <v>6485</v>
      </c>
      <c r="F791" s="12">
        <f t="shared" si="17"/>
        <v>179.55649999999997</v>
      </c>
      <c r="G791" s="7">
        <f>STANDARDIZE(E791,Climatology!B$4,Climatology!C$4)</f>
        <v>1.5039442360823692</v>
      </c>
      <c r="H791" s="7"/>
      <c r="I791" s="6">
        <f t="shared" si="18"/>
        <v>2.7687972243639161</v>
      </c>
    </row>
    <row r="792" spans="1:9" x14ac:dyDescent="0.3">
      <c r="A792" s="10">
        <v>18295</v>
      </c>
      <c r="B792">
        <v>1950</v>
      </c>
      <c r="C792" t="s">
        <v>27</v>
      </c>
      <c r="D792" s="6">
        <v>1950.08333331667</v>
      </c>
      <c r="E792">
        <v>6180</v>
      </c>
      <c r="F792" s="12">
        <f t="shared" si="17"/>
        <v>169.52199999999999</v>
      </c>
      <c r="G792" s="7">
        <f>STANDARDIZE(E792,Climatology!B$3,Climatology!C$3)</f>
        <v>1.006830010637997</v>
      </c>
      <c r="H792" s="7"/>
      <c r="I792" s="6">
        <f t="shared" si="18"/>
        <v>2.7430744336569579</v>
      </c>
    </row>
    <row r="793" spans="1:9" x14ac:dyDescent="0.3">
      <c r="A793" s="10">
        <v>18264</v>
      </c>
      <c r="B793">
        <v>1950</v>
      </c>
      <c r="C793" t="s">
        <v>28</v>
      </c>
      <c r="D793" s="6">
        <v>1949.9999999833101</v>
      </c>
      <c r="E793">
        <v>6431</v>
      </c>
      <c r="F793" s="12">
        <f t="shared" si="17"/>
        <v>177.7799</v>
      </c>
      <c r="G793" s="7">
        <f>STANDARDIZE(E793,Climatology!B$2,Climatology!C$2)</f>
        <v>-0.16886941251149282</v>
      </c>
      <c r="H793" s="7"/>
      <c r="I793" s="6">
        <f t="shared" si="18"/>
        <v>2.7644207743741251</v>
      </c>
    </row>
    <row r="794" spans="1:9" x14ac:dyDescent="0.3">
      <c r="A794" s="10">
        <v>18233</v>
      </c>
      <c r="B794">
        <v>1949</v>
      </c>
      <c r="C794" t="s">
        <v>17</v>
      </c>
      <c r="D794" s="6">
        <v>1949.91666664995</v>
      </c>
      <c r="E794">
        <v>10975</v>
      </c>
      <c r="F794" s="12">
        <f t="shared" si="17"/>
        <v>327.27749999999997</v>
      </c>
      <c r="G794" s="7">
        <f>STANDARDIZE(E794,Climatology!B$13,Climatology!C$13)</f>
        <v>0.43109619202011751</v>
      </c>
      <c r="H794" s="7"/>
      <c r="I794" s="6">
        <f t="shared" si="18"/>
        <v>2.9820273348519359</v>
      </c>
    </row>
    <row r="795" spans="1:9" x14ac:dyDescent="0.3">
      <c r="A795" s="10">
        <v>18203</v>
      </c>
      <c r="B795">
        <v>1949</v>
      </c>
      <c r="C795" t="s">
        <v>18</v>
      </c>
      <c r="D795" s="6">
        <v>1949.8333333165899</v>
      </c>
      <c r="E795">
        <v>10715</v>
      </c>
      <c r="F795" s="12">
        <f t="shared" si="17"/>
        <v>318.7235</v>
      </c>
      <c r="G795" s="7">
        <f>STANDARDIZE(E795,Climatology!B$12,Climatology!C$12)</f>
        <v>0.3498710625062727</v>
      </c>
      <c r="H795" s="7"/>
      <c r="I795" s="6">
        <f t="shared" si="18"/>
        <v>2.974554363042464</v>
      </c>
    </row>
    <row r="796" spans="1:9" x14ac:dyDescent="0.3">
      <c r="A796" s="10">
        <v>18172</v>
      </c>
      <c r="B796">
        <v>1949</v>
      </c>
      <c r="C796" t="s">
        <v>19</v>
      </c>
      <c r="D796" s="6">
        <v>1949.7499999832301</v>
      </c>
      <c r="E796">
        <v>9084</v>
      </c>
      <c r="F796" s="12">
        <f t="shared" si="17"/>
        <v>265.06359999999995</v>
      </c>
      <c r="G796" s="7">
        <f>STANDARDIZE(E796,Climatology!B$11,Climatology!C$11)</f>
        <v>0.31726788890808999</v>
      </c>
      <c r="H796" s="7"/>
      <c r="I796" s="6">
        <f t="shared" si="18"/>
        <v>2.9179172170849843</v>
      </c>
    </row>
    <row r="797" spans="1:9" x14ac:dyDescent="0.3">
      <c r="A797" s="10">
        <v>18142</v>
      </c>
      <c r="B797">
        <v>1949</v>
      </c>
      <c r="C797" t="s">
        <v>20</v>
      </c>
      <c r="D797" s="6">
        <v>1949.66666664986</v>
      </c>
      <c r="E797">
        <v>8033</v>
      </c>
      <c r="F797" s="12">
        <f t="shared" si="17"/>
        <v>230.48569999999995</v>
      </c>
      <c r="G797" s="7">
        <f>STANDARDIZE(E797,Climatology!B$10,Climatology!C$10)</f>
        <v>0.26178838008692129</v>
      </c>
      <c r="H797" s="7"/>
      <c r="I797" s="6">
        <f t="shared" si="18"/>
        <v>2.8692356529316561</v>
      </c>
    </row>
    <row r="798" spans="1:9" x14ac:dyDescent="0.3">
      <c r="A798" s="10">
        <v>18111</v>
      </c>
      <c r="B798">
        <v>1949</v>
      </c>
      <c r="C798" t="s">
        <v>21</v>
      </c>
      <c r="D798" s="6">
        <v>1949.5833333165001</v>
      </c>
      <c r="E798">
        <v>7080</v>
      </c>
      <c r="F798" s="12">
        <f t="shared" si="17"/>
        <v>199.13200000000001</v>
      </c>
      <c r="G798" s="7">
        <f>STANDARDIZE(E798,Climatology!B$9,Climatology!C$9)</f>
        <v>-0.12694209724141439</v>
      </c>
      <c r="H798" s="7"/>
      <c r="I798" s="6">
        <f t="shared" si="18"/>
        <v>2.812598870056497</v>
      </c>
    </row>
    <row r="799" spans="1:9" x14ac:dyDescent="0.3">
      <c r="A799" s="10">
        <v>18080</v>
      </c>
      <c r="B799">
        <v>1949</v>
      </c>
      <c r="C799" t="s">
        <v>22</v>
      </c>
      <c r="D799" s="6">
        <v>1949.49999998314</v>
      </c>
      <c r="E799">
        <v>7744</v>
      </c>
      <c r="F799" s="12">
        <f t="shared" si="17"/>
        <v>220.9776</v>
      </c>
      <c r="G799" s="7">
        <f>STANDARDIZE(E799,Climatology!B$8,Climatology!C$8)</f>
        <v>-8.1039654250106175E-2</v>
      </c>
      <c r="H799" s="7"/>
      <c r="I799" s="6">
        <f t="shared" si="18"/>
        <v>2.8535330578512395</v>
      </c>
    </row>
    <row r="800" spans="1:9" x14ac:dyDescent="0.3">
      <c r="A800" s="10">
        <v>18050</v>
      </c>
      <c r="B800">
        <v>1949</v>
      </c>
      <c r="C800" t="s">
        <v>23</v>
      </c>
      <c r="D800" s="6">
        <v>1949.4166666497799</v>
      </c>
      <c r="E800">
        <v>6284</v>
      </c>
      <c r="F800" s="12">
        <f t="shared" si="17"/>
        <v>172.9436</v>
      </c>
      <c r="G800" s="7">
        <f>STANDARDIZE(E800,Climatology!B$7,Climatology!C$7)</f>
        <v>-1.1087291659633192</v>
      </c>
      <c r="H800" s="7"/>
      <c r="I800" s="6">
        <f t="shared" si="18"/>
        <v>2.7521260343730107</v>
      </c>
    </row>
    <row r="801" spans="1:9" x14ac:dyDescent="0.3">
      <c r="A801" s="10">
        <v>18019</v>
      </c>
      <c r="B801">
        <v>1949</v>
      </c>
      <c r="C801" t="s">
        <v>24</v>
      </c>
      <c r="D801" s="6">
        <v>1949.3333333164201</v>
      </c>
      <c r="E801">
        <v>5449</v>
      </c>
      <c r="F801" s="12">
        <f t="shared" si="17"/>
        <v>145.47210000000001</v>
      </c>
      <c r="G801" s="7">
        <f>STANDARDIZE(E801,Climatology!B$6,Climatology!C$6)</f>
        <v>-0.970644050888962</v>
      </c>
      <c r="H801" s="7"/>
      <c r="I801" s="6">
        <f t="shared" si="18"/>
        <v>2.6697026977427054</v>
      </c>
    </row>
    <row r="802" spans="1:9" x14ac:dyDescent="0.3">
      <c r="A802" s="10">
        <v>17989</v>
      </c>
      <c r="B802">
        <v>1949</v>
      </c>
      <c r="C802" t="s">
        <v>25</v>
      </c>
      <c r="D802" s="6">
        <v>1949.24999998306</v>
      </c>
      <c r="E802">
        <v>3504</v>
      </c>
      <c r="F802" s="12">
        <f t="shared" si="17"/>
        <v>81.4816</v>
      </c>
      <c r="G802" s="7">
        <f>STANDARDIZE(E802,Climatology!B$5,Climatology!C$5)</f>
        <v>-1.0258871910319651</v>
      </c>
      <c r="H802" s="7"/>
      <c r="I802" s="6">
        <f t="shared" si="18"/>
        <v>2.3253881278538815</v>
      </c>
    </row>
    <row r="803" spans="1:9" x14ac:dyDescent="0.3">
      <c r="A803" s="10">
        <v>17958</v>
      </c>
      <c r="B803">
        <v>1949</v>
      </c>
      <c r="C803" t="s">
        <v>26</v>
      </c>
      <c r="D803" s="6">
        <v>1949.1666666496999</v>
      </c>
      <c r="E803">
        <v>3119</v>
      </c>
      <c r="F803" s="12">
        <f t="shared" si="17"/>
        <v>68.815100000000001</v>
      </c>
      <c r="G803" s="7">
        <f>STANDARDIZE(E803,Climatology!B$4,Climatology!C$4)</f>
        <v>-0.63623892649673464</v>
      </c>
      <c r="H803" s="7"/>
      <c r="I803" s="6">
        <f t="shared" si="18"/>
        <v>2.2063193331195894</v>
      </c>
    </row>
    <row r="804" spans="1:9" x14ac:dyDescent="0.3">
      <c r="A804" s="10">
        <v>17930</v>
      </c>
      <c r="B804">
        <v>1949</v>
      </c>
      <c r="C804" t="s">
        <v>27</v>
      </c>
      <c r="D804" s="6">
        <v>1949.08333331634</v>
      </c>
      <c r="E804">
        <v>2847</v>
      </c>
      <c r="F804" s="12">
        <f t="shared" si="17"/>
        <v>59.866299999999995</v>
      </c>
      <c r="G804" s="7">
        <f>STANDARDIZE(E804,Climatology!B$3,Climatology!C$3)</f>
        <v>-0.93639567677728797</v>
      </c>
      <c r="H804" s="7"/>
      <c r="I804" s="6">
        <f t="shared" si="18"/>
        <v>2.1027853881278538</v>
      </c>
    </row>
    <row r="805" spans="1:9" x14ac:dyDescent="0.3">
      <c r="A805" s="10">
        <v>17899</v>
      </c>
      <c r="B805">
        <v>1949</v>
      </c>
      <c r="C805" t="s">
        <v>28</v>
      </c>
      <c r="D805" s="6">
        <v>1948.9999999829799</v>
      </c>
      <c r="E805">
        <v>4148</v>
      </c>
      <c r="F805" s="12">
        <f t="shared" si="17"/>
        <v>102.6692</v>
      </c>
      <c r="G805" s="7">
        <f>STANDARDIZE(E805,Climatology!B$2,Climatology!C$2)</f>
        <v>-1.1645534744013128</v>
      </c>
      <c r="H805" s="7"/>
      <c r="I805" s="6">
        <f t="shared" si="18"/>
        <v>2.4751494696239154</v>
      </c>
    </row>
    <row r="806" spans="1:9" x14ac:dyDescent="0.3">
      <c r="A806" s="10">
        <v>17868</v>
      </c>
      <c r="B806">
        <v>1948</v>
      </c>
      <c r="C806" t="s">
        <v>17</v>
      </c>
      <c r="D806" s="6">
        <v>1948.9166666496201</v>
      </c>
      <c r="E806">
        <v>8291</v>
      </c>
      <c r="F806" s="12">
        <f t="shared" si="17"/>
        <v>238.97389999999996</v>
      </c>
      <c r="G806" s="7">
        <f>STANDARDIZE(E806,Climatology!B$13,Climatology!C$13)</f>
        <v>-0.52731275709977998</v>
      </c>
      <c r="H806" s="7"/>
      <c r="I806" s="6">
        <f t="shared" si="18"/>
        <v>2.8823290314799173</v>
      </c>
    </row>
    <row r="807" spans="1:9" x14ac:dyDescent="0.3">
      <c r="A807" s="10">
        <v>17838</v>
      </c>
      <c r="B807">
        <v>1948</v>
      </c>
      <c r="C807" t="s">
        <v>18</v>
      </c>
      <c r="D807" s="6">
        <v>1948.83333331626</v>
      </c>
      <c r="E807">
        <v>8838</v>
      </c>
      <c r="F807" s="12">
        <f t="shared" ref="F807:F870" si="19">(0.0329*E807)-33.8</f>
        <v>256.97019999999998</v>
      </c>
      <c r="G807" s="7">
        <f>STANDARDIZE(E807,Climatology!B$12,Climatology!C$12)</f>
        <v>-0.3875944461494204</v>
      </c>
      <c r="H807" s="7"/>
      <c r="I807" s="6">
        <f t="shared" si="18"/>
        <v>2.9075605340574788</v>
      </c>
    </row>
    <row r="808" spans="1:9" x14ac:dyDescent="0.3">
      <c r="A808" s="10">
        <v>17807</v>
      </c>
      <c r="B808">
        <v>1948</v>
      </c>
      <c r="C808" t="s">
        <v>19</v>
      </c>
      <c r="D808" s="6">
        <v>1948.7499999828999</v>
      </c>
      <c r="E808">
        <v>6882</v>
      </c>
      <c r="F808" s="12">
        <f t="shared" si="19"/>
        <v>192.61779999999999</v>
      </c>
      <c r="G808" s="7">
        <f>STANDARDIZE(E808,Climatology!B$11,Climatology!C$11)</f>
        <v>-0.81725471314394194</v>
      </c>
      <c r="H808" s="7"/>
      <c r="I808" s="6">
        <f t="shared" si="18"/>
        <v>2.7988637024120893</v>
      </c>
    </row>
    <row r="809" spans="1:9" x14ac:dyDescent="0.3">
      <c r="A809" s="10">
        <v>17777</v>
      </c>
      <c r="B809">
        <v>1948</v>
      </c>
      <c r="C809" t="s">
        <v>20</v>
      </c>
      <c r="D809" s="6">
        <v>1948.66666664954</v>
      </c>
      <c r="E809">
        <v>4586</v>
      </c>
      <c r="F809" s="12">
        <f t="shared" si="19"/>
        <v>117.07940000000001</v>
      </c>
      <c r="G809" s="7">
        <f>STANDARDIZE(E809,Climatology!B$10,Climatology!C$10)</f>
        <v>-1.441509575366124</v>
      </c>
      <c r="H809" s="7"/>
      <c r="I809" s="6">
        <f t="shared" si="18"/>
        <v>2.5529742695159183</v>
      </c>
    </row>
    <row r="810" spans="1:9" x14ac:dyDescent="0.3">
      <c r="A810" s="10">
        <v>17746</v>
      </c>
      <c r="B810">
        <v>1948</v>
      </c>
      <c r="C810" t="s">
        <v>21</v>
      </c>
      <c r="D810" s="6">
        <v>1948.58333331618</v>
      </c>
      <c r="E810">
        <v>5131</v>
      </c>
      <c r="F810" s="12">
        <f t="shared" si="19"/>
        <v>135.00990000000002</v>
      </c>
      <c r="G810" s="7">
        <f>STANDARDIZE(E810,Climatology!B$9,Climatology!C$9)</f>
        <v>-1.1096122801712314</v>
      </c>
      <c r="H810" s="7"/>
      <c r="I810" s="6">
        <f t="shared" si="18"/>
        <v>2.6312590138374592</v>
      </c>
    </row>
    <row r="811" spans="1:9" x14ac:dyDescent="0.3">
      <c r="A811" s="10">
        <v>17715</v>
      </c>
      <c r="B811">
        <v>1948</v>
      </c>
      <c r="C811" t="s">
        <v>22</v>
      </c>
      <c r="D811" s="6">
        <v>1948.4999999828201</v>
      </c>
      <c r="E811">
        <v>5847</v>
      </c>
      <c r="F811" s="12">
        <f t="shared" si="19"/>
        <v>158.56630000000001</v>
      </c>
      <c r="G811" s="7">
        <f>STANDARDIZE(E811,Climatology!B$8,Climatology!C$8)</f>
        <v>-1.0158472437128827</v>
      </c>
      <c r="H811" s="7"/>
      <c r="I811" s="6">
        <f t="shared" si="18"/>
        <v>2.7119257739011462</v>
      </c>
    </row>
    <row r="812" spans="1:9" x14ac:dyDescent="0.3">
      <c r="A812" s="10">
        <v>17685</v>
      </c>
      <c r="B812">
        <v>1948</v>
      </c>
      <c r="C812" t="s">
        <v>23</v>
      </c>
      <c r="D812" s="6">
        <v>1948.41666664946</v>
      </c>
      <c r="E812">
        <v>7166</v>
      </c>
      <c r="F812" s="12">
        <f t="shared" si="19"/>
        <v>201.96139999999997</v>
      </c>
      <c r="G812" s="7">
        <f>STANDARDIZE(E812,Climatology!B$7,Climatology!C$7)</f>
        <v>-0.58549372975701708</v>
      </c>
      <c r="H812" s="7"/>
      <c r="I812" s="6">
        <f t="shared" si="18"/>
        <v>2.8183282165782861</v>
      </c>
    </row>
    <row r="813" spans="1:9" x14ac:dyDescent="0.3">
      <c r="A813" s="10">
        <v>17654</v>
      </c>
      <c r="B813">
        <v>1948</v>
      </c>
      <c r="C813" t="s">
        <v>24</v>
      </c>
      <c r="D813" s="6">
        <v>1948.3333333160999</v>
      </c>
      <c r="E813">
        <v>5519</v>
      </c>
      <c r="F813" s="12">
        <f t="shared" si="19"/>
        <v>147.77510000000001</v>
      </c>
      <c r="G813" s="7">
        <f>STANDARDIZE(E813,Climatology!B$6,Climatology!C$6)</f>
        <v>-0.92230887174142007</v>
      </c>
      <c r="H813" s="7"/>
      <c r="I813" s="6">
        <f t="shared" si="18"/>
        <v>2.6775702119949267</v>
      </c>
    </row>
    <row r="814" spans="1:9" x14ac:dyDescent="0.3">
      <c r="A814" s="10">
        <v>17624</v>
      </c>
      <c r="B814">
        <v>1948</v>
      </c>
      <c r="C814" t="s">
        <v>25</v>
      </c>
      <c r="D814" s="6">
        <v>1948.2499999827401</v>
      </c>
      <c r="E814">
        <v>4174</v>
      </c>
      <c r="F814" s="12">
        <f t="shared" si="19"/>
        <v>103.52460000000001</v>
      </c>
      <c r="G814" s="7">
        <f>STANDARDIZE(E814,Climatology!B$5,Climatology!C$5)</f>
        <v>-0.54626468698793995</v>
      </c>
      <c r="H814" s="7"/>
      <c r="I814" s="6">
        <f t="shared" si="18"/>
        <v>2.480225203641591</v>
      </c>
    </row>
    <row r="815" spans="1:9" x14ac:dyDescent="0.3">
      <c r="A815" s="10">
        <v>17593</v>
      </c>
      <c r="B815">
        <v>1948</v>
      </c>
      <c r="C815" t="s">
        <v>26</v>
      </c>
      <c r="D815" s="6">
        <v>1948.16666664938</v>
      </c>
      <c r="F815" s="12"/>
      <c r="G815" s="7"/>
      <c r="H815" s="7"/>
      <c r="I815" s="6"/>
    </row>
    <row r="816" spans="1:9" x14ac:dyDescent="0.3">
      <c r="A816" s="10">
        <v>17564</v>
      </c>
      <c r="B816">
        <v>1948</v>
      </c>
      <c r="C816" t="s">
        <v>27</v>
      </c>
      <c r="D816" s="6">
        <v>1948.0833333160199</v>
      </c>
      <c r="E816">
        <v>2266</v>
      </c>
      <c r="F816" s="12">
        <f t="shared" si="19"/>
        <v>40.751400000000004</v>
      </c>
      <c r="G816" s="7">
        <f>STANDARDIZE(E816,Climatology!B$3,Climatology!C$3)</f>
        <v>-1.275133787904885</v>
      </c>
      <c r="H816" s="7"/>
      <c r="I816" s="6">
        <f t="shared" si="18"/>
        <v>1.7983848190644309</v>
      </c>
    </row>
    <row r="817" spans="1:9" x14ac:dyDescent="0.3">
      <c r="A817" s="10">
        <v>17533</v>
      </c>
      <c r="B817">
        <v>1948</v>
      </c>
      <c r="C817" t="s">
        <v>28</v>
      </c>
      <c r="D817" s="6">
        <v>1947.99999998266</v>
      </c>
      <c r="E817">
        <v>3641</v>
      </c>
      <c r="F817" s="12">
        <f t="shared" si="19"/>
        <v>85.988900000000001</v>
      </c>
      <c r="G817" s="7">
        <f>STANDARDIZE(E817,Climatology!B$2,Climatology!C$2)</f>
        <v>-1.3856712227053596</v>
      </c>
      <c r="H817" s="7"/>
      <c r="I817" s="6">
        <f t="shared" si="18"/>
        <v>2.3616836034056581</v>
      </c>
    </row>
    <row r="818" spans="1:9" x14ac:dyDescent="0.3">
      <c r="A818" s="10">
        <v>17502</v>
      </c>
      <c r="B818">
        <v>1947</v>
      </c>
      <c r="C818" t="s">
        <v>17</v>
      </c>
      <c r="D818" s="6">
        <v>1947.9166666492999</v>
      </c>
      <c r="E818">
        <v>7617</v>
      </c>
      <c r="F818" s="12">
        <f t="shared" si="19"/>
        <v>216.79930000000002</v>
      </c>
      <c r="G818" s="7">
        <f>STANDARDIZE(E818,Climatology!B$13,Climatology!C$13)</f>
        <v>-0.76798624134225801</v>
      </c>
      <c r="H818" s="7"/>
      <c r="I818" s="6">
        <f t="shared" si="18"/>
        <v>2.846255743731128</v>
      </c>
    </row>
    <row r="819" spans="1:9" x14ac:dyDescent="0.3">
      <c r="A819" s="10">
        <v>17472</v>
      </c>
      <c r="B819">
        <v>1947</v>
      </c>
      <c r="C819" t="s">
        <v>18</v>
      </c>
      <c r="D819" s="6">
        <v>1947.8333333159401</v>
      </c>
      <c r="E819">
        <v>10102</v>
      </c>
      <c r="F819" s="12">
        <f t="shared" si="19"/>
        <v>298.55579999999998</v>
      </c>
      <c r="G819" s="7">
        <f>STANDARDIZE(E819,Climatology!B$12,Climatology!C$12)</f>
        <v>0.10902590704226638</v>
      </c>
      <c r="H819" s="7"/>
      <c r="I819" s="6">
        <f t="shared" si="18"/>
        <v>2.9554127895466245</v>
      </c>
    </row>
    <row r="820" spans="1:9" x14ac:dyDescent="0.3">
      <c r="A820" s="10">
        <v>17441</v>
      </c>
      <c r="B820">
        <v>1947</v>
      </c>
      <c r="C820" t="s">
        <v>19</v>
      </c>
      <c r="D820" s="6">
        <v>1947.74999998258</v>
      </c>
      <c r="E820">
        <v>8705</v>
      </c>
      <c r="F820" s="12">
        <f t="shared" si="19"/>
        <v>252.59449999999998</v>
      </c>
      <c r="G820" s="7">
        <f>STANDARDIZE(E820,Climatology!B$11,Climatology!C$11)</f>
        <v>0.12199810408623707</v>
      </c>
      <c r="H820" s="7"/>
      <c r="I820" s="6">
        <f t="shared" si="18"/>
        <v>2.9017174037909244</v>
      </c>
    </row>
    <row r="821" spans="1:9" x14ac:dyDescent="0.3">
      <c r="A821" s="10">
        <v>17411</v>
      </c>
      <c r="B821">
        <v>1947</v>
      </c>
      <c r="C821" t="s">
        <v>20</v>
      </c>
      <c r="D821" s="6">
        <v>1947.6666666492199</v>
      </c>
      <c r="E821">
        <v>7436</v>
      </c>
      <c r="F821" s="12">
        <f t="shared" si="19"/>
        <v>210.84440000000001</v>
      </c>
      <c r="G821" s="7">
        <f>STANDARDIZE(E821,Climatology!B$10,Climatology!C$10)</f>
        <v>-3.3212745357078723E-2</v>
      </c>
      <c r="H821" s="7"/>
      <c r="I821" s="6">
        <f t="shared" si="18"/>
        <v>2.8354545454545454</v>
      </c>
    </row>
    <row r="822" spans="1:9" x14ac:dyDescent="0.3">
      <c r="A822" s="10">
        <v>17380</v>
      </c>
      <c r="B822">
        <v>1947</v>
      </c>
      <c r="C822" t="s">
        <v>21</v>
      </c>
      <c r="D822" s="6">
        <v>1947.58333331586</v>
      </c>
      <c r="E822">
        <v>8159</v>
      </c>
      <c r="F822" s="12">
        <f t="shared" si="19"/>
        <v>234.6311</v>
      </c>
      <c r="G822" s="7">
        <f>STANDARDIZE(E822,Climatology!B$9,Climatology!C$9)</f>
        <v>0.41708105687930003</v>
      </c>
      <c r="H822" s="7"/>
      <c r="I822" s="6">
        <f t="shared" si="18"/>
        <v>2.8757335457776692</v>
      </c>
    </row>
    <row r="823" spans="1:9" x14ac:dyDescent="0.3">
      <c r="A823" s="10">
        <v>17349</v>
      </c>
      <c r="B823">
        <v>1947</v>
      </c>
      <c r="C823" t="s">
        <v>22</v>
      </c>
      <c r="D823" s="6">
        <v>1947.4999999825</v>
      </c>
      <c r="E823">
        <v>7789</v>
      </c>
      <c r="F823" s="12">
        <f t="shared" si="19"/>
        <v>222.4581</v>
      </c>
      <c r="G823" s="7">
        <f>STANDARDIZE(E823,Climatology!B$8,Climatology!C$8)</f>
        <v>-5.8864461036703467E-2</v>
      </c>
      <c r="H823" s="7"/>
      <c r="I823" s="6">
        <f t="shared" si="18"/>
        <v>2.8560546925150856</v>
      </c>
    </row>
    <row r="824" spans="1:9" x14ac:dyDescent="0.3">
      <c r="A824" s="10">
        <v>17319</v>
      </c>
      <c r="B824">
        <v>1947</v>
      </c>
      <c r="C824" t="s">
        <v>23</v>
      </c>
      <c r="D824" s="6">
        <v>1947.4166666491401</v>
      </c>
      <c r="E824">
        <v>7198</v>
      </c>
      <c r="F824" s="12">
        <f t="shared" si="19"/>
        <v>203.01420000000002</v>
      </c>
      <c r="G824" s="7">
        <f>STANDARDIZE(E824,Climatology!B$7,Climatology!C$7)</f>
        <v>-0.56651013116449822</v>
      </c>
      <c r="H824" s="7"/>
      <c r="I824" s="6">
        <f t="shared" si="18"/>
        <v>2.8204251180883584</v>
      </c>
    </row>
    <row r="825" spans="1:9" x14ac:dyDescent="0.3">
      <c r="A825" s="10">
        <v>17288</v>
      </c>
      <c r="B825">
        <v>1947</v>
      </c>
      <c r="C825" t="s">
        <v>24</v>
      </c>
      <c r="D825" s="6">
        <v>1947.33333331578</v>
      </c>
      <c r="E825">
        <v>5089</v>
      </c>
      <c r="F825" s="12">
        <f t="shared" si="19"/>
        <v>133.62810000000002</v>
      </c>
      <c r="G825" s="7">
        <f>STANDARDIZE(E825,Climatology!B$6,Climatology!C$6)</f>
        <v>-1.2192249722191777</v>
      </c>
      <c r="H825" s="7"/>
      <c r="I825" s="6">
        <f t="shared" si="18"/>
        <v>2.6258223619571628</v>
      </c>
    </row>
    <row r="826" spans="1:9" x14ac:dyDescent="0.3">
      <c r="A826" s="10">
        <v>17258</v>
      </c>
      <c r="B826">
        <v>1947</v>
      </c>
      <c r="C826" t="s">
        <v>25</v>
      </c>
      <c r="D826" s="6">
        <v>1947.2499999824199</v>
      </c>
      <c r="E826">
        <v>3392</v>
      </c>
      <c r="F826" s="12">
        <f t="shared" si="19"/>
        <v>77.796800000000005</v>
      </c>
      <c r="G826" s="7">
        <f>STANDARDIZE(E826,Climatology!B$5,Climatology!C$5)</f>
        <v>-1.1060628932005185</v>
      </c>
      <c r="H826" s="7"/>
      <c r="I826" s="6">
        <f t="shared" si="18"/>
        <v>2.2935377358490565</v>
      </c>
    </row>
    <row r="827" spans="1:9" x14ac:dyDescent="0.3">
      <c r="A827" s="10">
        <v>17227</v>
      </c>
      <c r="B827">
        <v>1947</v>
      </c>
      <c r="C827" t="s">
        <v>26</v>
      </c>
      <c r="D827" s="6">
        <v>1947.1666666490601</v>
      </c>
      <c r="E827">
        <v>2640</v>
      </c>
      <c r="F827" s="12">
        <f t="shared" si="19"/>
        <v>53.055999999999997</v>
      </c>
      <c r="G827" s="7">
        <f>STANDARDIZE(E827,Climatology!B$4,Climatology!C$4)</f>
        <v>-0.94079856252626248</v>
      </c>
      <c r="H827" s="7"/>
      <c r="I827" s="6">
        <f t="shared" si="18"/>
        <v>2.0096969696969698</v>
      </c>
    </row>
    <row r="828" spans="1:9" x14ac:dyDescent="0.3">
      <c r="A828" s="10">
        <v>17199</v>
      </c>
      <c r="B828">
        <v>1947</v>
      </c>
      <c r="C828" t="s">
        <v>27</v>
      </c>
      <c r="D828" s="6">
        <v>1947.0833333157</v>
      </c>
      <c r="E828">
        <v>3217</v>
      </c>
      <c r="F828" s="12">
        <f t="shared" si="19"/>
        <v>72.039299999999997</v>
      </c>
      <c r="G828" s="7">
        <f>STANDARDIZE(E828,Climatology!B$3,Climatology!C$3)</f>
        <v>-0.72067605351186481</v>
      </c>
      <c r="H828" s="7"/>
      <c r="I828" s="6">
        <f t="shared" si="18"/>
        <v>2.2393316754740442</v>
      </c>
    </row>
    <row r="829" spans="1:9" x14ac:dyDescent="0.3">
      <c r="A829" s="10">
        <v>17168</v>
      </c>
      <c r="B829">
        <v>1947</v>
      </c>
      <c r="C829" t="s">
        <v>28</v>
      </c>
      <c r="D829" s="6">
        <v>1946.9999999823399</v>
      </c>
      <c r="E829">
        <v>5320</v>
      </c>
      <c r="F829" s="12">
        <f t="shared" si="19"/>
        <v>141.22800000000001</v>
      </c>
      <c r="G829" s="7">
        <f>STANDARDIZE(E829,Climatology!B$2,Climatology!C$2)</f>
        <v>-0.65340948818367417</v>
      </c>
      <c r="H829" s="7"/>
      <c r="I829" s="6">
        <f t="shared" si="18"/>
        <v>2.6546616541353383</v>
      </c>
    </row>
    <row r="830" spans="1:9" x14ac:dyDescent="0.3">
      <c r="A830" s="10">
        <v>17137</v>
      </c>
      <c r="B830">
        <v>1946</v>
      </c>
      <c r="C830" t="s">
        <v>17</v>
      </c>
      <c r="D830" s="6">
        <v>1946.91666664898</v>
      </c>
      <c r="E830">
        <v>7541</v>
      </c>
      <c r="F830" s="12">
        <f t="shared" si="19"/>
        <v>214.2989</v>
      </c>
      <c r="G830" s="7">
        <f>STANDARDIZE(E830,Climatology!B$13,Climatology!C$13)</f>
        <v>-0.79512449772568283</v>
      </c>
      <c r="H830" s="7"/>
      <c r="I830" s="6">
        <f t="shared" si="18"/>
        <v>2.8417835830791676</v>
      </c>
    </row>
    <row r="831" spans="1:9" x14ac:dyDescent="0.3">
      <c r="A831" s="10">
        <v>17107</v>
      </c>
      <c r="B831">
        <v>1946</v>
      </c>
      <c r="C831" t="s">
        <v>18</v>
      </c>
      <c r="D831" s="6">
        <v>1946.8333333156199</v>
      </c>
      <c r="E831">
        <v>7000</v>
      </c>
      <c r="F831" s="12">
        <f t="shared" si="19"/>
        <v>196.5</v>
      </c>
      <c r="G831" s="7">
        <f>STANDARDIZE(E831,Climatology!B$12,Climatology!C$12)</f>
        <v>-1.1097370166923954</v>
      </c>
      <c r="H831" s="7"/>
      <c r="I831" s="6">
        <f t="shared" si="18"/>
        <v>2.8071428571428569</v>
      </c>
    </row>
    <row r="832" spans="1:9" x14ac:dyDescent="0.3">
      <c r="A832" s="10">
        <v>17076</v>
      </c>
      <c r="B832">
        <v>1946</v>
      </c>
      <c r="C832" t="s">
        <v>19</v>
      </c>
      <c r="D832" s="6">
        <v>1946.7499999822601</v>
      </c>
      <c r="E832">
        <v>5507</v>
      </c>
      <c r="F832" s="12">
        <f t="shared" si="19"/>
        <v>147.38029999999998</v>
      </c>
      <c r="G832" s="7">
        <f>STANDARDIZE(E832,Climatology!B$11,Climatology!C$11)</f>
        <v>-1.5256873097931445</v>
      </c>
      <c r="H832" s="7"/>
      <c r="I832" s="6">
        <f t="shared" si="18"/>
        <v>2.6762357000181582</v>
      </c>
    </row>
    <row r="833" spans="1:9" x14ac:dyDescent="0.3">
      <c r="A833" s="10">
        <v>17046</v>
      </c>
      <c r="B833">
        <v>1946</v>
      </c>
      <c r="C833" t="s">
        <v>20</v>
      </c>
      <c r="D833" s="6">
        <v>1946.6666666489</v>
      </c>
      <c r="E833">
        <v>4883</v>
      </c>
      <c r="F833" s="12">
        <f t="shared" si="19"/>
        <v>126.8507</v>
      </c>
      <c r="G833" s="7">
        <f>STANDARDIZE(E833,Climatology!B$10,Climatology!C$10)</f>
        <v>-1.2947502215020235</v>
      </c>
      <c r="H833" s="7"/>
      <c r="I833" s="6">
        <f t="shared" si="18"/>
        <v>2.5978025803809137</v>
      </c>
    </row>
    <row r="834" spans="1:9" x14ac:dyDescent="0.3">
      <c r="A834" s="10">
        <v>17015</v>
      </c>
      <c r="B834">
        <v>1946</v>
      </c>
      <c r="C834" t="s">
        <v>21</v>
      </c>
      <c r="D834" s="6">
        <v>1946.5833333155399</v>
      </c>
      <c r="E834">
        <v>4942</v>
      </c>
      <c r="F834" s="12">
        <f t="shared" si="19"/>
        <v>128.79180000000002</v>
      </c>
      <c r="G834" s="7">
        <f>STANDARDIZE(E834,Climatology!B$9,Climatology!C$9)</f>
        <v>-1.2049045657401052</v>
      </c>
      <c r="H834" s="7"/>
      <c r="I834" s="6">
        <f t="shared" si="18"/>
        <v>2.6060663698907329</v>
      </c>
    </row>
    <row r="835" spans="1:9" x14ac:dyDescent="0.3">
      <c r="A835" s="10">
        <v>16984</v>
      </c>
      <c r="B835">
        <v>1946</v>
      </c>
      <c r="C835" t="s">
        <v>22</v>
      </c>
      <c r="D835" s="6">
        <v>1946.49999998218</v>
      </c>
      <c r="E835">
        <v>4665</v>
      </c>
      <c r="F835" s="12">
        <f t="shared" si="19"/>
        <v>119.6785</v>
      </c>
      <c r="G835" s="7">
        <f>STANDARDIZE(E835,Climatology!B$8,Climatology!C$8)</f>
        <v>-1.5983156521182604</v>
      </c>
      <c r="H835" s="7"/>
      <c r="I835" s="6">
        <f t="shared" ref="I835:I898" si="20">F835/E835*100</f>
        <v>2.5654555198285101</v>
      </c>
    </row>
    <row r="836" spans="1:9" x14ac:dyDescent="0.3">
      <c r="A836" s="10">
        <v>16954</v>
      </c>
      <c r="B836">
        <v>1946</v>
      </c>
      <c r="C836" t="s">
        <v>23</v>
      </c>
      <c r="D836" s="6">
        <v>1946.41666664882</v>
      </c>
      <c r="E836">
        <v>6498</v>
      </c>
      <c r="F836" s="12">
        <f t="shared" si="19"/>
        <v>179.98419999999999</v>
      </c>
      <c r="G836" s="7">
        <f>STANDARDIZE(E836,Climatology!B$7,Climatology!C$7)</f>
        <v>-0.98177635037584898</v>
      </c>
      <c r="H836" s="7"/>
      <c r="I836" s="6">
        <f t="shared" si="20"/>
        <v>2.7698399507540779</v>
      </c>
    </row>
    <row r="837" spans="1:9" x14ac:dyDescent="0.3">
      <c r="A837" s="10">
        <v>16923</v>
      </c>
      <c r="B837">
        <v>1946</v>
      </c>
      <c r="C837" t="s">
        <v>24</v>
      </c>
      <c r="D837" s="6">
        <v>1946.3333333154601</v>
      </c>
      <c r="E837">
        <v>6217</v>
      </c>
      <c r="F837" s="12">
        <f t="shared" si="19"/>
        <v>170.73930000000001</v>
      </c>
      <c r="G837" s="7">
        <f>STANDARDIZE(E837,Climatology!B$6,Climatology!C$6)</f>
        <v>-0.44033808538450209</v>
      </c>
      <c r="H837" s="7"/>
      <c r="I837" s="6">
        <f t="shared" si="20"/>
        <v>2.7463294193340841</v>
      </c>
    </row>
    <row r="838" spans="1:9" x14ac:dyDescent="0.3">
      <c r="A838" s="10">
        <v>16893</v>
      </c>
      <c r="B838">
        <v>1946</v>
      </c>
      <c r="C838" t="s">
        <v>25</v>
      </c>
      <c r="D838" s="6">
        <v>1946.2499999821</v>
      </c>
      <c r="E838">
        <v>4691</v>
      </c>
      <c r="F838" s="12">
        <f t="shared" si="19"/>
        <v>120.5339</v>
      </c>
      <c r="G838" s="7">
        <f>STANDARDIZE(E838,Climatology!B$5,Climatology!C$5)</f>
        <v>-0.17616791894202816</v>
      </c>
      <c r="H838" s="7"/>
      <c r="I838" s="6">
        <f t="shared" si="20"/>
        <v>2.5694713280750374</v>
      </c>
    </row>
    <row r="839" spans="1:9" x14ac:dyDescent="0.3">
      <c r="A839" s="10">
        <v>16862</v>
      </c>
      <c r="B839">
        <v>1946</v>
      </c>
      <c r="C839" t="s">
        <v>26</v>
      </c>
      <c r="D839" s="6">
        <v>1946.1666666487399</v>
      </c>
      <c r="E839">
        <v>3487</v>
      </c>
      <c r="F839" s="12">
        <f t="shared" si="19"/>
        <v>80.922299999999993</v>
      </c>
      <c r="G839" s="7">
        <f>STANDARDIZE(E839,Climatology!B$4,Climatology!C$4)</f>
        <v>-0.40225574057008273</v>
      </c>
      <c r="H839" s="7"/>
      <c r="I839" s="6">
        <f t="shared" si="20"/>
        <v>2.3206854029251502</v>
      </c>
    </row>
    <row r="840" spans="1:9" x14ac:dyDescent="0.3">
      <c r="A840" s="10">
        <v>16834</v>
      </c>
      <c r="B840">
        <v>1946</v>
      </c>
      <c r="C840" t="s">
        <v>27</v>
      </c>
      <c r="D840" s="6">
        <v>1946.0833333153801</v>
      </c>
      <c r="E840">
        <v>3629</v>
      </c>
      <c r="F840" s="12">
        <f t="shared" si="19"/>
        <v>85.594099999999997</v>
      </c>
      <c r="G840" s="7">
        <f>STANDARDIZE(E840,Climatology!B$3,Climatology!C$3)</f>
        <v>-0.48046933787577195</v>
      </c>
      <c r="H840" s="7"/>
      <c r="I840" s="6">
        <f t="shared" si="20"/>
        <v>2.358613943235051</v>
      </c>
    </row>
    <row r="841" spans="1:9" x14ac:dyDescent="0.3">
      <c r="A841" s="10">
        <v>16803</v>
      </c>
      <c r="B841">
        <v>1946</v>
      </c>
      <c r="C841" t="s">
        <v>28</v>
      </c>
      <c r="D841" s="6">
        <v>1945.99999998202</v>
      </c>
      <c r="E841">
        <v>6392</v>
      </c>
      <c r="F841" s="12">
        <f t="shared" si="19"/>
        <v>176.49680000000001</v>
      </c>
      <c r="G841" s="7">
        <f>STANDARDIZE(E841,Climatology!B$2,Climatology!C$2)</f>
        <v>-0.18587847007334257</v>
      </c>
      <c r="H841" s="7"/>
      <c r="I841" s="6">
        <f t="shared" si="20"/>
        <v>2.7612140175219024</v>
      </c>
    </row>
    <row r="842" spans="1:9" x14ac:dyDescent="0.3">
      <c r="A842" s="10">
        <v>16772</v>
      </c>
      <c r="B842">
        <v>1945</v>
      </c>
      <c r="C842" t="s">
        <v>17</v>
      </c>
      <c r="D842" s="6">
        <v>1945.9166666486601</v>
      </c>
      <c r="E842">
        <v>9418</v>
      </c>
      <c r="F842" s="12">
        <f t="shared" si="19"/>
        <v>276.05219999999997</v>
      </c>
      <c r="G842" s="7">
        <f>STANDARDIZE(E842,Climatology!B$13,Climatology!C$13)</f>
        <v>-0.12488098151925672</v>
      </c>
      <c r="H842" s="7"/>
      <c r="I842" s="6">
        <f t="shared" si="20"/>
        <v>2.9311127627946481</v>
      </c>
    </row>
    <row r="843" spans="1:9" x14ac:dyDescent="0.3">
      <c r="A843" s="10">
        <v>16742</v>
      </c>
      <c r="B843">
        <v>1945</v>
      </c>
      <c r="C843" t="s">
        <v>18</v>
      </c>
      <c r="D843" s="6">
        <v>1945.8333333153</v>
      </c>
      <c r="E843">
        <v>9493</v>
      </c>
      <c r="F843" s="12">
        <f t="shared" si="19"/>
        <v>278.5197</v>
      </c>
      <c r="G843" s="7">
        <f>STANDARDIZE(E843,Climatology!B$12,Climatology!C$12)</f>
        <v>-0.13024766502556373</v>
      </c>
      <c r="H843" s="7"/>
      <c r="I843" s="6">
        <f t="shared" si="20"/>
        <v>2.9339481723375118</v>
      </c>
    </row>
    <row r="844" spans="1:9" x14ac:dyDescent="0.3">
      <c r="A844" s="10">
        <v>16711</v>
      </c>
      <c r="B844">
        <v>1945</v>
      </c>
      <c r="C844" t="s">
        <v>19</v>
      </c>
      <c r="D844" s="6">
        <v>1945.7499999819399</v>
      </c>
      <c r="E844">
        <v>8127</v>
      </c>
      <c r="F844" s="12">
        <f t="shared" si="19"/>
        <v>233.57829999999996</v>
      </c>
      <c r="G844" s="7">
        <f>STANDARDIZE(E844,Climatology!B$11,Climatology!C$11)</f>
        <v>-0.17580119835975497</v>
      </c>
      <c r="H844" s="7"/>
      <c r="I844" s="6">
        <f t="shared" si="20"/>
        <v>2.8741023748000485</v>
      </c>
    </row>
    <row r="845" spans="1:9" x14ac:dyDescent="0.3">
      <c r="A845" s="10">
        <v>16681</v>
      </c>
      <c r="B845">
        <v>1945</v>
      </c>
      <c r="C845" t="s">
        <v>20</v>
      </c>
      <c r="D845" s="6">
        <v>1945.6666666485801</v>
      </c>
      <c r="E845">
        <v>7468</v>
      </c>
      <c r="F845" s="12">
        <f t="shared" si="19"/>
        <v>211.8972</v>
      </c>
      <c r="G845" s="7">
        <f>STANDARDIZE(E845,Climatology!B$10,Climatology!C$10)</f>
        <v>-1.740028972188944E-2</v>
      </c>
      <c r="H845" s="7"/>
      <c r="I845" s="6">
        <f t="shared" si="20"/>
        <v>2.837402249598286</v>
      </c>
    </row>
    <row r="846" spans="1:9" x14ac:dyDescent="0.3">
      <c r="A846" s="10">
        <v>16650</v>
      </c>
      <c r="B846">
        <v>1945</v>
      </c>
      <c r="C846" t="s">
        <v>21</v>
      </c>
      <c r="D846" s="6">
        <v>1945.58333331522</v>
      </c>
      <c r="E846">
        <v>7082</v>
      </c>
      <c r="F846" s="12">
        <f t="shared" si="19"/>
        <v>199.19779999999997</v>
      </c>
      <c r="G846" s="7">
        <f>STANDARDIZE(E846,Climatology!B$9,Climatology!C$9)</f>
        <v>-0.12593371326714059</v>
      </c>
      <c r="H846" s="7"/>
      <c r="I846" s="6">
        <f t="shared" si="20"/>
        <v>2.8127336910477263</v>
      </c>
    </row>
    <row r="847" spans="1:9" x14ac:dyDescent="0.3">
      <c r="A847" s="10">
        <v>16619</v>
      </c>
      <c r="B847">
        <v>1945</v>
      </c>
      <c r="C847" t="s">
        <v>22</v>
      </c>
      <c r="D847" s="6">
        <v>1945.4999999818599</v>
      </c>
      <c r="E847">
        <v>7487</v>
      </c>
      <c r="F847" s="12">
        <f t="shared" si="19"/>
        <v>212.52229999999997</v>
      </c>
      <c r="G847" s="7">
        <f>STANDARDIZE(E847,Climatology!B$8,Climatology!C$8)</f>
        <v>-0.20768464660220609</v>
      </c>
      <c r="H847" s="7"/>
      <c r="I847" s="6">
        <f t="shared" si="20"/>
        <v>2.8385508214238011</v>
      </c>
    </row>
    <row r="848" spans="1:9" x14ac:dyDescent="0.3">
      <c r="A848" s="10">
        <v>16589</v>
      </c>
      <c r="B848">
        <v>1945</v>
      </c>
      <c r="C848" t="s">
        <v>23</v>
      </c>
      <c r="D848" s="6">
        <v>1945.4166666485</v>
      </c>
      <c r="E848">
        <v>8560</v>
      </c>
      <c r="F848" s="12">
        <f t="shared" si="19"/>
        <v>247.82399999999996</v>
      </c>
      <c r="G848" s="7">
        <f>STANDARDIZE(E848,Climatology!B$7,Climatology!C$7)</f>
        <v>0.24147928392958717</v>
      </c>
      <c r="H848" s="7"/>
      <c r="I848" s="6">
        <f t="shared" si="20"/>
        <v>2.8951401869158877</v>
      </c>
    </row>
    <row r="849" spans="1:9" x14ac:dyDescent="0.3">
      <c r="A849" s="10">
        <v>16558</v>
      </c>
      <c r="B849">
        <v>1945</v>
      </c>
      <c r="C849" t="s">
        <v>24</v>
      </c>
      <c r="D849" s="6">
        <v>1945.33333331514</v>
      </c>
      <c r="E849">
        <v>6974</v>
      </c>
      <c r="F849" s="12">
        <f t="shared" si="19"/>
        <v>195.64459999999997</v>
      </c>
      <c r="G849" s="7">
        <f>STANDARDIZE(E849,Climatology!B$6,Climatology!C$6)</f>
        <v>8.2372351968201252E-2</v>
      </c>
      <c r="H849" s="7"/>
      <c r="I849" s="6">
        <f t="shared" si="20"/>
        <v>2.8053427014625747</v>
      </c>
    </row>
    <row r="850" spans="1:9" x14ac:dyDescent="0.3">
      <c r="A850" s="10">
        <v>16528</v>
      </c>
      <c r="B850">
        <v>1945</v>
      </c>
      <c r="C850" t="s">
        <v>25</v>
      </c>
      <c r="D850" s="6">
        <v>1945.2499999817801</v>
      </c>
      <c r="F850" s="12"/>
      <c r="G850" s="7"/>
      <c r="H850" s="7"/>
      <c r="I850" s="6"/>
    </row>
    <row r="851" spans="1:9" x14ac:dyDescent="0.3">
      <c r="A851" s="10">
        <v>16497</v>
      </c>
      <c r="B851">
        <v>1945</v>
      </c>
      <c r="C851" t="s">
        <v>26</v>
      </c>
      <c r="D851" s="6">
        <v>1945.16666664842</v>
      </c>
      <c r="F851" s="12"/>
      <c r="G851" s="7"/>
      <c r="H851" s="7"/>
      <c r="I851" s="6"/>
    </row>
    <row r="852" spans="1:9" x14ac:dyDescent="0.3">
      <c r="A852" s="10">
        <v>16469</v>
      </c>
      <c r="B852">
        <v>1945</v>
      </c>
      <c r="C852" t="s">
        <v>27</v>
      </c>
      <c r="D852" s="6">
        <v>1945.0833333150599</v>
      </c>
      <c r="F852" s="12"/>
      <c r="G852" s="7"/>
      <c r="H852" s="7"/>
      <c r="I852" s="6"/>
    </row>
    <row r="853" spans="1:9" x14ac:dyDescent="0.3">
      <c r="A853" s="10">
        <v>16438</v>
      </c>
      <c r="B853">
        <v>1945</v>
      </c>
      <c r="C853" t="s">
        <v>28</v>
      </c>
      <c r="D853" s="6">
        <v>1944.9999999817001</v>
      </c>
      <c r="E853">
        <v>6042</v>
      </c>
      <c r="F853" s="12">
        <f t="shared" si="19"/>
        <v>164.98180000000002</v>
      </c>
      <c r="G853" s="7">
        <f>STANDARDIZE(E853,Climatology!B$2,Climatology!C$2)</f>
        <v>-0.33852385844891725</v>
      </c>
      <c r="H853" s="7"/>
      <c r="I853" s="6">
        <f t="shared" si="20"/>
        <v>2.7305825885468393</v>
      </c>
    </row>
    <row r="854" spans="1:9" x14ac:dyDescent="0.3">
      <c r="A854" s="10">
        <v>16407</v>
      </c>
      <c r="B854">
        <v>1944</v>
      </c>
      <c r="C854" t="s">
        <v>17</v>
      </c>
      <c r="D854" s="6">
        <v>1944.91666664834</v>
      </c>
      <c r="E854">
        <v>10852</v>
      </c>
      <c r="F854" s="12">
        <f t="shared" si="19"/>
        <v>323.23079999999999</v>
      </c>
      <c r="G854" s="7">
        <f>STANDARDIZE(E854,Climatology!B$13,Climatology!C$13)</f>
        <v>0.38717506655746942</v>
      </c>
      <c r="H854" s="7"/>
      <c r="I854" s="6">
        <f t="shared" si="20"/>
        <v>2.9785366752672315</v>
      </c>
    </row>
    <row r="855" spans="1:9" x14ac:dyDescent="0.3">
      <c r="A855" s="10">
        <v>16377</v>
      </c>
      <c r="B855">
        <v>1944</v>
      </c>
      <c r="C855" t="s">
        <v>18</v>
      </c>
      <c r="D855" s="6">
        <v>1944.8333333149801</v>
      </c>
      <c r="E855">
        <v>11151</v>
      </c>
      <c r="F855" s="12">
        <f t="shared" si="19"/>
        <v>333.06789999999995</v>
      </c>
      <c r="G855" s="7">
        <f>STANDARDIZE(E855,Climatology!B$12,Climatology!C$12)</f>
        <v>0.52117365268948113</v>
      </c>
      <c r="H855" s="7"/>
      <c r="I855" s="6">
        <f t="shared" si="20"/>
        <v>2.9868881714644422</v>
      </c>
    </row>
    <row r="856" spans="1:9" x14ac:dyDescent="0.3">
      <c r="A856" s="10">
        <v>16346</v>
      </c>
      <c r="B856">
        <v>1944</v>
      </c>
      <c r="C856" t="s">
        <v>19</v>
      </c>
      <c r="D856" s="6">
        <v>1944.74999998162</v>
      </c>
      <c r="E856">
        <v>9207</v>
      </c>
      <c r="F856" s="12">
        <f t="shared" si="19"/>
        <v>269.1103</v>
      </c>
      <c r="G856" s="7">
        <f>STANDARDIZE(E856,Climatology!B$11,Climatology!C$11)</f>
        <v>0.38064040482652772</v>
      </c>
      <c r="H856" s="7"/>
      <c r="I856" s="6">
        <f t="shared" si="20"/>
        <v>2.9228880199847942</v>
      </c>
    </row>
    <row r="857" spans="1:9" x14ac:dyDescent="0.3">
      <c r="A857" s="10">
        <v>16316</v>
      </c>
      <c r="B857">
        <v>1944</v>
      </c>
      <c r="C857" t="s">
        <v>20</v>
      </c>
      <c r="D857" s="6">
        <v>1944.6666666482599</v>
      </c>
      <c r="E857">
        <v>8086</v>
      </c>
      <c r="F857" s="12">
        <f t="shared" si="19"/>
        <v>232.2294</v>
      </c>
      <c r="G857" s="7">
        <f>STANDARDIZE(E857,Climatology!B$10,Climatology!C$10)</f>
        <v>0.28797775973270351</v>
      </c>
      <c r="H857" s="7"/>
      <c r="I857" s="6">
        <f t="shared" si="20"/>
        <v>2.8719935691318326</v>
      </c>
    </row>
    <row r="858" spans="1:9" x14ac:dyDescent="0.3">
      <c r="A858" s="10">
        <v>16285</v>
      </c>
      <c r="B858">
        <v>1944</v>
      </c>
      <c r="C858" t="s">
        <v>21</v>
      </c>
      <c r="D858" s="6">
        <v>1944.5833333149001</v>
      </c>
      <c r="E858">
        <v>7487</v>
      </c>
      <c r="F858" s="12">
        <f t="shared" si="19"/>
        <v>212.52229999999997</v>
      </c>
      <c r="G858" s="7">
        <f>STANDARDIZE(E858,Climatology!B$9,Climatology!C$9)</f>
        <v>7.8264041523303671E-2</v>
      </c>
      <c r="H858" s="7"/>
      <c r="I858" s="6">
        <f t="shared" si="20"/>
        <v>2.8385508214238011</v>
      </c>
    </row>
    <row r="859" spans="1:9" x14ac:dyDescent="0.3">
      <c r="A859" s="10">
        <v>16254</v>
      </c>
      <c r="B859">
        <v>1944</v>
      </c>
      <c r="C859" t="s">
        <v>22</v>
      </c>
      <c r="D859" s="6">
        <v>1944.49999998154</v>
      </c>
      <c r="E859">
        <v>9520</v>
      </c>
      <c r="F859" s="12">
        <f t="shared" si="19"/>
        <v>279.40799999999996</v>
      </c>
      <c r="G859" s="7">
        <f>STANDARDIZE(E859,Climatology!B$8,Climatology!C$8)</f>
        <v>0.79414130457218746</v>
      </c>
      <c r="H859" s="7"/>
      <c r="I859" s="6">
        <f t="shared" si="20"/>
        <v>2.9349579831932768</v>
      </c>
    </row>
    <row r="860" spans="1:9" x14ac:dyDescent="0.3">
      <c r="A860" s="10">
        <v>16224</v>
      </c>
      <c r="B860">
        <v>1944</v>
      </c>
      <c r="C860" t="s">
        <v>23</v>
      </c>
      <c r="D860" s="6">
        <v>1944.4166666481799</v>
      </c>
      <c r="E860">
        <v>8982</v>
      </c>
      <c r="F860" s="12">
        <f t="shared" si="19"/>
        <v>261.70779999999996</v>
      </c>
      <c r="G860" s="7">
        <f>STANDARDIZE(E860,Climatology!B$7,Climatology!C$7)</f>
        <v>0.4918254903684301</v>
      </c>
      <c r="H860" s="7"/>
      <c r="I860" s="6">
        <f t="shared" si="20"/>
        <v>2.913691828100645</v>
      </c>
    </row>
    <row r="861" spans="1:9" x14ac:dyDescent="0.3">
      <c r="A861" s="10">
        <v>16193</v>
      </c>
      <c r="B861">
        <v>1944</v>
      </c>
      <c r="C861" t="s">
        <v>24</v>
      </c>
      <c r="D861" s="6">
        <v>1944.33333331482</v>
      </c>
      <c r="E861">
        <v>6889</v>
      </c>
      <c r="F861" s="12">
        <f t="shared" si="19"/>
        <v>192.84809999999999</v>
      </c>
      <c r="G861" s="7">
        <f>STANDARDIZE(E861,Climatology!B$6,Climatology!C$6)</f>
        <v>2.3679634431900354E-2</v>
      </c>
      <c r="H861" s="7"/>
      <c r="I861" s="6">
        <f t="shared" si="20"/>
        <v>2.7993627522136735</v>
      </c>
    </row>
    <row r="862" spans="1:9" x14ac:dyDescent="0.3">
      <c r="A862" s="10">
        <v>16163</v>
      </c>
      <c r="B862">
        <v>1944</v>
      </c>
      <c r="C862" t="s">
        <v>25</v>
      </c>
      <c r="D862" s="6">
        <v>1944.24999998146</v>
      </c>
      <c r="E862">
        <v>4846</v>
      </c>
      <c r="F862" s="12">
        <f t="shared" si="19"/>
        <v>125.63340000000001</v>
      </c>
      <c r="G862" s="7">
        <f>STANDARDIZE(E862,Climatology!B$5,Climatology!C$5)</f>
        <v>-6.5210473976619374E-2</v>
      </c>
      <c r="H862" s="7"/>
      <c r="I862" s="6">
        <f t="shared" si="20"/>
        <v>2.5925175402393728</v>
      </c>
    </row>
    <row r="863" spans="1:9" x14ac:dyDescent="0.3">
      <c r="A863" s="10">
        <v>16132</v>
      </c>
      <c r="B863">
        <v>1944</v>
      </c>
      <c r="C863" t="s">
        <v>26</v>
      </c>
      <c r="D863" s="6">
        <v>1944.1666666481001</v>
      </c>
      <c r="F863" s="12"/>
      <c r="G863" s="7"/>
      <c r="H863" s="7"/>
      <c r="I863" s="6"/>
    </row>
    <row r="864" spans="1:9" x14ac:dyDescent="0.3">
      <c r="A864" s="10">
        <v>16103</v>
      </c>
      <c r="B864">
        <v>1944</v>
      </c>
      <c r="C864" t="s">
        <v>27</v>
      </c>
      <c r="D864" s="6">
        <v>1944.08333331474</v>
      </c>
      <c r="F864" s="12"/>
      <c r="G864" s="7"/>
      <c r="H864" s="7"/>
      <c r="I864" s="6"/>
    </row>
    <row r="865" spans="1:9" x14ac:dyDescent="0.3">
      <c r="A865" s="10">
        <v>16072</v>
      </c>
      <c r="B865">
        <v>1944</v>
      </c>
      <c r="C865" t="s">
        <v>28</v>
      </c>
      <c r="D865" s="6">
        <v>1943.9999999813799</v>
      </c>
      <c r="E865">
        <v>5497</v>
      </c>
      <c r="F865" s="12">
        <f t="shared" si="19"/>
        <v>147.05129999999997</v>
      </c>
      <c r="G865" s="7">
        <f>STANDARDIZE(E865,Climatology!B$2,Climatology!C$2)</f>
        <v>-0.57621453463374073</v>
      </c>
      <c r="H865" s="7"/>
      <c r="I865" s="6">
        <f t="shared" si="20"/>
        <v>2.6751191559032192</v>
      </c>
    </row>
    <row r="866" spans="1:9" x14ac:dyDescent="0.3">
      <c r="A866" s="10">
        <v>16041</v>
      </c>
      <c r="B866">
        <v>1943</v>
      </c>
      <c r="C866" t="s">
        <v>17</v>
      </c>
      <c r="D866" s="6">
        <v>1943.9166666480201</v>
      </c>
      <c r="E866">
        <v>8518</v>
      </c>
      <c r="F866" s="12">
        <f t="shared" si="19"/>
        <v>246.44219999999996</v>
      </c>
      <c r="G866" s="7">
        <f>STANDARDIZE(E866,Climatology!B$13,Climatology!C$13)</f>
        <v>-0.44625507027034006</v>
      </c>
      <c r="H866" s="7"/>
      <c r="I866" s="6">
        <f t="shared" si="20"/>
        <v>2.89319323784926</v>
      </c>
    </row>
    <row r="867" spans="1:9" x14ac:dyDescent="0.3">
      <c r="A867" s="10">
        <v>16011</v>
      </c>
      <c r="B867">
        <v>1943</v>
      </c>
      <c r="C867" t="s">
        <v>18</v>
      </c>
      <c r="D867" s="6">
        <v>1943.83333331466</v>
      </c>
      <c r="E867">
        <v>9599</v>
      </c>
      <c r="F867" s="12">
        <f t="shared" si="19"/>
        <v>282.00709999999998</v>
      </c>
      <c r="G867" s="7">
        <f>STANDARDIZE(E867,Climatology!B$12,Climatology!C$12)</f>
        <v>-8.8600705026893795E-2</v>
      </c>
      <c r="H867" s="7"/>
      <c r="I867" s="6">
        <f t="shared" si="20"/>
        <v>2.9378799874986976</v>
      </c>
    </row>
    <row r="868" spans="1:9" x14ac:dyDescent="0.3">
      <c r="A868" s="10">
        <v>15980</v>
      </c>
      <c r="B868">
        <v>1943</v>
      </c>
      <c r="C868" t="s">
        <v>19</v>
      </c>
      <c r="D868" s="6">
        <v>1943.7499999813001</v>
      </c>
      <c r="E868">
        <v>6989</v>
      </c>
      <c r="F868" s="12">
        <f t="shared" si="19"/>
        <v>196.13810000000001</v>
      </c>
      <c r="G868" s="7">
        <f>STANDARDIZE(E868,Climatology!B$11,Climatology!C$11)</f>
        <v>-0.76212577653196767</v>
      </c>
      <c r="H868" s="7"/>
      <c r="I868" s="6">
        <f t="shared" si="20"/>
        <v>2.8063828873944772</v>
      </c>
    </row>
    <row r="869" spans="1:9" x14ac:dyDescent="0.3">
      <c r="A869" s="10">
        <v>15950</v>
      </c>
      <c r="B869">
        <v>1943</v>
      </c>
      <c r="C869" t="s">
        <v>20</v>
      </c>
      <c r="D869" s="6">
        <v>1943.66666664794</v>
      </c>
      <c r="E869">
        <v>6042</v>
      </c>
      <c r="F869" s="12">
        <f t="shared" si="19"/>
        <v>164.98180000000002</v>
      </c>
      <c r="G869" s="7">
        <f>STANDARDIZE(E869,Climatology!B$10,Climatology!C$10)</f>
        <v>-0.72204284396501173</v>
      </c>
      <c r="H869" s="7"/>
      <c r="I869" s="6">
        <f t="shared" si="20"/>
        <v>2.7305825885468393</v>
      </c>
    </row>
    <row r="870" spans="1:9" x14ac:dyDescent="0.3">
      <c r="A870" s="10">
        <v>15919</v>
      </c>
      <c r="B870">
        <v>1943</v>
      </c>
      <c r="C870" t="s">
        <v>21</v>
      </c>
      <c r="D870" s="6">
        <v>1943.5833333145799</v>
      </c>
      <c r="E870">
        <v>6155</v>
      </c>
      <c r="F870" s="12">
        <f t="shared" si="19"/>
        <v>168.6995</v>
      </c>
      <c r="G870" s="7">
        <f>STANDARDIZE(E870,Climatology!B$9,Climatology!C$9)</f>
        <v>-0.59331968534304635</v>
      </c>
      <c r="H870" s="7"/>
      <c r="I870" s="6">
        <f t="shared" si="20"/>
        <v>2.7408529650690494</v>
      </c>
    </row>
    <row r="871" spans="1:9" x14ac:dyDescent="0.3">
      <c r="A871" s="10">
        <v>15888</v>
      </c>
      <c r="B871">
        <v>1943</v>
      </c>
      <c r="C871" t="s">
        <v>22</v>
      </c>
      <c r="D871" s="6">
        <v>1943.4999999812201</v>
      </c>
      <c r="E871">
        <v>7372</v>
      </c>
      <c r="F871" s="12">
        <f t="shared" ref="F871:F901" si="21">(0.0329*E871)-33.8</f>
        <v>208.73879999999997</v>
      </c>
      <c r="G871" s="7">
        <f>STANDARDIZE(E871,Climatology!B$8,Climatology!C$8)</f>
        <v>-0.26435458481423524</v>
      </c>
      <c r="H871" s="7"/>
      <c r="I871" s="6">
        <f t="shared" si="20"/>
        <v>2.8315084102007591</v>
      </c>
    </row>
    <row r="872" spans="1:9" x14ac:dyDescent="0.3">
      <c r="A872" s="10">
        <v>15858</v>
      </c>
      <c r="B872">
        <v>1943</v>
      </c>
      <c r="C872" t="s">
        <v>23</v>
      </c>
      <c r="D872" s="6">
        <v>1943.41666664786</v>
      </c>
      <c r="E872">
        <v>9086</v>
      </c>
      <c r="F872" s="12">
        <f t="shared" si="21"/>
        <v>265.12939999999998</v>
      </c>
      <c r="G872" s="7">
        <f>STANDARDIZE(E872,Climatology!B$7,Climatology!C$7)</f>
        <v>0.55352218579411649</v>
      </c>
      <c r="H872" s="7"/>
      <c r="I872" s="6">
        <f t="shared" si="20"/>
        <v>2.9179991195245432</v>
      </c>
    </row>
    <row r="873" spans="1:9" x14ac:dyDescent="0.3">
      <c r="A873" s="10">
        <v>15827</v>
      </c>
      <c r="B873">
        <v>1943</v>
      </c>
      <c r="C873" t="s">
        <v>24</v>
      </c>
      <c r="D873" s="6">
        <v>1943.3333333144999</v>
      </c>
      <c r="E873">
        <v>8425</v>
      </c>
      <c r="F873" s="12">
        <f t="shared" si="21"/>
        <v>243.38249999999999</v>
      </c>
      <c r="G873" s="7">
        <f>STANDARDIZE(E873,Climatology!B$6,Climatology!C$6)</f>
        <v>1.0842915654408203</v>
      </c>
      <c r="H873" s="7"/>
      <c r="I873" s="6">
        <f t="shared" si="20"/>
        <v>2.888813056379822</v>
      </c>
    </row>
    <row r="874" spans="1:9" x14ac:dyDescent="0.3">
      <c r="A874" s="10">
        <v>15797</v>
      </c>
      <c r="B874">
        <v>1943</v>
      </c>
      <c r="C874" t="s">
        <v>25</v>
      </c>
      <c r="D874" s="6">
        <v>1943.24999998114</v>
      </c>
      <c r="E874">
        <v>6418</v>
      </c>
      <c r="F874" s="12">
        <f t="shared" si="21"/>
        <v>177.35219999999998</v>
      </c>
      <c r="G874" s="7">
        <f>STANDARDIZE(E874,Climatology!B$5,Climatology!C$5)</f>
        <v>1.0601127743177199</v>
      </c>
      <c r="H874" s="7"/>
      <c r="I874" s="6">
        <f t="shared" si="20"/>
        <v>2.7633561857276407</v>
      </c>
    </row>
    <row r="875" spans="1:9" x14ac:dyDescent="0.3">
      <c r="A875" s="10">
        <v>15766</v>
      </c>
      <c r="B875">
        <v>1943</v>
      </c>
      <c r="C875" t="s">
        <v>26</v>
      </c>
      <c r="D875" s="6">
        <v>1943.1666666477799</v>
      </c>
      <c r="E875">
        <v>5347</v>
      </c>
      <c r="F875" s="12">
        <f t="shared" si="21"/>
        <v>142.11630000000002</v>
      </c>
      <c r="G875" s="7">
        <f>STANDARDIZE(E875,Climatology!B$4,Climatology!C$4)</f>
        <v>0.78037666655919025</v>
      </c>
      <c r="H875" s="7"/>
      <c r="I875" s="6">
        <f t="shared" si="20"/>
        <v>2.6578698335515245</v>
      </c>
    </row>
    <row r="876" spans="1:9" x14ac:dyDescent="0.3">
      <c r="A876" s="10">
        <v>15738</v>
      </c>
      <c r="B876">
        <v>1943</v>
      </c>
      <c r="C876" t="s">
        <v>27</v>
      </c>
      <c r="D876" s="6">
        <v>1943.0833333144201</v>
      </c>
      <c r="E876">
        <v>6596</v>
      </c>
      <c r="F876" s="12">
        <f t="shared" si="21"/>
        <v>183.20839999999998</v>
      </c>
      <c r="G876" s="7">
        <f>STANDARDIZE(E876,Climatology!B$3,Climatology!C$3)</f>
        <v>1.2493688303093919</v>
      </c>
      <c r="H876" s="7"/>
      <c r="I876" s="6">
        <f t="shared" si="20"/>
        <v>2.7775682231655545</v>
      </c>
    </row>
    <row r="877" spans="1:9" x14ac:dyDescent="0.3">
      <c r="A877" s="10">
        <v>15707</v>
      </c>
      <c r="B877">
        <v>1943</v>
      </c>
      <c r="C877" t="s">
        <v>28</v>
      </c>
      <c r="D877" s="6">
        <v>1942.99999998106</v>
      </c>
      <c r="E877">
        <v>9677</v>
      </c>
      <c r="F877" s="12">
        <f t="shared" si="21"/>
        <v>284.57329999999996</v>
      </c>
      <c r="G877" s="7">
        <f>STANDARDIZE(E877,Climatology!B$2,Climatology!C$2)</f>
        <v>1.2468075322516941</v>
      </c>
      <c r="H877" s="7"/>
      <c r="I877" s="6">
        <f t="shared" si="20"/>
        <v>2.9407181977885704</v>
      </c>
    </row>
    <row r="878" spans="1:9" x14ac:dyDescent="0.3">
      <c r="A878" s="10">
        <v>15676</v>
      </c>
      <c r="B878">
        <v>1942</v>
      </c>
      <c r="C878" t="s">
        <v>17</v>
      </c>
      <c r="D878" s="6">
        <v>1942.9166666476999</v>
      </c>
      <c r="E878">
        <v>11422</v>
      </c>
      <c r="F878" s="12">
        <f t="shared" si="21"/>
        <v>341.98379999999997</v>
      </c>
      <c r="G878" s="7">
        <f>STANDARDIZE(E878,Climatology!B$13,Climatology!C$13)</f>
        <v>0.59071198943315562</v>
      </c>
      <c r="H878" s="7"/>
      <c r="I878" s="6">
        <f t="shared" si="20"/>
        <v>2.9940798459113989</v>
      </c>
    </row>
    <row r="879" spans="1:9" x14ac:dyDescent="0.3">
      <c r="A879" s="10">
        <v>15646</v>
      </c>
      <c r="B879">
        <v>1942</v>
      </c>
      <c r="C879" t="s">
        <v>18</v>
      </c>
      <c r="D879" s="6">
        <v>1942.8333333143401</v>
      </c>
      <c r="E879">
        <v>10606</v>
      </c>
      <c r="F879" s="12">
        <f t="shared" si="21"/>
        <v>315.13739999999996</v>
      </c>
      <c r="G879" s="7">
        <f>STANDARDIZE(E879,Climatology!B$12,Climatology!C$12)</f>
        <v>0.30704541496047061</v>
      </c>
      <c r="H879" s="7"/>
      <c r="I879" s="6">
        <f t="shared" si="20"/>
        <v>2.9713124646426547</v>
      </c>
    </row>
    <row r="880" spans="1:9" x14ac:dyDescent="0.3">
      <c r="A880" s="10">
        <v>15615</v>
      </c>
      <c r="B880">
        <v>1942</v>
      </c>
      <c r="C880" t="s">
        <v>19</v>
      </c>
      <c r="D880" s="6">
        <v>1942.74999998098</v>
      </c>
      <c r="E880">
        <v>8154</v>
      </c>
      <c r="F880" s="12">
        <f t="shared" si="21"/>
        <v>234.46659999999997</v>
      </c>
      <c r="G880" s="7">
        <f>STANDARDIZE(E880,Climatology!B$11,Climatology!C$11)</f>
        <v>-0.1618901582800979</v>
      </c>
      <c r="H880" s="7"/>
      <c r="I880" s="6">
        <f t="shared" si="20"/>
        <v>2.8754795192543532</v>
      </c>
    </row>
    <row r="881" spans="1:9" x14ac:dyDescent="0.3">
      <c r="A881" s="10">
        <v>15585</v>
      </c>
      <c r="B881">
        <v>1942</v>
      </c>
      <c r="C881" t="s">
        <v>20</v>
      </c>
      <c r="D881" s="6">
        <v>1942.6666666476201</v>
      </c>
      <c r="E881">
        <v>7434</v>
      </c>
      <c r="F881" s="12">
        <f t="shared" si="21"/>
        <v>210.77859999999998</v>
      </c>
      <c r="G881" s="7">
        <f>STANDARDIZE(E881,Climatology!B$10,Climatology!C$10)</f>
        <v>-3.4201023834278053E-2</v>
      </c>
      <c r="H881" s="7"/>
      <c r="I881" s="6">
        <f t="shared" si="20"/>
        <v>2.8353322571966637</v>
      </c>
    </row>
    <row r="882" spans="1:9" x14ac:dyDescent="0.3">
      <c r="A882" s="10">
        <v>15554</v>
      </c>
      <c r="B882">
        <v>1942</v>
      </c>
      <c r="C882" t="s">
        <v>21</v>
      </c>
      <c r="D882" s="6">
        <v>1942.58333331426</v>
      </c>
      <c r="E882">
        <v>7356</v>
      </c>
      <c r="F882" s="12">
        <f t="shared" si="21"/>
        <v>208.2124</v>
      </c>
      <c r="G882" s="7">
        <f>STANDARDIZE(E882,Climatology!B$9,Climatology!C$9)</f>
        <v>1.2214891208369846E-2</v>
      </c>
      <c r="H882" s="7"/>
      <c r="I882" s="6">
        <f t="shared" si="20"/>
        <v>2.8305111473626972</v>
      </c>
    </row>
    <row r="883" spans="1:9" x14ac:dyDescent="0.3">
      <c r="A883" s="10">
        <v>15523</v>
      </c>
      <c r="B883">
        <v>1942</v>
      </c>
      <c r="C883" t="s">
        <v>22</v>
      </c>
      <c r="D883" s="6">
        <v>1942.4999999808999</v>
      </c>
      <c r="E883">
        <v>7044</v>
      </c>
      <c r="F883" s="12">
        <f t="shared" si="21"/>
        <v>197.94759999999997</v>
      </c>
      <c r="G883" s="7">
        <f>STANDARDIZE(E883,Climatology!B$8,Climatology!C$8)</f>
        <v>-0.42598710423637054</v>
      </c>
      <c r="H883" s="7"/>
      <c r="I883" s="6">
        <f t="shared" si="20"/>
        <v>2.8101590005678587</v>
      </c>
    </row>
    <row r="884" spans="1:9" x14ac:dyDescent="0.3">
      <c r="A884" s="10">
        <v>15493</v>
      </c>
      <c r="B884">
        <v>1942</v>
      </c>
      <c r="C884" t="s">
        <v>23</v>
      </c>
      <c r="D884" s="6">
        <v>1942.4166666475401</v>
      </c>
      <c r="E884">
        <v>10101</v>
      </c>
      <c r="F884" s="12">
        <f t="shared" si="21"/>
        <v>298.52289999999999</v>
      </c>
      <c r="G884" s="7">
        <f>STANDARDIZE(E884,Climatology!B$7,Climatology!C$7)</f>
        <v>1.1556582036505751</v>
      </c>
      <c r="H884" s="7"/>
      <c r="I884" s="6">
        <f t="shared" si="20"/>
        <v>2.9553796653796653</v>
      </c>
    </row>
    <row r="885" spans="1:9" x14ac:dyDescent="0.3">
      <c r="A885" s="10">
        <v>15462</v>
      </c>
      <c r="B885">
        <v>1942</v>
      </c>
      <c r="C885" t="s">
        <v>24</v>
      </c>
      <c r="D885" s="6">
        <v>1942.33333331418</v>
      </c>
      <c r="E885">
        <v>8773</v>
      </c>
      <c r="F885" s="12">
        <f t="shared" si="21"/>
        <v>254.83169999999996</v>
      </c>
      <c r="G885" s="7">
        <f>STANDARDIZE(E885,Climatology!B$6,Climatology!C$6)</f>
        <v>1.3245864560600287</v>
      </c>
      <c r="H885" s="7"/>
      <c r="I885" s="6">
        <f t="shared" si="20"/>
        <v>2.9047270033055961</v>
      </c>
    </row>
    <row r="886" spans="1:9" x14ac:dyDescent="0.3">
      <c r="A886" s="10">
        <v>15432</v>
      </c>
      <c r="B886">
        <v>1942</v>
      </c>
      <c r="C886" t="s">
        <v>25</v>
      </c>
      <c r="D886" s="6">
        <v>1942.2499999808199</v>
      </c>
      <c r="E886">
        <v>5011</v>
      </c>
      <c r="F886" s="12">
        <f t="shared" si="21"/>
        <v>131.06189999999998</v>
      </c>
      <c r="G886" s="7">
        <f>STANDARDIZE(E886,Climatology!B$5,Climatology!C$5)</f>
        <v>5.2905515825267389E-2</v>
      </c>
      <c r="H886" s="7"/>
      <c r="I886" s="6">
        <f t="shared" si="20"/>
        <v>2.6154839353422465</v>
      </c>
    </row>
    <row r="887" spans="1:9" x14ac:dyDescent="0.3">
      <c r="A887" s="10">
        <v>15401</v>
      </c>
      <c r="B887">
        <v>1942</v>
      </c>
      <c r="C887" t="s">
        <v>26</v>
      </c>
      <c r="D887" s="6">
        <v>1942.16666664746</v>
      </c>
      <c r="E887">
        <v>3717</v>
      </c>
      <c r="F887" s="12">
        <f t="shared" si="21"/>
        <v>88.4893</v>
      </c>
      <c r="G887" s="7">
        <f>STANDARDIZE(E887,Climatology!B$4,Climatology!C$4)</f>
        <v>-0.25601624936592532</v>
      </c>
      <c r="H887" s="7"/>
      <c r="I887" s="6">
        <f t="shared" si="20"/>
        <v>2.3806645143933278</v>
      </c>
    </row>
    <row r="888" spans="1:9" x14ac:dyDescent="0.3">
      <c r="A888" s="10">
        <v>15373</v>
      </c>
      <c r="B888">
        <v>1942</v>
      </c>
      <c r="C888" t="s">
        <v>27</v>
      </c>
      <c r="D888" s="6">
        <v>1942.0833333140999</v>
      </c>
      <c r="E888">
        <v>3111</v>
      </c>
      <c r="F888" s="12">
        <f t="shared" si="21"/>
        <v>68.551900000000003</v>
      </c>
      <c r="G888" s="7">
        <f>STANDARDIZE(E888,Climatology!B$3,Climatology!C$3)</f>
        <v>-0.78247681044736439</v>
      </c>
      <c r="H888" s="7"/>
      <c r="I888" s="6">
        <f t="shared" si="20"/>
        <v>2.2035326261652206</v>
      </c>
    </row>
    <row r="889" spans="1:9" x14ac:dyDescent="0.3">
      <c r="A889" s="10">
        <v>15342</v>
      </c>
      <c r="B889">
        <v>1942</v>
      </c>
      <c r="C889" t="s">
        <v>28</v>
      </c>
      <c r="D889" s="6">
        <v>1941.9999999807401</v>
      </c>
      <c r="E889">
        <v>3326</v>
      </c>
      <c r="F889" s="12">
        <f t="shared" si="21"/>
        <v>75.625399999999999</v>
      </c>
      <c r="G889" s="7">
        <f>STANDARDIZE(E889,Climatology!B$2,Climatology!C$2)</f>
        <v>-1.5230520722433769</v>
      </c>
      <c r="H889" s="7"/>
      <c r="I889" s="6">
        <f t="shared" si="20"/>
        <v>2.2737642814191221</v>
      </c>
    </row>
    <row r="890" spans="1:9" x14ac:dyDescent="0.3">
      <c r="A890" s="10">
        <v>15311</v>
      </c>
      <c r="B890">
        <v>1941</v>
      </c>
      <c r="C890" t="s">
        <v>17</v>
      </c>
      <c r="D890" s="6">
        <v>1941.91666664738</v>
      </c>
      <c r="E890">
        <v>5299</v>
      </c>
      <c r="F890" s="12">
        <f t="shared" si="21"/>
        <v>140.53710000000001</v>
      </c>
      <c r="G890" s="7">
        <f>STANDARDIZE(E890,Climatology!B$13,Climatology!C$13)</f>
        <v>-1.5957030610367149</v>
      </c>
      <c r="H890" s="7"/>
      <c r="I890" s="6">
        <f t="shared" si="20"/>
        <v>2.6521438007171168</v>
      </c>
    </row>
    <row r="891" spans="1:9" x14ac:dyDescent="0.3">
      <c r="A891" s="10">
        <v>15281</v>
      </c>
      <c r="B891">
        <v>1941</v>
      </c>
      <c r="C891" t="s">
        <v>18</v>
      </c>
      <c r="D891" s="6">
        <v>1941.8333333140199</v>
      </c>
      <c r="E891">
        <v>5356</v>
      </c>
      <c r="F891" s="12">
        <f t="shared" si="21"/>
        <v>142.41239999999999</v>
      </c>
      <c r="G891" s="7">
        <f>STANDARDIZE(E891,Climatology!B$12,Climatology!C$12)</f>
        <v>-1.7556577925208234</v>
      </c>
      <c r="H891" s="7"/>
      <c r="I891" s="6">
        <f t="shared" si="20"/>
        <v>2.6589320388349513</v>
      </c>
    </row>
    <row r="892" spans="1:9" x14ac:dyDescent="0.3">
      <c r="A892" s="10">
        <v>15250</v>
      </c>
      <c r="B892">
        <v>1941</v>
      </c>
      <c r="C892" t="s">
        <v>19</v>
      </c>
      <c r="D892" s="6">
        <v>1941.74999998066</v>
      </c>
      <c r="E892">
        <v>5232</v>
      </c>
      <c r="F892" s="12">
        <f t="shared" si="21"/>
        <v>138.33280000000002</v>
      </c>
      <c r="G892" s="7">
        <f>STANDARDIZE(E892,Climatology!B$11,Climatology!C$11)</f>
        <v>-1.6673738291229849</v>
      </c>
      <c r="H892" s="7"/>
      <c r="I892" s="6">
        <f t="shared" si="20"/>
        <v>2.6439755351681962</v>
      </c>
    </row>
    <row r="893" spans="1:9" x14ac:dyDescent="0.3">
      <c r="A893" s="10">
        <v>15220</v>
      </c>
      <c r="B893">
        <v>1941</v>
      </c>
      <c r="C893" t="s">
        <v>20</v>
      </c>
      <c r="D893" s="6">
        <v>1941.6666666473</v>
      </c>
      <c r="E893">
        <v>4996</v>
      </c>
      <c r="F893" s="12">
        <f t="shared" si="21"/>
        <v>130.5684</v>
      </c>
      <c r="G893" s="7">
        <f>STANDARDIZE(E893,Climatology!B$10,Climatology!C$10)</f>
        <v>-1.2389124875402613</v>
      </c>
      <c r="H893" s="7"/>
      <c r="I893" s="6">
        <f t="shared" si="20"/>
        <v>2.6134587670136109</v>
      </c>
    </row>
    <row r="894" spans="1:9" x14ac:dyDescent="0.3">
      <c r="A894" s="10">
        <v>15189</v>
      </c>
      <c r="B894">
        <v>1941</v>
      </c>
      <c r="C894" t="s">
        <v>21</v>
      </c>
      <c r="D894" s="6">
        <v>1941.5833333139401</v>
      </c>
      <c r="E894">
        <v>4872</v>
      </c>
      <c r="F894" s="12">
        <f t="shared" si="21"/>
        <v>126.48879999999998</v>
      </c>
      <c r="G894" s="7">
        <f>STANDARDIZE(E894,Climatology!B$9,Climatology!C$9)</f>
        <v>-1.2401980048396883</v>
      </c>
      <c r="H894" s="7"/>
      <c r="I894" s="6">
        <f t="shared" si="20"/>
        <v>2.5962397372742196</v>
      </c>
    </row>
    <row r="895" spans="1:9" x14ac:dyDescent="0.3">
      <c r="A895" s="10">
        <v>15158</v>
      </c>
      <c r="B895">
        <v>1941</v>
      </c>
      <c r="C895" t="s">
        <v>22</v>
      </c>
      <c r="D895" s="6">
        <v>1941.49999998058</v>
      </c>
      <c r="E895">
        <v>4880</v>
      </c>
      <c r="F895" s="12">
        <f t="shared" si="21"/>
        <v>126.752</v>
      </c>
      <c r="G895" s="7">
        <f>STANDARDIZE(E895,Climatology!B$8,Climatology!C$8)</f>
        <v>-1.4923675067653364</v>
      </c>
      <c r="H895" s="7"/>
      <c r="I895" s="6">
        <f t="shared" si="20"/>
        <v>2.5973770491803281</v>
      </c>
    </row>
    <row r="896" spans="1:9" x14ac:dyDescent="0.3">
      <c r="A896" s="10">
        <v>15128</v>
      </c>
      <c r="B896">
        <v>1941</v>
      </c>
      <c r="C896" t="s">
        <v>23</v>
      </c>
      <c r="D896" s="6">
        <v>1941.4166666472199</v>
      </c>
      <c r="E896">
        <v>4879</v>
      </c>
      <c r="F896" s="12">
        <f t="shared" si="21"/>
        <v>126.71909999999998</v>
      </c>
      <c r="G896" s="7">
        <f>STANDARDIZE(E896,Climatology!B$7,Climatology!C$7)</f>
        <v>-1.9422277916661017</v>
      </c>
      <c r="H896" s="7"/>
      <c r="I896" s="6">
        <f t="shared" si="20"/>
        <v>2.5972350891576137</v>
      </c>
    </row>
    <row r="897" spans="1:9" x14ac:dyDescent="0.3">
      <c r="A897" s="10">
        <v>15097</v>
      </c>
      <c r="B897">
        <v>1941</v>
      </c>
      <c r="C897" t="s">
        <v>24</v>
      </c>
      <c r="D897" s="6">
        <v>1941.3333333138601</v>
      </c>
      <c r="E897">
        <v>4867</v>
      </c>
      <c r="F897" s="12">
        <f t="shared" si="21"/>
        <v>126.32430000000001</v>
      </c>
      <c r="G897" s="7">
        <f>STANDARDIZE(E897,Climatology!B$6,Climatology!C$6)</f>
        <v>-1.3725165403728106</v>
      </c>
      <c r="H897" s="7"/>
      <c r="I897" s="6">
        <f t="shared" si="20"/>
        <v>2.59552701869735</v>
      </c>
    </row>
    <row r="898" spans="1:9" x14ac:dyDescent="0.3">
      <c r="A898" s="10">
        <v>15067</v>
      </c>
      <c r="B898">
        <v>1941</v>
      </c>
      <c r="C898" t="s">
        <v>25</v>
      </c>
      <c r="D898" s="6">
        <v>1941.2499999805</v>
      </c>
      <c r="E898">
        <v>3985</v>
      </c>
      <c r="F898" s="12">
        <f t="shared" si="21"/>
        <v>97.306499999999986</v>
      </c>
      <c r="G898" s="7">
        <f>STANDARDIZE(E898,Climatology!B$5,Climatology!C$5)</f>
        <v>-0.6815611843973739</v>
      </c>
      <c r="H898" s="7"/>
      <c r="I898" s="6">
        <f t="shared" si="20"/>
        <v>2.4418193224592217</v>
      </c>
    </row>
    <row r="899" spans="1:9" x14ac:dyDescent="0.3">
      <c r="A899" s="10">
        <v>15036</v>
      </c>
      <c r="B899">
        <v>1941</v>
      </c>
      <c r="C899" t="s">
        <v>26</v>
      </c>
      <c r="D899" s="6">
        <v>1941.1666666471399</v>
      </c>
      <c r="E899">
        <v>3003</v>
      </c>
      <c r="F899" s="12">
        <f t="shared" si="21"/>
        <v>64.998699999999999</v>
      </c>
      <c r="G899" s="7">
        <f>STANDARDIZE(E899,Climatology!B$4,Climatology!C$4)</f>
        <v>-0.70999449597361397</v>
      </c>
      <c r="H899" s="7"/>
      <c r="I899" s="6">
        <f t="shared" ref="I899:I901" si="22">F899/E899*100</f>
        <v>2.1644588744588744</v>
      </c>
    </row>
    <row r="900" spans="1:9" x14ac:dyDescent="0.3">
      <c r="A900" s="10">
        <v>15008</v>
      </c>
      <c r="B900">
        <v>1941</v>
      </c>
      <c r="C900" t="s">
        <v>27</v>
      </c>
      <c r="D900" s="6">
        <v>1941.08333331378</v>
      </c>
      <c r="E900">
        <v>3707</v>
      </c>
      <c r="F900" s="12">
        <f t="shared" si="21"/>
        <v>88.160299999999992</v>
      </c>
      <c r="G900" s="7">
        <f>STANDARDIZE(E900,Climatology!B$3,Climatology!C$3)</f>
        <v>-0.43499330918738544</v>
      </c>
      <c r="H900" s="7"/>
      <c r="I900" s="6">
        <f t="shared" si="22"/>
        <v>2.3782114917723223</v>
      </c>
    </row>
    <row r="901" spans="1:9" x14ac:dyDescent="0.3">
      <c r="A901" s="10">
        <v>14977</v>
      </c>
      <c r="B901">
        <v>1941</v>
      </c>
      <c r="C901" t="s">
        <v>28</v>
      </c>
      <c r="D901" s="6">
        <v>1940.9999999804199</v>
      </c>
      <c r="E901">
        <v>4993</v>
      </c>
      <c r="F901" s="12">
        <f t="shared" si="21"/>
        <v>130.46969999999999</v>
      </c>
      <c r="G901" s="7">
        <f>STANDARDIZE(E901,Climatology!B$2,Climatology!C$2)</f>
        <v>-0.79602389389456829</v>
      </c>
      <c r="H901" s="7"/>
      <c r="I901" s="6">
        <f t="shared" si="22"/>
        <v>2.613052273182455</v>
      </c>
    </row>
  </sheetData>
  <autoFilter ref="A1:I1" xr:uid="{CBEE65FA-6CE1-41FA-9216-FC0BE1AFB515}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V669"/>
  <sheetViews>
    <sheetView zoomScale="85" zoomScaleNormal="85" workbookViewId="0">
      <selection activeCell="F17" sqref="F17"/>
    </sheetView>
  </sheetViews>
  <sheetFormatPr baseColWidth="10" defaultColWidth="11.44140625" defaultRowHeight="14.4" x14ac:dyDescent="0.3"/>
  <cols>
    <col min="1" max="3" width="9.21875" customWidth="1"/>
    <col min="4" max="5" width="11" customWidth="1"/>
    <col min="6" max="6" width="13" customWidth="1"/>
    <col min="7" max="7" width="5.44140625" customWidth="1"/>
    <col min="8" max="8" width="7.88671875" customWidth="1"/>
    <col min="9" max="9" width="9" customWidth="1"/>
    <col min="10" max="10" width="7.6640625" customWidth="1"/>
    <col min="11" max="11" width="5" customWidth="1"/>
    <col min="13" max="14" width="7.6640625" customWidth="1"/>
    <col min="15" max="15" width="5.6640625" customWidth="1"/>
    <col min="16" max="16" width="9" customWidth="1"/>
    <col min="17" max="17" width="7.44140625" customWidth="1"/>
    <col min="18" max="18" width="7.33203125" customWidth="1"/>
  </cols>
  <sheetData>
    <row r="1" spans="1:17" x14ac:dyDescent="0.3">
      <c r="A1" s="2" t="s">
        <v>29</v>
      </c>
      <c r="B1" s="2" t="s">
        <v>32</v>
      </c>
      <c r="C1" s="2" t="s">
        <v>34</v>
      </c>
      <c r="D1" s="2" t="s">
        <v>33</v>
      </c>
      <c r="E1" s="2" t="s">
        <v>35</v>
      </c>
      <c r="I1" s="2"/>
      <c r="J1" s="2"/>
      <c r="L1" s="2"/>
      <c r="M1" s="2"/>
      <c r="N1" s="8"/>
      <c r="P1" s="2"/>
      <c r="Q1" s="1"/>
    </row>
    <row r="2" spans="1:17" x14ac:dyDescent="0.3">
      <c r="A2">
        <v>2015</v>
      </c>
      <c r="B2" s="6">
        <v>4608.416666666667</v>
      </c>
      <c r="C2" s="7">
        <v>-1.964206931581173</v>
      </c>
      <c r="D2" s="6">
        <v>259.74166666666667</v>
      </c>
      <c r="E2" s="7">
        <v>-1.0404962169051568</v>
      </c>
      <c r="F2">
        <v>217</v>
      </c>
      <c r="G2">
        <v>376</v>
      </c>
      <c r="H2" s="6">
        <f>(G2-F2)/F2*100</f>
        <v>73.271889400921665</v>
      </c>
      <c r="I2" s="7"/>
      <c r="J2" s="7"/>
      <c r="M2" s="7"/>
      <c r="N2" s="7"/>
      <c r="P2" s="6"/>
      <c r="Q2" s="6"/>
    </row>
    <row r="3" spans="1:17" x14ac:dyDescent="0.3">
      <c r="A3">
        <v>2014</v>
      </c>
      <c r="B3" s="6">
        <v>5799.083333333333</v>
      </c>
      <c r="C3" s="7">
        <v>-1.0864724682209137</v>
      </c>
      <c r="D3" s="6">
        <v>326.30833333333334</v>
      </c>
      <c r="E3" s="7">
        <v>-0.36817683222158193</v>
      </c>
      <c r="I3" s="7"/>
      <c r="J3" s="7"/>
      <c r="M3" s="7"/>
      <c r="N3" s="7"/>
      <c r="P3" s="6"/>
      <c r="Q3" s="6"/>
    </row>
    <row r="4" spans="1:17" x14ac:dyDescent="0.3">
      <c r="A4">
        <v>2013</v>
      </c>
      <c r="B4" s="6">
        <v>6146.416666666667</v>
      </c>
      <c r="C4" s="7">
        <v>-0.83042562868524972</v>
      </c>
      <c r="D4" s="6">
        <v>294.05</v>
      </c>
      <c r="E4" s="7">
        <v>-0.69398408536506195</v>
      </c>
      <c r="I4" s="7"/>
      <c r="J4" s="7"/>
      <c r="M4" s="7"/>
      <c r="N4" s="7"/>
      <c r="P4" s="6"/>
      <c r="Q4" s="6"/>
    </row>
    <row r="5" spans="1:17" x14ac:dyDescent="0.3">
      <c r="A5">
        <v>2012</v>
      </c>
      <c r="B5" s="6">
        <v>7361.5</v>
      </c>
      <c r="C5" s="7">
        <v>6.5308288605899822E-2</v>
      </c>
      <c r="D5" s="6">
        <v>356.47499999999997</v>
      </c>
      <c r="E5" s="7">
        <v>-6.3495288336436875E-2</v>
      </c>
      <c r="I5" s="7"/>
      <c r="J5" s="7"/>
      <c r="M5" s="7"/>
      <c r="N5" s="7"/>
      <c r="P5" s="6"/>
      <c r="Q5" s="6"/>
    </row>
    <row r="6" spans="1:17" x14ac:dyDescent="0.3">
      <c r="A6">
        <v>2011</v>
      </c>
      <c r="B6" s="6">
        <v>10223.916666666666</v>
      </c>
      <c r="C6" s="7">
        <v>2.1754217461899952</v>
      </c>
      <c r="D6" s="6">
        <v>515.89166666666677</v>
      </c>
      <c r="E6" s="7">
        <v>1.5466035886035734</v>
      </c>
      <c r="I6" s="7"/>
      <c r="J6" s="7"/>
      <c r="M6" s="7"/>
      <c r="N6" s="7"/>
      <c r="P6" s="6"/>
      <c r="Q6" s="6"/>
    </row>
    <row r="7" spans="1:17" x14ac:dyDescent="0.3">
      <c r="A7">
        <v>2010</v>
      </c>
      <c r="B7" s="6">
        <v>9012.1666666666661</v>
      </c>
      <c r="C7" s="7">
        <v>1.2821450922341207</v>
      </c>
      <c r="D7" s="6">
        <v>465.34166666666653</v>
      </c>
      <c r="E7" s="7">
        <v>1.0360515871650924</v>
      </c>
      <c r="I7" s="7"/>
      <c r="J7" s="7"/>
      <c r="M7" s="7"/>
      <c r="N7" s="7"/>
      <c r="P7" s="6"/>
      <c r="Q7" s="6"/>
    </row>
    <row r="8" spans="1:17" x14ac:dyDescent="0.3">
      <c r="A8">
        <v>2009</v>
      </c>
      <c r="B8" s="6">
        <v>6946.25</v>
      </c>
      <c r="C8" s="7">
        <v>-0.24080529138599366</v>
      </c>
      <c r="D8" s="6">
        <v>419.25833333333338</v>
      </c>
      <c r="E8" s="7">
        <v>0.5706126541029799</v>
      </c>
      <c r="I8" s="7"/>
      <c r="J8" s="7"/>
      <c r="M8" s="7"/>
      <c r="N8" s="7"/>
      <c r="P8" s="6"/>
      <c r="Q8" s="6"/>
    </row>
    <row r="9" spans="1:17" x14ac:dyDescent="0.3">
      <c r="A9">
        <v>2008</v>
      </c>
      <c r="B9" s="6">
        <v>9878.4166666666661</v>
      </c>
      <c r="C9" s="7">
        <v>1.9207264014887329</v>
      </c>
      <c r="D9" s="6">
        <v>560.5</v>
      </c>
      <c r="E9" s="7">
        <v>1.9971451091608052</v>
      </c>
      <c r="I9" s="7"/>
      <c r="J9" s="7"/>
      <c r="M9" s="7"/>
      <c r="N9" s="7"/>
      <c r="P9" s="6"/>
      <c r="Q9" s="6"/>
    </row>
    <row r="10" spans="1:17" x14ac:dyDescent="0.3">
      <c r="A10">
        <v>2007</v>
      </c>
      <c r="B10" s="6">
        <v>8904.25</v>
      </c>
      <c r="C10" s="7">
        <v>1.2025911917545902</v>
      </c>
      <c r="D10" s="6">
        <v>525.62727272727273</v>
      </c>
      <c r="E10" s="7">
        <v>1.6449326323119602</v>
      </c>
      <c r="I10" s="7"/>
      <c r="J10" s="7"/>
      <c r="M10" s="7"/>
      <c r="N10" s="7"/>
      <c r="P10" s="6"/>
      <c r="Q10" s="6"/>
    </row>
    <row r="11" spans="1:17" x14ac:dyDescent="0.3">
      <c r="A11">
        <v>2006</v>
      </c>
      <c r="B11" s="6">
        <v>8022.416666666667</v>
      </c>
      <c r="C11" s="7">
        <v>0.55252217640756718</v>
      </c>
      <c r="D11" s="6">
        <v>482.4083333333333</v>
      </c>
      <c r="E11" s="7">
        <v>1.2084239081255295</v>
      </c>
      <c r="I11" s="7"/>
      <c r="J11" s="7"/>
      <c r="M11" s="7"/>
      <c r="N11" s="7"/>
      <c r="P11" s="6"/>
      <c r="Q11" s="6"/>
    </row>
    <row r="12" spans="1:17" x14ac:dyDescent="0.3">
      <c r="A12">
        <v>2005</v>
      </c>
      <c r="B12" s="6">
        <v>7210.166666666667</v>
      </c>
      <c r="C12" s="7">
        <v>-4.6251466815588733E-2</v>
      </c>
      <c r="D12" s="6">
        <v>401.79999999999995</v>
      </c>
      <c r="E12" s="7">
        <v>0.39428452304237682</v>
      </c>
      <c r="I12" s="7"/>
      <c r="J12" s="7"/>
      <c r="M12" s="7"/>
      <c r="N12" s="7"/>
      <c r="P12" s="6"/>
      <c r="Q12" s="6"/>
    </row>
    <row r="13" spans="1:17" x14ac:dyDescent="0.3">
      <c r="A13">
        <v>2004</v>
      </c>
      <c r="B13" s="6">
        <v>6657.833333333333</v>
      </c>
      <c r="C13" s="7">
        <v>-0.45342000147067046</v>
      </c>
      <c r="D13" s="6">
        <v>370.78333333333336</v>
      </c>
      <c r="E13" s="7">
        <v>8.1018029578147896E-2</v>
      </c>
      <c r="I13" s="7"/>
      <c r="J13" s="7"/>
      <c r="M13" s="7"/>
      <c r="N13" s="7"/>
      <c r="P13" s="6"/>
      <c r="Q13" s="6"/>
    </row>
    <row r="14" spans="1:17" x14ac:dyDescent="0.3">
      <c r="A14">
        <v>2003</v>
      </c>
      <c r="B14" s="6">
        <v>6293.666666666667</v>
      </c>
      <c r="C14" s="7">
        <v>-0.72187602084947289</v>
      </c>
      <c r="D14" s="6">
        <v>377.73636363636365</v>
      </c>
      <c r="E14" s="7">
        <v>0.1512432231938651</v>
      </c>
      <c r="I14" s="7"/>
      <c r="J14" s="7"/>
      <c r="P14" s="6"/>
      <c r="Q14" s="6"/>
    </row>
    <row r="15" spans="1:17" x14ac:dyDescent="0.3">
      <c r="A15">
        <v>2002</v>
      </c>
      <c r="B15" s="6">
        <v>5473.25</v>
      </c>
      <c r="C15" s="7">
        <v>-1.326669959244053</v>
      </c>
      <c r="D15" s="6">
        <v>361.55833333333334</v>
      </c>
      <c r="E15" s="7">
        <v>-1.2153923206619174E-2</v>
      </c>
      <c r="I15" s="7"/>
      <c r="J15" s="7"/>
      <c r="P15" s="6"/>
      <c r="Q15" s="6"/>
    </row>
    <row r="16" spans="1:17" x14ac:dyDescent="0.3">
      <c r="A16">
        <v>2001</v>
      </c>
      <c r="B16" s="6">
        <v>5162.333333333333</v>
      </c>
      <c r="C16" s="7">
        <v>-1.5558711968418366</v>
      </c>
      <c r="D16" s="6">
        <v>284.84999999999997</v>
      </c>
      <c r="E16" s="7">
        <v>-0.78690353963279736</v>
      </c>
      <c r="I16" s="7"/>
      <c r="J16" s="7"/>
      <c r="P16" s="6"/>
      <c r="Q16" s="6"/>
    </row>
    <row r="17" spans="1:17" x14ac:dyDescent="0.3">
      <c r="A17">
        <v>2000</v>
      </c>
      <c r="B17" s="6">
        <v>8423.1666666666661</v>
      </c>
      <c r="C17" s="7">
        <v>0.84794666089101334</v>
      </c>
      <c r="D17" s="6">
        <v>511.77500000000003</v>
      </c>
      <c r="E17" s="7">
        <v>1.5050254994656549</v>
      </c>
      <c r="I17" s="7"/>
      <c r="J17" s="7"/>
      <c r="P17" s="6"/>
      <c r="Q17" s="6"/>
    </row>
    <row r="18" spans="1:17" x14ac:dyDescent="0.3">
      <c r="A18">
        <v>1999</v>
      </c>
      <c r="B18" s="6">
        <v>10123.5</v>
      </c>
      <c r="C18" s="7">
        <v>2.1013966882148338</v>
      </c>
      <c r="D18" s="6">
        <v>537.83333333333337</v>
      </c>
      <c r="E18" s="7">
        <v>1.7682131203852267</v>
      </c>
      <c r="I18" s="7"/>
      <c r="J18" s="7"/>
      <c r="P18" s="6"/>
      <c r="Q18" s="6"/>
    </row>
    <row r="19" spans="1:17" x14ac:dyDescent="0.3">
      <c r="A19">
        <v>1998</v>
      </c>
      <c r="B19" s="6">
        <v>6857</v>
      </c>
      <c r="C19" s="7">
        <v>-0.30659851718798403</v>
      </c>
      <c r="D19" s="6">
        <v>358.34166666666664</v>
      </c>
      <c r="E19" s="7">
        <v>-4.4642065731389131E-2</v>
      </c>
      <c r="I19" s="7"/>
      <c r="J19" s="7"/>
      <c r="P19" s="6"/>
      <c r="Q19" s="6"/>
    </row>
    <row r="20" spans="1:17" x14ac:dyDescent="0.3">
      <c r="A20">
        <v>1997</v>
      </c>
      <c r="B20" s="6">
        <v>4667.833333333333</v>
      </c>
      <c r="C20" s="7">
        <v>-1.9204062126298951</v>
      </c>
      <c r="D20" s="6">
        <v>214.61666666666665</v>
      </c>
      <c r="E20" s="7">
        <v>-1.4962560401477158</v>
      </c>
      <c r="I20" s="7"/>
      <c r="J20" s="7"/>
      <c r="P20" s="6"/>
      <c r="Q20" s="6"/>
    </row>
    <row r="21" spans="1:17" x14ac:dyDescent="0.3">
      <c r="A21">
        <v>1996</v>
      </c>
      <c r="B21" s="6">
        <v>8578.5</v>
      </c>
      <c r="C21" s="7">
        <v>0.96245513231483271</v>
      </c>
      <c r="D21" s="6">
        <v>407.42499999999995</v>
      </c>
      <c r="E21" s="7">
        <v>0.45109668937455172</v>
      </c>
      <c r="I21" s="7"/>
      <c r="J21" s="7"/>
      <c r="P21" s="6"/>
      <c r="Q21" s="6"/>
    </row>
    <row r="22" spans="1:17" x14ac:dyDescent="0.3">
      <c r="A22">
        <v>1995</v>
      </c>
      <c r="B22" s="6">
        <v>6814.5</v>
      </c>
      <c r="C22" s="7">
        <v>-0.33792862471274132</v>
      </c>
      <c r="D22" s="6">
        <v>391.52500000000003</v>
      </c>
      <c r="E22" s="7">
        <v>0.29050763254227147</v>
      </c>
      <c r="I22" s="7"/>
      <c r="J22" s="7"/>
      <c r="P22" s="6"/>
      <c r="Q22" s="6"/>
    </row>
    <row r="23" spans="1:17" x14ac:dyDescent="0.3">
      <c r="A23">
        <v>1994</v>
      </c>
      <c r="B23" s="6">
        <v>7598.083333333333</v>
      </c>
      <c r="C23" s="7">
        <v>0.23971255382704862</v>
      </c>
      <c r="D23" s="6">
        <v>384.99999999999994</v>
      </c>
      <c r="E23" s="7">
        <v>0.22460551959694763</v>
      </c>
      <c r="I23" s="7"/>
      <c r="J23" s="7"/>
      <c r="P23" s="6"/>
      <c r="Q23" s="6"/>
    </row>
    <row r="24" spans="1:17" x14ac:dyDescent="0.3">
      <c r="A24">
        <v>1993</v>
      </c>
      <c r="B24" s="6">
        <v>6861.916666666667</v>
      </c>
      <c r="C24" s="7">
        <v>-0.30297405376845304</v>
      </c>
      <c r="D24" s="6">
        <v>324.16666666666669</v>
      </c>
      <c r="E24" s="7">
        <v>-0.3898075385139802</v>
      </c>
      <c r="I24" s="7"/>
      <c r="J24" s="7"/>
      <c r="P24" s="6"/>
      <c r="Q24" s="6"/>
    </row>
    <row r="25" spans="1:17" x14ac:dyDescent="0.3">
      <c r="A25">
        <v>1992</v>
      </c>
      <c r="B25" s="6">
        <v>5090.166666666667</v>
      </c>
      <c r="C25" s="7">
        <v>-1.6090709480505416</v>
      </c>
      <c r="D25" s="6">
        <v>248.8416666666667</v>
      </c>
      <c r="E25" s="7">
        <v>-1.1505855703310601</v>
      </c>
      <c r="I25" s="7"/>
      <c r="J25" s="7"/>
      <c r="P25" s="6"/>
      <c r="Q25" s="6"/>
    </row>
    <row r="26" spans="1:17" x14ac:dyDescent="0.3">
      <c r="A26">
        <v>1991</v>
      </c>
      <c r="B26" s="6">
        <v>6351.75</v>
      </c>
      <c r="C26" s="7">
        <v>-0.67905820723230481</v>
      </c>
      <c r="D26" s="6">
        <v>242.79999999999998</v>
      </c>
      <c r="E26" s="7">
        <v>-1.2116060452804336</v>
      </c>
      <c r="I26" s="7"/>
      <c r="J26" s="7"/>
      <c r="P26" s="6"/>
      <c r="Q26" s="6"/>
    </row>
    <row r="27" spans="1:17" x14ac:dyDescent="0.3">
      <c r="A27">
        <v>1990</v>
      </c>
      <c r="B27" s="6">
        <v>7076</v>
      </c>
      <c r="C27" s="7">
        <v>-0.14515631606041104</v>
      </c>
      <c r="D27" s="6">
        <v>316.10833333333335</v>
      </c>
      <c r="E27" s="7">
        <v>-0.47119622717059229</v>
      </c>
      <c r="I27" s="7"/>
      <c r="J27" s="7"/>
      <c r="P27" s="6"/>
      <c r="Q27" s="6"/>
    </row>
    <row r="28" spans="1:17" x14ac:dyDescent="0.3">
      <c r="A28">
        <v>1989</v>
      </c>
      <c r="B28" s="6">
        <v>8372.5833333333339</v>
      </c>
      <c r="C28" s="7">
        <v>0.81065768977821484</v>
      </c>
      <c r="D28" s="6">
        <v>369.30833333333334</v>
      </c>
      <c r="E28" s="7">
        <v>6.6120617073266247E-2</v>
      </c>
      <c r="I28" s="7"/>
      <c r="J28" s="7"/>
      <c r="P28" s="6"/>
      <c r="Q28" s="6"/>
    </row>
    <row r="29" spans="1:17" x14ac:dyDescent="0.3">
      <c r="A29">
        <v>1988</v>
      </c>
      <c r="B29" s="6">
        <v>8442.25</v>
      </c>
      <c r="C29" s="7">
        <v>0.86201449348546366</v>
      </c>
      <c r="D29" s="6">
        <v>437.18333333333334</v>
      </c>
      <c r="E29" s="7">
        <v>0.75165409081484347</v>
      </c>
      <c r="I29" s="7"/>
      <c r="J29" s="7"/>
      <c r="P29" s="6"/>
      <c r="Q29" s="6"/>
    </row>
    <row r="30" spans="1:17" x14ac:dyDescent="0.3">
      <c r="A30">
        <v>1987</v>
      </c>
      <c r="B30" s="6">
        <v>6941.25</v>
      </c>
      <c r="C30" s="7">
        <v>-0.2444911863889063</v>
      </c>
      <c r="D30" s="6">
        <v>312.54166666666669</v>
      </c>
      <c r="E30" s="7">
        <v>-0.50721934893380838</v>
      </c>
      <c r="I30" s="7"/>
      <c r="J30" s="7"/>
      <c r="P30" s="6"/>
      <c r="Q30" s="6"/>
    </row>
    <row r="31" spans="1:17" x14ac:dyDescent="0.3">
      <c r="A31">
        <v>1986</v>
      </c>
      <c r="B31" s="6">
        <v>7595.166666666667</v>
      </c>
      <c r="C31" s="7">
        <v>0.23756244840868337</v>
      </c>
      <c r="D31" s="6">
        <v>317.27500000000003</v>
      </c>
      <c r="E31" s="7">
        <v>-0.45941296304243734</v>
      </c>
      <c r="I31" s="7"/>
      <c r="J31" s="7"/>
      <c r="P31" s="6"/>
      <c r="Q31" s="6"/>
    </row>
    <row r="32" spans="1:17" x14ac:dyDescent="0.3">
      <c r="A32">
        <v>1985</v>
      </c>
      <c r="B32" s="6">
        <v>6495.833333333333</v>
      </c>
      <c r="C32" s="7">
        <v>-0.57284299956503948</v>
      </c>
      <c r="D32" s="6">
        <v>304.03333333333336</v>
      </c>
      <c r="E32" s="7">
        <v>-0.59315301089699435</v>
      </c>
      <c r="I32" s="7"/>
      <c r="J32" s="7"/>
      <c r="P32" s="6"/>
      <c r="Q32" s="6"/>
    </row>
    <row r="33" spans="1:17" x14ac:dyDescent="0.3">
      <c r="A33">
        <v>1984</v>
      </c>
      <c r="B33" s="6">
        <v>8824.1666666666661</v>
      </c>
      <c r="C33" s="7">
        <v>1.143555440124606</v>
      </c>
      <c r="D33" s="6">
        <v>362.58333333333331</v>
      </c>
      <c r="E33" s="7">
        <v>-1.8014840083119756E-3</v>
      </c>
      <c r="I33" s="7"/>
      <c r="J33" s="7"/>
      <c r="P33" s="6"/>
      <c r="Q33" s="6"/>
    </row>
    <row r="34" spans="1:17" x14ac:dyDescent="0.3">
      <c r="A34">
        <v>1983</v>
      </c>
      <c r="B34" s="6">
        <v>5919.416666666667</v>
      </c>
      <c r="C34" s="7">
        <v>-0.99776526181748282</v>
      </c>
      <c r="D34" s="6">
        <v>157.01666666666668</v>
      </c>
      <c r="E34" s="7">
        <v>-2.0780126233891867</v>
      </c>
      <c r="I34" s="7"/>
      <c r="J34" s="7"/>
      <c r="P34" s="6"/>
      <c r="Q34" s="6"/>
    </row>
    <row r="35" spans="1:17" x14ac:dyDescent="0.3">
      <c r="A35">
        <v>1982</v>
      </c>
      <c r="B35" s="6">
        <v>7746.166666666667</v>
      </c>
      <c r="C35" s="7">
        <v>0.34887647749664463</v>
      </c>
      <c r="D35" s="6">
        <v>239.70833333333334</v>
      </c>
      <c r="E35" s="7">
        <v>-1.2428316952200436</v>
      </c>
      <c r="I35" s="7"/>
      <c r="J35" s="7"/>
      <c r="P35" s="6"/>
      <c r="Q35" s="6"/>
    </row>
    <row r="36" spans="1:17" x14ac:dyDescent="0.3">
      <c r="A36">
        <v>1981</v>
      </c>
      <c r="B36" s="6">
        <v>9255.3333333333339</v>
      </c>
      <c r="C36" s="7">
        <v>1.4614024525424387</v>
      </c>
      <c r="D36" s="6">
        <v>256.24583333333334</v>
      </c>
      <c r="E36" s="7">
        <v>-1.0758039262034493</v>
      </c>
      <c r="I36" s="7"/>
      <c r="J36" s="7"/>
      <c r="P36" s="6"/>
      <c r="Q36" s="6"/>
    </row>
    <row r="37" spans="1:17" x14ac:dyDescent="0.3">
      <c r="A37">
        <v>1980</v>
      </c>
      <c r="B37" s="6">
        <v>6208.416666666667</v>
      </c>
      <c r="C37" s="7">
        <v>-0.78472053064913316</v>
      </c>
      <c r="D37" s="13">
        <f>AVERAGEIF(Monthly!B$2:B$901,A37,Monthly!F$2:F$901)</f>
        <v>170.45690833333333</v>
      </c>
      <c r="E37" s="6"/>
      <c r="J37" s="7"/>
      <c r="P37" s="6"/>
      <c r="Q37" s="6"/>
    </row>
    <row r="38" spans="1:17" x14ac:dyDescent="0.3">
      <c r="A38">
        <v>1979</v>
      </c>
      <c r="B38" s="6">
        <v>7326.75</v>
      </c>
      <c r="C38" s="7">
        <v>3.9691318335657082E-2</v>
      </c>
      <c r="D38" s="13">
        <f>AVERAGEIF(Monthly!B$2:B$901,A38,Monthly!F$2:F$901)</f>
        <v>207.25007499999995</v>
      </c>
      <c r="E38" s="6"/>
      <c r="J38" s="7"/>
      <c r="P38" s="6"/>
      <c r="Q38" s="6"/>
    </row>
    <row r="39" spans="1:17" x14ac:dyDescent="0.3">
      <c r="A39">
        <v>1978</v>
      </c>
      <c r="B39" s="6">
        <v>6900.75</v>
      </c>
      <c r="C39" s="7">
        <v>-0.27434693591249854</v>
      </c>
      <c r="D39" s="13">
        <f>AVERAGEIF(Monthly!B$2:B$901,A39,Monthly!F$2:F$901)</f>
        <v>193.23467500000001</v>
      </c>
      <c r="E39" s="6"/>
      <c r="J39" s="7"/>
      <c r="P39" s="6"/>
      <c r="Q39" s="6"/>
    </row>
    <row r="40" spans="1:17" x14ac:dyDescent="0.3">
      <c r="A40">
        <v>1977</v>
      </c>
      <c r="B40" s="6">
        <v>5718</v>
      </c>
      <c r="C40" s="7">
        <v>-1.14624539885148</v>
      </c>
      <c r="D40" s="13">
        <f>AVERAGEIF(Monthly!B$2:B$901,A40,Monthly!F$2:F$901)</f>
        <v>154.32220000000001</v>
      </c>
      <c r="E40" s="6"/>
      <c r="J40" s="7"/>
      <c r="P40" s="6"/>
      <c r="Q40" s="6"/>
    </row>
    <row r="41" spans="1:17" x14ac:dyDescent="0.3">
      <c r="A41">
        <v>1976</v>
      </c>
      <c r="B41" s="6">
        <v>7073.833333333333</v>
      </c>
      <c r="C41" s="7">
        <v>-0.14675353722834009</v>
      </c>
      <c r="D41" s="13">
        <f>AVERAGEIF(Monthly!B$2:B$901,A41,Monthly!F$2:F$901)</f>
        <v>198.92911666666669</v>
      </c>
      <c r="E41" s="6"/>
      <c r="J41" s="7"/>
      <c r="P41" s="6"/>
      <c r="Q41" s="6"/>
    </row>
    <row r="42" spans="1:17" x14ac:dyDescent="0.3">
      <c r="A42">
        <v>1975</v>
      </c>
      <c r="B42" s="6">
        <v>8841</v>
      </c>
      <c r="C42" s="7">
        <v>1.1559646199677456</v>
      </c>
      <c r="D42" s="13">
        <f>AVERAGEIF(Monthly!B$2:B$901,A42,Monthly!F$2:F$901)</f>
        <v>257.06890000000004</v>
      </c>
      <c r="E42" s="6"/>
      <c r="J42" s="7"/>
      <c r="P42" s="6"/>
      <c r="Q42" s="6"/>
    </row>
    <row r="43" spans="1:17" x14ac:dyDescent="0.3">
      <c r="A43">
        <v>1974</v>
      </c>
      <c r="B43" s="6">
        <v>8906.5833333333339</v>
      </c>
      <c r="C43" s="7">
        <v>1.2043112760892831</v>
      </c>
      <c r="D43" s="13">
        <f>AVERAGEIF(Monthly!B$2:B$901,A43,Monthly!F$2:F$901)</f>
        <v>259.22659166666671</v>
      </c>
      <c r="E43" s="6"/>
      <c r="J43" s="7"/>
      <c r="P43" s="6"/>
      <c r="Q43" s="6"/>
    </row>
    <row r="44" spans="1:17" x14ac:dyDescent="0.3">
      <c r="A44">
        <v>1973</v>
      </c>
      <c r="B44" s="6">
        <v>6785.416666666667</v>
      </c>
      <c r="C44" s="7">
        <v>-0.3593682473130162</v>
      </c>
      <c r="D44" s="13">
        <f>AVERAGEIF(Monthly!B$2:B$901,A44,Monthly!F$2:F$901)</f>
        <v>189.44020833333332</v>
      </c>
      <c r="E44" s="6"/>
      <c r="J44" s="7"/>
      <c r="P44" s="6"/>
      <c r="Q44" s="6"/>
    </row>
    <row r="45" spans="1:17" x14ac:dyDescent="0.3">
      <c r="A45">
        <v>1972</v>
      </c>
      <c r="B45" s="6">
        <v>7173.75</v>
      </c>
      <c r="C45" s="7">
        <v>-7.3097068753469233E-2</v>
      </c>
      <c r="D45" s="13">
        <f>AVERAGEIF(Monthly!B$2:B$901,A45,Monthly!F$2:F$901)</f>
        <v>202.21637499999997</v>
      </c>
      <c r="E45" s="6"/>
      <c r="J45" s="7"/>
      <c r="P45" s="6"/>
      <c r="Q45" s="6"/>
    </row>
    <row r="46" spans="1:17" x14ac:dyDescent="0.3">
      <c r="A46">
        <v>1971</v>
      </c>
      <c r="B46" s="6">
        <v>10321.083333333334</v>
      </c>
      <c r="C46" s="7">
        <v>2.2470509724132648</v>
      </c>
      <c r="D46" s="13">
        <f>AVERAGEIF(Monthly!B$2:B$901,A46,Monthly!F$2:F$901)</f>
        <v>305.76364166666662</v>
      </c>
      <c r="E46" s="6"/>
      <c r="J46" s="7"/>
      <c r="P46" s="6"/>
      <c r="Q46" s="6"/>
    </row>
    <row r="47" spans="1:17" x14ac:dyDescent="0.3">
      <c r="A47">
        <v>1970</v>
      </c>
      <c r="B47" s="6">
        <v>8388.8333333333339</v>
      </c>
      <c r="C47" s="7">
        <v>0.82263684853768093</v>
      </c>
      <c r="D47" s="13">
        <f>AVERAGEIF(Monthly!B$2:B$901,A47,Monthly!F$2:F$901)</f>
        <v>242.19261666666662</v>
      </c>
      <c r="E47" s="6"/>
      <c r="J47" s="7"/>
      <c r="P47" s="6"/>
      <c r="Q47" s="6"/>
    </row>
    <row r="48" spans="1:17" x14ac:dyDescent="0.3">
      <c r="A48">
        <v>1969</v>
      </c>
      <c r="B48" s="6">
        <v>7425.666666666667</v>
      </c>
      <c r="C48" s="7">
        <v>0.1126106078099454</v>
      </c>
      <c r="D48" s="13">
        <f>AVERAGEIF(Monthly!B$2:B$901,A48,Monthly!F$2:F$901)</f>
        <v>210.50443333333328</v>
      </c>
      <c r="E48" s="6"/>
      <c r="J48" s="7"/>
      <c r="P48" s="6"/>
      <c r="Q48" s="6"/>
    </row>
    <row r="49" spans="1:17" x14ac:dyDescent="0.3">
      <c r="A49">
        <v>1968</v>
      </c>
      <c r="B49" s="6">
        <v>7191.583333333333</v>
      </c>
      <c r="C49" s="7">
        <v>-5.9950709909747768E-2</v>
      </c>
      <c r="D49" s="13">
        <f>AVERAGEIF(Monthly!B$2:B$901,A49,Monthly!F$2:F$901)</f>
        <v>202.80309166666666</v>
      </c>
      <c r="E49" s="6"/>
      <c r="J49" s="7"/>
      <c r="P49" s="6"/>
      <c r="Q49" s="6"/>
    </row>
    <row r="50" spans="1:17" x14ac:dyDescent="0.3">
      <c r="A50">
        <v>1967</v>
      </c>
      <c r="B50" s="6">
        <v>7275.416666666667</v>
      </c>
      <c r="C50" s="7">
        <v>1.8494629724210231E-3</v>
      </c>
      <c r="D50" s="13">
        <f>AVERAGEIF(Monthly!B$2:B$901,A50,Monthly!F$2:F$901)</f>
        <v>205.56120833333333</v>
      </c>
      <c r="E50" s="6"/>
      <c r="J50" s="7"/>
      <c r="P50" s="6"/>
      <c r="Q50" s="6"/>
    </row>
    <row r="51" spans="1:17" x14ac:dyDescent="0.3">
      <c r="A51">
        <v>1966</v>
      </c>
      <c r="B51" s="6">
        <v>7130.166666666667</v>
      </c>
      <c r="C51" s="7">
        <v>-0.10522578686219072</v>
      </c>
      <c r="D51" s="13">
        <f>AVERAGEIF(Monthly!B$2:B$901,A51,Monthly!F$2:F$901)</f>
        <v>200.78248333333332</v>
      </c>
      <c r="E51" s="6"/>
      <c r="J51" s="7"/>
      <c r="P51" s="6"/>
      <c r="Q51" s="6"/>
    </row>
    <row r="52" spans="1:17" x14ac:dyDescent="0.3">
      <c r="A52">
        <v>1965</v>
      </c>
      <c r="B52" s="6">
        <v>5808.666666666667</v>
      </c>
      <c r="C52" s="7">
        <v>-1.0794078361319974</v>
      </c>
      <c r="D52" s="13">
        <f>AVERAGEIF(Monthly!B$2:B$901,A52,Monthly!F$2:F$901)</f>
        <v>157.30513333333332</v>
      </c>
      <c r="E52" s="6"/>
      <c r="J52" s="7"/>
      <c r="P52" s="6"/>
      <c r="Q52" s="6"/>
    </row>
    <row r="53" spans="1:17" x14ac:dyDescent="0.3">
      <c r="A53">
        <v>1964</v>
      </c>
      <c r="B53" s="6">
        <v>7291</v>
      </c>
      <c r="C53" s="7">
        <v>1.3337169064831813E-2</v>
      </c>
      <c r="D53" s="13">
        <f>AVERAGEIF(Monthly!B$2:B$901,A53,Monthly!F$2:F$901)</f>
        <v>206.07389999999995</v>
      </c>
      <c r="E53" s="6"/>
      <c r="J53" s="7"/>
      <c r="P53" s="6"/>
      <c r="Q53" s="6"/>
    </row>
    <row r="54" spans="1:17" x14ac:dyDescent="0.3">
      <c r="A54">
        <v>1963</v>
      </c>
      <c r="B54" s="6">
        <v>7493.166666666667</v>
      </c>
      <c r="C54" s="7">
        <v>0.16237019034926584</v>
      </c>
      <c r="D54" s="13">
        <f>AVERAGEIF(Monthly!B$2:B$901,A54,Monthly!F$2:F$901)</f>
        <v>212.72518333333332</v>
      </c>
      <c r="E54" s="6"/>
      <c r="J54" s="7"/>
      <c r="P54" s="6"/>
      <c r="Q54" s="6"/>
    </row>
    <row r="55" spans="1:17" x14ac:dyDescent="0.3">
      <c r="A55">
        <v>1962</v>
      </c>
      <c r="B55" s="6">
        <v>7847.75</v>
      </c>
      <c r="C55" s="7">
        <v>0.42376157763915256</v>
      </c>
      <c r="D55" s="13">
        <f>AVERAGEIF(Monthly!B$2:B$901,A55,Monthly!F$2:F$901)</f>
        <v>224.390975</v>
      </c>
      <c r="E55" s="6"/>
      <c r="J55" s="7"/>
      <c r="P55" s="6"/>
      <c r="Q55" s="6"/>
    </row>
    <row r="56" spans="1:17" x14ac:dyDescent="0.3">
      <c r="A56">
        <v>1961</v>
      </c>
      <c r="B56" s="6">
        <v>6466</v>
      </c>
      <c r="C56" s="7">
        <v>-0.59483550641575134</v>
      </c>
      <c r="D56" s="13">
        <f>AVERAGEIF(Monthly!B$2:B$901,A56,Monthly!F$2:F$901)</f>
        <v>178.93139999999994</v>
      </c>
      <c r="E56" s="6"/>
      <c r="J56" s="7"/>
      <c r="P56" s="6"/>
      <c r="Q56" s="6"/>
    </row>
    <row r="57" spans="1:17" x14ac:dyDescent="0.3">
      <c r="A57">
        <v>1960</v>
      </c>
      <c r="B57" s="6">
        <v>7080.833333333333</v>
      </c>
      <c r="C57" s="7">
        <v>-0.1415932842242624</v>
      </c>
      <c r="D57" s="13">
        <f>AVERAGEIF(Monthly!B$2:B$901,A57,Monthly!F$2:F$901)</f>
        <v>199.15941666666663</v>
      </c>
      <c r="E57" s="6"/>
      <c r="J57" s="7"/>
      <c r="P57" s="6"/>
      <c r="Q57" s="6"/>
    </row>
    <row r="58" spans="1:17" x14ac:dyDescent="0.3">
      <c r="A58">
        <v>1959</v>
      </c>
      <c r="B58" s="6">
        <v>5683.416666666667</v>
      </c>
      <c r="C58" s="7">
        <v>-1.1717395059549587</v>
      </c>
      <c r="D58" s="13">
        <f>AVERAGEIF(Monthly!B$2:B$901,A58,Monthly!F$2:F$901)</f>
        <v>153.18440833333332</v>
      </c>
      <c r="E58" s="6"/>
      <c r="J58" s="7"/>
      <c r="P58" s="6"/>
      <c r="Q58" s="6"/>
    </row>
    <row r="59" spans="1:17" x14ac:dyDescent="0.3">
      <c r="A59">
        <v>1958</v>
      </c>
      <c r="B59" s="6">
        <v>4849.333333333333</v>
      </c>
      <c r="C59" s="7">
        <v>-1.786608224024167</v>
      </c>
      <c r="D59" s="13">
        <f>AVERAGEIF(Monthly!B$2:B$901,A59,Monthly!F$2:F$901)</f>
        <v>125.74306666666665</v>
      </c>
      <c r="E59" s="6"/>
      <c r="J59" s="7"/>
      <c r="P59" s="6"/>
      <c r="Q59" s="6"/>
    </row>
    <row r="60" spans="1:17" x14ac:dyDescent="0.3">
      <c r="A60">
        <v>1957</v>
      </c>
      <c r="B60" s="6">
        <v>5915.166666666667</v>
      </c>
      <c r="C60" s="7">
        <v>-1.0008982725699587</v>
      </c>
      <c r="D60" s="13">
        <f>AVERAGEIF(Monthly!B$2:B$901,A60,Monthly!F$2:F$901)</f>
        <v>160.80898333333334</v>
      </c>
      <c r="E60" s="6"/>
      <c r="J60" s="7"/>
      <c r="P60" s="6"/>
      <c r="Q60" s="6"/>
    </row>
    <row r="61" spans="1:17" x14ac:dyDescent="0.3">
      <c r="A61">
        <v>1956</v>
      </c>
      <c r="B61" s="6">
        <v>8566.4</v>
      </c>
      <c r="C61" s="7">
        <v>0.95353526640778385</v>
      </c>
      <c r="D61" s="13">
        <f>AVERAGEIF(Monthly!B$2:B$901,A61,Monthly!F$2:F$901)</f>
        <v>248.03455999999997</v>
      </c>
      <c r="E61" s="6"/>
      <c r="J61" s="7"/>
      <c r="P61" s="6"/>
      <c r="Q61" s="6"/>
    </row>
    <row r="62" spans="1:17" x14ac:dyDescent="0.3">
      <c r="A62">
        <v>1955</v>
      </c>
      <c r="B62" s="6">
        <v>8441.6</v>
      </c>
      <c r="C62" s="7">
        <v>0.86153532713508529</v>
      </c>
      <c r="D62" s="13">
        <f>AVERAGEIF(Monthly!B$2:B$901,A62,Monthly!F$2:F$901)</f>
        <v>243.92863999999994</v>
      </c>
      <c r="E62" s="6"/>
      <c r="J62" s="7"/>
      <c r="P62" s="6"/>
      <c r="Q62" s="6"/>
    </row>
    <row r="63" spans="1:17" x14ac:dyDescent="0.3">
      <c r="A63">
        <v>1954</v>
      </c>
      <c r="B63" s="6">
        <v>7888.25</v>
      </c>
      <c r="C63" s="7">
        <v>0.45361732716274483</v>
      </c>
      <c r="D63" s="13">
        <f>AVERAGEIF(Monthly!B$2:B$901,A63,Monthly!F$2:F$901)</f>
        <v>225.72342500000002</v>
      </c>
      <c r="E63" s="6"/>
      <c r="J63" s="7"/>
      <c r="P63" s="6"/>
      <c r="Q63" s="6"/>
    </row>
    <row r="64" spans="1:17" x14ac:dyDescent="0.3">
      <c r="A64">
        <v>1953</v>
      </c>
      <c r="B64" s="6">
        <v>6079.416666666667</v>
      </c>
      <c r="C64" s="7">
        <v>-0.87981662172427888</v>
      </c>
      <c r="D64" s="13">
        <f>AVERAGEIF(Monthly!B$2:B$901,A64,Monthly!F$2:F$901)</f>
        <v>166.21280833333333</v>
      </c>
      <c r="E64" s="6"/>
      <c r="J64" s="7"/>
      <c r="P64" s="6"/>
      <c r="Q64" s="6"/>
    </row>
    <row r="65" spans="1:17" x14ac:dyDescent="0.3">
      <c r="A65">
        <v>1952</v>
      </c>
      <c r="B65" s="6">
        <v>6178.833333333333</v>
      </c>
      <c r="C65" s="7">
        <v>-0.80652874274969988</v>
      </c>
      <c r="D65" s="13">
        <f>AVERAGEIF(Monthly!B$2:B$901,A65,Monthly!F$2:F$901)</f>
        <v>169.48361666666665</v>
      </c>
      <c r="E65" s="6"/>
      <c r="J65" s="7"/>
      <c r="P65" s="6"/>
      <c r="Q65" s="6"/>
    </row>
    <row r="66" spans="1:17" x14ac:dyDescent="0.3">
      <c r="A66">
        <v>1951</v>
      </c>
      <c r="B66" s="6">
        <v>7044.666666666667</v>
      </c>
      <c r="C66" s="7">
        <v>-0.16825459141199661</v>
      </c>
      <c r="D66" s="13">
        <f>AVERAGEIF(Monthly!B$2:B$901,A66,Monthly!F$2:F$901)</f>
        <v>197.96953333333332</v>
      </c>
      <c r="E66" s="6"/>
      <c r="J66" s="7"/>
      <c r="P66" s="6"/>
      <c r="Q66" s="6"/>
    </row>
    <row r="67" spans="1:17" x14ac:dyDescent="0.3">
      <c r="A67">
        <v>1950</v>
      </c>
      <c r="B67" s="6">
        <v>8975.5</v>
      </c>
      <c r="C67" s="7">
        <v>1.2551151955460951</v>
      </c>
      <c r="D67" s="13">
        <f>AVERAGEIF(Monthly!B$2:B$901,A67,Monthly!F$2:F$901)</f>
        <v>261.49394999999998</v>
      </c>
      <c r="E67" s="6"/>
      <c r="J67" s="7"/>
      <c r="P67" s="6"/>
      <c r="Q67" s="6"/>
    </row>
    <row r="68" spans="1:17" x14ac:dyDescent="0.3">
      <c r="E68" s="6"/>
      <c r="J68" s="7"/>
      <c r="P68" s="6"/>
      <c r="Q68" s="6"/>
    </row>
    <row r="69" spans="1:17" x14ac:dyDescent="0.3">
      <c r="E69" s="6"/>
      <c r="J69" s="7"/>
      <c r="P69" s="6"/>
      <c r="Q69" s="6"/>
    </row>
    <row r="70" spans="1:17" x14ac:dyDescent="0.3">
      <c r="E70" s="6"/>
      <c r="J70" s="7"/>
      <c r="P70" s="6"/>
      <c r="Q70" s="6"/>
    </row>
    <row r="71" spans="1:17" x14ac:dyDescent="0.3">
      <c r="E71" s="6"/>
      <c r="J71" s="7"/>
      <c r="P71" s="6"/>
      <c r="Q71" s="6"/>
    </row>
    <row r="72" spans="1:17" x14ac:dyDescent="0.3">
      <c r="E72" s="6"/>
      <c r="J72" s="7"/>
      <c r="P72" s="6"/>
      <c r="Q72" s="6"/>
    </row>
    <row r="73" spans="1:17" x14ac:dyDescent="0.3">
      <c r="E73" s="6"/>
      <c r="J73" s="7"/>
      <c r="P73" s="6"/>
      <c r="Q73" s="6"/>
    </row>
    <row r="74" spans="1:17" x14ac:dyDescent="0.3">
      <c r="E74" s="6"/>
      <c r="J74" s="7"/>
      <c r="P74" s="6"/>
      <c r="Q74" s="6"/>
    </row>
    <row r="75" spans="1:17" x14ac:dyDescent="0.3">
      <c r="E75" s="6"/>
      <c r="J75" s="7"/>
      <c r="P75" s="6"/>
      <c r="Q75" s="6"/>
    </row>
    <row r="76" spans="1:17" x14ac:dyDescent="0.3">
      <c r="E76" s="6"/>
      <c r="J76" s="7"/>
      <c r="P76" s="6"/>
      <c r="Q76" s="6"/>
    </row>
    <row r="77" spans="1:17" x14ac:dyDescent="0.3">
      <c r="E77" s="6"/>
      <c r="J77" s="7"/>
      <c r="P77" s="6"/>
      <c r="Q77" s="6"/>
    </row>
    <row r="78" spans="1:17" x14ac:dyDescent="0.3">
      <c r="E78" s="6"/>
      <c r="J78" s="7"/>
      <c r="P78" s="6"/>
      <c r="Q78" s="6"/>
    </row>
    <row r="79" spans="1:17" x14ac:dyDescent="0.3">
      <c r="E79" s="6"/>
      <c r="J79" s="7"/>
      <c r="P79" s="6"/>
      <c r="Q79" s="6"/>
    </row>
    <row r="80" spans="1:17" x14ac:dyDescent="0.3">
      <c r="E80" s="6"/>
      <c r="J80" s="7"/>
      <c r="P80" s="6"/>
      <c r="Q80" s="6"/>
    </row>
    <row r="81" spans="5:17" x14ac:dyDescent="0.3">
      <c r="E81" s="6"/>
      <c r="J81" s="7"/>
      <c r="P81" s="6"/>
      <c r="Q81" s="6"/>
    </row>
    <row r="82" spans="5:17" x14ac:dyDescent="0.3">
      <c r="E82" s="6"/>
      <c r="J82" s="7"/>
      <c r="P82" s="6"/>
      <c r="Q82" s="6"/>
    </row>
    <row r="83" spans="5:17" x14ac:dyDescent="0.3">
      <c r="E83" s="6"/>
      <c r="J83" s="7"/>
      <c r="P83" s="6"/>
      <c r="Q83" s="6"/>
    </row>
    <row r="84" spans="5:17" x14ac:dyDescent="0.3">
      <c r="E84" s="6"/>
      <c r="J84" s="7"/>
      <c r="P84" s="6"/>
      <c r="Q84" s="6"/>
    </row>
    <row r="85" spans="5:17" x14ac:dyDescent="0.3">
      <c r="E85" s="6"/>
      <c r="J85" s="7"/>
      <c r="P85" s="6"/>
      <c r="Q85" s="6"/>
    </row>
    <row r="86" spans="5:17" x14ac:dyDescent="0.3">
      <c r="E86" s="6"/>
      <c r="J86" s="7"/>
      <c r="P86" s="6"/>
      <c r="Q86" s="6"/>
    </row>
    <row r="87" spans="5:17" x14ac:dyDescent="0.3">
      <c r="E87" s="6"/>
      <c r="J87" s="7"/>
      <c r="P87" s="6"/>
      <c r="Q87" s="6"/>
    </row>
    <row r="88" spans="5:17" x14ac:dyDescent="0.3">
      <c r="E88" s="6"/>
      <c r="J88" s="7"/>
      <c r="P88" s="6"/>
      <c r="Q88" s="6"/>
    </row>
    <row r="89" spans="5:17" x14ac:dyDescent="0.3">
      <c r="E89" s="6"/>
      <c r="J89" s="7"/>
      <c r="P89" s="6"/>
      <c r="Q89" s="6"/>
    </row>
    <row r="90" spans="5:17" x14ac:dyDescent="0.3">
      <c r="E90" s="6"/>
      <c r="J90" s="7"/>
      <c r="P90" s="6"/>
      <c r="Q90" s="6"/>
    </row>
    <row r="91" spans="5:17" x14ac:dyDescent="0.3">
      <c r="E91" s="6"/>
      <c r="J91" s="7"/>
      <c r="P91" s="6"/>
      <c r="Q91" s="6"/>
    </row>
    <row r="92" spans="5:17" x14ac:dyDescent="0.3">
      <c r="E92" s="6"/>
      <c r="J92" s="7"/>
      <c r="P92" s="6"/>
      <c r="Q92" s="6"/>
    </row>
    <row r="93" spans="5:17" x14ac:dyDescent="0.3">
      <c r="E93" s="6"/>
      <c r="J93" s="7"/>
      <c r="P93" s="6"/>
      <c r="Q93" s="6"/>
    </row>
    <row r="94" spans="5:17" x14ac:dyDescent="0.3">
      <c r="E94" s="6"/>
      <c r="J94" s="7"/>
      <c r="P94" s="6"/>
      <c r="Q94" s="6"/>
    </row>
    <row r="95" spans="5:17" x14ac:dyDescent="0.3">
      <c r="E95" s="6"/>
      <c r="J95" s="7"/>
      <c r="P95" s="6"/>
      <c r="Q95" s="6"/>
    </row>
    <row r="96" spans="5:17" x14ac:dyDescent="0.3">
      <c r="E96" s="6"/>
      <c r="J96" s="7"/>
      <c r="P96" s="6"/>
      <c r="Q96" s="6"/>
    </row>
    <row r="97" spans="5:17" x14ac:dyDescent="0.3">
      <c r="E97" s="6"/>
      <c r="J97" s="7"/>
      <c r="P97" s="6"/>
      <c r="Q97" s="6"/>
    </row>
    <row r="98" spans="5:17" x14ac:dyDescent="0.3">
      <c r="E98" s="6"/>
      <c r="J98" s="7"/>
      <c r="P98" s="6"/>
      <c r="Q98" s="6"/>
    </row>
    <row r="99" spans="5:17" x14ac:dyDescent="0.3">
      <c r="E99" s="6"/>
      <c r="J99" s="7"/>
      <c r="P99" s="6"/>
      <c r="Q99" s="6"/>
    </row>
    <row r="100" spans="5:17" x14ac:dyDescent="0.3">
      <c r="E100" s="6"/>
      <c r="J100" s="7"/>
      <c r="P100" s="6"/>
      <c r="Q100" s="6"/>
    </row>
    <row r="101" spans="5:17" x14ac:dyDescent="0.3">
      <c r="E101" s="6"/>
      <c r="J101" s="7"/>
      <c r="P101" s="6"/>
      <c r="Q101" s="6"/>
    </row>
    <row r="102" spans="5:17" x14ac:dyDescent="0.3">
      <c r="E102" s="6"/>
      <c r="J102" s="7"/>
      <c r="P102" s="6"/>
      <c r="Q102" s="6"/>
    </row>
    <row r="103" spans="5:17" x14ac:dyDescent="0.3">
      <c r="E103" s="6"/>
      <c r="J103" s="7"/>
      <c r="P103" s="6"/>
      <c r="Q103" s="6"/>
    </row>
    <row r="104" spans="5:17" x14ac:dyDescent="0.3">
      <c r="E104" s="6"/>
      <c r="J104" s="7"/>
      <c r="P104" s="6"/>
      <c r="Q104" s="6"/>
    </row>
    <row r="105" spans="5:17" x14ac:dyDescent="0.3">
      <c r="E105" s="6"/>
      <c r="J105" s="7"/>
      <c r="P105" s="6"/>
      <c r="Q105" s="6"/>
    </row>
    <row r="106" spans="5:17" x14ac:dyDescent="0.3">
      <c r="E106" s="6"/>
      <c r="J106" s="7"/>
      <c r="P106" s="6"/>
      <c r="Q106" s="6"/>
    </row>
    <row r="107" spans="5:17" x14ac:dyDescent="0.3">
      <c r="E107" s="6"/>
      <c r="J107" s="7"/>
      <c r="P107" s="6"/>
      <c r="Q107" s="6"/>
    </row>
    <row r="108" spans="5:17" x14ac:dyDescent="0.3">
      <c r="E108" s="6"/>
      <c r="F108" s="1"/>
      <c r="J108" s="7"/>
      <c r="P108" s="6"/>
      <c r="Q108" s="6"/>
    </row>
    <row r="109" spans="5:17" x14ac:dyDescent="0.3">
      <c r="E109" s="6"/>
      <c r="J109" s="7"/>
      <c r="P109" s="6"/>
      <c r="Q109" s="6"/>
    </row>
    <row r="110" spans="5:17" x14ac:dyDescent="0.3">
      <c r="E110" s="6"/>
      <c r="J110" s="7"/>
      <c r="P110" s="6"/>
      <c r="Q110" s="6"/>
    </row>
    <row r="111" spans="5:17" x14ac:dyDescent="0.3">
      <c r="E111" s="6"/>
      <c r="J111" s="7"/>
      <c r="P111" s="6"/>
      <c r="Q111" s="6"/>
    </row>
    <row r="112" spans="5:17" x14ac:dyDescent="0.3">
      <c r="E112" s="6"/>
      <c r="J112" s="7"/>
      <c r="P112" s="6"/>
      <c r="Q112" s="6"/>
    </row>
    <row r="113" spans="5:17" x14ac:dyDescent="0.3">
      <c r="E113" s="6"/>
      <c r="J113" s="7"/>
      <c r="P113" s="6"/>
      <c r="Q113" s="6"/>
    </row>
    <row r="114" spans="5:17" x14ac:dyDescent="0.3">
      <c r="E114" s="6"/>
      <c r="J114" s="7"/>
      <c r="P114" s="6"/>
      <c r="Q114" s="6"/>
    </row>
    <row r="115" spans="5:17" x14ac:dyDescent="0.3">
      <c r="E115" s="6"/>
      <c r="J115" s="7"/>
      <c r="P115" s="6"/>
      <c r="Q115" s="6"/>
    </row>
    <row r="116" spans="5:17" x14ac:dyDescent="0.3">
      <c r="E116" s="6"/>
      <c r="J116" s="7"/>
      <c r="P116" s="6"/>
      <c r="Q116" s="6"/>
    </row>
    <row r="117" spans="5:17" x14ac:dyDescent="0.3">
      <c r="E117" s="6"/>
      <c r="J117" s="7"/>
      <c r="P117" s="6"/>
      <c r="Q117" s="6"/>
    </row>
    <row r="118" spans="5:17" x14ac:dyDescent="0.3">
      <c r="E118" s="6"/>
      <c r="J118" s="7"/>
      <c r="P118" s="6"/>
      <c r="Q118" s="6"/>
    </row>
    <row r="119" spans="5:17" x14ac:dyDescent="0.3">
      <c r="E119" s="6"/>
      <c r="J119" s="7"/>
      <c r="P119" s="6"/>
      <c r="Q119" s="6"/>
    </row>
    <row r="120" spans="5:17" x14ac:dyDescent="0.3">
      <c r="E120" s="6"/>
      <c r="J120" s="7"/>
      <c r="P120" s="6"/>
      <c r="Q120" s="6"/>
    </row>
    <row r="121" spans="5:17" x14ac:dyDescent="0.3">
      <c r="E121" s="6"/>
      <c r="J121" s="7"/>
      <c r="P121" s="6"/>
      <c r="Q121" s="6"/>
    </row>
    <row r="122" spans="5:17" x14ac:dyDescent="0.3">
      <c r="E122" s="6"/>
      <c r="J122" s="7"/>
      <c r="P122" s="6"/>
      <c r="Q122" s="6"/>
    </row>
    <row r="123" spans="5:17" x14ac:dyDescent="0.3">
      <c r="E123" s="6"/>
      <c r="J123" s="7"/>
      <c r="P123" s="6"/>
      <c r="Q123" s="6"/>
    </row>
    <row r="124" spans="5:17" x14ac:dyDescent="0.3">
      <c r="E124" s="6"/>
      <c r="J124" s="7"/>
      <c r="P124" s="6"/>
      <c r="Q124" s="6"/>
    </row>
    <row r="125" spans="5:17" x14ac:dyDescent="0.3">
      <c r="E125" s="6"/>
      <c r="J125" s="7"/>
      <c r="P125" s="6"/>
      <c r="Q125" s="6"/>
    </row>
    <row r="126" spans="5:17" x14ac:dyDescent="0.3">
      <c r="E126" s="6"/>
      <c r="J126" s="7"/>
      <c r="P126" s="6"/>
      <c r="Q126" s="6"/>
    </row>
    <row r="127" spans="5:17" x14ac:dyDescent="0.3">
      <c r="E127" s="6"/>
      <c r="J127" s="7"/>
      <c r="P127" s="6"/>
      <c r="Q127" s="6"/>
    </row>
    <row r="128" spans="5:17" x14ac:dyDescent="0.3">
      <c r="E128" s="6"/>
      <c r="J128" s="7"/>
      <c r="P128" s="6"/>
      <c r="Q128" s="6"/>
    </row>
    <row r="129" spans="5:17" x14ac:dyDescent="0.3">
      <c r="E129" s="6"/>
      <c r="J129" s="7"/>
      <c r="P129" s="6"/>
      <c r="Q129" s="6"/>
    </row>
    <row r="130" spans="5:17" x14ac:dyDescent="0.3">
      <c r="E130" s="6"/>
      <c r="J130" s="7"/>
      <c r="P130" s="6"/>
      <c r="Q130" s="6"/>
    </row>
    <row r="131" spans="5:17" x14ac:dyDescent="0.3">
      <c r="E131" s="6"/>
      <c r="J131" s="7"/>
      <c r="P131" s="6"/>
      <c r="Q131" s="6"/>
    </row>
    <row r="132" spans="5:17" x14ac:dyDescent="0.3">
      <c r="E132" s="6"/>
      <c r="J132" s="7"/>
      <c r="P132" s="6"/>
      <c r="Q132" s="6"/>
    </row>
    <row r="133" spans="5:17" x14ac:dyDescent="0.3">
      <c r="E133" s="6"/>
      <c r="J133" s="7"/>
      <c r="P133" s="6"/>
      <c r="Q133" s="6"/>
    </row>
    <row r="134" spans="5:17" x14ac:dyDescent="0.3">
      <c r="E134" s="6"/>
      <c r="J134" s="7"/>
      <c r="P134" s="6"/>
      <c r="Q134" s="6"/>
    </row>
    <row r="135" spans="5:17" x14ac:dyDescent="0.3">
      <c r="E135" s="6"/>
      <c r="J135" s="7"/>
      <c r="P135" s="6"/>
      <c r="Q135" s="6"/>
    </row>
    <row r="136" spans="5:17" x14ac:dyDescent="0.3">
      <c r="E136" s="6"/>
      <c r="J136" s="7"/>
      <c r="P136" s="6"/>
      <c r="Q136" s="6"/>
    </row>
    <row r="137" spans="5:17" x14ac:dyDescent="0.3">
      <c r="E137" s="6"/>
      <c r="J137" s="7"/>
      <c r="P137" s="6"/>
      <c r="Q137" s="6"/>
    </row>
    <row r="138" spans="5:17" x14ac:dyDescent="0.3">
      <c r="E138" s="6"/>
      <c r="J138" s="7"/>
      <c r="P138" s="6"/>
      <c r="Q138" s="6"/>
    </row>
    <row r="139" spans="5:17" x14ac:dyDescent="0.3">
      <c r="E139" s="6"/>
      <c r="J139" s="7"/>
      <c r="P139" s="6"/>
      <c r="Q139" s="6"/>
    </row>
    <row r="140" spans="5:17" x14ac:dyDescent="0.3">
      <c r="E140" s="6"/>
      <c r="J140" s="7"/>
      <c r="P140" s="6"/>
      <c r="Q140" s="6"/>
    </row>
    <row r="141" spans="5:17" x14ac:dyDescent="0.3">
      <c r="E141" s="6"/>
      <c r="J141" s="7"/>
      <c r="P141" s="6"/>
      <c r="Q141" s="6"/>
    </row>
    <row r="142" spans="5:17" x14ac:dyDescent="0.3">
      <c r="E142" s="6"/>
      <c r="J142" s="7"/>
      <c r="P142" s="6"/>
      <c r="Q142" s="6"/>
    </row>
    <row r="143" spans="5:17" x14ac:dyDescent="0.3">
      <c r="E143" s="6"/>
      <c r="J143" s="7"/>
      <c r="P143" s="6"/>
      <c r="Q143" s="6"/>
    </row>
    <row r="144" spans="5:17" x14ac:dyDescent="0.3">
      <c r="E144" s="6"/>
      <c r="J144" s="7"/>
      <c r="P144" s="6"/>
      <c r="Q144" s="6"/>
    </row>
    <row r="145" spans="5:17" x14ac:dyDescent="0.3">
      <c r="E145" s="6"/>
      <c r="J145" s="7"/>
      <c r="P145" s="6"/>
      <c r="Q145" s="6"/>
    </row>
    <row r="146" spans="5:17" x14ac:dyDescent="0.3">
      <c r="E146" s="6"/>
      <c r="J146" s="7"/>
      <c r="P146" s="6"/>
      <c r="Q146" s="6"/>
    </row>
    <row r="147" spans="5:17" x14ac:dyDescent="0.3">
      <c r="E147" s="6"/>
      <c r="J147" s="7"/>
      <c r="P147" s="6"/>
      <c r="Q147" s="6"/>
    </row>
    <row r="148" spans="5:17" x14ac:dyDescent="0.3">
      <c r="E148" s="6"/>
      <c r="J148" s="7"/>
      <c r="P148" s="6"/>
      <c r="Q148" s="6"/>
    </row>
    <row r="149" spans="5:17" x14ac:dyDescent="0.3">
      <c r="E149" s="6"/>
      <c r="J149" s="7"/>
      <c r="P149" s="6"/>
      <c r="Q149" s="6"/>
    </row>
    <row r="150" spans="5:17" x14ac:dyDescent="0.3">
      <c r="E150" s="6"/>
      <c r="J150" s="7"/>
      <c r="P150" s="6"/>
      <c r="Q150" s="6"/>
    </row>
    <row r="151" spans="5:17" x14ac:dyDescent="0.3">
      <c r="E151" s="6"/>
      <c r="J151" s="7"/>
      <c r="P151" s="6"/>
      <c r="Q151" s="6"/>
    </row>
    <row r="152" spans="5:17" x14ac:dyDescent="0.3">
      <c r="E152" s="6"/>
      <c r="J152" s="7"/>
      <c r="P152" s="6"/>
      <c r="Q152" s="6"/>
    </row>
    <row r="153" spans="5:17" x14ac:dyDescent="0.3">
      <c r="E153" s="6"/>
      <c r="J153" s="7"/>
      <c r="P153" s="6"/>
      <c r="Q153" s="6"/>
    </row>
    <row r="154" spans="5:17" x14ac:dyDescent="0.3">
      <c r="E154" s="6"/>
      <c r="F154" s="1"/>
      <c r="J154" s="7"/>
      <c r="P154" s="6"/>
      <c r="Q154" s="6"/>
    </row>
    <row r="155" spans="5:17" x14ac:dyDescent="0.3">
      <c r="E155" s="6"/>
      <c r="J155" s="7"/>
      <c r="P155" s="6"/>
      <c r="Q155" s="6"/>
    </row>
    <row r="156" spans="5:17" x14ac:dyDescent="0.3">
      <c r="E156" s="6"/>
      <c r="J156" s="7"/>
      <c r="P156" s="6"/>
      <c r="Q156" s="6"/>
    </row>
    <row r="157" spans="5:17" x14ac:dyDescent="0.3">
      <c r="E157" s="6"/>
      <c r="J157" s="7"/>
      <c r="P157" s="6"/>
      <c r="Q157" s="6"/>
    </row>
    <row r="158" spans="5:17" x14ac:dyDescent="0.3">
      <c r="E158" s="6"/>
      <c r="J158" s="7"/>
      <c r="P158" s="6"/>
      <c r="Q158" s="6"/>
    </row>
    <row r="159" spans="5:17" x14ac:dyDescent="0.3">
      <c r="E159" s="6"/>
      <c r="J159" s="7"/>
      <c r="P159" s="6"/>
      <c r="Q159" s="6"/>
    </row>
    <row r="160" spans="5:17" x14ac:dyDescent="0.3">
      <c r="E160" s="6"/>
      <c r="J160" s="7"/>
      <c r="P160" s="6"/>
      <c r="Q160" s="6"/>
    </row>
    <row r="161" spans="5:17" x14ac:dyDescent="0.3">
      <c r="E161" s="6"/>
      <c r="J161" s="7"/>
      <c r="P161" s="6"/>
      <c r="Q161" s="6"/>
    </row>
    <row r="162" spans="5:17" x14ac:dyDescent="0.3">
      <c r="E162" s="6"/>
      <c r="J162" s="7"/>
      <c r="P162" s="6"/>
      <c r="Q162" s="6"/>
    </row>
    <row r="163" spans="5:17" x14ac:dyDescent="0.3">
      <c r="E163" s="6"/>
      <c r="J163" s="7"/>
      <c r="P163" s="6"/>
      <c r="Q163" s="6"/>
    </row>
    <row r="164" spans="5:17" x14ac:dyDescent="0.3">
      <c r="E164" s="6"/>
      <c r="J164" s="7"/>
      <c r="P164" s="6"/>
      <c r="Q164" s="6"/>
    </row>
    <row r="165" spans="5:17" x14ac:dyDescent="0.3">
      <c r="E165" s="6"/>
      <c r="J165" s="7"/>
      <c r="P165" s="6"/>
      <c r="Q165" s="6"/>
    </row>
    <row r="166" spans="5:17" x14ac:dyDescent="0.3">
      <c r="E166" s="6"/>
      <c r="J166" s="7"/>
      <c r="P166" s="6"/>
      <c r="Q166" s="6"/>
    </row>
    <row r="167" spans="5:17" x14ac:dyDescent="0.3">
      <c r="E167" s="6"/>
      <c r="J167" s="7"/>
      <c r="P167" s="6"/>
      <c r="Q167" s="6"/>
    </row>
    <row r="168" spans="5:17" x14ac:dyDescent="0.3">
      <c r="E168" s="6"/>
      <c r="J168" s="7"/>
      <c r="P168" s="6"/>
      <c r="Q168" s="6"/>
    </row>
    <row r="169" spans="5:17" x14ac:dyDescent="0.3">
      <c r="E169" s="6"/>
      <c r="J169" s="7"/>
      <c r="P169" s="6"/>
      <c r="Q169" s="6"/>
    </row>
    <row r="170" spans="5:17" x14ac:dyDescent="0.3">
      <c r="E170" s="6"/>
      <c r="J170" s="7"/>
      <c r="P170" s="6"/>
      <c r="Q170" s="6"/>
    </row>
    <row r="171" spans="5:17" x14ac:dyDescent="0.3">
      <c r="E171" s="6"/>
      <c r="J171" s="7"/>
      <c r="P171" s="6"/>
      <c r="Q171" s="6"/>
    </row>
    <row r="172" spans="5:17" x14ac:dyDescent="0.3">
      <c r="E172" s="6"/>
      <c r="J172" s="7"/>
      <c r="P172" s="6"/>
      <c r="Q172" s="6"/>
    </row>
    <row r="173" spans="5:17" x14ac:dyDescent="0.3">
      <c r="E173" s="6"/>
      <c r="J173" s="7"/>
      <c r="P173" s="6"/>
      <c r="Q173" s="6"/>
    </row>
    <row r="174" spans="5:17" x14ac:dyDescent="0.3">
      <c r="E174" s="6"/>
      <c r="J174" s="7"/>
      <c r="P174" s="6"/>
      <c r="Q174" s="6"/>
    </row>
    <row r="175" spans="5:17" x14ac:dyDescent="0.3">
      <c r="E175" s="6"/>
      <c r="J175" s="7"/>
      <c r="P175" s="6"/>
      <c r="Q175" s="6"/>
    </row>
    <row r="176" spans="5:17" x14ac:dyDescent="0.3">
      <c r="E176" s="6"/>
      <c r="J176" s="7"/>
      <c r="P176" s="6"/>
      <c r="Q176" s="6"/>
    </row>
    <row r="177" spans="5:17" x14ac:dyDescent="0.3">
      <c r="E177" s="6"/>
      <c r="J177" s="7"/>
      <c r="P177" s="6"/>
      <c r="Q177" s="6"/>
    </row>
    <row r="178" spans="5:17" x14ac:dyDescent="0.3">
      <c r="E178" s="6"/>
      <c r="J178" s="7"/>
      <c r="P178" s="6"/>
      <c r="Q178" s="6"/>
    </row>
    <row r="179" spans="5:17" x14ac:dyDescent="0.3">
      <c r="E179" s="6"/>
      <c r="J179" s="7"/>
      <c r="P179" s="6"/>
      <c r="Q179" s="6"/>
    </row>
    <row r="180" spans="5:17" x14ac:dyDescent="0.3">
      <c r="E180" s="6"/>
      <c r="J180" s="7"/>
      <c r="P180" s="6"/>
      <c r="Q180" s="6"/>
    </row>
    <row r="181" spans="5:17" x14ac:dyDescent="0.3">
      <c r="E181" s="6"/>
      <c r="J181" s="7"/>
      <c r="P181" s="6"/>
      <c r="Q181" s="6"/>
    </row>
    <row r="182" spans="5:17" x14ac:dyDescent="0.3">
      <c r="E182" s="6"/>
      <c r="J182" s="7"/>
      <c r="P182" s="6"/>
      <c r="Q182" s="6"/>
    </row>
    <row r="183" spans="5:17" x14ac:dyDescent="0.3">
      <c r="E183" s="6"/>
      <c r="J183" s="7"/>
      <c r="P183" s="6"/>
      <c r="Q183" s="6"/>
    </row>
    <row r="184" spans="5:17" x14ac:dyDescent="0.3">
      <c r="E184" s="6"/>
      <c r="J184" s="7"/>
      <c r="P184" s="6"/>
      <c r="Q184" s="6"/>
    </row>
    <row r="185" spans="5:17" x14ac:dyDescent="0.3">
      <c r="E185" s="6"/>
      <c r="J185" s="7"/>
      <c r="P185" s="6"/>
      <c r="Q185" s="6"/>
    </row>
    <row r="186" spans="5:17" x14ac:dyDescent="0.3">
      <c r="E186" s="6"/>
      <c r="J186" s="7"/>
      <c r="P186" s="6"/>
      <c r="Q186" s="6"/>
    </row>
    <row r="187" spans="5:17" x14ac:dyDescent="0.3">
      <c r="E187" s="6"/>
      <c r="J187" s="7"/>
      <c r="P187" s="6"/>
      <c r="Q187" s="6"/>
    </row>
    <row r="188" spans="5:17" x14ac:dyDescent="0.3">
      <c r="E188" s="6"/>
      <c r="J188" s="7"/>
      <c r="P188" s="6"/>
      <c r="Q188" s="6"/>
    </row>
    <row r="189" spans="5:17" x14ac:dyDescent="0.3">
      <c r="E189" s="6"/>
      <c r="J189" s="7"/>
      <c r="P189" s="6"/>
      <c r="Q189" s="6"/>
    </row>
    <row r="190" spans="5:17" x14ac:dyDescent="0.3">
      <c r="E190" s="6"/>
      <c r="J190" s="7"/>
      <c r="P190" s="6"/>
      <c r="Q190" s="6"/>
    </row>
    <row r="191" spans="5:17" x14ac:dyDescent="0.3">
      <c r="E191" s="6"/>
      <c r="J191" s="7"/>
      <c r="P191" s="6"/>
      <c r="Q191" s="6"/>
    </row>
    <row r="192" spans="5:17" x14ac:dyDescent="0.3">
      <c r="E192" s="6"/>
      <c r="J192" s="7"/>
      <c r="P192" s="6"/>
      <c r="Q192" s="6"/>
    </row>
    <row r="193" spans="5:17" x14ac:dyDescent="0.3">
      <c r="E193" s="6"/>
      <c r="J193" s="7"/>
      <c r="P193" s="6"/>
      <c r="Q193" s="6"/>
    </row>
    <row r="194" spans="5:17" x14ac:dyDescent="0.3">
      <c r="E194" s="6"/>
      <c r="J194" s="7"/>
      <c r="P194" s="6"/>
      <c r="Q194" s="6"/>
    </row>
    <row r="195" spans="5:17" x14ac:dyDescent="0.3">
      <c r="E195" s="6"/>
      <c r="J195" s="7"/>
      <c r="P195" s="6"/>
      <c r="Q195" s="6"/>
    </row>
    <row r="196" spans="5:17" x14ac:dyDescent="0.3">
      <c r="E196" s="6"/>
      <c r="J196" s="7"/>
      <c r="P196" s="6"/>
      <c r="Q196" s="6"/>
    </row>
    <row r="197" spans="5:17" x14ac:dyDescent="0.3">
      <c r="E197" s="6"/>
      <c r="J197" s="7"/>
      <c r="P197" s="6"/>
      <c r="Q197" s="6"/>
    </row>
    <row r="198" spans="5:17" x14ac:dyDescent="0.3">
      <c r="E198" s="6"/>
      <c r="J198" s="7"/>
      <c r="P198" s="6"/>
      <c r="Q198" s="6"/>
    </row>
    <row r="199" spans="5:17" x14ac:dyDescent="0.3">
      <c r="E199" s="6"/>
      <c r="J199" s="7"/>
      <c r="P199" s="6"/>
      <c r="Q199" s="6"/>
    </row>
    <row r="200" spans="5:17" x14ac:dyDescent="0.3">
      <c r="E200" s="6"/>
      <c r="J200" s="7"/>
      <c r="P200" s="6"/>
      <c r="Q200" s="6"/>
    </row>
    <row r="201" spans="5:17" x14ac:dyDescent="0.3">
      <c r="E201" s="6"/>
      <c r="J201" s="7"/>
      <c r="P201" s="6"/>
      <c r="Q201" s="6"/>
    </row>
    <row r="202" spans="5:17" x14ac:dyDescent="0.3">
      <c r="E202" s="6"/>
      <c r="J202" s="7"/>
      <c r="P202" s="6"/>
      <c r="Q202" s="6"/>
    </row>
    <row r="203" spans="5:17" x14ac:dyDescent="0.3">
      <c r="E203" s="6"/>
      <c r="J203" s="7"/>
      <c r="P203" s="6"/>
      <c r="Q203" s="6"/>
    </row>
    <row r="204" spans="5:17" x14ac:dyDescent="0.3">
      <c r="E204" s="6"/>
      <c r="J204" s="7"/>
      <c r="P204" s="6"/>
      <c r="Q204" s="6"/>
    </row>
    <row r="205" spans="5:17" x14ac:dyDescent="0.3">
      <c r="E205" s="6"/>
      <c r="J205" s="7"/>
      <c r="P205" s="6"/>
      <c r="Q205" s="6"/>
    </row>
    <row r="206" spans="5:17" x14ac:dyDescent="0.3">
      <c r="E206" s="6"/>
      <c r="J206" s="7"/>
      <c r="P206" s="6"/>
      <c r="Q206" s="6"/>
    </row>
    <row r="207" spans="5:17" x14ac:dyDescent="0.3">
      <c r="E207" s="6"/>
      <c r="J207" s="7"/>
      <c r="P207" s="6"/>
      <c r="Q207" s="6"/>
    </row>
    <row r="208" spans="5:17" x14ac:dyDescent="0.3">
      <c r="E208" s="6"/>
      <c r="J208" s="7"/>
      <c r="P208" s="6"/>
      <c r="Q208" s="6"/>
    </row>
    <row r="209" spans="5:17" x14ac:dyDescent="0.3">
      <c r="E209" s="6"/>
      <c r="J209" s="7"/>
      <c r="P209" s="6"/>
      <c r="Q209" s="6"/>
    </row>
    <row r="210" spans="5:17" x14ac:dyDescent="0.3">
      <c r="E210" s="6"/>
      <c r="J210" s="7"/>
      <c r="P210" s="6"/>
      <c r="Q210" s="6"/>
    </row>
    <row r="211" spans="5:17" x14ac:dyDescent="0.3">
      <c r="E211" s="6"/>
      <c r="J211" s="7"/>
      <c r="P211" s="6"/>
      <c r="Q211" s="6"/>
    </row>
    <row r="212" spans="5:17" x14ac:dyDescent="0.3">
      <c r="E212" s="6"/>
      <c r="J212" s="7"/>
      <c r="P212" s="6"/>
      <c r="Q212" s="6"/>
    </row>
    <row r="213" spans="5:17" x14ac:dyDescent="0.3">
      <c r="E213" s="6"/>
      <c r="J213" s="7"/>
      <c r="P213" s="6"/>
      <c r="Q213" s="6"/>
    </row>
    <row r="214" spans="5:17" x14ac:dyDescent="0.3">
      <c r="E214" s="6"/>
      <c r="J214" s="7"/>
      <c r="P214" s="6"/>
      <c r="Q214" s="6"/>
    </row>
    <row r="215" spans="5:17" x14ac:dyDescent="0.3">
      <c r="E215" s="6"/>
      <c r="J215" s="7"/>
      <c r="P215" s="6"/>
      <c r="Q215" s="6"/>
    </row>
    <row r="216" spans="5:17" x14ac:dyDescent="0.3">
      <c r="E216" s="6"/>
      <c r="J216" s="7"/>
      <c r="P216" s="6"/>
      <c r="Q216" s="6"/>
    </row>
    <row r="217" spans="5:17" x14ac:dyDescent="0.3">
      <c r="E217" s="6"/>
      <c r="J217" s="7"/>
      <c r="P217" s="6"/>
      <c r="Q217" s="6"/>
    </row>
    <row r="218" spans="5:17" x14ac:dyDescent="0.3">
      <c r="E218" s="6"/>
      <c r="J218" s="7"/>
      <c r="P218" s="6"/>
      <c r="Q218" s="6"/>
    </row>
    <row r="219" spans="5:17" x14ac:dyDescent="0.3">
      <c r="E219" s="6"/>
      <c r="J219" s="7"/>
      <c r="P219" s="6"/>
      <c r="Q219" s="6"/>
    </row>
    <row r="220" spans="5:17" x14ac:dyDescent="0.3">
      <c r="E220" s="6"/>
      <c r="J220" s="7"/>
      <c r="P220" s="6"/>
      <c r="Q220" s="6"/>
    </row>
    <row r="221" spans="5:17" x14ac:dyDescent="0.3">
      <c r="E221" s="6"/>
      <c r="J221" s="7"/>
      <c r="P221" s="6"/>
      <c r="Q221" s="6"/>
    </row>
    <row r="222" spans="5:17" x14ac:dyDescent="0.3">
      <c r="E222" s="6"/>
      <c r="J222" s="7"/>
      <c r="P222" s="6"/>
      <c r="Q222" s="6"/>
    </row>
    <row r="223" spans="5:17" x14ac:dyDescent="0.3">
      <c r="E223" s="6"/>
      <c r="J223" s="7"/>
      <c r="P223" s="6"/>
      <c r="Q223" s="6"/>
    </row>
    <row r="224" spans="5:17" x14ac:dyDescent="0.3">
      <c r="E224" s="6"/>
      <c r="J224" s="7"/>
      <c r="P224" s="6"/>
      <c r="Q224" s="6"/>
    </row>
    <row r="225" spans="5:17" x14ac:dyDescent="0.3">
      <c r="E225" s="6"/>
      <c r="J225" s="7"/>
      <c r="P225" s="6"/>
      <c r="Q225" s="6"/>
    </row>
    <row r="226" spans="5:17" x14ac:dyDescent="0.3">
      <c r="E226" s="6"/>
      <c r="J226" s="7"/>
      <c r="P226" s="6"/>
      <c r="Q226" s="6"/>
    </row>
    <row r="227" spans="5:17" x14ac:dyDescent="0.3">
      <c r="E227" s="6"/>
      <c r="J227" s="7"/>
      <c r="P227" s="6"/>
      <c r="Q227" s="6"/>
    </row>
    <row r="228" spans="5:17" x14ac:dyDescent="0.3">
      <c r="E228" s="6"/>
      <c r="J228" s="7"/>
      <c r="P228" s="6"/>
      <c r="Q228" s="6"/>
    </row>
    <row r="229" spans="5:17" x14ac:dyDescent="0.3">
      <c r="E229" s="6"/>
      <c r="J229" s="7"/>
      <c r="P229" s="6"/>
      <c r="Q229" s="6"/>
    </row>
    <row r="230" spans="5:17" x14ac:dyDescent="0.3">
      <c r="E230" s="6"/>
      <c r="I230" s="6"/>
      <c r="J230" s="7"/>
      <c r="P230" s="6"/>
      <c r="Q230" s="6"/>
    </row>
    <row r="231" spans="5:17" x14ac:dyDescent="0.3">
      <c r="E231" s="6"/>
      <c r="I231" s="6"/>
      <c r="J231" s="7"/>
      <c r="P231" s="6"/>
      <c r="Q231" s="6"/>
    </row>
    <row r="232" spans="5:17" x14ac:dyDescent="0.3">
      <c r="E232" s="6"/>
      <c r="I232" s="6"/>
      <c r="J232" s="7"/>
      <c r="P232" s="6"/>
      <c r="Q232" s="6"/>
    </row>
    <row r="233" spans="5:17" x14ac:dyDescent="0.3">
      <c r="E233" s="6"/>
      <c r="I233" s="6"/>
      <c r="J233" s="7"/>
      <c r="P233" s="6"/>
      <c r="Q233" s="6"/>
    </row>
    <row r="234" spans="5:17" x14ac:dyDescent="0.3">
      <c r="E234" s="6"/>
      <c r="I234" s="6"/>
      <c r="J234" s="7"/>
      <c r="P234" s="6"/>
      <c r="Q234" s="6"/>
    </row>
    <row r="235" spans="5:17" x14ac:dyDescent="0.3">
      <c r="E235" s="6"/>
      <c r="I235" s="6"/>
      <c r="J235" s="7"/>
      <c r="P235" s="6"/>
      <c r="Q235" s="6"/>
    </row>
    <row r="236" spans="5:17" x14ac:dyDescent="0.3">
      <c r="E236" s="6"/>
      <c r="I236" s="6"/>
      <c r="J236" s="7"/>
      <c r="P236" s="6"/>
      <c r="Q236" s="6"/>
    </row>
    <row r="237" spans="5:17" x14ac:dyDescent="0.3">
      <c r="E237" s="6"/>
      <c r="I237" s="6"/>
      <c r="J237" s="7"/>
      <c r="P237" s="6"/>
      <c r="Q237" s="6"/>
    </row>
    <row r="238" spans="5:17" x14ac:dyDescent="0.3">
      <c r="E238" s="6"/>
      <c r="I238" s="6"/>
      <c r="J238" s="7"/>
      <c r="P238" s="6"/>
      <c r="Q238" s="6"/>
    </row>
    <row r="239" spans="5:17" x14ac:dyDescent="0.3">
      <c r="E239" s="6"/>
      <c r="I239" s="6"/>
      <c r="J239" s="7"/>
      <c r="P239" s="6"/>
      <c r="Q239" s="6"/>
    </row>
    <row r="240" spans="5:17" x14ac:dyDescent="0.3">
      <c r="E240" s="6"/>
      <c r="I240" s="6"/>
      <c r="J240" s="7"/>
      <c r="P240" s="6"/>
      <c r="Q240" s="6"/>
    </row>
    <row r="241" spans="5:17" x14ac:dyDescent="0.3">
      <c r="E241" s="6"/>
      <c r="J241" s="7"/>
      <c r="P241" s="6"/>
      <c r="Q241" s="6"/>
    </row>
    <row r="242" spans="5:17" x14ac:dyDescent="0.3">
      <c r="E242" s="6"/>
      <c r="J242" s="7"/>
      <c r="P242" s="6"/>
      <c r="Q242" s="6"/>
    </row>
    <row r="243" spans="5:17" x14ac:dyDescent="0.3">
      <c r="E243" s="6"/>
      <c r="J243" s="7"/>
      <c r="P243" s="6"/>
      <c r="Q243" s="6"/>
    </row>
    <row r="244" spans="5:17" x14ac:dyDescent="0.3">
      <c r="E244" s="6"/>
      <c r="J244" s="7"/>
      <c r="P244" s="6"/>
      <c r="Q244" s="6"/>
    </row>
    <row r="245" spans="5:17" x14ac:dyDescent="0.3">
      <c r="E245" s="6"/>
      <c r="J245" s="7"/>
      <c r="P245" s="6"/>
      <c r="Q245" s="6"/>
    </row>
    <row r="246" spans="5:17" x14ac:dyDescent="0.3">
      <c r="E246" s="6"/>
      <c r="J246" s="7"/>
      <c r="P246" s="6"/>
      <c r="Q246" s="6"/>
    </row>
    <row r="247" spans="5:17" x14ac:dyDescent="0.3">
      <c r="E247" s="6"/>
      <c r="J247" s="7"/>
      <c r="P247" s="6"/>
      <c r="Q247" s="6"/>
    </row>
    <row r="248" spans="5:17" x14ac:dyDescent="0.3">
      <c r="E248" s="6"/>
      <c r="J248" s="7"/>
      <c r="P248" s="6"/>
      <c r="Q248" s="6"/>
    </row>
    <row r="249" spans="5:17" x14ac:dyDescent="0.3">
      <c r="E249" s="6"/>
      <c r="J249" s="7"/>
      <c r="P249" s="6"/>
      <c r="Q249" s="6"/>
    </row>
    <row r="250" spans="5:17" x14ac:dyDescent="0.3">
      <c r="E250" s="6"/>
      <c r="J250" s="7"/>
      <c r="P250" s="6"/>
      <c r="Q250" s="6"/>
    </row>
    <row r="251" spans="5:17" x14ac:dyDescent="0.3">
      <c r="E251" s="6"/>
      <c r="J251" s="7"/>
      <c r="P251" s="6"/>
      <c r="Q251" s="6"/>
    </row>
    <row r="252" spans="5:17" x14ac:dyDescent="0.3">
      <c r="E252" s="6"/>
      <c r="J252" s="7"/>
      <c r="P252" s="6"/>
      <c r="Q252" s="6"/>
    </row>
    <row r="253" spans="5:17" x14ac:dyDescent="0.3">
      <c r="E253" s="6"/>
      <c r="J253" s="7"/>
      <c r="P253" s="6"/>
      <c r="Q253" s="6"/>
    </row>
    <row r="254" spans="5:17" x14ac:dyDescent="0.3">
      <c r="E254" s="6"/>
      <c r="J254" s="7"/>
      <c r="P254" s="6"/>
      <c r="Q254" s="6"/>
    </row>
    <row r="255" spans="5:17" x14ac:dyDescent="0.3">
      <c r="E255" s="6"/>
      <c r="J255" s="7"/>
      <c r="P255" s="6"/>
      <c r="Q255" s="6"/>
    </row>
    <row r="256" spans="5:17" x14ac:dyDescent="0.3">
      <c r="E256" s="6"/>
      <c r="J256" s="7"/>
      <c r="P256" s="6"/>
      <c r="Q256" s="6"/>
    </row>
    <row r="257" spans="5:17" x14ac:dyDescent="0.3">
      <c r="E257" s="6"/>
      <c r="J257" s="7"/>
      <c r="P257" s="6"/>
      <c r="Q257" s="6"/>
    </row>
    <row r="258" spans="5:17" x14ac:dyDescent="0.3">
      <c r="E258" s="6"/>
      <c r="J258" s="7"/>
      <c r="P258" s="6"/>
      <c r="Q258" s="6"/>
    </row>
    <row r="259" spans="5:17" x14ac:dyDescent="0.3">
      <c r="E259" s="6"/>
      <c r="J259" s="7"/>
      <c r="P259" s="6"/>
      <c r="Q259" s="6"/>
    </row>
    <row r="260" spans="5:17" x14ac:dyDescent="0.3">
      <c r="E260" s="6"/>
      <c r="J260" s="7"/>
      <c r="P260" s="6"/>
      <c r="Q260" s="6"/>
    </row>
    <row r="261" spans="5:17" x14ac:dyDescent="0.3">
      <c r="E261" s="6"/>
      <c r="J261" s="7"/>
      <c r="P261" s="6"/>
      <c r="Q261" s="6"/>
    </row>
    <row r="262" spans="5:17" x14ac:dyDescent="0.3">
      <c r="E262" s="6"/>
      <c r="J262" s="7"/>
      <c r="P262" s="6"/>
      <c r="Q262" s="6"/>
    </row>
    <row r="263" spans="5:17" x14ac:dyDescent="0.3">
      <c r="E263" s="6"/>
      <c r="J263" s="7"/>
      <c r="P263" s="6"/>
      <c r="Q263" s="6"/>
    </row>
    <row r="264" spans="5:17" x14ac:dyDescent="0.3">
      <c r="E264" s="6"/>
      <c r="J264" s="7"/>
      <c r="P264" s="6"/>
      <c r="Q264" s="6"/>
    </row>
    <row r="265" spans="5:17" x14ac:dyDescent="0.3">
      <c r="E265" s="6"/>
      <c r="J265" s="7"/>
      <c r="P265" s="6"/>
      <c r="Q265" s="6"/>
    </row>
    <row r="266" spans="5:17" x14ac:dyDescent="0.3">
      <c r="E266" s="6"/>
      <c r="J266" s="7"/>
      <c r="P266" s="6"/>
      <c r="Q266" s="6"/>
    </row>
    <row r="267" spans="5:17" x14ac:dyDescent="0.3">
      <c r="E267" s="6"/>
      <c r="J267" s="7"/>
      <c r="P267" s="6"/>
      <c r="Q267" s="6"/>
    </row>
    <row r="268" spans="5:17" x14ac:dyDescent="0.3">
      <c r="E268" s="6"/>
      <c r="J268" s="7"/>
      <c r="P268" s="6"/>
      <c r="Q268" s="6"/>
    </row>
    <row r="269" spans="5:17" x14ac:dyDescent="0.3">
      <c r="E269" s="6"/>
      <c r="J269" s="7"/>
      <c r="P269" s="6"/>
      <c r="Q269" s="6"/>
    </row>
    <row r="270" spans="5:17" x14ac:dyDescent="0.3">
      <c r="E270" s="6"/>
      <c r="J270" s="7"/>
      <c r="P270" s="6"/>
      <c r="Q270" s="6"/>
    </row>
    <row r="271" spans="5:17" x14ac:dyDescent="0.3">
      <c r="E271" s="6"/>
      <c r="J271" s="7"/>
      <c r="P271" s="6"/>
      <c r="Q271" s="6"/>
    </row>
    <row r="272" spans="5:17" x14ac:dyDescent="0.3">
      <c r="E272" s="6"/>
      <c r="J272" s="7"/>
      <c r="P272" s="6"/>
      <c r="Q272" s="6"/>
    </row>
    <row r="273" spans="5:17" x14ac:dyDescent="0.3">
      <c r="E273" s="6"/>
      <c r="J273" s="7"/>
      <c r="P273" s="6"/>
      <c r="Q273" s="6"/>
    </row>
    <row r="274" spans="5:17" x14ac:dyDescent="0.3">
      <c r="E274" s="6"/>
      <c r="J274" s="7"/>
      <c r="P274" s="6"/>
      <c r="Q274" s="6"/>
    </row>
    <row r="275" spans="5:17" x14ac:dyDescent="0.3">
      <c r="E275" s="6"/>
      <c r="J275" s="7"/>
      <c r="P275" s="6"/>
      <c r="Q275" s="6"/>
    </row>
    <row r="276" spans="5:17" x14ac:dyDescent="0.3">
      <c r="E276" s="6"/>
      <c r="J276" s="7"/>
      <c r="P276" s="6"/>
      <c r="Q276" s="6"/>
    </row>
    <row r="277" spans="5:17" x14ac:dyDescent="0.3">
      <c r="E277" s="6"/>
      <c r="J277" s="7"/>
      <c r="P277" s="6"/>
      <c r="Q277" s="6"/>
    </row>
    <row r="278" spans="5:17" x14ac:dyDescent="0.3">
      <c r="E278" s="6"/>
      <c r="J278" s="7"/>
      <c r="P278" s="6"/>
      <c r="Q278" s="6"/>
    </row>
    <row r="279" spans="5:17" x14ac:dyDescent="0.3">
      <c r="E279" s="6"/>
      <c r="J279" s="7"/>
      <c r="P279" s="6"/>
      <c r="Q279" s="6"/>
    </row>
    <row r="280" spans="5:17" x14ac:dyDescent="0.3">
      <c r="E280" s="6"/>
      <c r="J280" s="7"/>
      <c r="P280" s="6"/>
      <c r="Q280" s="6"/>
    </row>
    <row r="281" spans="5:17" x14ac:dyDescent="0.3">
      <c r="E281" s="6"/>
      <c r="J281" s="7"/>
      <c r="P281" s="6"/>
      <c r="Q281" s="6"/>
    </row>
    <row r="282" spans="5:17" x14ac:dyDescent="0.3">
      <c r="E282" s="6"/>
      <c r="J282" s="7"/>
      <c r="P282" s="6"/>
      <c r="Q282" s="6"/>
    </row>
    <row r="283" spans="5:17" x14ac:dyDescent="0.3">
      <c r="E283" s="6"/>
      <c r="J283" s="7"/>
      <c r="P283" s="6"/>
      <c r="Q283" s="6"/>
    </row>
    <row r="284" spans="5:17" x14ac:dyDescent="0.3">
      <c r="E284" s="6"/>
      <c r="J284" s="7"/>
      <c r="P284" s="6"/>
      <c r="Q284" s="6"/>
    </row>
    <row r="285" spans="5:17" x14ac:dyDescent="0.3">
      <c r="E285" s="6"/>
      <c r="J285" s="7"/>
      <c r="P285" s="6"/>
      <c r="Q285" s="6"/>
    </row>
    <row r="286" spans="5:17" x14ac:dyDescent="0.3">
      <c r="E286" s="6"/>
      <c r="J286" s="7"/>
      <c r="P286" s="6"/>
      <c r="Q286" s="6"/>
    </row>
    <row r="287" spans="5:17" x14ac:dyDescent="0.3">
      <c r="E287" s="6"/>
      <c r="J287" s="7"/>
      <c r="P287" s="6"/>
      <c r="Q287" s="6"/>
    </row>
    <row r="288" spans="5:17" x14ac:dyDescent="0.3">
      <c r="E288" s="6"/>
      <c r="J288" s="7"/>
      <c r="P288" s="6"/>
      <c r="Q288" s="6"/>
    </row>
    <row r="289" spans="5:17" x14ac:dyDescent="0.3">
      <c r="E289" s="6"/>
      <c r="J289" s="7"/>
      <c r="P289" s="6"/>
      <c r="Q289" s="6"/>
    </row>
    <row r="290" spans="5:17" x14ac:dyDescent="0.3">
      <c r="E290" s="6"/>
      <c r="J290" s="7"/>
      <c r="P290" s="6"/>
      <c r="Q290" s="6"/>
    </row>
    <row r="291" spans="5:17" x14ac:dyDescent="0.3">
      <c r="E291" s="6"/>
      <c r="J291" s="7"/>
      <c r="P291" s="6"/>
      <c r="Q291" s="6"/>
    </row>
    <row r="292" spans="5:17" x14ac:dyDescent="0.3">
      <c r="E292" s="6"/>
      <c r="J292" s="7"/>
      <c r="P292" s="6"/>
      <c r="Q292" s="6"/>
    </row>
    <row r="293" spans="5:17" x14ac:dyDescent="0.3">
      <c r="E293" s="6"/>
      <c r="J293" s="7"/>
      <c r="P293" s="6"/>
      <c r="Q293" s="6"/>
    </row>
    <row r="294" spans="5:17" x14ac:dyDescent="0.3">
      <c r="E294" s="6"/>
      <c r="J294" s="7"/>
      <c r="P294" s="6"/>
      <c r="Q294" s="6"/>
    </row>
    <row r="295" spans="5:17" x14ac:dyDescent="0.3">
      <c r="E295" s="6"/>
      <c r="J295" s="7"/>
      <c r="P295" s="6"/>
      <c r="Q295" s="6"/>
    </row>
    <row r="296" spans="5:17" x14ac:dyDescent="0.3">
      <c r="E296" s="6"/>
      <c r="J296" s="7"/>
      <c r="P296" s="6"/>
      <c r="Q296" s="6"/>
    </row>
    <row r="297" spans="5:17" x14ac:dyDescent="0.3">
      <c r="E297" s="6"/>
      <c r="J297" s="7"/>
      <c r="P297" s="6"/>
      <c r="Q297" s="6"/>
    </row>
    <row r="298" spans="5:17" x14ac:dyDescent="0.3">
      <c r="E298" s="6"/>
      <c r="J298" s="7"/>
      <c r="P298" s="6"/>
      <c r="Q298" s="6"/>
    </row>
    <row r="299" spans="5:17" x14ac:dyDescent="0.3">
      <c r="E299" s="6"/>
      <c r="J299" s="7"/>
      <c r="P299" s="6"/>
      <c r="Q299" s="6"/>
    </row>
    <row r="300" spans="5:17" x14ac:dyDescent="0.3">
      <c r="E300" s="6"/>
      <c r="J300" s="7"/>
      <c r="P300" s="6"/>
      <c r="Q300" s="6"/>
    </row>
    <row r="301" spans="5:17" x14ac:dyDescent="0.3">
      <c r="E301" s="6"/>
      <c r="J301" s="7"/>
      <c r="P301" s="6"/>
      <c r="Q301" s="6"/>
    </row>
    <row r="302" spans="5:17" x14ac:dyDescent="0.3">
      <c r="E302" s="6"/>
      <c r="J302" s="7"/>
      <c r="P302" s="6"/>
      <c r="Q302" s="6"/>
    </row>
    <row r="303" spans="5:17" x14ac:dyDescent="0.3">
      <c r="E303" s="6"/>
      <c r="J303" s="7"/>
      <c r="P303" s="6"/>
      <c r="Q303" s="6"/>
    </row>
    <row r="304" spans="5:17" x14ac:dyDescent="0.3">
      <c r="E304" s="6"/>
      <c r="J304" s="7"/>
      <c r="P304" s="6"/>
      <c r="Q304" s="6"/>
    </row>
    <row r="305" spans="5:17" x14ac:dyDescent="0.3">
      <c r="E305" s="6"/>
      <c r="J305" s="7"/>
      <c r="P305" s="6"/>
      <c r="Q305" s="6"/>
    </row>
    <row r="306" spans="5:17" x14ac:dyDescent="0.3">
      <c r="E306" s="6"/>
      <c r="J306" s="7"/>
      <c r="P306" s="6"/>
      <c r="Q306" s="6"/>
    </row>
    <row r="307" spans="5:17" x14ac:dyDescent="0.3">
      <c r="E307" s="6"/>
      <c r="J307" s="7"/>
      <c r="P307" s="6"/>
      <c r="Q307" s="6"/>
    </row>
    <row r="308" spans="5:17" x14ac:dyDescent="0.3">
      <c r="E308" s="6"/>
      <c r="J308" s="7"/>
      <c r="P308" s="6"/>
      <c r="Q308" s="6"/>
    </row>
    <row r="309" spans="5:17" x14ac:dyDescent="0.3">
      <c r="E309" s="6"/>
      <c r="J309" s="7"/>
      <c r="P309" s="6"/>
      <c r="Q309" s="6"/>
    </row>
    <row r="310" spans="5:17" x14ac:dyDescent="0.3">
      <c r="E310" s="6"/>
      <c r="J310" s="7"/>
      <c r="P310" s="6"/>
      <c r="Q310" s="6"/>
    </row>
    <row r="311" spans="5:17" x14ac:dyDescent="0.3">
      <c r="E311" s="6"/>
      <c r="J311" s="7"/>
      <c r="P311" s="6"/>
      <c r="Q311" s="6"/>
    </row>
    <row r="312" spans="5:17" x14ac:dyDescent="0.3">
      <c r="E312" s="6"/>
      <c r="J312" s="7"/>
      <c r="P312" s="6"/>
      <c r="Q312" s="6"/>
    </row>
    <row r="313" spans="5:17" x14ac:dyDescent="0.3">
      <c r="E313" s="6"/>
      <c r="J313" s="7"/>
      <c r="P313" s="6"/>
      <c r="Q313" s="6"/>
    </row>
    <row r="314" spans="5:17" x14ac:dyDescent="0.3">
      <c r="E314" s="6"/>
      <c r="J314" s="7"/>
      <c r="P314" s="6"/>
      <c r="Q314" s="6"/>
    </row>
    <row r="315" spans="5:17" x14ac:dyDescent="0.3">
      <c r="E315" s="6"/>
      <c r="J315" s="7"/>
      <c r="P315" s="6"/>
      <c r="Q315" s="6"/>
    </row>
    <row r="316" spans="5:17" x14ac:dyDescent="0.3">
      <c r="E316" s="6"/>
      <c r="J316" s="7"/>
      <c r="P316" s="6"/>
      <c r="Q316" s="6"/>
    </row>
    <row r="317" spans="5:17" x14ac:dyDescent="0.3">
      <c r="E317" s="6"/>
      <c r="J317" s="7"/>
      <c r="P317" s="6"/>
      <c r="Q317" s="6"/>
    </row>
    <row r="318" spans="5:17" x14ac:dyDescent="0.3">
      <c r="E318" s="6"/>
      <c r="J318" s="7"/>
      <c r="P318" s="6"/>
      <c r="Q318" s="6"/>
    </row>
    <row r="319" spans="5:17" x14ac:dyDescent="0.3">
      <c r="E319" s="6"/>
      <c r="J319" s="7"/>
      <c r="P319" s="6"/>
      <c r="Q319" s="6"/>
    </row>
    <row r="320" spans="5:17" x14ac:dyDescent="0.3">
      <c r="E320" s="6"/>
      <c r="J320" s="7"/>
      <c r="P320" s="6"/>
      <c r="Q320" s="6"/>
    </row>
    <row r="321" spans="5:17" x14ac:dyDescent="0.3">
      <c r="E321" s="6"/>
      <c r="J321" s="7"/>
      <c r="P321" s="6"/>
      <c r="Q321" s="6"/>
    </row>
    <row r="322" spans="5:17" x14ac:dyDescent="0.3">
      <c r="E322" s="6"/>
      <c r="J322" s="7"/>
      <c r="P322" s="6"/>
      <c r="Q322" s="6"/>
    </row>
    <row r="323" spans="5:17" x14ac:dyDescent="0.3">
      <c r="E323" s="6"/>
      <c r="J323" s="7"/>
      <c r="P323" s="6"/>
      <c r="Q323" s="6"/>
    </row>
    <row r="324" spans="5:17" x14ac:dyDescent="0.3">
      <c r="E324" s="6"/>
      <c r="J324" s="7"/>
      <c r="P324" s="6"/>
      <c r="Q324" s="6"/>
    </row>
    <row r="325" spans="5:17" x14ac:dyDescent="0.3">
      <c r="E325" s="6"/>
      <c r="J325" s="7"/>
      <c r="P325" s="6"/>
      <c r="Q325" s="6"/>
    </row>
    <row r="326" spans="5:17" x14ac:dyDescent="0.3">
      <c r="E326" s="6"/>
      <c r="J326" s="7"/>
      <c r="P326" s="6"/>
      <c r="Q326" s="6"/>
    </row>
    <row r="327" spans="5:17" x14ac:dyDescent="0.3">
      <c r="E327" s="6"/>
      <c r="J327" s="7"/>
      <c r="P327" s="6"/>
      <c r="Q327" s="6"/>
    </row>
    <row r="328" spans="5:17" x14ac:dyDescent="0.3">
      <c r="E328" s="6"/>
      <c r="J328" s="7"/>
      <c r="P328" s="6"/>
      <c r="Q328" s="6"/>
    </row>
    <row r="329" spans="5:17" x14ac:dyDescent="0.3">
      <c r="E329" s="6"/>
      <c r="J329" s="7"/>
      <c r="P329" s="6"/>
      <c r="Q329" s="6"/>
    </row>
    <row r="330" spans="5:17" x14ac:dyDescent="0.3">
      <c r="E330" s="6"/>
      <c r="J330" s="7"/>
      <c r="P330" s="6"/>
      <c r="Q330" s="6"/>
    </row>
    <row r="331" spans="5:17" x14ac:dyDescent="0.3">
      <c r="E331" s="6"/>
      <c r="J331" s="7"/>
      <c r="P331" s="6"/>
      <c r="Q331" s="6"/>
    </row>
    <row r="332" spans="5:17" x14ac:dyDescent="0.3">
      <c r="E332" s="6"/>
      <c r="J332" s="7"/>
      <c r="P332" s="6"/>
      <c r="Q332" s="6"/>
    </row>
    <row r="333" spans="5:17" x14ac:dyDescent="0.3">
      <c r="E333" s="6"/>
      <c r="J333" s="7"/>
      <c r="P333" s="6"/>
      <c r="Q333" s="6"/>
    </row>
    <row r="334" spans="5:17" x14ac:dyDescent="0.3">
      <c r="E334" s="6"/>
      <c r="J334" s="7"/>
      <c r="P334" s="6"/>
      <c r="Q334" s="6"/>
    </row>
    <row r="335" spans="5:17" x14ac:dyDescent="0.3">
      <c r="E335" s="6"/>
      <c r="J335" s="7"/>
      <c r="P335" s="6"/>
      <c r="Q335" s="6"/>
    </row>
    <row r="336" spans="5:17" x14ac:dyDescent="0.3">
      <c r="E336" s="6"/>
      <c r="J336" s="7"/>
      <c r="P336" s="6"/>
      <c r="Q336" s="6"/>
    </row>
    <row r="337" spans="5:17" x14ac:dyDescent="0.3">
      <c r="E337" s="6"/>
      <c r="J337" s="7"/>
      <c r="P337" s="6"/>
      <c r="Q337" s="6"/>
    </row>
    <row r="338" spans="5:17" x14ac:dyDescent="0.3">
      <c r="E338" s="6"/>
      <c r="J338" s="7"/>
      <c r="P338" s="6"/>
      <c r="Q338" s="6"/>
    </row>
    <row r="339" spans="5:17" x14ac:dyDescent="0.3">
      <c r="E339" s="6"/>
      <c r="J339" s="7"/>
      <c r="P339" s="6"/>
      <c r="Q339" s="6"/>
    </row>
    <row r="340" spans="5:17" x14ac:dyDescent="0.3">
      <c r="E340" s="6"/>
      <c r="J340" s="7"/>
      <c r="P340" s="6"/>
      <c r="Q340" s="6"/>
    </row>
    <row r="341" spans="5:17" x14ac:dyDescent="0.3">
      <c r="E341" s="6"/>
      <c r="J341" s="7"/>
      <c r="P341" s="6"/>
      <c r="Q341" s="6"/>
    </row>
    <row r="342" spans="5:17" x14ac:dyDescent="0.3">
      <c r="E342" s="6"/>
      <c r="J342" s="7"/>
      <c r="P342" s="6"/>
      <c r="Q342" s="6"/>
    </row>
    <row r="343" spans="5:17" x14ac:dyDescent="0.3">
      <c r="E343" s="6"/>
      <c r="J343" s="7"/>
      <c r="P343" s="6"/>
      <c r="Q343" s="6"/>
    </row>
    <row r="344" spans="5:17" x14ac:dyDescent="0.3">
      <c r="E344" s="6"/>
      <c r="J344" s="7"/>
      <c r="P344" s="6"/>
      <c r="Q344" s="6"/>
    </row>
    <row r="345" spans="5:17" x14ac:dyDescent="0.3">
      <c r="E345" s="6"/>
      <c r="J345" s="7"/>
      <c r="P345" s="6"/>
      <c r="Q345" s="6"/>
    </row>
    <row r="346" spans="5:17" x14ac:dyDescent="0.3">
      <c r="E346" s="6"/>
      <c r="J346" s="7"/>
      <c r="P346" s="6"/>
      <c r="Q346" s="6"/>
    </row>
    <row r="347" spans="5:17" x14ac:dyDescent="0.3">
      <c r="E347" s="6"/>
      <c r="J347" s="7"/>
      <c r="P347" s="6"/>
      <c r="Q347" s="6"/>
    </row>
    <row r="348" spans="5:17" x14ac:dyDescent="0.3">
      <c r="E348" s="6"/>
      <c r="J348" s="7"/>
      <c r="P348" s="6"/>
      <c r="Q348" s="6"/>
    </row>
    <row r="349" spans="5:17" x14ac:dyDescent="0.3">
      <c r="E349" s="6"/>
      <c r="J349" s="7"/>
      <c r="P349" s="6"/>
      <c r="Q349" s="6"/>
    </row>
    <row r="350" spans="5:17" x14ac:dyDescent="0.3">
      <c r="E350" s="6"/>
      <c r="J350" s="7"/>
      <c r="P350" s="6"/>
      <c r="Q350" s="6"/>
    </row>
    <row r="351" spans="5:17" x14ac:dyDescent="0.3">
      <c r="E351" s="6"/>
      <c r="J351" s="7"/>
      <c r="P351" s="6"/>
      <c r="Q351" s="6"/>
    </row>
    <row r="352" spans="5:17" x14ac:dyDescent="0.3">
      <c r="E352" s="6"/>
      <c r="J352" s="7"/>
      <c r="P352" s="6"/>
      <c r="Q352" s="6"/>
    </row>
    <row r="353" spans="5:17" x14ac:dyDescent="0.3">
      <c r="E353" s="6"/>
      <c r="J353" s="7"/>
      <c r="P353" s="6"/>
      <c r="Q353" s="6"/>
    </row>
    <row r="354" spans="5:17" x14ac:dyDescent="0.3">
      <c r="E354" s="6"/>
      <c r="J354" s="7"/>
      <c r="P354" s="6"/>
      <c r="Q354" s="6"/>
    </row>
    <row r="355" spans="5:17" x14ac:dyDescent="0.3">
      <c r="E355" s="6"/>
      <c r="J355" s="7"/>
      <c r="P355" s="6"/>
      <c r="Q355" s="6"/>
    </row>
    <row r="356" spans="5:17" x14ac:dyDescent="0.3">
      <c r="E356" s="6"/>
      <c r="J356" s="7"/>
      <c r="P356" s="6"/>
      <c r="Q356" s="6"/>
    </row>
    <row r="357" spans="5:17" x14ac:dyDescent="0.3">
      <c r="E357" s="6"/>
      <c r="J357" s="7"/>
      <c r="P357" s="6"/>
      <c r="Q357" s="6"/>
    </row>
    <row r="358" spans="5:17" x14ac:dyDescent="0.3">
      <c r="E358" s="6"/>
      <c r="J358" s="7"/>
      <c r="P358" s="6"/>
      <c r="Q358" s="6"/>
    </row>
    <row r="359" spans="5:17" x14ac:dyDescent="0.3">
      <c r="E359" s="6"/>
      <c r="J359" s="7"/>
      <c r="P359" s="6"/>
      <c r="Q359" s="6"/>
    </row>
    <row r="360" spans="5:17" x14ac:dyDescent="0.3">
      <c r="E360" s="6"/>
      <c r="J360" s="7"/>
      <c r="P360" s="6"/>
      <c r="Q360" s="6"/>
    </row>
    <row r="361" spans="5:17" x14ac:dyDescent="0.3">
      <c r="E361" s="6"/>
      <c r="J361" s="7"/>
      <c r="P361" s="6"/>
      <c r="Q361" s="6"/>
    </row>
    <row r="362" spans="5:17" x14ac:dyDescent="0.3">
      <c r="E362" s="6"/>
      <c r="J362" s="7"/>
      <c r="P362" s="6"/>
      <c r="Q362" s="6"/>
    </row>
    <row r="363" spans="5:17" x14ac:dyDescent="0.3">
      <c r="E363" s="6"/>
      <c r="J363" s="7"/>
      <c r="P363" s="6"/>
      <c r="Q363" s="6"/>
    </row>
    <row r="364" spans="5:17" x14ac:dyDescent="0.3">
      <c r="E364" s="6"/>
      <c r="J364" s="7"/>
      <c r="P364" s="6"/>
      <c r="Q364" s="6"/>
    </row>
    <row r="365" spans="5:17" x14ac:dyDescent="0.3">
      <c r="E365" s="6"/>
      <c r="J365" s="7"/>
      <c r="P365" s="6"/>
      <c r="Q365" s="6"/>
    </row>
    <row r="366" spans="5:17" x14ac:dyDescent="0.3">
      <c r="E366" s="6"/>
      <c r="J366" s="7"/>
      <c r="P366" s="6"/>
      <c r="Q366" s="6"/>
    </row>
    <row r="367" spans="5:17" x14ac:dyDescent="0.3">
      <c r="E367" s="6"/>
      <c r="J367" s="7"/>
      <c r="P367" s="6"/>
      <c r="Q367" s="6"/>
    </row>
    <row r="368" spans="5:17" x14ac:dyDescent="0.3">
      <c r="E368" s="6"/>
      <c r="J368" s="7"/>
      <c r="P368" s="6"/>
      <c r="Q368" s="6"/>
    </row>
    <row r="369" spans="5:17" x14ac:dyDescent="0.3">
      <c r="E369" s="6"/>
      <c r="J369" s="7"/>
      <c r="P369" s="6"/>
      <c r="Q369" s="6"/>
    </row>
    <row r="370" spans="5:17" x14ac:dyDescent="0.3">
      <c r="E370" s="6"/>
      <c r="J370" s="7"/>
      <c r="P370" s="6"/>
      <c r="Q370" s="6"/>
    </row>
    <row r="371" spans="5:17" x14ac:dyDescent="0.3">
      <c r="E371" s="6"/>
      <c r="J371" s="7"/>
      <c r="P371" s="6"/>
      <c r="Q371" s="6"/>
    </row>
    <row r="372" spans="5:17" x14ac:dyDescent="0.3">
      <c r="E372" s="6"/>
      <c r="J372" s="7"/>
      <c r="P372" s="6"/>
      <c r="Q372" s="6"/>
    </row>
    <row r="373" spans="5:17" x14ac:dyDescent="0.3">
      <c r="E373" s="6"/>
      <c r="J373" s="7"/>
      <c r="P373" s="6"/>
      <c r="Q373" s="6"/>
    </row>
    <row r="374" spans="5:17" x14ac:dyDescent="0.3">
      <c r="E374" s="6"/>
      <c r="J374" s="7"/>
      <c r="P374" s="6"/>
      <c r="Q374" s="6"/>
    </row>
    <row r="375" spans="5:17" x14ac:dyDescent="0.3">
      <c r="E375" s="6"/>
      <c r="J375" s="7"/>
      <c r="P375" s="6"/>
      <c r="Q375" s="6"/>
    </row>
    <row r="376" spans="5:17" x14ac:dyDescent="0.3">
      <c r="E376" s="6"/>
      <c r="J376" s="7"/>
      <c r="P376" s="6"/>
      <c r="Q376" s="6"/>
    </row>
    <row r="377" spans="5:17" x14ac:dyDescent="0.3">
      <c r="E377" s="6"/>
      <c r="J377" s="7"/>
      <c r="P377" s="6"/>
      <c r="Q377" s="6"/>
    </row>
    <row r="378" spans="5:17" x14ac:dyDescent="0.3">
      <c r="E378" s="6"/>
      <c r="J378" s="7"/>
      <c r="P378" s="6"/>
      <c r="Q378" s="6"/>
    </row>
    <row r="379" spans="5:17" x14ac:dyDescent="0.3">
      <c r="E379" s="6"/>
      <c r="J379" s="7"/>
      <c r="P379" s="6"/>
      <c r="Q379" s="6"/>
    </row>
    <row r="380" spans="5:17" x14ac:dyDescent="0.3">
      <c r="E380" s="6"/>
      <c r="J380" s="7"/>
      <c r="P380" s="6"/>
      <c r="Q380" s="6"/>
    </row>
    <row r="381" spans="5:17" x14ac:dyDescent="0.3">
      <c r="E381" s="6"/>
      <c r="J381" s="7"/>
      <c r="P381" s="6"/>
      <c r="Q381" s="6"/>
    </row>
    <row r="382" spans="5:17" x14ac:dyDescent="0.3">
      <c r="E382" s="6"/>
      <c r="J382" s="7"/>
      <c r="P382" s="6"/>
      <c r="Q382" s="6"/>
    </row>
    <row r="383" spans="5:17" x14ac:dyDescent="0.3">
      <c r="E383" s="6"/>
      <c r="J383" s="7"/>
      <c r="P383" s="6"/>
      <c r="Q383" s="6"/>
    </row>
    <row r="384" spans="5:17" x14ac:dyDescent="0.3">
      <c r="E384" s="6"/>
      <c r="J384" s="7"/>
      <c r="P384" s="6"/>
      <c r="Q384" s="6"/>
    </row>
    <row r="385" spans="5:17" x14ac:dyDescent="0.3">
      <c r="E385" s="6"/>
      <c r="J385" s="7"/>
      <c r="P385" s="6"/>
      <c r="Q385" s="6"/>
    </row>
    <row r="386" spans="5:17" x14ac:dyDescent="0.3">
      <c r="E386" s="6"/>
      <c r="J386" s="7"/>
      <c r="P386" s="6"/>
      <c r="Q386" s="6"/>
    </row>
    <row r="387" spans="5:17" x14ac:dyDescent="0.3">
      <c r="E387" s="6"/>
      <c r="J387" s="7"/>
      <c r="P387" s="6"/>
      <c r="Q387" s="6"/>
    </row>
    <row r="388" spans="5:17" x14ac:dyDescent="0.3">
      <c r="E388" s="6"/>
      <c r="J388" s="7"/>
      <c r="P388" s="6"/>
      <c r="Q388" s="6"/>
    </row>
    <row r="389" spans="5:17" x14ac:dyDescent="0.3">
      <c r="E389" s="6"/>
      <c r="J389" s="7"/>
      <c r="P389" s="6"/>
      <c r="Q389" s="6"/>
    </row>
    <row r="390" spans="5:17" x14ac:dyDescent="0.3">
      <c r="E390" s="6"/>
      <c r="J390" s="7"/>
      <c r="P390" s="6"/>
      <c r="Q390" s="6"/>
    </row>
    <row r="391" spans="5:17" x14ac:dyDescent="0.3">
      <c r="E391" s="6"/>
      <c r="J391" s="7"/>
      <c r="P391" s="6"/>
      <c r="Q391" s="6"/>
    </row>
    <row r="392" spans="5:17" x14ac:dyDescent="0.3">
      <c r="E392" s="6"/>
      <c r="J392" s="7"/>
      <c r="P392" s="6"/>
      <c r="Q392" s="6"/>
    </row>
    <row r="393" spans="5:17" x14ac:dyDescent="0.3">
      <c r="E393" s="6"/>
      <c r="J393" s="7"/>
      <c r="P393" s="6"/>
      <c r="Q393" s="6"/>
    </row>
    <row r="394" spans="5:17" x14ac:dyDescent="0.3">
      <c r="E394" s="6"/>
      <c r="J394" s="7"/>
      <c r="P394" s="6"/>
      <c r="Q394" s="6"/>
    </row>
    <row r="395" spans="5:17" x14ac:dyDescent="0.3">
      <c r="E395" s="6"/>
      <c r="J395" s="7"/>
      <c r="P395" s="6"/>
      <c r="Q395" s="6"/>
    </row>
    <row r="396" spans="5:17" x14ac:dyDescent="0.3">
      <c r="E396" s="6"/>
      <c r="J396" s="7"/>
      <c r="P396" s="6"/>
      <c r="Q396" s="6"/>
    </row>
    <row r="397" spans="5:17" x14ac:dyDescent="0.3">
      <c r="E397" s="6"/>
      <c r="J397" s="7"/>
      <c r="P397" s="6"/>
      <c r="Q397" s="6"/>
    </row>
    <row r="398" spans="5:17" x14ac:dyDescent="0.3">
      <c r="E398" s="6"/>
      <c r="J398" s="7"/>
      <c r="P398" s="6"/>
      <c r="Q398" s="6"/>
    </row>
    <row r="399" spans="5:17" x14ac:dyDescent="0.3">
      <c r="E399" s="6"/>
      <c r="J399" s="7"/>
      <c r="P399" s="6"/>
      <c r="Q399" s="6"/>
    </row>
    <row r="400" spans="5:17" x14ac:dyDescent="0.3">
      <c r="E400" s="6"/>
      <c r="J400" s="7"/>
      <c r="P400" s="6"/>
      <c r="Q400" s="6"/>
    </row>
    <row r="401" spans="5:17" x14ac:dyDescent="0.3">
      <c r="E401" s="6"/>
      <c r="J401" s="7"/>
      <c r="P401" s="6"/>
      <c r="Q401" s="6"/>
    </row>
    <row r="402" spans="5:17" x14ac:dyDescent="0.3">
      <c r="E402" s="6"/>
      <c r="J402" s="7"/>
      <c r="P402" s="6"/>
      <c r="Q402" s="6"/>
    </row>
    <row r="403" spans="5:17" x14ac:dyDescent="0.3">
      <c r="E403" s="6"/>
      <c r="J403" s="7"/>
      <c r="P403" s="6"/>
      <c r="Q403" s="6"/>
    </row>
    <row r="404" spans="5:17" x14ac:dyDescent="0.3">
      <c r="E404" s="6"/>
      <c r="J404" s="7"/>
      <c r="P404" s="6"/>
      <c r="Q404" s="6"/>
    </row>
    <row r="405" spans="5:17" x14ac:dyDescent="0.3">
      <c r="E405" s="6"/>
      <c r="J405" s="7"/>
      <c r="P405" s="6"/>
      <c r="Q405" s="6"/>
    </row>
    <row r="406" spans="5:17" x14ac:dyDescent="0.3">
      <c r="E406" s="6"/>
      <c r="J406" s="7"/>
      <c r="P406" s="6"/>
      <c r="Q406" s="6"/>
    </row>
    <row r="407" spans="5:17" x14ac:dyDescent="0.3">
      <c r="E407" s="6"/>
      <c r="J407" s="7"/>
      <c r="P407" s="6"/>
      <c r="Q407" s="6"/>
    </row>
    <row r="408" spans="5:17" x14ac:dyDescent="0.3">
      <c r="E408" s="6"/>
      <c r="J408" s="7"/>
      <c r="P408" s="6"/>
      <c r="Q408" s="6"/>
    </row>
    <row r="409" spans="5:17" x14ac:dyDescent="0.3">
      <c r="E409" s="6"/>
      <c r="J409" s="7"/>
      <c r="P409" s="6"/>
      <c r="Q409" s="6"/>
    </row>
    <row r="410" spans="5:17" x14ac:dyDescent="0.3">
      <c r="E410" s="6"/>
      <c r="J410" s="7"/>
      <c r="P410" s="6"/>
      <c r="Q410" s="6"/>
    </row>
    <row r="411" spans="5:17" x14ac:dyDescent="0.3">
      <c r="E411" s="6"/>
      <c r="J411" s="7"/>
      <c r="P411" s="6"/>
      <c r="Q411" s="6"/>
    </row>
    <row r="412" spans="5:17" x14ac:dyDescent="0.3">
      <c r="E412" s="6"/>
      <c r="J412" s="7"/>
      <c r="P412" s="6"/>
      <c r="Q412" s="6"/>
    </row>
    <row r="413" spans="5:17" x14ac:dyDescent="0.3">
      <c r="E413" s="6"/>
      <c r="J413" s="7"/>
      <c r="P413" s="6"/>
      <c r="Q413" s="6"/>
    </row>
    <row r="414" spans="5:17" x14ac:dyDescent="0.3">
      <c r="E414" s="6"/>
      <c r="J414" s="7"/>
      <c r="P414" s="6"/>
      <c r="Q414" s="6"/>
    </row>
    <row r="415" spans="5:17" x14ac:dyDescent="0.3">
      <c r="E415" s="6"/>
      <c r="J415" s="7"/>
      <c r="P415" s="6"/>
      <c r="Q415" s="6"/>
    </row>
    <row r="416" spans="5:17" x14ac:dyDescent="0.3">
      <c r="E416" s="6"/>
      <c r="J416" s="7"/>
      <c r="P416" s="6"/>
      <c r="Q416" s="6"/>
    </row>
    <row r="417" spans="5:17" x14ac:dyDescent="0.3">
      <c r="E417" s="6"/>
      <c r="J417" s="7"/>
      <c r="P417" s="6"/>
      <c r="Q417" s="6"/>
    </row>
    <row r="418" spans="5:17" x14ac:dyDescent="0.3">
      <c r="E418" s="6"/>
      <c r="J418" s="7"/>
      <c r="P418" s="6"/>
      <c r="Q418" s="6"/>
    </row>
    <row r="419" spans="5:17" x14ac:dyDescent="0.3">
      <c r="E419" s="6"/>
      <c r="J419" s="7"/>
      <c r="P419" s="6"/>
      <c r="Q419" s="6"/>
    </row>
    <row r="420" spans="5:17" x14ac:dyDescent="0.3">
      <c r="E420" s="6"/>
      <c r="J420" s="7"/>
      <c r="P420" s="6"/>
      <c r="Q420" s="6"/>
    </row>
    <row r="421" spans="5:17" x14ac:dyDescent="0.3">
      <c r="E421" s="6"/>
      <c r="J421" s="7"/>
      <c r="P421" s="6"/>
      <c r="Q421" s="6"/>
    </row>
    <row r="422" spans="5:17" x14ac:dyDescent="0.3">
      <c r="P422" s="6"/>
    </row>
    <row r="423" spans="5:17" x14ac:dyDescent="0.3">
      <c r="P423" s="6"/>
    </row>
    <row r="424" spans="5:17" x14ac:dyDescent="0.3">
      <c r="P424" s="6"/>
    </row>
    <row r="425" spans="5:17" x14ac:dyDescent="0.3">
      <c r="P425" s="6"/>
    </row>
    <row r="426" spans="5:17" x14ac:dyDescent="0.3">
      <c r="P426" s="6"/>
    </row>
    <row r="427" spans="5:17" x14ac:dyDescent="0.3">
      <c r="P427" s="6"/>
    </row>
    <row r="428" spans="5:17" x14ac:dyDescent="0.3">
      <c r="P428" s="6"/>
    </row>
    <row r="429" spans="5:17" x14ac:dyDescent="0.3">
      <c r="P429" s="6"/>
    </row>
    <row r="430" spans="5:17" x14ac:dyDescent="0.3">
      <c r="P430" s="6"/>
    </row>
    <row r="431" spans="5:17" x14ac:dyDescent="0.3">
      <c r="P431" s="6"/>
    </row>
    <row r="432" spans="5:17" x14ac:dyDescent="0.3">
      <c r="P432" s="6"/>
    </row>
    <row r="433" spans="16:16" x14ac:dyDescent="0.3">
      <c r="P433" s="6"/>
    </row>
    <row r="669" spans="22:22" x14ac:dyDescent="0.3">
      <c r="V669" s="9"/>
    </row>
  </sheetData>
  <sortState xmlns:xlrd2="http://schemas.microsoft.com/office/spreadsheetml/2017/richdata2" ref="P2:Q421">
    <sortCondition descending="1" ref="Q2:Q421"/>
  </sortState>
  <pageMargins left="0.7" right="0.7" top="0.75" bottom="0.75" header="0.3" footer="0.3"/>
  <pageSetup paperSize="9" orientation="portrait" horizontalDpi="4294967292" verticalDpi="4294967292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95627-CFC0-4D93-8EAC-F30C8580672C}">
  <dimension ref="A1:G13"/>
  <sheetViews>
    <sheetView workbookViewId="0">
      <selection activeCell="F5" sqref="F5"/>
    </sheetView>
  </sheetViews>
  <sheetFormatPr baseColWidth="10" defaultRowHeight="14.4" x14ac:dyDescent="0.3"/>
  <cols>
    <col min="2" max="2" width="10.44140625" customWidth="1"/>
    <col min="3" max="3" width="8.33203125" customWidth="1"/>
    <col min="4" max="4" width="11.44140625" customWidth="1"/>
    <col min="5" max="5" width="7.21875" customWidth="1"/>
  </cols>
  <sheetData>
    <row r="1" spans="1:7" x14ac:dyDescent="0.3">
      <c r="A1" s="2" t="s">
        <v>16</v>
      </c>
      <c r="B1" s="2" t="s">
        <v>32</v>
      </c>
      <c r="C1" s="2" t="s">
        <v>15</v>
      </c>
      <c r="D1" s="2" t="s">
        <v>33</v>
      </c>
      <c r="E1" s="2" t="s">
        <v>15</v>
      </c>
      <c r="F1" s="2" t="s">
        <v>36</v>
      </c>
      <c r="G1" s="2" t="s">
        <v>37</v>
      </c>
    </row>
    <row r="2" spans="1:7" x14ac:dyDescent="0.3">
      <c r="A2" t="s">
        <v>0</v>
      </c>
      <c r="B2" s="6">
        <f>AVERAGEIFS(Monthly!E$2:E$901,Monthly!C$2:C$901,A2)</f>
        <v>6818.2</v>
      </c>
      <c r="C2" s="6">
        <f t="array" ref="C2">_xlfn.STDEV.S(IF(Monthly!C$2:C$901=A2,Monthly!E$2:E$901))</f>
        <v>2292.8959972170683</v>
      </c>
      <c r="D2" s="7">
        <f>AVERAGEIF(Monthly!C$2:C$421,A2,Monthly!F$2:F$421)</f>
        <v>375.55199999999996</v>
      </c>
      <c r="E2" s="6">
        <f t="array" ref="E2">_xlfn.STDEV.S(IF(Monthly!C$2:C$421=A2,Monthly!F$2:F$421))</f>
        <v>148.86518395159138</v>
      </c>
      <c r="F2" s="7">
        <f>AVERAGEIF(Monthly!C386:C421,A2,Monthly!F$386:F$421)</f>
        <v>195.64000000000001</v>
      </c>
      <c r="G2" s="7">
        <f>AVERAGEIF(Monthly!C$2:C$387,A2,Monthly!F$2:F$387)</f>
        <v>392.41874999999999</v>
      </c>
    </row>
    <row r="3" spans="1:7" x14ac:dyDescent="0.3">
      <c r="A3" t="s">
        <v>1</v>
      </c>
      <c r="B3" s="6">
        <f>AVERAGEIFS(Monthly!E$2:E$901,Monthly!C$2:C$901,A3)</f>
        <v>4453.0958904109593</v>
      </c>
      <c r="C3" s="6">
        <f t="array" ref="C3">_xlfn.STDEV.S(IF(Monthly!C$2:C$901=A3,Monthly!E$2:E$901))</f>
        <v>1715.18934809537</v>
      </c>
      <c r="D3" s="7">
        <f>AVERAGEIF(Monthly!C$2:C$421,A3,Monthly!F$2:F$421)</f>
        <v>243.18794117647062</v>
      </c>
      <c r="E3" s="6">
        <f t="array" ref="E3">_xlfn.STDEV.S(IF(Monthly!C$2:C$421=A3,Monthly!F$2:F$421))</f>
        <v>124.27269200965964</v>
      </c>
      <c r="F3" s="7">
        <f>AVERAGEIF(Monthly!C387:C422,A3,Monthly!F$386:F$421)</f>
        <v>85.766666666666666</v>
      </c>
      <c r="G3" s="7">
        <f>AVERAGEIF(Monthly!C$2:C$387,A3,Monthly!F$2:F$387)</f>
        <v>256.47741935483879</v>
      </c>
    </row>
    <row r="4" spans="1:7" x14ac:dyDescent="0.3">
      <c r="A4" t="s">
        <v>2</v>
      </c>
      <c r="B4" s="6">
        <f>AVERAGEIFS(Monthly!E$2:E$901,Monthly!C$2:C$901,A4)</f>
        <v>4119.6527777777774</v>
      </c>
      <c r="C4" s="6">
        <f t="array" ref="C4">_xlfn.STDEV.S(IF(Monthly!C$2:C$901=A4,Monthly!E$2:E$901))</f>
        <v>1572.7625835275155</v>
      </c>
      <c r="D4" s="7">
        <f>AVERAGEIF(Monthly!C$2:C$421,A4,Monthly!F$2:F$421)</f>
        <v>201.7428571428571</v>
      </c>
      <c r="E4" s="6">
        <f t="array" ref="E4">_xlfn.STDEV.S(IF(Monthly!C$2:C$421=A4,Monthly!F$2:F$421))</f>
        <v>94.945738360250402</v>
      </c>
      <c r="F4" s="7">
        <f>AVERAGEIF(Monthly!C388:C423,A4,Monthly!F$386:F$421)</f>
        <v>181.05666666666664</v>
      </c>
      <c r="G4" s="7">
        <f>AVERAGEIF(Monthly!C$2:C$387,A4,Monthly!F$2:F$387)</f>
        <v>212.61562499999997</v>
      </c>
    </row>
    <row r="5" spans="1:7" x14ac:dyDescent="0.3">
      <c r="A5" t="s">
        <v>3</v>
      </c>
      <c r="B5" s="6">
        <f>AVERAGEIFS(Monthly!E$2:E$901,Monthly!C$2:C$901,A5)</f>
        <v>4937.094594594595</v>
      </c>
      <c r="C5" s="6">
        <f t="array" ref="C5">_xlfn.STDEV.S(IF(Monthly!C$2:C$901=A5,Monthly!E$2:E$901))</f>
        <v>1396.9319503375514</v>
      </c>
      <c r="D5" s="7">
        <f>AVERAGEIF(Monthly!C$2:C$421,A5,Monthly!F$2:F$421)</f>
        <v>235.69029411764708</v>
      </c>
      <c r="E5" s="6">
        <f t="array" ref="E5">_xlfn.STDEV.S(IF(Monthly!C$2:C$421=A5,Monthly!F$2:F$421))</f>
        <v>106.53347471944348</v>
      </c>
      <c r="F5" s="7">
        <f>AVERAGEIF(Monthly!C389:C424,A5,Monthly!F$386:F$421)</f>
        <v>292.13333333333338</v>
      </c>
      <c r="G5" s="7">
        <f>AVERAGEIF(Monthly!C$2:C$387,A5,Monthly!F$2:F$387)</f>
        <v>248.23225806451615</v>
      </c>
    </row>
    <row r="6" spans="1:7" x14ac:dyDescent="0.3">
      <c r="A6" t="s">
        <v>4</v>
      </c>
      <c r="B6" s="6">
        <f>AVERAGEIFS(Monthly!E$2:E$901,Monthly!C$2:C$901,A6)</f>
        <v>6854.7066666666669</v>
      </c>
      <c r="C6" s="6">
        <f t="array" ref="C6">_xlfn.STDEV.S(IF(Monthly!C$2:C$901=A6,Monthly!E$2:E$901))</f>
        <v>1448.2205555983719</v>
      </c>
      <c r="D6" s="7">
        <f>AVERAGEIF(Monthly!C$2:C$421,A6,Monthly!F$2:F$421)</f>
        <v>328.28199999999981</v>
      </c>
      <c r="E6" s="6">
        <f t="array" ref="E6">_xlfn.STDEV.S(IF(Monthly!C$2:C$421=A6,Monthly!F$2:F$421))</f>
        <v>110.70983132389293</v>
      </c>
      <c r="F6" s="7">
        <f>AVERAGEIF(Monthly!C390:C425,A6,Monthly!F$386:F$421)</f>
        <v>234.76666666666665</v>
      </c>
      <c r="G6" s="7">
        <f>AVERAGEIF(Monthly!C$2:C$387,A6,Monthly!F$2:F$387)</f>
        <v>342.0843749999998</v>
      </c>
    </row>
    <row r="7" spans="1:7" x14ac:dyDescent="0.3">
      <c r="A7" t="s">
        <v>5</v>
      </c>
      <c r="B7" s="6">
        <f>AVERAGEIFS(Monthly!E$2:E$901,Monthly!C$2:C$901,A7)</f>
        <v>8152.9466666666667</v>
      </c>
      <c r="C7" s="6">
        <f t="array" ref="C7">_xlfn.STDEV.S(IF(Monthly!C$2:C$901=A7,Monthly!E$2:E$901))</f>
        <v>1685.6656467973698</v>
      </c>
      <c r="D7" s="7">
        <f>AVERAGEIF(Monthly!C$2:C$421,A7,Monthly!F$2:F$421)</f>
        <v>394.38000000000005</v>
      </c>
      <c r="E7" s="6">
        <f t="array" ref="E7">_xlfn.STDEV.S(IF(Monthly!C$2:C$421=A7,Monthly!F$2:F$421))</f>
        <v>111.63255323236355</v>
      </c>
      <c r="F7" s="7">
        <f>AVERAGEIF(Monthly!C391:C426,A7,Monthly!F$386:F$421)</f>
        <v>311.06666666666666</v>
      </c>
      <c r="G7" s="7">
        <f>AVERAGEIF(Monthly!C$2:C$387,A7,Monthly!F$2:F$387)</f>
        <v>406.09687500000001</v>
      </c>
    </row>
    <row r="8" spans="1:7" x14ac:dyDescent="0.3">
      <c r="A8" t="s">
        <v>6</v>
      </c>
      <c r="B8" s="6">
        <f>AVERAGEIFS(Monthly!E$2:E$901,Monthly!C$2:C$901,A8)</f>
        <v>7908.4533333333329</v>
      </c>
      <c r="C8" s="6">
        <f t="array" ref="C8">_xlfn.STDEV.S(IF(Monthly!C$2:C$901=A8,Monthly!E$2:E$901))</f>
        <v>2029.2946071289225</v>
      </c>
      <c r="D8" s="7">
        <f>AVERAGEIF(Monthly!C$2:C$421,A8,Monthly!F$2:F$421)</f>
        <v>397.13428571428568</v>
      </c>
      <c r="E8" s="6">
        <f t="array" ref="E8">_xlfn.STDEV.S(IF(Monthly!C$2:C$421=A8,Monthly!F$2:F$421))</f>
        <v>124.98542489816485</v>
      </c>
      <c r="F8" s="7">
        <f>AVERAGEIF(Monthly!C392:C427,A8,Monthly!F$386:F$421)</f>
        <v>195.64000000000001</v>
      </c>
      <c r="G8" s="7">
        <f>AVERAGEIF(Monthly!C$2:C$387,A8,Monthly!F$2:F$387)</f>
        <v>406.97812500000003</v>
      </c>
    </row>
    <row r="9" spans="1:7" x14ac:dyDescent="0.3">
      <c r="A9" t="s">
        <v>7</v>
      </c>
      <c r="B9" s="6">
        <f>AVERAGEIFS(Monthly!E$2:E$901,Monthly!C$2:C$901,A9)</f>
        <v>7331.7733333333335</v>
      </c>
      <c r="C9" s="6">
        <f t="array" ref="C9">_xlfn.STDEV.S(IF(Monthly!C$2:C$901=A9,Monthly!E$2:E$901))</f>
        <v>1983.3714646648632</v>
      </c>
      <c r="D9" s="7">
        <f>AVERAGEIF(Monthly!C$2:C$421,A9,Monthly!F$2:F$421)</f>
        <v>380.03714285714278</v>
      </c>
      <c r="E9" s="6">
        <f t="array" ref="E9">_xlfn.STDEV.S(IF(Monthly!C$2:C$421=A9,Monthly!F$2:F$421))</f>
        <v>129.91852443588112</v>
      </c>
      <c r="F9" s="7">
        <f>AVERAGEIF(Monthly!C393:C428,A9,Monthly!F$386:F$421)</f>
        <v>85.766666666666666</v>
      </c>
      <c r="G9" s="7">
        <f>AVERAGEIF(Monthly!C$2:C$387,A9,Monthly!F$2:F$387)</f>
        <v>391.39687499999991</v>
      </c>
    </row>
    <row r="10" spans="1:7" x14ac:dyDescent="0.3">
      <c r="A10" t="s">
        <v>8</v>
      </c>
      <c r="B10" s="6">
        <f>AVERAGEIFS(Monthly!E$2:E$901,Monthly!C$2:C$901,A10)</f>
        <v>7503.2133333333331</v>
      </c>
      <c r="C10" s="6">
        <f t="array" ref="C10">_xlfn.STDEV.S(IF(Monthly!C$2:C$901=A10,Monthly!E$2:E$901))</f>
        <v>2023.7210929330111</v>
      </c>
      <c r="D10" s="7">
        <f>AVERAGEIF(Monthly!C$2:C$421,A10,Monthly!F$2:F$421)</f>
        <v>388.41714285714289</v>
      </c>
      <c r="E10" s="6">
        <f t="array" ref="E10">_xlfn.STDEV.S(IF(Monthly!C$2:C$421=A10,Monthly!F$2:F$421))</f>
        <v>129.8654835401847</v>
      </c>
      <c r="F10" s="7">
        <f>AVERAGEIF(Monthly!C394:C429,A10,Monthly!F$386:F$421)</f>
        <v>181.05666666666664</v>
      </c>
      <c r="G10" s="7">
        <f>AVERAGEIF(Monthly!C$2:C$387,A10,Monthly!F$2:F$387)</f>
        <v>402.82187499999998</v>
      </c>
    </row>
    <row r="11" spans="1:7" x14ac:dyDescent="0.3">
      <c r="A11" t="s">
        <v>9</v>
      </c>
      <c r="B11" s="6">
        <f>AVERAGEIFS(Monthly!E$2:E$901,Monthly!C$2:C$901,A11)</f>
        <v>8468.2133333333331</v>
      </c>
      <c r="C11" s="6">
        <f t="array" ref="C11">_xlfn.STDEV.S(IF(Monthly!C$2:C$901=A11,Monthly!E$2:E$901))</f>
        <v>1940.9044791326344</v>
      </c>
      <c r="D11" s="7">
        <f>AVERAGEIF(Monthly!C$2:C$421,A11,Monthly!F$2:F$421)</f>
        <v>429.63428571428574</v>
      </c>
      <c r="E11" s="6">
        <f t="array" ref="E11">_xlfn.STDEV.S(IF(Monthly!C$2:C$421=A11,Monthly!F$2:F$421))</f>
        <v>121.2482236203584</v>
      </c>
      <c r="F11" s="7">
        <f>AVERAGEIF(Monthly!C395:C430,A11,Monthly!F$386:F$421)</f>
        <v>292.13333333333338</v>
      </c>
      <c r="G11" s="7">
        <f>AVERAGEIF(Monthly!C$2:C$387,A11,Monthly!F$2:F$387)</f>
        <v>445.00937499999998</v>
      </c>
    </row>
    <row r="12" spans="1:7" x14ac:dyDescent="0.3">
      <c r="A12" t="s">
        <v>10</v>
      </c>
      <c r="B12" s="6">
        <f>AVERAGEIFS(Monthly!E$2:E$901,Monthly!C$2:C$901,A12)</f>
        <v>9824.5068493150684</v>
      </c>
      <c r="C12" s="6">
        <f t="array" ref="C12">_xlfn.STDEV.S(IF(Monthly!C$2:C$901=A12,Monthly!E$2:E$901))</f>
        <v>2545.2037796608752</v>
      </c>
      <c r="D12" s="7">
        <f>AVERAGEIF(Monthly!C$2:C$421,A12,Monthly!F$2:F$421)</f>
        <v>480.09999999999991</v>
      </c>
      <c r="E12" s="6">
        <f t="array" ref="E12">_xlfn.STDEV.S(IF(Monthly!C$2:C$421=A12,Monthly!F$2:F$421))</f>
        <v>114.45712785863157</v>
      </c>
      <c r="F12" s="7">
        <f>AVERAGEIF(Monthly!C396:C431,A12,Monthly!F$386:F$421)</f>
        <v>234.76666666666665</v>
      </c>
      <c r="G12" s="7">
        <f>AVERAGEIF(Monthly!C$2:C$387,A12,Monthly!F$2:F$387)</f>
        <v>490.40606060606052</v>
      </c>
    </row>
    <row r="13" spans="1:7" x14ac:dyDescent="0.3">
      <c r="A13" t="s">
        <v>11</v>
      </c>
      <c r="B13" s="6">
        <f>AVERAGEIFS(Monthly!E$2:E$901,Monthly!C$2:C$901,A13)</f>
        <v>9767.7260273972606</v>
      </c>
      <c r="C13" s="6">
        <f t="array" ref="C13">_xlfn.STDEV.S(IF(Monthly!C$2:C$901=A13,Monthly!E$2:E$901))</f>
        <v>2800.4746851171462</v>
      </c>
      <c r="D13" s="7">
        <f>AVERAGEIF(Monthly!C$2:C$421,A13,Monthly!F$2:F$421)</f>
        <v>486.85428571428577</v>
      </c>
      <c r="E13" s="6">
        <f t="array" ref="E13">_xlfn.STDEV.S(IF(Monthly!C$2:C$421=A13,Monthly!F$2:F$421))</f>
        <v>137.04712015528477</v>
      </c>
      <c r="F13" s="7">
        <f>AVERAGEIF(Monthly!C397:C432,A13,Monthly!F$386:F$421)</f>
        <v>311.06666666666666</v>
      </c>
      <c r="G13" s="7">
        <f>AVERAGEIF(Monthly!C$2:C$387,A13,Monthly!F$2:F$387)</f>
        <v>497.98787878787874</v>
      </c>
    </row>
  </sheetData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B132"/>
  <sheetViews>
    <sheetView workbookViewId="0"/>
  </sheetViews>
  <sheetFormatPr baseColWidth="10" defaultColWidth="11.44140625" defaultRowHeight="14.4" x14ac:dyDescent="0.3"/>
  <sheetData>
    <row r="1" spans="1:2" x14ac:dyDescent="0.3">
      <c r="A1" t="s">
        <v>13</v>
      </c>
      <c r="B1" s="4" t="s">
        <v>14</v>
      </c>
    </row>
    <row r="2" spans="1:2" x14ac:dyDescent="0.3">
      <c r="A2">
        <v>1</v>
      </c>
      <c r="B2" s="5">
        <v>477</v>
      </c>
    </row>
    <row r="3" spans="1:2" x14ac:dyDescent="0.3">
      <c r="A3">
        <v>2</v>
      </c>
      <c r="B3" s="5">
        <v>395.6</v>
      </c>
    </row>
    <row r="4" spans="1:2" x14ac:dyDescent="0.3">
      <c r="A4">
        <v>3</v>
      </c>
      <c r="B4" s="5">
        <v>361.7</v>
      </c>
    </row>
    <row r="5" spans="1:2" x14ac:dyDescent="0.3">
      <c r="A5">
        <v>4</v>
      </c>
      <c r="B5" s="5">
        <v>421</v>
      </c>
    </row>
    <row r="6" spans="1:2" x14ac:dyDescent="0.3">
      <c r="A6">
        <v>5</v>
      </c>
      <c r="B6" s="5">
        <v>513.29999999999995</v>
      </c>
    </row>
    <row r="7" spans="1:2" x14ac:dyDescent="0.3">
      <c r="A7">
        <v>6</v>
      </c>
      <c r="B7" s="5">
        <v>573.20000000000005</v>
      </c>
    </row>
    <row r="8" spans="1:2" x14ac:dyDescent="0.3">
      <c r="A8">
        <v>7</v>
      </c>
      <c r="B8" s="5">
        <v>558.29999999999995</v>
      </c>
    </row>
    <row r="9" spans="1:2" x14ac:dyDescent="0.3">
      <c r="A9">
        <v>8</v>
      </c>
      <c r="B9" s="5">
        <v>525.9</v>
      </c>
    </row>
    <row r="10" spans="1:2" x14ac:dyDescent="0.3">
      <c r="A10">
        <v>9</v>
      </c>
      <c r="B10" s="5">
        <v>571.9</v>
      </c>
    </row>
    <row r="11" spans="1:2" x14ac:dyDescent="0.3">
      <c r="A11">
        <v>10</v>
      </c>
      <c r="B11" s="5">
        <v>591.5</v>
      </c>
    </row>
    <row r="12" spans="1:2" x14ac:dyDescent="0.3">
      <c r="A12">
        <v>11</v>
      </c>
      <c r="B12" s="5">
        <v>559.9</v>
      </c>
    </row>
    <row r="13" spans="1:2" x14ac:dyDescent="0.3">
      <c r="A13">
        <v>12</v>
      </c>
      <c r="B13" s="5">
        <v>350.9</v>
      </c>
    </row>
    <row r="14" spans="1:2" x14ac:dyDescent="0.3">
      <c r="A14">
        <v>13</v>
      </c>
      <c r="B14" s="5">
        <v>187.5</v>
      </c>
    </row>
    <row r="15" spans="1:2" x14ac:dyDescent="0.3">
      <c r="A15">
        <v>14</v>
      </c>
      <c r="B15" s="5">
        <v>182.7</v>
      </c>
    </row>
    <row r="16" spans="1:2" x14ac:dyDescent="0.3">
      <c r="A16">
        <v>15</v>
      </c>
      <c r="B16" s="5">
        <v>183.9</v>
      </c>
    </row>
    <row r="17" spans="1:2" x14ac:dyDescent="0.3">
      <c r="A17">
        <v>16</v>
      </c>
      <c r="B17" s="5">
        <v>223</v>
      </c>
    </row>
    <row r="18" spans="1:2" x14ac:dyDescent="0.3">
      <c r="A18">
        <v>17</v>
      </c>
      <c r="B18" s="5">
        <v>312</v>
      </c>
    </row>
    <row r="19" spans="1:2" x14ac:dyDescent="0.3">
      <c r="A19">
        <v>18</v>
      </c>
      <c r="B19" s="5">
        <v>291.10000000000002</v>
      </c>
    </row>
    <row r="20" spans="1:2" x14ac:dyDescent="0.3">
      <c r="A20">
        <v>19</v>
      </c>
      <c r="B20" s="5">
        <v>260.3</v>
      </c>
    </row>
    <row r="21" spans="1:2" x14ac:dyDescent="0.3">
      <c r="A21">
        <v>20</v>
      </c>
      <c r="B21" s="5">
        <v>274.10000000000002</v>
      </c>
    </row>
    <row r="22" spans="1:2" x14ac:dyDescent="0.3">
      <c r="A22">
        <v>21</v>
      </c>
      <c r="B22" s="5">
        <v>330.4</v>
      </c>
    </row>
    <row r="23" spans="1:2" x14ac:dyDescent="0.3">
      <c r="A23">
        <v>22</v>
      </c>
      <c r="B23" s="5">
        <v>390.3</v>
      </c>
    </row>
    <row r="24" spans="1:2" x14ac:dyDescent="0.3">
      <c r="A24">
        <v>23</v>
      </c>
      <c r="B24" s="5">
        <v>432</v>
      </c>
    </row>
    <row r="25" spans="1:2" x14ac:dyDescent="0.3">
      <c r="A25">
        <v>24</v>
      </c>
      <c r="B25" s="5">
        <v>393.2</v>
      </c>
    </row>
    <row r="26" spans="1:2" x14ac:dyDescent="0.3">
      <c r="A26">
        <v>25</v>
      </c>
      <c r="B26" s="5">
        <v>222.4</v>
      </c>
    </row>
    <row r="27" spans="1:2" x14ac:dyDescent="0.3">
      <c r="A27">
        <v>26</v>
      </c>
      <c r="B27" s="5">
        <v>202.3</v>
      </c>
    </row>
    <row r="28" spans="1:2" x14ac:dyDescent="0.3">
      <c r="A28">
        <v>27</v>
      </c>
      <c r="B28" s="5">
        <v>300.2</v>
      </c>
    </row>
    <row r="29" spans="1:2" x14ac:dyDescent="0.3">
      <c r="A29">
        <v>28</v>
      </c>
      <c r="B29" s="5">
        <v>400.9</v>
      </c>
    </row>
    <row r="30" spans="1:2" x14ac:dyDescent="0.3">
      <c r="A30">
        <v>29</v>
      </c>
      <c r="B30" s="5">
        <v>445</v>
      </c>
    </row>
    <row r="31" spans="1:2" x14ac:dyDescent="0.3">
      <c r="A31">
        <v>30</v>
      </c>
      <c r="B31" s="5">
        <v>432.6</v>
      </c>
    </row>
    <row r="32" spans="1:2" x14ac:dyDescent="0.3">
      <c r="A32">
        <v>31</v>
      </c>
      <c r="B32" s="5">
        <v>339.4</v>
      </c>
    </row>
    <row r="33" spans="1:2" x14ac:dyDescent="0.3">
      <c r="A33">
        <v>32</v>
      </c>
      <c r="B33" s="5">
        <v>349</v>
      </c>
    </row>
    <row r="34" spans="1:2" x14ac:dyDescent="0.3">
      <c r="A34">
        <v>33</v>
      </c>
      <c r="B34" s="5">
        <v>393.5</v>
      </c>
    </row>
    <row r="35" spans="1:2" x14ac:dyDescent="0.3">
      <c r="A35">
        <v>34</v>
      </c>
      <c r="B35" s="5">
        <v>465.5</v>
      </c>
    </row>
    <row r="36" spans="1:2" x14ac:dyDescent="0.3">
      <c r="A36">
        <v>35</v>
      </c>
      <c r="B36" s="5">
        <v>394.7</v>
      </c>
    </row>
    <row r="37" spans="1:2" x14ac:dyDescent="0.3">
      <c r="A37">
        <v>36</v>
      </c>
      <c r="B37" s="5">
        <v>243.8</v>
      </c>
    </row>
    <row r="38" spans="1:2" x14ac:dyDescent="0.3">
      <c r="A38">
        <v>37</v>
      </c>
      <c r="B38" s="5">
        <v>175.8</v>
      </c>
    </row>
    <row r="39" spans="1:2" x14ac:dyDescent="0.3">
      <c r="A39">
        <v>38</v>
      </c>
      <c r="B39" s="5">
        <v>173</v>
      </c>
    </row>
    <row r="40" spans="1:2" x14ac:dyDescent="0.3">
      <c r="A40">
        <v>39</v>
      </c>
      <c r="B40" s="5">
        <v>248.7</v>
      </c>
    </row>
    <row r="41" spans="1:2" x14ac:dyDescent="0.3">
      <c r="A41">
        <v>40</v>
      </c>
      <c r="B41" s="5">
        <v>324.39999999999998</v>
      </c>
    </row>
    <row r="42" spans="1:2" x14ac:dyDescent="0.3">
      <c r="A42">
        <v>41</v>
      </c>
      <c r="B42" s="5">
        <v>392.4</v>
      </c>
    </row>
    <row r="43" spans="1:2" x14ac:dyDescent="0.3">
      <c r="A43">
        <v>42</v>
      </c>
      <c r="B43" s="5">
        <v>449.4</v>
      </c>
    </row>
    <row r="44" spans="1:2" x14ac:dyDescent="0.3">
      <c r="A44">
        <v>43</v>
      </c>
      <c r="B44" s="5">
        <v>443.4</v>
      </c>
    </row>
    <row r="45" spans="1:2" x14ac:dyDescent="0.3">
      <c r="A45">
        <v>44</v>
      </c>
      <c r="B45" s="5">
        <v>400.8</v>
      </c>
    </row>
    <row r="46" spans="1:2" x14ac:dyDescent="0.3">
      <c r="A46">
        <v>45</v>
      </c>
      <c r="B46" s="5">
        <v>467.7</v>
      </c>
    </row>
    <row r="47" spans="1:2" x14ac:dyDescent="0.3">
      <c r="A47">
        <v>46</v>
      </c>
      <c r="B47" s="5">
        <v>518</v>
      </c>
    </row>
    <row r="48" spans="1:2" x14ac:dyDescent="0.3">
      <c r="A48">
        <v>47</v>
      </c>
      <c r="B48" s="5">
        <v>566.4</v>
      </c>
    </row>
    <row r="49" spans="1:2" x14ac:dyDescent="0.3">
      <c r="A49">
        <v>48</v>
      </c>
      <c r="B49" s="5">
        <v>474.6</v>
      </c>
    </row>
    <row r="50" spans="1:2" x14ac:dyDescent="0.3">
      <c r="A50">
        <v>49</v>
      </c>
      <c r="B50" s="5">
        <v>220.1</v>
      </c>
    </row>
    <row r="51" spans="1:2" x14ac:dyDescent="0.3">
      <c r="A51">
        <v>50</v>
      </c>
      <c r="B51" s="5">
        <v>125.6</v>
      </c>
    </row>
    <row r="52" spans="1:2" x14ac:dyDescent="0.3">
      <c r="A52">
        <v>51</v>
      </c>
      <c r="B52" s="5">
        <v>159.30000000000001</v>
      </c>
    </row>
    <row r="53" spans="1:2" x14ac:dyDescent="0.3">
      <c r="A53">
        <v>52</v>
      </c>
      <c r="B53" s="5">
        <v>349.9</v>
      </c>
    </row>
    <row r="54" spans="1:2" x14ac:dyDescent="0.3">
      <c r="A54">
        <v>53</v>
      </c>
      <c r="B54" s="5">
        <v>431.1</v>
      </c>
    </row>
    <row r="55" spans="1:2" x14ac:dyDescent="0.3">
      <c r="A55">
        <v>54</v>
      </c>
      <c r="B55" s="5">
        <v>380</v>
      </c>
    </row>
    <row r="56" spans="1:2" x14ac:dyDescent="0.3">
      <c r="A56">
        <v>55</v>
      </c>
      <c r="B56" s="5">
        <v>381.1</v>
      </c>
    </row>
    <row r="57" spans="1:2" x14ac:dyDescent="0.3">
      <c r="A57">
        <v>56</v>
      </c>
      <c r="B57" s="5">
        <v>401</v>
      </c>
    </row>
    <row r="58" spans="1:2" x14ac:dyDescent="0.3">
      <c r="A58">
        <v>57</v>
      </c>
      <c r="B58" s="5">
        <v>458.3</v>
      </c>
    </row>
    <row r="59" spans="1:2" x14ac:dyDescent="0.3">
      <c r="A59">
        <v>58</v>
      </c>
      <c r="B59" s="5">
        <v>540.70000000000005</v>
      </c>
    </row>
    <row r="60" spans="1:2" x14ac:dyDescent="0.3">
      <c r="A60">
        <v>59</v>
      </c>
      <c r="B60" s="5">
        <v>527.70000000000005</v>
      </c>
    </row>
    <row r="61" spans="1:2" x14ac:dyDescent="0.3">
      <c r="A61">
        <v>60</v>
      </c>
      <c r="B61" s="5">
        <v>432.7</v>
      </c>
    </row>
    <row r="62" spans="1:2" x14ac:dyDescent="0.3">
      <c r="A62">
        <v>61</v>
      </c>
      <c r="B62" s="5">
        <v>291.2</v>
      </c>
    </row>
    <row r="63" spans="1:2" x14ac:dyDescent="0.3">
      <c r="A63">
        <v>62</v>
      </c>
      <c r="B63" s="5">
        <v>219.8</v>
      </c>
    </row>
    <row r="64" spans="1:2" x14ac:dyDescent="0.3">
      <c r="A64">
        <v>63</v>
      </c>
      <c r="B64" s="5">
        <v>255.8</v>
      </c>
    </row>
    <row r="65" spans="1:2" x14ac:dyDescent="0.3">
      <c r="A65">
        <v>64</v>
      </c>
      <c r="B65" s="5">
        <v>380.2</v>
      </c>
    </row>
    <row r="66" spans="1:2" x14ac:dyDescent="0.3">
      <c r="A66">
        <v>65</v>
      </c>
      <c r="B66" s="5">
        <v>463.6</v>
      </c>
    </row>
    <row r="67" spans="1:2" x14ac:dyDescent="0.3">
      <c r="A67">
        <v>66</v>
      </c>
      <c r="B67" s="5">
        <v>466.4</v>
      </c>
    </row>
    <row r="68" spans="1:2" x14ac:dyDescent="0.3">
      <c r="A68">
        <v>67</v>
      </c>
      <c r="B68" s="5">
        <v>397.4</v>
      </c>
    </row>
    <row r="69" spans="1:2" x14ac:dyDescent="0.3">
      <c r="A69">
        <v>68</v>
      </c>
      <c r="B69" s="5">
        <v>389.9</v>
      </c>
    </row>
    <row r="70" spans="1:2" x14ac:dyDescent="0.3">
      <c r="A70">
        <v>69</v>
      </c>
      <c r="B70" s="5">
        <v>442.1</v>
      </c>
    </row>
    <row r="71" spans="1:2" x14ac:dyDescent="0.3">
      <c r="A71">
        <v>70</v>
      </c>
      <c r="B71" s="5">
        <v>519.70000000000005</v>
      </c>
    </row>
    <row r="72" spans="1:2" x14ac:dyDescent="0.3">
      <c r="A72">
        <v>71</v>
      </c>
      <c r="B72" s="5">
        <v>562.79999999999995</v>
      </c>
    </row>
    <row r="73" spans="1:2" x14ac:dyDescent="0.3">
      <c r="A73">
        <v>72</v>
      </c>
      <c r="B73" s="5">
        <v>508.5</v>
      </c>
    </row>
    <row r="74" spans="1:2" x14ac:dyDescent="0.3">
      <c r="A74">
        <v>73</v>
      </c>
      <c r="B74" s="5">
        <v>388.1</v>
      </c>
    </row>
    <row r="75" spans="1:2" x14ac:dyDescent="0.3">
      <c r="A75">
        <v>74</v>
      </c>
      <c r="B75" s="5">
        <v>277.7</v>
      </c>
    </row>
    <row r="76" spans="1:2" x14ac:dyDescent="0.3">
      <c r="A76">
        <v>75</v>
      </c>
      <c r="B76" s="5">
        <v>383.4</v>
      </c>
    </row>
    <row r="77" spans="1:2" x14ac:dyDescent="0.3">
      <c r="A77">
        <v>76</v>
      </c>
      <c r="B77" s="5">
        <v>510.2</v>
      </c>
    </row>
    <row r="78" spans="1:2" x14ac:dyDescent="0.3">
      <c r="A78">
        <v>77</v>
      </c>
      <c r="B78" s="5">
        <v>592.9</v>
      </c>
    </row>
    <row r="79" spans="1:2" x14ac:dyDescent="0.3">
      <c r="A79">
        <v>78</v>
      </c>
      <c r="B79" s="5">
        <v>579.9</v>
      </c>
    </row>
    <row r="80" spans="1:2" x14ac:dyDescent="0.3">
      <c r="A80">
        <v>79</v>
      </c>
      <c r="B80" s="5">
        <v>484.6</v>
      </c>
    </row>
    <row r="81" spans="1:2" x14ac:dyDescent="0.3">
      <c r="A81">
        <v>80</v>
      </c>
      <c r="B81" s="5">
        <v>474.7</v>
      </c>
    </row>
    <row r="82" spans="1:2" x14ac:dyDescent="0.3">
      <c r="A82">
        <v>81</v>
      </c>
      <c r="B82" s="5">
        <v>472.9</v>
      </c>
    </row>
    <row r="83" spans="1:2" x14ac:dyDescent="0.3">
      <c r="A83">
        <v>82</v>
      </c>
      <c r="B83" s="5">
        <v>527.4</v>
      </c>
    </row>
    <row r="84" spans="1:2" x14ac:dyDescent="0.3">
      <c r="A84">
        <v>83</v>
      </c>
      <c r="B84" s="5">
        <v>588.6</v>
      </c>
    </row>
    <row r="85" spans="1:2" x14ac:dyDescent="0.3">
      <c r="A85">
        <v>84</v>
      </c>
      <c r="B85" s="5">
        <v>540.29999999999995</v>
      </c>
    </row>
    <row r="86" spans="1:2" x14ac:dyDescent="0.3">
      <c r="A86">
        <v>85</v>
      </c>
      <c r="B86" s="5">
        <v>365.2</v>
      </c>
    </row>
    <row r="87" spans="1:2" x14ac:dyDescent="0.3">
      <c r="A87">
        <v>86</v>
      </c>
      <c r="B87" s="5">
        <v>190.1</v>
      </c>
    </row>
    <row r="88" spans="1:2" x14ac:dyDescent="0.3">
      <c r="A88">
        <v>87</v>
      </c>
      <c r="B88" s="5">
        <v>346.9</v>
      </c>
    </row>
    <row r="89" spans="1:2" x14ac:dyDescent="0.3">
      <c r="A89">
        <v>88</v>
      </c>
      <c r="B89" s="5">
        <v>478.1</v>
      </c>
    </row>
    <row r="90" spans="1:2" x14ac:dyDescent="0.3">
      <c r="A90">
        <v>89</v>
      </c>
      <c r="B90" s="5">
        <v>581.79999999999995</v>
      </c>
    </row>
    <row r="91" spans="1:2" x14ac:dyDescent="0.3">
      <c r="A91">
        <v>90</v>
      </c>
      <c r="B91" s="5">
        <v>601.1</v>
      </c>
    </row>
    <row r="92" spans="1:2" x14ac:dyDescent="0.3">
      <c r="A92">
        <v>91</v>
      </c>
      <c r="B92" s="5">
        <v>569.9</v>
      </c>
    </row>
    <row r="93" spans="1:2" x14ac:dyDescent="0.3">
      <c r="A93">
        <v>92</v>
      </c>
      <c r="B93" s="5">
        <v>595.6</v>
      </c>
    </row>
    <row r="94" spans="1:2" x14ac:dyDescent="0.3">
      <c r="A94">
        <v>93</v>
      </c>
      <c r="B94" s="5">
        <v>604.4</v>
      </c>
    </row>
    <row r="95" spans="1:2" x14ac:dyDescent="0.3">
      <c r="A95">
        <v>94</v>
      </c>
      <c r="B95" s="5">
        <v>635.79999999999995</v>
      </c>
    </row>
    <row r="96" spans="1:2" x14ac:dyDescent="0.3">
      <c r="A96">
        <v>95</v>
      </c>
      <c r="B96" s="5">
        <v>637.9</v>
      </c>
    </row>
    <row r="97" spans="1:2" x14ac:dyDescent="0.3">
      <c r="A97">
        <v>96</v>
      </c>
      <c r="B97" s="5">
        <v>556.6</v>
      </c>
    </row>
    <row r="98" spans="1:2" x14ac:dyDescent="0.3">
      <c r="A98">
        <v>97</v>
      </c>
      <c r="B98" s="5">
        <v>434.3</v>
      </c>
    </row>
    <row r="99" spans="1:2" x14ac:dyDescent="0.3">
      <c r="A99">
        <v>98</v>
      </c>
      <c r="B99" s="5">
        <v>380.6</v>
      </c>
    </row>
    <row r="100" spans="1:2" x14ac:dyDescent="0.3">
      <c r="A100">
        <v>99</v>
      </c>
      <c r="B100" s="5">
        <v>374.5</v>
      </c>
    </row>
    <row r="101" spans="1:2" x14ac:dyDescent="0.3">
      <c r="A101">
        <v>100</v>
      </c>
      <c r="B101" s="5">
        <v>475.4</v>
      </c>
    </row>
    <row r="102" spans="1:2" x14ac:dyDescent="0.3">
      <c r="A102">
        <v>101</v>
      </c>
      <c r="B102" s="5">
        <v>578.70000000000005</v>
      </c>
    </row>
    <row r="103" spans="1:2" x14ac:dyDescent="0.3">
      <c r="A103">
        <v>102</v>
      </c>
      <c r="B103" s="5">
        <v>633.70000000000005</v>
      </c>
    </row>
    <row r="104" spans="1:2" x14ac:dyDescent="0.3">
      <c r="A104">
        <v>103</v>
      </c>
      <c r="B104" s="5">
        <v>641</v>
      </c>
    </row>
    <row r="105" spans="1:2" x14ac:dyDescent="0.3">
      <c r="A105">
        <v>104</v>
      </c>
      <c r="B105" s="5">
        <v>649.79999999999995</v>
      </c>
    </row>
    <row r="106" spans="1:2" x14ac:dyDescent="0.3">
      <c r="A106">
        <v>105</v>
      </c>
      <c r="B106" s="5">
        <v>653.4</v>
      </c>
    </row>
    <row r="107" spans="1:2" x14ac:dyDescent="0.3">
      <c r="A107">
        <v>106</v>
      </c>
      <c r="B107" s="5">
        <v>679.9</v>
      </c>
    </row>
    <row r="108" spans="1:2" x14ac:dyDescent="0.3">
      <c r="A108">
        <v>107</v>
      </c>
      <c r="B108" s="5">
        <v>668.1</v>
      </c>
    </row>
    <row r="109" spans="1:2" x14ac:dyDescent="0.3">
      <c r="A109">
        <v>108</v>
      </c>
      <c r="B109" s="5">
        <v>589.6</v>
      </c>
    </row>
    <row r="110" spans="1:2" x14ac:dyDescent="0.3">
      <c r="A110">
        <v>109</v>
      </c>
      <c r="B110" s="5">
        <v>479.6</v>
      </c>
    </row>
    <row r="111" spans="1:2" x14ac:dyDescent="0.3">
      <c r="A111">
        <v>110</v>
      </c>
      <c r="B111" s="5">
        <v>359.6</v>
      </c>
    </row>
    <row r="112" spans="1:2" x14ac:dyDescent="0.3">
      <c r="A112">
        <v>111</v>
      </c>
      <c r="B112" s="5">
        <v>394.5</v>
      </c>
    </row>
    <row r="113" spans="1:2" x14ac:dyDescent="0.3">
      <c r="A113">
        <v>112</v>
      </c>
      <c r="B113" s="5">
        <v>454.6</v>
      </c>
    </row>
    <row r="114" spans="1:2" x14ac:dyDescent="0.3">
      <c r="A114">
        <v>113</v>
      </c>
      <c r="B114" s="5">
        <v>476.9</v>
      </c>
    </row>
    <row r="115" spans="1:2" x14ac:dyDescent="0.3">
      <c r="A115">
        <v>114</v>
      </c>
      <c r="B115" s="5">
        <v>460.8</v>
      </c>
    </row>
    <row r="116" spans="1:2" x14ac:dyDescent="0.3">
      <c r="A116">
        <v>115</v>
      </c>
      <c r="B116" s="5">
        <v>369.3</v>
      </c>
    </row>
    <row r="117" spans="1:2" x14ac:dyDescent="0.3">
      <c r="A117">
        <v>116</v>
      </c>
      <c r="B117" s="5">
        <v>369.2</v>
      </c>
    </row>
    <row r="118" spans="1:2" x14ac:dyDescent="0.3">
      <c r="A118">
        <v>117</v>
      </c>
      <c r="B118" s="5">
        <v>323.7</v>
      </c>
    </row>
    <row r="119" spans="1:2" x14ac:dyDescent="0.3">
      <c r="A119">
        <v>118</v>
      </c>
      <c r="B119" s="5">
        <v>418.1</v>
      </c>
    </row>
    <row r="120" spans="1:2" x14ac:dyDescent="0.3">
      <c r="A120">
        <v>119</v>
      </c>
      <c r="B120" s="5">
        <v>335.2</v>
      </c>
    </row>
    <row r="121" spans="1:2" x14ac:dyDescent="0.3">
      <c r="A121">
        <v>120</v>
      </c>
      <c r="B121" s="5">
        <v>186.5</v>
      </c>
    </row>
    <row r="122" spans="1:2" x14ac:dyDescent="0.3">
      <c r="A122">
        <v>121</v>
      </c>
      <c r="B122" s="5">
        <v>144.69999999999999</v>
      </c>
    </row>
    <row r="123" spans="1:2" x14ac:dyDescent="0.3">
      <c r="A123">
        <v>122</v>
      </c>
      <c r="B123" s="5">
        <v>163.9</v>
      </c>
    </row>
    <row r="124" spans="1:2" x14ac:dyDescent="0.3">
      <c r="A124">
        <v>123</v>
      </c>
      <c r="B124" s="5">
        <v>211.5</v>
      </c>
    </row>
    <row r="125" spans="1:2" x14ac:dyDescent="0.3">
      <c r="A125">
        <v>124</v>
      </c>
      <c r="B125" s="5">
        <v>341.9</v>
      </c>
    </row>
    <row r="126" spans="1:2" x14ac:dyDescent="0.3">
      <c r="A126">
        <v>125</v>
      </c>
      <c r="B126" s="5">
        <v>470.4</v>
      </c>
    </row>
    <row r="127" spans="1:2" x14ac:dyDescent="0.3">
      <c r="A127">
        <v>126</v>
      </c>
      <c r="B127" s="5">
        <v>587.70000000000005</v>
      </c>
    </row>
    <row r="128" spans="1:2" x14ac:dyDescent="0.3">
      <c r="A128">
        <v>127</v>
      </c>
      <c r="B128" s="5">
        <v>641.20000000000005</v>
      </c>
    </row>
    <row r="129" spans="1:2" x14ac:dyDescent="0.3">
      <c r="A129">
        <v>128</v>
      </c>
      <c r="B129" s="5">
        <v>633.5</v>
      </c>
    </row>
    <row r="130" spans="1:2" x14ac:dyDescent="0.3">
      <c r="A130">
        <v>129</v>
      </c>
      <c r="B130" s="5">
        <v>668.4</v>
      </c>
    </row>
    <row r="131" spans="1:2" x14ac:dyDescent="0.3">
      <c r="A131">
        <v>130</v>
      </c>
      <c r="B131" s="5">
        <v>699.3</v>
      </c>
    </row>
    <row r="132" spans="1:2" x14ac:dyDescent="0.3">
      <c r="A132">
        <v>131</v>
      </c>
      <c r="B132" s="5">
        <v>835.1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B132"/>
  <sheetViews>
    <sheetView workbookViewId="0"/>
  </sheetViews>
  <sheetFormatPr baseColWidth="10" defaultColWidth="11.44140625" defaultRowHeight="14.4" x14ac:dyDescent="0.3"/>
  <sheetData>
    <row r="1" spans="1:2" x14ac:dyDescent="0.3">
      <c r="A1" s="3" t="s">
        <v>13</v>
      </c>
      <c r="B1" s="4" t="s">
        <v>14</v>
      </c>
    </row>
    <row r="2" spans="1:2" x14ac:dyDescent="0.3">
      <c r="A2" s="3">
        <v>36557</v>
      </c>
      <c r="B2" s="5">
        <v>477</v>
      </c>
    </row>
    <row r="3" spans="1:2" x14ac:dyDescent="0.3">
      <c r="A3" s="3">
        <v>36586</v>
      </c>
      <c r="B3" s="5">
        <v>395.6</v>
      </c>
    </row>
    <row r="4" spans="1:2" x14ac:dyDescent="0.3">
      <c r="A4" s="3">
        <v>36617</v>
      </c>
      <c r="B4" s="5">
        <v>361.7</v>
      </c>
    </row>
    <row r="5" spans="1:2" x14ac:dyDescent="0.3">
      <c r="A5" s="3">
        <v>36647</v>
      </c>
      <c r="B5" s="5">
        <v>421</v>
      </c>
    </row>
    <row r="6" spans="1:2" x14ac:dyDescent="0.3">
      <c r="A6" s="3">
        <v>36678</v>
      </c>
      <c r="B6" s="5">
        <v>513.29999999999995</v>
      </c>
    </row>
    <row r="7" spans="1:2" x14ac:dyDescent="0.3">
      <c r="A7" s="3">
        <v>36708</v>
      </c>
      <c r="B7" s="5">
        <v>573.20000000000005</v>
      </c>
    </row>
    <row r="8" spans="1:2" x14ac:dyDescent="0.3">
      <c r="A8" s="3">
        <v>36739</v>
      </c>
      <c r="B8" s="5">
        <v>558.29999999999995</v>
      </c>
    </row>
    <row r="9" spans="1:2" x14ac:dyDescent="0.3">
      <c r="A9" s="3">
        <v>36770</v>
      </c>
      <c r="B9" s="5">
        <v>525.9</v>
      </c>
    </row>
    <row r="10" spans="1:2" x14ac:dyDescent="0.3">
      <c r="A10" s="3">
        <v>36800</v>
      </c>
      <c r="B10" s="5">
        <v>571.9</v>
      </c>
    </row>
    <row r="11" spans="1:2" x14ac:dyDescent="0.3">
      <c r="A11" s="3">
        <v>36831</v>
      </c>
      <c r="B11" s="5">
        <v>591.5</v>
      </c>
    </row>
    <row r="12" spans="1:2" x14ac:dyDescent="0.3">
      <c r="A12" s="3">
        <v>36861</v>
      </c>
      <c r="B12" s="5">
        <v>559.9</v>
      </c>
    </row>
    <row r="13" spans="1:2" x14ac:dyDescent="0.3">
      <c r="A13" s="3">
        <v>36892</v>
      </c>
      <c r="B13" s="5">
        <v>350.9</v>
      </c>
    </row>
    <row r="14" spans="1:2" x14ac:dyDescent="0.3">
      <c r="A14" s="3">
        <v>36923</v>
      </c>
      <c r="B14" s="5">
        <v>187.5</v>
      </c>
    </row>
    <row r="15" spans="1:2" x14ac:dyDescent="0.3">
      <c r="A15" s="3">
        <v>36951</v>
      </c>
      <c r="B15" s="5">
        <v>182.7</v>
      </c>
    </row>
    <row r="16" spans="1:2" x14ac:dyDescent="0.3">
      <c r="A16" s="3">
        <v>36982</v>
      </c>
      <c r="B16" s="5">
        <v>183.9</v>
      </c>
    </row>
    <row r="17" spans="1:2" x14ac:dyDescent="0.3">
      <c r="A17" s="3">
        <v>37012</v>
      </c>
      <c r="B17" s="5">
        <v>223</v>
      </c>
    </row>
    <row r="18" spans="1:2" x14ac:dyDescent="0.3">
      <c r="A18" s="3">
        <v>37043</v>
      </c>
      <c r="B18" s="5">
        <v>312</v>
      </c>
    </row>
    <row r="19" spans="1:2" x14ac:dyDescent="0.3">
      <c r="A19" s="3">
        <v>37073</v>
      </c>
      <c r="B19" s="5">
        <v>291.10000000000002</v>
      </c>
    </row>
    <row r="20" spans="1:2" x14ac:dyDescent="0.3">
      <c r="A20" s="3">
        <v>37104</v>
      </c>
      <c r="B20" s="5">
        <v>260.3</v>
      </c>
    </row>
    <row r="21" spans="1:2" x14ac:dyDescent="0.3">
      <c r="A21" s="3">
        <v>37135</v>
      </c>
      <c r="B21" s="5">
        <v>274.10000000000002</v>
      </c>
    </row>
    <row r="22" spans="1:2" x14ac:dyDescent="0.3">
      <c r="A22" s="3">
        <v>37165</v>
      </c>
      <c r="B22" s="5">
        <v>330.4</v>
      </c>
    </row>
    <row r="23" spans="1:2" x14ac:dyDescent="0.3">
      <c r="A23" s="3">
        <v>37196</v>
      </c>
      <c r="B23" s="5">
        <v>390.3</v>
      </c>
    </row>
    <row r="24" spans="1:2" x14ac:dyDescent="0.3">
      <c r="A24" s="3">
        <v>37226</v>
      </c>
      <c r="B24" s="5">
        <v>432</v>
      </c>
    </row>
    <row r="25" spans="1:2" x14ac:dyDescent="0.3">
      <c r="A25" s="3">
        <v>37257</v>
      </c>
      <c r="B25" s="5">
        <v>393.2</v>
      </c>
    </row>
    <row r="26" spans="1:2" x14ac:dyDescent="0.3">
      <c r="A26" s="3">
        <v>37288</v>
      </c>
      <c r="B26" s="5">
        <v>222.4</v>
      </c>
    </row>
    <row r="27" spans="1:2" x14ac:dyDescent="0.3">
      <c r="A27" s="3">
        <v>37316</v>
      </c>
      <c r="B27" s="5">
        <v>202.3</v>
      </c>
    </row>
    <row r="28" spans="1:2" x14ac:dyDescent="0.3">
      <c r="A28" s="3">
        <v>37347</v>
      </c>
      <c r="B28" s="5">
        <v>300.2</v>
      </c>
    </row>
    <row r="29" spans="1:2" x14ac:dyDescent="0.3">
      <c r="A29" s="3">
        <v>37377</v>
      </c>
      <c r="B29" s="5">
        <v>400.9</v>
      </c>
    </row>
    <row r="30" spans="1:2" x14ac:dyDescent="0.3">
      <c r="A30" s="3">
        <v>37408</v>
      </c>
      <c r="B30" s="5">
        <v>445</v>
      </c>
    </row>
    <row r="31" spans="1:2" x14ac:dyDescent="0.3">
      <c r="A31" s="3">
        <v>37438</v>
      </c>
      <c r="B31" s="5">
        <v>432.6</v>
      </c>
    </row>
    <row r="32" spans="1:2" x14ac:dyDescent="0.3">
      <c r="A32" s="3">
        <v>37469</v>
      </c>
      <c r="B32" s="5">
        <v>339.4</v>
      </c>
    </row>
    <row r="33" spans="1:2" x14ac:dyDescent="0.3">
      <c r="A33" s="3">
        <v>37500</v>
      </c>
      <c r="B33" s="5">
        <v>349</v>
      </c>
    </row>
    <row r="34" spans="1:2" x14ac:dyDescent="0.3">
      <c r="A34" s="3">
        <v>37530</v>
      </c>
      <c r="B34" s="5">
        <v>393.5</v>
      </c>
    </row>
    <row r="35" spans="1:2" x14ac:dyDescent="0.3">
      <c r="A35" s="3">
        <v>37561</v>
      </c>
      <c r="B35" s="5">
        <v>465.5</v>
      </c>
    </row>
    <row r="36" spans="1:2" x14ac:dyDescent="0.3">
      <c r="A36" s="3">
        <v>37591</v>
      </c>
      <c r="B36" s="5">
        <v>394.7</v>
      </c>
    </row>
    <row r="37" spans="1:2" x14ac:dyDescent="0.3">
      <c r="A37" s="3">
        <v>37622</v>
      </c>
      <c r="B37" s="5">
        <v>243.8</v>
      </c>
    </row>
    <row r="38" spans="1:2" x14ac:dyDescent="0.3">
      <c r="A38" s="3">
        <v>37653</v>
      </c>
      <c r="B38" s="5">
        <v>175.8</v>
      </c>
    </row>
    <row r="39" spans="1:2" x14ac:dyDescent="0.3">
      <c r="A39" s="3">
        <v>37681</v>
      </c>
      <c r="B39" s="5">
        <v>173</v>
      </c>
    </row>
    <row r="40" spans="1:2" x14ac:dyDescent="0.3">
      <c r="A40" s="3">
        <v>37712</v>
      </c>
      <c r="B40" s="5"/>
    </row>
    <row r="41" spans="1:2" x14ac:dyDescent="0.3">
      <c r="A41" s="3">
        <v>37742</v>
      </c>
      <c r="B41" s="5">
        <v>324.39999999999998</v>
      </c>
    </row>
    <row r="42" spans="1:2" x14ac:dyDescent="0.3">
      <c r="A42" s="3">
        <v>37773</v>
      </c>
      <c r="B42" s="5">
        <v>392.4</v>
      </c>
    </row>
    <row r="43" spans="1:2" x14ac:dyDescent="0.3">
      <c r="A43" s="3">
        <v>37803</v>
      </c>
      <c r="B43" s="5">
        <v>449.4</v>
      </c>
    </row>
    <row r="44" spans="1:2" x14ac:dyDescent="0.3">
      <c r="A44" s="3">
        <v>37834</v>
      </c>
      <c r="B44" s="5">
        <v>443.4</v>
      </c>
    </row>
    <row r="45" spans="1:2" x14ac:dyDescent="0.3">
      <c r="A45" s="3">
        <v>37865</v>
      </c>
      <c r="B45" s="5">
        <v>400.8</v>
      </c>
    </row>
    <row r="46" spans="1:2" x14ac:dyDescent="0.3">
      <c r="A46" s="3">
        <v>37895</v>
      </c>
      <c r="B46" s="5">
        <v>467.7</v>
      </c>
    </row>
    <row r="47" spans="1:2" x14ac:dyDescent="0.3">
      <c r="A47" s="3">
        <v>37926</v>
      </c>
      <c r="B47" s="5">
        <v>518</v>
      </c>
    </row>
    <row r="48" spans="1:2" x14ac:dyDescent="0.3">
      <c r="A48" s="3">
        <v>37956</v>
      </c>
      <c r="B48" s="5">
        <v>566.4</v>
      </c>
    </row>
    <row r="49" spans="1:2" x14ac:dyDescent="0.3">
      <c r="A49" s="3">
        <v>37987</v>
      </c>
      <c r="B49" s="5">
        <v>474.6</v>
      </c>
    </row>
    <row r="50" spans="1:2" x14ac:dyDescent="0.3">
      <c r="A50" s="3">
        <v>38018</v>
      </c>
      <c r="B50" s="5">
        <v>220.1</v>
      </c>
    </row>
    <row r="51" spans="1:2" x14ac:dyDescent="0.3">
      <c r="A51" s="3">
        <v>38047</v>
      </c>
      <c r="B51" s="5">
        <v>125.6</v>
      </c>
    </row>
    <row r="52" spans="1:2" x14ac:dyDescent="0.3">
      <c r="A52" s="3">
        <v>38078</v>
      </c>
      <c r="B52" s="5">
        <v>159.30000000000001</v>
      </c>
    </row>
    <row r="53" spans="1:2" x14ac:dyDescent="0.3">
      <c r="A53" s="3">
        <v>38108</v>
      </c>
      <c r="B53" s="5">
        <v>349.9</v>
      </c>
    </row>
    <row r="54" spans="1:2" x14ac:dyDescent="0.3">
      <c r="A54" s="3">
        <v>38139</v>
      </c>
      <c r="B54" s="5">
        <v>431.1</v>
      </c>
    </row>
    <row r="55" spans="1:2" x14ac:dyDescent="0.3">
      <c r="A55" s="3">
        <v>38169</v>
      </c>
      <c r="B55" s="5">
        <v>380</v>
      </c>
    </row>
    <row r="56" spans="1:2" x14ac:dyDescent="0.3">
      <c r="A56" s="3">
        <v>38200</v>
      </c>
      <c r="B56" s="5">
        <v>381.1</v>
      </c>
    </row>
    <row r="57" spans="1:2" x14ac:dyDescent="0.3">
      <c r="A57" s="3">
        <v>38231</v>
      </c>
      <c r="B57" s="5">
        <v>401</v>
      </c>
    </row>
    <row r="58" spans="1:2" x14ac:dyDescent="0.3">
      <c r="A58" s="3">
        <v>38261</v>
      </c>
      <c r="B58" s="5">
        <v>458.3</v>
      </c>
    </row>
    <row r="59" spans="1:2" x14ac:dyDescent="0.3">
      <c r="A59" s="3">
        <v>38292</v>
      </c>
      <c r="B59" s="5">
        <v>540.70000000000005</v>
      </c>
    </row>
    <row r="60" spans="1:2" x14ac:dyDescent="0.3">
      <c r="A60" s="3">
        <v>38322</v>
      </c>
      <c r="B60" s="5">
        <v>527.70000000000005</v>
      </c>
    </row>
    <row r="61" spans="1:2" x14ac:dyDescent="0.3">
      <c r="A61" s="3">
        <v>38353</v>
      </c>
      <c r="B61" s="5">
        <v>432.7</v>
      </c>
    </row>
    <row r="62" spans="1:2" x14ac:dyDescent="0.3">
      <c r="A62" s="3">
        <v>38384</v>
      </c>
      <c r="B62" s="5">
        <v>291.2</v>
      </c>
    </row>
    <row r="63" spans="1:2" x14ac:dyDescent="0.3">
      <c r="A63" s="3">
        <v>38412</v>
      </c>
      <c r="B63" s="5">
        <v>219.8</v>
      </c>
    </row>
    <row r="64" spans="1:2" x14ac:dyDescent="0.3">
      <c r="A64" s="3">
        <v>38443</v>
      </c>
      <c r="B64" s="5">
        <v>255.8</v>
      </c>
    </row>
    <row r="65" spans="1:2" x14ac:dyDescent="0.3">
      <c r="A65" s="3">
        <v>38473</v>
      </c>
      <c r="B65" s="5">
        <v>380.2</v>
      </c>
    </row>
    <row r="66" spans="1:2" x14ac:dyDescent="0.3">
      <c r="A66" s="3">
        <v>38504</v>
      </c>
      <c r="B66" s="5">
        <v>463.6</v>
      </c>
    </row>
    <row r="67" spans="1:2" x14ac:dyDescent="0.3">
      <c r="A67" s="3">
        <v>38534</v>
      </c>
      <c r="B67" s="5">
        <v>466.4</v>
      </c>
    </row>
    <row r="68" spans="1:2" x14ac:dyDescent="0.3">
      <c r="A68" s="3">
        <v>38565</v>
      </c>
      <c r="B68" s="5">
        <v>397.4</v>
      </c>
    </row>
    <row r="69" spans="1:2" x14ac:dyDescent="0.3">
      <c r="A69" s="3">
        <v>38596</v>
      </c>
      <c r="B69" s="5">
        <v>389.9</v>
      </c>
    </row>
    <row r="70" spans="1:2" x14ac:dyDescent="0.3">
      <c r="A70" s="3">
        <v>38626</v>
      </c>
      <c r="B70" s="5">
        <v>442.1</v>
      </c>
    </row>
    <row r="71" spans="1:2" x14ac:dyDescent="0.3">
      <c r="A71" s="3">
        <v>38657</v>
      </c>
      <c r="B71" s="5">
        <v>519.70000000000005</v>
      </c>
    </row>
    <row r="72" spans="1:2" x14ac:dyDescent="0.3">
      <c r="A72" s="3">
        <v>38687</v>
      </c>
      <c r="B72" s="5">
        <v>562.79999999999995</v>
      </c>
    </row>
    <row r="73" spans="1:2" x14ac:dyDescent="0.3">
      <c r="A73" s="3">
        <v>38718</v>
      </c>
      <c r="B73" s="5">
        <v>508.5</v>
      </c>
    </row>
    <row r="74" spans="1:2" x14ac:dyDescent="0.3">
      <c r="A74" s="3">
        <v>38749</v>
      </c>
      <c r="B74" s="5">
        <v>388.1</v>
      </c>
    </row>
    <row r="75" spans="1:2" x14ac:dyDescent="0.3">
      <c r="A75" s="3">
        <v>38777</v>
      </c>
      <c r="B75" s="5">
        <v>277.7</v>
      </c>
    </row>
    <row r="76" spans="1:2" x14ac:dyDescent="0.3">
      <c r="A76" s="3">
        <v>38808</v>
      </c>
      <c r="B76" s="5">
        <v>383.4</v>
      </c>
    </row>
    <row r="77" spans="1:2" x14ac:dyDescent="0.3">
      <c r="A77" s="3">
        <v>38838</v>
      </c>
      <c r="B77" s="5">
        <v>510.2</v>
      </c>
    </row>
    <row r="78" spans="1:2" x14ac:dyDescent="0.3">
      <c r="A78" s="3">
        <v>38869</v>
      </c>
      <c r="B78" s="5">
        <v>592.9</v>
      </c>
    </row>
    <row r="79" spans="1:2" x14ac:dyDescent="0.3">
      <c r="A79" s="3">
        <v>38899</v>
      </c>
      <c r="B79" s="5">
        <v>579.9</v>
      </c>
    </row>
    <row r="80" spans="1:2" x14ac:dyDescent="0.3">
      <c r="A80" s="3">
        <v>38930</v>
      </c>
      <c r="B80" s="5">
        <v>484.6</v>
      </c>
    </row>
    <row r="81" spans="1:2" x14ac:dyDescent="0.3">
      <c r="A81" s="3">
        <v>38961</v>
      </c>
      <c r="B81" s="5">
        <v>474.7</v>
      </c>
    </row>
    <row r="82" spans="1:2" x14ac:dyDescent="0.3">
      <c r="A82" s="3">
        <v>38991</v>
      </c>
      <c r="B82" s="5">
        <v>472.9</v>
      </c>
    </row>
    <row r="83" spans="1:2" x14ac:dyDescent="0.3">
      <c r="A83" s="3">
        <v>39022</v>
      </c>
      <c r="B83" s="5">
        <v>527.4</v>
      </c>
    </row>
    <row r="84" spans="1:2" x14ac:dyDescent="0.3">
      <c r="A84" s="3">
        <v>39052</v>
      </c>
      <c r="B84" s="5">
        <v>588.6</v>
      </c>
    </row>
    <row r="85" spans="1:2" x14ac:dyDescent="0.3">
      <c r="A85" s="3">
        <v>39083</v>
      </c>
      <c r="B85" s="5">
        <v>540.29999999999995</v>
      </c>
    </row>
    <row r="86" spans="1:2" x14ac:dyDescent="0.3">
      <c r="A86" s="3">
        <v>39114</v>
      </c>
      <c r="B86" s="5"/>
    </row>
    <row r="87" spans="1:2" x14ac:dyDescent="0.3">
      <c r="A87" s="3">
        <v>39142</v>
      </c>
      <c r="B87" s="5">
        <v>190.1</v>
      </c>
    </row>
    <row r="88" spans="1:2" x14ac:dyDescent="0.3">
      <c r="A88" s="3">
        <v>39173</v>
      </c>
      <c r="B88" s="5">
        <v>346.9</v>
      </c>
    </row>
    <row r="89" spans="1:2" x14ac:dyDescent="0.3">
      <c r="A89" s="3">
        <v>39203</v>
      </c>
      <c r="B89" s="5">
        <v>478.1</v>
      </c>
    </row>
    <row r="90" spans="1:2" x14ac:dyDescent="0.3">
      <c r="A90" s="3">
        <v>39234</v>
      </c>
      <c r="B90" s="5">
        <v>581.79999999999995</v>
      </c>
    </row>
    <row r="91" spans="1:2" x14ac:dyDescent="0.3">
      <c r="A91" s="3">
        <v>39264</v>
      </c>
      <c r="B91" s="5">
        <v>601.1</v>
      </c>
    </row>
    <row r="92" spans="1:2" x14ac:dyDescent="0.3">
      <c r="A92" s="3">
        <v>39295</v>
      </c>
      <c r="B92" s="5">
        <v>569.9</v>
      </c>
    </row>
    <row r="93" spans="1:2" x14ac:dyDescent="0.3">
      <c r="A93" s="3">
        <v>39326</v>
      </c>
      <c r="B93" s="5">
        <v>595.6</v>
      </c>
    </row>
    <row r="94" spans="1:2" x14ac:dyDescent="0.3">
      <c r="A94" s="3">
        <v>39356</v>
      </c>
      <c r="B94" s="5">
        <v>604.4</v>
      </c>
    </row>
    <row r="95" spans="1:2" x14ac:dyDescent="0.3">
      <c r="A95" s="3">
        <v>39387</v>
      </c>
      <c r="B95" s="5">
        <v>635.79999999999995</v>
      </c>
    </row>
    <row r="96" spans="1:2" x14ac:dyDescent="0.3">
      <c r="A96" s="3">
        <v>39417</v>
      </c>
      <c r="B96" s="5">
        <v>637.9</v>
      </c>
    </row>
    <row r="97" spans="1:2" x14ac:dyDescent="0.3">
      <c r="A97" s="3">
        <v>39448</v>
      </c>
      <c r="B97" s="5">
        <v>556.6</v>
      </c>
    </row>
    <row r="98" spans="1:2" x14ac:dyDescent="0.3">
      <c r="A98" s="3">
        <v>39479</v>
      </c>
      <c r="B98" s="5">
        <v>434.3</v>
      </c>
    </row>
    <row r="99" spans="1:2" x14ac:dyDescent="0.3">
      <c r="A99" s="3">
        <v>39508</v>
      </c>
      <c r="B99" s="5">
        <v>380.6</v>
      </c>
    </row>
    <row r="100" spans="1:2" x14ac:dyDescent="0.3">
      <c r="A100" s="3">
        <v>39539</v>
      </c>
      <c r="B100" s="5">
        <v>374.5</v>
      </c>
    </row>
    <row r="101" spans="1:2" x14ac:dyDescent="0.3">
      <c r="A101" s="3">
        <v>39569</v>
      </c>
      <c r="B101" s="5">
        <v>475.4</v>
      </c>
    </row>
    <row r="102" spans="1:2" x14ac:dyDescent="0.3">
      <c r="A102" s="3">
        <v>39600</v>
      </c>
      <c r="B102" s="5">
        <v>578.70000000000005</v>
      </c>
    </row>
    <row r="103" spans="1:2" x14ac:dyDescent="0.3">
      <c r="A103" s="3">
        <v>39630</v>
      </c>
      <c r="B103" s="5">
        <v>633.70000000000005</v>
      </c>
    </row>
    <row r="104" spans="1:2" x14ac:dyDescent="0.3">
      <c r="A104" s="3">
        <v>39661</v>
      </c>
      <c r="B104" s="5">
        <v>641</v>
      </c>
    </row>
    <row r="105" spans="1:2" x14ac:dyDescent="0.3">
      <c r="A105" s="3">
        <v>39692</v>
      </c>
      <c r="B105" s="5">
        <v>649.79999999999995</v>
      </c>
    </row>
    <row r="106" spans="1:2" x14ac:dyDescent="0.3">
      <c r="A106" s="3">
        <v>39722</v>
      </c>
      <c r="B106" s="5">
        <v>653.4</v>
      </c>
    </row>
    <row r="107" spans="1:2" x14ac:dyDescent="0.3">
      <c r="A107" s="3">
        <v>39753</v>
      </c>
      <c r="B107" s="5">
        <v>679.9</v>
      </c>
    </row>
    <row r="108" spans="1:2" x14ac:dyDescent="0.3">
      <c r="A108" s="3">
        <v>39783</v>
      </c>
      <c r="B108" s="5">
        <v>668.1</v>
      </c>
    </row>
    <row r="109" spans="1:2" x14ac:dyDescent="0.3">
      <c r="A109" s="3">
        <v>39814</v>
      </c>
      <c r="B109" s="5">
        <v>589.6</v>
      </c>
    </row>
    <row r="110" spans="1:2" x14ac:dyDescent="0.3">
      <c r="A110" s="3">
        <v>39845</v>
      </c>
      <c r="B110" s="5">
        <v>479.6</v>
      </c>
    </row>
    <row r="111" spans="1:2" x14ac:dyDescent="0.3">
      <c r="A111" s="3">
        <v>39873</v>
      </c>
      <c r="B111" s="5">
        <v>359.6</v>
      </c>
    </row>
    <row r="112" spans="1:2" x14ac:dyDescent="0.3">
      <c r="A112" s="3">
        <v>39904</v>
      </c>
      <c r="B112" s="5">
        <v>394.5</v>
      </c>
    </row>
    <row r="113" spans="1:2" x14ac:dyDescent="0.3">
      <c r="A113" s="3">
        <v>39934</v>
      </c>
      <c r="B113" s="5">
        <v>454.6</v>
      </c>
    </row>
    <row r="114" spans="1:2" x14ac:dyDescent="0.3">
      <c r="A114" s="3">
        <v>39965</v>
      </c>
      <c r="B114" s="5">
        <v>476.9</v>
      </c>
    </row>
    <row r="115" spans="1:2" x14ac:dyDescent="0.3">
      <c r="A115" s="3">
        <v>39995</v>
      </c>
      <c r="B115" s="5">
        <v>460.8</v>
      </c>
    </row>
    <row r="116" spans="1:2" x14ac:dyDescent="0.3">
      <c r="A116" s="3">
        <v>40026</v>
      </c>
      <c r="B116" s="5">
        <v>369.3</v>
      </c>
    </row>
    <row r="117" spans="1:2" x14ac:dyDescent="0.3">
      <c r="A117" s="3">
        <v>40057</v>
      </c>
      <c r="B117" s="5">
        <v>369.2</v>
      </c>
    </row>
    <row r="118" spans="1:2" x14ac:dyDescent="0.3">
      <c r="A118" s="3">
        <v>40087</v>
      </c>
      <c r="B118" s="5">
        <v>323.7</v>
      </c>
    </row>
    <row r="119" spans="1:2" x14ac:dyDescent="0.3">
      <c r="A119" s="3">
        <v>40118</v>
      </c>
      <c r="B119" s="5">
        <v>418.1</v>
      </c>
    </row>
    <row r="120" spans="1:2" x14ac:dyDescent="0.3">
      <c r="A120" s="3">
        <v>40148</v>
      </c>
      <c r="B120" s="5">
        <v>335.2</v>
      </c>
    </row>
    <row r="121" spans="1:2" x14ac:dyDescent="0.3">
      <c r="A121" s="3">
        <v>40179</v>
      </c>
      <c r="B121" s="5">
        <v>186.5</v>
      </c>
    </row>
    <row r="122" spans="1:2" x14ac:dyDescent="0.3">
      <c r="A122" s="3">
        <v>40210</v>
      </c>
      <c r="B122" s="5">
        <v>144.69999999999999</v>
      </c>
    </row>
    <row r="123" spans="1:2" x14ac:dyDescent="0.3">
      <c r="A123" s="3">
        <v>40238</v>
      </c>
      <c r="B123" s="5">
        <v>163.9</v>
      </c>
    </row>
    <row r="124" spans="1:2" x14ac:dyDescent="0.3">
      <c r="A124" s="3">
        <v>40269</v>
      </c>
      <c r="B124" s="5">
        <v>211.5</v>
      </c>
    </row>
    <row r="125" spans="1:2" x14ac:dyDescent="0.3">
      <c r="A125" s="3">
        <v>40299</v>
      </c>
      <c r="B125" s="5">
        <v>341.9</v>
      </c>
    </row>
    <row r="126" spans="1:2" x14ac:dyDescent="0.3">
      <c r="A126" s="3">
        <v>40330</v>
      </c>
      <c r="B126" s="5">
        <v>470.4</v>
      </c>
    </row>
    <row r="127" spans="1:2" x14ac:dyDescent="0.3">
      <c r="A127" s="3">
        <v>40360</v>
      </c>
      <c r="B127" s="5">
        <v>587.70000000000005</v>
      </c>
    </row>
    <row r="128" spans="1:2" x14ac:dyDescent="0.3">
      <c r="A128" s="3">
        <v>40391</v>
      </c>
      <c r="B128" s="5">
        <v>641.20000000000005</v>
      </c>
    </row>
    <row r="129" spans="1:2" x14ac:dyDescent="0.3">
      <c r="A129" s="3">
        <v>40422</v>
      </c>
      <c r="B129" s="5">
        <v>633.5</v>
      </c>
    </row>
    <row r="130" spans="1:2" x14ac:dyDescent="0.3">
      <c r="A130" s="3">
        <v>40452</v>
      </c>
      <c r="B130" s="5">
        <v>668.4</v>
      </c>
    </row>
    <row r="131" spans="1:2" x14ac:dyDescent="0.3">
      <c r="A131" s="3">
        <v>40483</v>
      </c>
      <c r="B131" s="5">
        <v>699.3</v>
      </c>
    </row>
    <row r="132" spans="1:2" x14ac:dyDescent="0.3">
      <c r="A132" s="3">
        <v>40513</v>
      </c>
      <c r="B132" s="5">
        <v>835.1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A1:B133"/>
  <sheetViews>
    <sheetView workbookViewId="0"/>
  </sheetViews>
  <sheetFormatPr baseColWidth="10" defaultColWidth="11.44140625" defaultRowHeight="14.4" x14ac:dyDescent="0.3"/>
  <sheetData>
    <row r="1" spans="1:2" x14ac:dyDescent="0.3">
      <c r="A1" s="3" t="s">
        <v>13</v>
      </c>
      <c r="B1" s="4" t="s">
        <v>12</v>
      </c>
    </row>
    <row r="2" spans="1:2" x14ac:dyDescent="0.3">
      <c r="A2" s="3">
        <v>36526</v>
      </c>
      <c r="B2" s="5">
        <v>592</v>
      </c>
    </row>
    <row r="3" spans="1:2" x14ac:dyDescent="0.3">
      <c r="A3" s="3">
        <v>36557</v>
      </c>
      <c r="B3" s="5">
        <v>477</v>
      </c>
    </row>
    <row r="4" spans="1:2" x14ac:dyDescent="0.3">
      <c r="A4" s="3">
        <v>36586</v>
      </c>
      <c r="B4" s="5">
        <v>395.6</v>
      </c>
    </row>
    <row r="5" spans="1:2" x14ac:dyDescent="0.3">
      <c r="A5" s="3">
        <v>36617</v>
      </c>
      <c r="B5" s="5">
        <v>361.7</v>
      </c>
    </row>
    <row r="6" spans="1:2" x14ac:dyDescent="0.3">
      <c r="A6" s="3">
        <v>36647</v>
      </c>
      <c r="B6" s="5">
        <v>421</v>
      </c>
    </row>
    <row r="7" spans="1:2" x14ac:dyDescent="0.3">
      <c r="A7" s="3">
        <v>36678</v>
      </c>
      <c r="B7" s="5">
        <v>513.29999999999995</v>
      </c>
    </row>
    <row r="8" spans="1:2" x14ac:dyDescent="0.3">
      <c r="A8" s="3">
        <v>36708</v>
      </c>
      <c r="B8" s="5">
        <v>573.20000000000005</v>
      </c>
    </row>
    <row r="9" spans="1:2" x14ac:dyDescent="0.3">
      <c r="A9" s="3">
        <v>36739</v>
      </c>
      <c r="B9" s="5">
        <v>558.29999999999995</v>
      </c>
    </row>
    <row r="10" spans="1:2" x14ac:dyDescent="0.3">
      <c r="A10" s="3">
        <v>36770</v>
      </c>
      <c r="B10" s="5">
        <v>525.9</v>
      </c>
    </row>
    <row r="11" spans="1:2" x14ac:dyDescent="0.3">
      <c r="A11" s="3">
        <v>36800</v>
      </c>
      <c r="B11" s="5">
        <v>571.9</v>
      </c>
    </row>
    <row r="12" spans="1:2" x14ac:dyDescent="0.3">
      <c r="A12" s="3">
        <v>36831</v>
      </c>
      <c r="B12" s="5">
        <v>591.5</v>
      </c>
    </row>
    <row r="13" spans="1:2" x14ac:dyDescent="0.3">
      <c r="A13" s="3">
        <v>36861</v>
      </c>
      <c r="B13" s="5">
        <v>559.9</v>
      </c>
    </row>
    <row r="14" spans="1:2" x14ac:dyDescent="0.3">
      <c r="A14" s="3">
        <v>36892</v>
      </c>
      <c r="B14" s="5">
        <v>350.9</v>
      </c>
    </row>
    <row r="15" spans="1:2" x14ac:dyDescent="0.3">
      <c r="A15" s="3">
        <v>36923</v>
      </c>
      <c r="B15" s="5">
        <v>187.5</v>
      </c>
    </row>
    <row r="16" spans="1:2" x14ac:dyDescent="0.3">
      <c r="A16" s="3">
        <v>36951</v>
      </c>
      <c r="B16" s="5">
        <v>182.7</v>
      </c>
    </row>
    <row r="17" spans="1:2" x14ac:dyDescent="0.3">
      <c r="A17" s="3">
        <v>36982</v>
      </c>
      <c r="B17" s="5">
        <v>183.9</v>
      </c>
    </row>
    <row r="18" spans="1:2" x14ac:dyDescent="0.3">
      <c r="A18" s="3">
        <v>37012</v>
      </c>
      <c r="B18" s="5">
        <v>223</v>
      </c>
    </row>
    <row r="19" spans="1:2" x14ac:dyDescent="0.3">
      <c r="A19" s="3">
        <v>37043</v>
      </c>
      <c r="B19" s="5">
        <v>312</v>
      </c>
    </row>
    <row r="20" spans="1:2" x14ac:dyDescent="0.3">
      <c r="A20" s="3">
        <v>37073</v>
      </c>
      <c r="B20" s="5">
        <v>291.10000000000002</v>
      </c>
    </row>
    <row r="21" spans="1:2" x14ac:dyDescent="0.3">
      <c r="A21" s="3">
        <v>37104</v>
      </c>
      <c r="B21" s="5">
        <v>260.3</v>
      </c>
    </row>
    <row r="22" spans="1:2" x14ac:dyDescent="0.3">
      <c r="A22" s="3">
        <v>37135</v>
      </c>
      <c r="B22" s="5">
        <v>274.10000000000002</v>
      </c>
    </row>
    <row r="23" spans="1:2" x14ac:dyDescent="0.3">
      <c r="A23" s="3">
        <v>37165</v>
      </c>
      <c r="B23" s="5">
        <v>330.4</v>
      </c>
    </row>
    <row r="24" spans="1:2" x14ac:dyDescent="0.3">
      <c r="A24" s="3">
        <v>37196</v>
      </c>
      <c r="B24" s="5">
        <v>390.3</v>
      </c>
    </row>
    <row r="25" spans="1:2" x14ac:dyDescent="0.3">
      <c r="A25" s="3">
        <v>37226</v>
      </c>
      <c r="B25" s="5">
        <v>432</v>
      </c>
    </row>
    <row r="26" spans="1:2" x14ac:dyDescent="0.3">
      <c r="A26" s="3">
        <v>37257</v>
      </c>
      <c r="B26" s="5">
        <v>393.2</v>
      </c>
    </row>
    <row r="27" spans="1:2" x14ac:dyDescent="0.3">
      <c r="A27" s="3">
        <v>37288</v>
      </c>
      <c r="B27" s="5">
        <v>222.4</v>
      </c>
    </row>
    <row r="28" spans="1:2" x14ac:dyDescent="0.3">
      <c r="A28" s="3">
        <v>37316</v>
      </c>
      <c r="B28" s="5">
        <v>202.3</v>
      </c>
    </row>
    <row r="29" spans="1:2" x14ac:dyDescent="0.3">
      <c r="A29" s="3">
        <v>37347</v>
      </c>
      <c r="B29" s="5">
        <v>300.2</v>
      </c>
    </row>
    <row r="30" spans="1:2" x14ac:dyDescent="0.3">
      <c r="A30" s="3">
        <v>37377</v>
      </c>
      <c r="B30" s="5">
        <v>400.9</v>
      </c>
    </row>
    <row r="31" spans="1:2" x14ac:dyDescent="0.3">
      <c r="A31" s="3">
        <v>37408</v>
      </c>
      <c r="B31" s="5">
        <v>445</v>
      </c>
    </row>
    <row r="32" spans="1:2" x14ac:dyDescent="0.3">
      <c r="A32" s="3">
        <v>37438</v>
      </c>
      <c r="B32" s="5">
        <v>432.6</v>
      </c>
    </row>
    <row r="33" spans="1:2" x14ac:dyDescent="0.3">
      <c r="A33" s="3">
        <v>37469</v>
      </c>
      <c r="B33" s="5">
        <v>339.4</v>
      </c>
    </row>
    <row r="34" spans="1:2" x14ac:dyDescent="0.3">
      <c r="A34" s="3">
        <v>37500</v>
      </c>
      <c r="B34" s="5">
        <v>349</v>
      </c>
    </row>
    <row r="35" spans="1:2" x14ac:dyDescent="0.3">
      <c r="A35" s="3">
        <v>37530</v>
      </c>
      <c r="B35" s="5">
        <v>393.5</v>
      </c>
    </row>
    <row r="36" spans="1:2" x14ac:dyDescent="0.3">
      <c r="A36" s="3">
        <v>37561</v>
      </c>
      <c r="B36" s="5">
        <v>465.5</v>
      </c>
    </row>
    <row r="37" spans="1:2" x14ac:dyDescent="0.3">
      <c r="A37" s="3">
        <v>37591</v>
      </c>
      <c r="B37" s="5">
        <v>394.7</v>
      </c>
    </row>
    <row r="38" spans="1:2" x14ac:dyDescent="0.3">
      <c r="A38" s="3">
        <v>37622</v>
      </c>
      <c r="B38" s="5">
        <v>243.8</v>
      </c>
    </row>
    <row r="39" spans="1:2" x14ac:dyDescent="0.3">
      <c r="A39" s="3">
        <v>37653</v>
      </c>
      <c r="B39" s="5">
        <v>175.8</v>
      </c>
    </row>
    <row r="40" spans="1:2" x14ac:dyDescent="0.3">
      <c r="A40" s="3">
        <v>37681</v>
      </c>
      <c r="B40" s="5">
        <v>173</v>
      </c>
    </row>
    <row r="41" spans="1:2" x14ac:dyDescent="0.3">
      <c r="A41" s="3">
        <v>37712</v>
      </c>
      <c r="B41" s="5"/>
    </row>
    <row r="42" spans="1:2" x14ac:dyDescent="0.3">
      <c r="A42" s="3">
        <v>37742</v>
      </c>
      <c r="B42" s="5">
        <v>324.39999999999998</v>
      </c>
    </row>
    <row r="43" spans="1:2" x14ac:dyDescent="0.3">
      <c r="A43" s="3">
        <v>37773</v>
      </c>
      <c r="B43" s="5">
        <v>392.4</v>
      </c>
    </row>
    <row r="44" spans="1:2" x14ac:dyDescent="0.3">
      <c r="A44" s="3">
        <v>37803</v>
      </c>
      <c r="B44" s="5">
        <v>449.4</v>
      </c>
    </row>
    <row r="45" spans="1:2" x14ac:dyDescent="0.3">
      <c r="A45" s="3">
        <v>37834</v>
      </c>
      <c r="B45" s="5">
        <v>443.4</v>
      </c>
    </row>
    <row r="46" spans="1:2" x14ac:dyDescent="0.3">
      <c r="A46" s="3">
        <v>37865</v>
      </c>
      <c r="B46" s="5">
        <v>400.8</v>
      </c>
    </row>
    <row r="47" spans="1:2" x14ac:dyDescent="0.3">
      <c r="A47" s="3">
        <v>37895</v>
      </c>
      <c r="B47" s="5">
        <v>467.7</v>
      </c>
    </row>
    <row r="48" spans="1:2" x14ac:dyDescent="0.3">
      <c r="A48" s="3">
        <v>37926</v>
      </c>
      <c r="B48" s="5">
        <v>518</v>
      </c>
    </row>
    <row r="49" spans="1:2" x14ac:dyDescent="0.3">
      <c r="A49" s="3">
        <v>37956</v>
      </c>
      <c r="B49" s="5">
        <v>566.4</v>
      </c>
    </row>
    <row r="50" spans="1:2" x14ac:dyDescent="0.3">
      <c r="A50" s="3">
        <v>37987</v>
      </c>
      <c r="B50" s="5">
        <v>474.6</v>
      </c>
    </row>
    <row r="51" spans="1:2" x14ac:dyDescent="0.3">
      <c r="A51" s="3">
        <v>38018</v>
      </c>
      <c r="B51" s="5">
        <v>220.1</v>
      </c>
    </row>
    <row r="52" spans="1:2" x14ac:dyDescent="0.3">
      <c r="A52" s="3">
        <v>38047</v>
      </c>
      <c r="B52" s="5">
        <v>125.6</v>
      </c>
    </row>
    <row r="53" spans="1:2" x14ac:dyDescent="0.3">
      <c r="A53" s="3">
        <v>38078</v>
      </c>
      <c r="B53" s="5">
        <v>159.30000000000001</v>
      </c>
    </row>
    <row r="54" spans="1:2" x14ac:dyDescent="0.3">
      <c r="A54" s="3">
        <v>38108</v>
      </c>
      <c r="B54" s="5">
        <v>349.9</v>
      </c>
    </row>
    <row r="55" spans="1:2" x14ac:dyDescent="0.3">
      <c r="A55" s="3">
        <v>38139</v>
      </c>
      <c r="B55" s="5">
        <v>431.1</v>
      </c>
    </row>
    <row r="56" spans="1:2" x14ac:dyDescent="0.3">
      <c r="A56" s="3">
        <v>38169</v>
      </c>
      <c r="B56" s="5">
        <v>380</v>
      </c>
    </row>
    <row r="57" spans="1:2" x14ac:dyDescent="0.3">
      <c r="A57" s="3">
        <v>38200</v>
      </c>
      <c r="B57" s="5">
        <v>381.1</v>
      </c>
    </row>
    <row r="58" spans="1:2" x14ac:dyDescent="0.3">
      <c r="A58" s="3">
        <v>38231</v>
      </c>
      <c r="B58" s="5">
        <v>401</v>
      </c>
    </row>
    <row r="59" spans="1:2" x14ac:dyDescent="0.3">
      <c r="A59" s="3">
        <v>38261</v>
      </c>
      <c r="B59" s="5">
        <v>458.3</v>
      </c>
    </row>
    <row r="60" spans="1:2" x14ac:dyDescent="0.3">
      <c r="A60" s="3">
        <v>38292</v>
      </c>
      <c r="B60" s="5">
        <v>540.70000000000005</v>
      </c>
    </row>
    <row r="61" spans="1:2" x14ac:dyDescent="0.3">
      <c r="A61" s="3">
        <v>38322</v>
      </c>
      <c r="B61" s="5">
        <v>527.70000000000005</v>
      </c>
    </row>
    <row r="62" spans="1:2" x14ac:dyDescent="0.3">
      <c r="A62" s="3">
        <v>38353</v>
      </c>
      <c r="B62" s="5">
        <v>432.7</v>
      </c>
    </row>
    <row r="63" spans="1:2" x14ac:dyDescent="0.3">
      <c r="A63" s="3">
        <v>38384</v>
      </c>
      <c r="B63" s="5">
        <v>291.2</v>
      </c>
    </row>
    <row r="64" spans="1:2" x14ac:dyDescent="0.3">
      <c r="A64" s="3">
        <v>38412</v>
      </c>
      <c r="B64" s="5">
        <v>219.8</v>
      </c>
    </row>
    <row r="65" spans="1:2" x14ac:dyDescent="0.3">
      <c r="A65" s="3">
        <v>38443</v>
      </c>
      <c r="B65" s="5">
        <v>255.8</v>
      </c>
    </row>
    <row r="66" spans="1:2" x14ac:dyDescent="0.3">
      <c r="A66" s="3">
        <v>38473</v>
      </c>
      <c r="B66" s="5">
        <v>380.2</v>
      </c>
    </row>
    <row r="67" spans="1:2" x14ac:dyDescent="0.3">
      <c r="A67" s="3">
        <v>38504</v>
      </c>
      <c r="B67" s="5">
        <v>463.6</v>
      </c>
    </row>
    <row r="68" spans="1:2" x14ac:dyDescent="0.3">
      <c r="A68" s="3">
        <v>38534</v>
      </c>
      <c r="B68" s="5">
        <v>466.4</v>
      </c>
    </row>
    <row r="69" spans="1:2" x14ac:dyDescent="0.3">
      <c r="A69" s="3">
        <v>38565</v>
      </c>
      <c r="B69" s="5">
        <v>397.4</v>
      </c>
    </row>
    <row r="70" spans="1:2" x14ac:dyDescent="0.3">
      <c r="A70" s="3">
        <v>38596</v>
      </c>
      <c r="B70" s="5">
        <v>389.9</v>
      </c>
    </row>
    <row r="71" spans="1:2" x14ac:dyDescent="0.3">
      <c r="A71" s="3">
        <v>38626</v>
      </c>
      <c r="B71" s="5">
        <v>442.1</v>
      </c>
    </row>
    <row r="72" spans="1:2" x14ac:dyDescent="0.3">
      <c r="A72" s="3">
        <v>38657</v>
      </c>
      <c r="B72" s="5">
        <v>519.70000000000005</v>
      </c>
    </row>
    <row r="73" spans="1:2" x14ac:dyDescent="0.3">
      <c r="A73" s="3">
        <v>38687</v>
      </c>
      <c r="B73" s="5">
        <v>562.79999999999995</v>
      </c>
    </row>
    <row r="74" spans="1:2" x14ac:dyDescent="0.3">
      <c r="A74" s="3">
        <v>38718</v>
      </c>
      <c r="B74" s="5">
        <v>508.5</v>
      </c>
    </row>
    <row r="75" spans="1:2" x14ac:dyDescent="0.3">
      <c r="A75" s="3">
        <v>38749</v>
      </c>
      <c r="B75" s="5">
        <v>388.1</v>
      </c>
    </row>
    <row r="76" spans="1:2" x14ac:dyDescent="0.3">
      <c r="A76" s="3">
        <v>38777</v>
      </c>
      <c r="B76" s="5">
        <v>277.7</v>
      </c>
    </row>
    <row r="77" spans="1:2" x14ac:dyDescent="0.3">
      <c r="A77" s="3">
        <v>38808</v>
      </c>
      <c r="B77" s="5">
        <v>383.4</v>
      </c>
    </row>
    <row r="78" spans="1:2" x14ac:dyDescent="0.3">
      <c r="A78" s="3">
        <v>38838</v>
      </c>
      <c r="B78" s="5">
        <v>510.2</v>
      </c>
    </row>
    <row r="79" spans="1:2" x14ac:dyDescent="0.3">
      <c r="A79" s="3">
        <v>38869</v>
      </c>
      <c r="B79" s="5">
        <v>592.9</v>
      </c>
    </row>
    <row r="80" spans="1:2" x14ac:dyDescent="0.3">
      <c r="A80" s="3">
        <v>38899</v>
      </c>
      <c r="B80" s="5">
        <v>579.9</v>
      </c>
    </row>
    <row r="81" spans="1:2" x14ac:dyDescent="0.3">
      <c r="A81" s="3">
        <v>38930</v>
      </c>
      <c r="B81" s="5">
        <v>484.6</v>
      </c>
    </row>
    <row r="82" spans="1:2" x14ac:dyDescent="0.3">
      <c r="A82" s="3">
        <v>38961</v>
      </c>
      <c r="B82" s="5">
        <v>474.7</v>
      </c>
    </row>
    <row r="83" spans="1:2" x14ac:dyDescent="0.3">
      <c r="A83" s="3">
        <v>38991</v>
      </c>
      <c r="B83" s="5">
        <v>472.9</v>
      </c>
    </row>
    <row r="84" spans="1:2" x14ac:dyDescent="0.3">
      <c r="A84" s="3">
        <v>39022</v>
      </c>
      <c r="B84" s="5">
        <v>527.4</v>
      </c>
    </row>
    <row r="85" spans="1:2" x14ac:dyDescent="0.3">
      <c r="A85" s="3">
        <v>39052</v>
      </c>
      <c r="B85" s="5">
        <v>588.6</v>
      </c>
    </row>
    <row r="86" spans="1:2" x14ac:dyDescent="0.3">
      <c r="A86" s="3">
        <v>39083</v>
      </c>
      <c r="B86" s="5">
        <v>540.29999999999995</v>
      </c>
    </row>
    <row r="87" spans="1:2" x14ac:dyDescent="0.3">
      <c r="A87" s="3">
        <v>39114</v>
      </c>
      <c r="B87" s="5"/>
    </row>
    <row r="88" spans="1:2" x14ac:dyDescent="0.3">
      <c r="A88" s="3">
        <v>39142</v>
      </c>
      <c r="B88" s="5">
        <v>190.1</v>
      </c>
    </row>
    <row r="89" spans="1:2" x14ac:dyDescent="0.3">
      <c r="A89" s="3">
        <v>39173</v>
      </c>
      <c r="B89" s="5">
        <v>346.9</v>
      </c>
    </row>
    <row r="90" spans="1:2" x14ac:dyDescent="0.3">
      <c r="A90" s="3">
        <v>39203</v>
      </c>
      <c r="B90" s="5">
        <v>478.1</v>
      </c>
    </row>
    <row r="91" spans="1:2" x14ac:dyDescent="0.3">
      <c r="A91" s="3">
        <v>39234</v>
      </c>
      <c r="B91" s="5">
        <v>581.79999999999995</v>
      </c>
    </row>
    <row r="92" spans="1:2" x14ac:dyDescent="0.3">
      <c r="A92" s="3">
        <v>39264</v>
      </c>
      <c r="B92" s="5">
        <v>601.1</v>
      </c>
    </row>
    <row r="93" spans="1:2" x14ac:dyDescent="0.3">
      <c r="A93" s="3">
        <v>39295</v>
      </c>
      <c r="B93" s="5">
        <v>569.9</v>
      </c>
    </row>
    <row r="94" spans="1:2" x14ac:dyDescent="0.3">
      <c r="A94" s="3">
        <v>39326</v>
      </c>
      <c r="B94" s="5">
        <v>595.6</v>
      </c>
    </row>
    <row r="95" spans="1:2" x14ac:dyDescent="0.3">
      <c r="A95" s="3">
        <v>39356</v>
      </c>
      <c r="B95" s="5">
        <v>604.4</v>
      </c>
    </row>
    <row r="96" spans="1:2" x14ac:dyDescent="0.3">
      <c r="A96" s="3">
        <v>39387</v>
      </c>
      <c r="B96" s="5">
        <v>635.79999999999995</v>
      </c>
    </row>
    <row r="97" spans="1:2" x14ac:dyDescent="0.3">
      <c r="A97" s="3">
        <v>39417</v>
      </c>
      <c r="B97" s="5">
        <v>637.9</v>
      </c>
    </row>
    <row r="98" spans="1:2" x14ac:dyDescent="0.3">
      <c r="A98" s="3">
        <v>39448</v>
      </c>
      <c r="B98" s="5">
        <v>556.6</v>
      </c>
    </row>
    <row r="99" spans="1:2" x14ac:dyDescent="0.3">
      <c r="A99" s="3">
        <v>39479</v>
      </c>
      <c r="B99" s="5">
        <v>434.3</v>
      </c>
    </row>
    <row r="100" spans="1:2" x14ac:dyDescent="0.3">
      <c r="A100" s="3">
        <v>39508</v>
      </c>
      <c r="B100" s="5">
        <v>380.6</v>
      </c>
    </row>
    <row r="101" spans="1:2" x14ac:dyDescent="0.3">
      <c r="A101" s="3">
        <v>39539</v>
      </c>
      <c r="B101" s="5">
        <v>374.5</v>
      </c>
    </row>
    <row r="102" spans="1:2" x14ac:dyDescent="0.3">
      <c r="A102" s="3">
        <v>39569</v>
      </c>
      <c r="B102" s="5">
        <v>475.4</v>
      </c>
    </row>
    <row r="103" spans="1:2" x14ac:dyDescent="0.3">
      <c r="A103" s="3">
        <v>39600</v>
      </c>
      <c r="B103" s="5">
        <v>578.70000000000005</v>
      </c>
    </row>
    <row r="104" spans="1:2" x14ac:dyDescent="0.3">
      <c r="A104" s="3">
        <v>39630</v>
      </c>
      <c r="B104" s="5">
        <v>633.70000000000005</v>
      </c>
    </row>
    <row r="105" spans="1:2" x14ac:dyDescent="0.3">
      <c r="A105" s="3">
        <v>39661</v>
      </c>
      <c r="B105" s="5">
        <v>641</v>
      </c>
    </row>
    <row r="106" spans="1:2" x14ac:dyDescent="0.3">
      <c r="A106" s="3">
        <v>39692</v>
      </c>
      <c r="B106" s="5">
        <v>649.79999999999995</v>
      </c>
    </row>
    <row r="107" spans="1:2" x14ac:dyDescent="0.3">
      <c r="A107" s="3">
        <v>39722</v>
      </c>
      <c r="B107" s="5">
        <v>653.4</v>
      </c>
    </row>
    <row r="108" spans="1:2" x14ac:dyDescent="0.3">
      <c r="A108" s="3">
        <v>39753</v>
      </c>
      <c r="B108" s="5">
        <v>679.9</v>
      </c>
    </row>
    <row r="109" spans="1:2" x14ac:dyDescent="0.3">
      <c r="A109" s="3">
        <v>39783</v>
      </c>
      <c r="B109" s="5">
        <v>668.1</v>
      </c>
    </row>
    <row r="110" spans="1:2" x14ac:dyDescent="0.3">
      <c r="A110" s="3">
        <v>39814</v>
      </c>
      <c r="B110" s="5">
        <v>589.6</v>
      </c>
    </row>
    <row r="111" spans="1:2" x14ac:dyDescent="0.3">
      <c r="A111" s="3">
        <v>39845</v>
      </c>
      <c r="B111" s="5">
        <v>479.6</v>
      </c>
    </row>
    <row r="112" spans="1:2" x14ac:dyDescent="0.3">
      <c r="A112" s="3">
        <v>39873</v>
      </c>
      <c r="B112" s="5">
        <v>359.6</v>
      </c>
    </row>
    <row r="113" spans="1:2" x14ac:dyDescent="0.3">
      <c r="A113" s="3">
        <v>39904</v>
      </c>
      <c r="B113" s="5">
        <v>394.5</v>
      </c>
    </row>
    <row r="114" spans="1:2" x14ac:dyDescent="0.3">
      <c r="A114" s="3">
        <v>39934</v>
      </c>
      <c r="B114" s="5">
        <v>454.6</v>
      </c>
    </row>
    <row r="115" spans="1:2" x14ac:dyDescent="0.3">
      <c r="A115" s="3">
        <v>39965</v>
      </c>
      <c r="B115" s="5">
        <v>476.9</v>
      </c>
    </row>
    <row r="116" spans="1:2" x14ac:dyDescent="0.3">
      <c r="A116" s="3">
        <v>39995</v>
      </c>
      <c r="B116" s="5">
        <v>460.8</v>
      </c>
    </row>
    <row r="117" spans="1:2" x14ac:dyDescent="0.3">
      <c r="A117" s="3">
        <v>40026</v>
      </c>
      <c r="B117" s="5">
        <v>369.3</v>
      </c>
    </row>
    <row r="118" spans="1:2" x14ac:dyDescent="0.3">
      <c r="A118" s="3">
        <v>40057</v>
      </c>
      <c r="B118" s="5">
        <v>369.2</v>
      </c>
    </row>
    <row r="119" spans="1:2" x14ac:dyDescent="0.3">
      <c r="A119" s="3">
        <v>40087</v>
      </c>
      <c r="B119" s="5">
        <v>323.7</v>
      </c>
    </row>
    <row r="120" spans="1:2" x14ac:dyDescent="0.3">
      <c r="A120" s="3">
        <v>40118</v>
      </c>
      <c r="B120" s="5">
        <v>418.1</v>
      </c>
    </row>
    <row r="121" spans="1:2" x14ac:dyDescent="0.3">
      <c r="A121" s="3">
        <v>40148</v>
      </c>
      <c r="B121" s="5">
        <v>335.2</v>
      </c>
    </row>
    <row r="122" spans="1:2" x14ac:dyDescent="0.3">
      <c r="A122" s="3">
        <v>40179</v>
      </c>
      <c r="B122" s="5">
        <v>186.5</v>
      </c>
    </row>
    <row r="123" spans="1:2" x14ac:dyDescent="0.3">
      <c r="A123" s="3">
        <v>40210</v>
      </c>
      <c r="B123" s="5">
        <v>144.69999999999999</v>
      </c>
    </row>
    <row r="124" spans="1:2" x14ac:dyDescent="0.3">
      <c r="A124" s="3">
        <v>40238</v>
      </c>
      <c r="B124" s="5">
        <v>163.9</v>
      </c>
    </row>
    <row r="125" spans="1:2" x14ac:dyDescent="0.3">
      <c r="A125" s="3">
        <v>40269</v>
      </c>
      <c r="B125" s="5">
        <v>211.5</v>
      </c>
    </row>
    <row r="126" spans="1:2" x14ac:dyDescent="0.3">
      <c r="A126" s="3">
        <v>40299</v>
      </c>
      <c r="B126" s="5">
        <v>341.9</v>
      </c>
    </row>
    <row r="127" spans="1:2" x14ac:dyDescent="0.3">
      <c r="A127" s="3">
        <v>40330</v>
      </c>
      <c r="B127" s="5">
        <v>470.4</v>
      </c>
    </row>
    <row r="128" spans="1:2" x14ac:dyDescent="0.3">
      <c r="A128" s="3">
        <v>40360</v>
      </c>
      <c r="B128" s="5">
        <v>587.70000000000005</v>
      </c>
    </row>
    <row r="129" spans="1:2" x14ac:dyDescent="0.3">
      <c r="A129" s="3">
        <v>40391</v>
      </c>
      <c r="B129" s="5">
        <v>641.20000000000005</v>
      </c>
    </row>
    <row r="130" spans="1:2" x14ac:dyDescent="0.3">
      <c r="A130" s="3">
        <v>40422</v>
      </c>
      <c r="B130" s="5">
        <v>633.5</v>
      </c>
    </row>
    <row r="131" spans="1:2" x14ac:dyDescent="0.3">
      <c r="A131" s="3">
        <v>40452</v>
      </c>
      <c r="B131" s="5">
        <v>668.4</v>
      </c>
    </row>
    <row r="132" spans="1:2" x14ac:dyDescent="0.3">
      <c r="A132" s="3">
        <v>40483</v>
      </c>
      <c r="B132" s="5">
        <v>699.3</v>
      </c>
    </row>
    <row r="133" spans="1:2" x14ac:dyDescent="0.3">
      <c r="A133" s="3">
        <v>40513</v>
      </c>
      <c r="B133" s="5">
        <v>835.1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/>
  <dimension ref="A1:B133"/>
  <sheetViews>
    <sheetView workbookViewId="0"/>
  </sheetViews>
  <sheetFormatPr baseColWidth="10" defaultColWidth="11.44140625" defaultRowHeight="14.4" x14ac:dyDescent="0.3"/>
  <sheetData>
    <row r="1" spans="1:2" x14ac:dyDescent="0.3">
      <c r="A1" t="s">
        <v>13</v>
      </c>
      <c r="B1" s="4" t="s">
        <v>12</v>
      </c>
    </row>
    <row r="2" spans="1:2" x14ac:dyDescent="0.3">
      <c r="A2">
        <v>1</v>
      </c>
      <c r="B2" s="5">
        <v>592</v>
      </c>
    </row>
    <row r="3" spans="1:2" x14ac:dyDescent="0.3">
      <c r="A3">
        <v>2</v>
      </c>
      <c r="B3" s="5">
        <v>477</v>
      </c>
    </row>
    <row r="4" spans="1:2" x14ac:dyDescent="0.3">
      <c r="A4">
        <v>3</v>
      </c>
      <c r="B4" s="5">
        <v>395.6</v>
      </c>
    </row>
    <row r="5" spans="1:2" x14ac:dyDescent="0.3">
      <c r="A5">
        <v>4</v>
      </c>
      <c r="B5" s="5">
        <v>361.7</v>
      </c>
    </row>
    <row r="6" spans="1:2" x14ac:dyDescent="0.3">
      <c r="A6">
        <v>5</v>
      </c>
      <c r="B6" s="5">
        <v>421</v>
      </c>
    </row>
    <row r="7" spans="1:2" x14ac:dyDescent="0.3">
      <c r="A7">
        <v>6</v>
      </c>
      <c r="B7" s="5">
        <v>513.29999999999995</v>
      </c>
    </row>
    <row r="8" spans="1:2" x14ac:dyDescent="0.3">
      <c r="A8">
        <v>7</v>
      </c>
      <c r="B8" s="5">
        <v>573.20000000000005</v>
      </c>
    </row>
    <row r="9" spans="1:2" x14ac:dyDescent="0.3">
      <c r="A9">
        <v>8</v>
      </c>
      <c r="B9" s="5">
        <v>558.29999999999995</v>
      </c>
    </row>
    <row r="10" spans="1:2" x14ac:dyDescent="0.3">
      <c r="A10">
        <v>9</v>
      </c>
      <c r="B10" s="5">
        <v>525.9</v>
      </c>
    </row>
    <row r="11" spans="1:2" x14ac:dyDescent="0.3">
      <c r="A11">
        <v>10</v>
      </c>
      <c r="B11" s="5">
        <v>571.9</v>
      </c>
    </row>
    <row r="12" spans="1:2" x14ac:dyDescent="0.3">
      <c r="A12">
        <v>11</v>
      </c>
      <c r="B12" s="5">
        <v>591.5</v>
      </c>
    </row>
    <row r="13" spans="1:2" x14ac:dyDescent="0.3">
      <c r="A13">
        <v>12</v>
      </c>
      <c r="B13" s="5">
        <v>559.9</v>
      </c>
    </row>
    <row r="14" spans="1:2" x14ac:dyDescent="0.3">
      <c r="A14">
        <v>13</v>
      </c>
      <c r="B14" s="5">
        <v>350.9</v>
      </c>
    </row>
    <row r="15" spans="1:2" x14ac:dyDescent="0.3">
      <c r="A15">
        <v>14</v>
      </c>
      <c r="B15" s="5">
        <v>187.5</v>
      </c>
    </row>
    <row r="16" spans="1:2" x14ac:dyDescent="0.3">
      <c r="A16">
        <v>15</v>
      </c>
      <c r="B16" s="5">
        <v>182.7</v>
      </c>
    </row>
    <row r="17" spans="1:2" x14ac:dyDescent="0.3">
      <c r="A17">
        <v>16</v>
      </c>
      <c r="B17" s="5">
        <v>183.9</v>
      </c>
    </row>
    <row r="18" spans="1:2" x14ac:dyDescent="0.3">
      <c r="A18">
        <v>17</v>
      </c>
      <c r="B18" s="5">
        <v>223</v>
      </c>
    </row>
    <row r="19" spans="1:2" x14ac:dyDescent="0.3">
      <c r="A19">
        <v>18</v>
      </c>
      <c r="B19" s="5">
        <v>312</v>
      </c>
    </row>
    <row r="20" spans="1:2" x14ac:dyDescent="0.3">
      <c r="A20">
        <v>19</v>
      </c>
      <c r="B20" s="5">
        <v>291.10000000000002</v>
      </c>
    </row>
    <row r="21" spans="1:2" x14ac:dyDescent="0.3">
      <c r="A21">
        <v>20</v>
      </c>
      <c r="B21" s="5">
        <v>260.3</v>
      </c>
    </row>
    <row r="22" spans="1:2" x14ac:dyDescent="0.3">
      <c r="A22">
        <v>21</v>
      </c>
      <c r="B22" s="5">
        <v>274.10000000000002</v>
      </c>
    </row>
    <row r="23" spans="1:2" x14ac:dyDescent="0.3">
      <c r="A23">
        <v>22</v>
      </c>
      <c r="B23" s="5">
        <v>330.4</v>
      </c>
    </row>
    <row r="24" spans="1:2" x14ac:dyDescent="0.3">
      <c r="A24">
        <v>23</v>
      </c>
      <c r="B24" s="5">
        <v>390.3</v>
      </c>
    </row>
    <row r="25" spans="1:2" x14ac:dyDescent="0.3">
      <c r="A25">
        <v>24</v>
      </c>
      <c r="B25" s="5">
        <v>432</v>
      </c>
    </row>
    <row r="26" spans="1:2" x14ac:dyDescent="0.3">
      <c r="A26">
        <v>25</v>
      </c>
      <c r="B26" s="5">
        <v>393.2</v>
      </c>
    </row>
    <row r="27" spans="1:2" x14ac:dyDescent="0.3">
      <c r="A27">
        <v>26</v>
      </c>
      <c r="B27" s="5">
        <v>222.4</v>
      </c>
    </row>
    <row r="28" spans="1:2" x14ac:dyDescent="0.3">
      <c r="A28">
        <v>27</v>
      </c>
      <c r="B28" s="5">
        <v>202.3</v>
      </c>
    </row>
    <row r="29" spans="1:2" x14ac:dyDescent="0.3">
      <c r="A29">
        <v>28</v>
      </c>
      <c r="B29" s="5">
        <v>300.2</v>
      </c>
    </row>
    <row r="30" spans="1:2" x14ac:dyDescent="0.3">
      <c r="A30">
        <v>29</v>
      </c>
      <c r="B30" s="5">
        <v>400.9</v>
      </c>
    </row>
    <row r="31" spans="1:2" x14ac:dyDescent="0.3">
      <c r="A31">
        <v>30</v>
      </c>
      <c r="B31" s="5">
        <v>445</v>
      </c>
    </row>
    <row r="32" spans="1:2" x14ac:dyDescent="0.3">
      <c r="A32">
        <v>31</v>
      </c>
      <c r="B32" s="5">
        <v>432.6</v>
      </c>
    </row>
    <row r="33" spans="1:2" x14ac:dyDescent="0.3">
      <c r="A33">
        <v>32</v>
      </c>
      <c r="B33" s="5">
        <v>339.4</v>
      </c>
    </row>
    <row r="34" spans="1:2" x14ac:dyDescent="0.3">
      <c r="A34">
        <v>33</v>
      </c>
      <c r="B34" s="5">
        <v>349</v>
      </c>
    </row>
    <row r="35" spans="1:2" x14ac:dyDescent="0.3">
      <c r="A35">
        <v>34</v>
      </c>
      <c r="B35" s="5">
        <v>393.5</v>
      </c>
    </row>
    <row r="36" spans="1:2" x14ac:dyDescent="0.3">
      <c r="A36">
        <v>35</v>
      </c>
      <c r="B36" s="5">
        <v>465.5</v>
      </c>
    </row>
    <row r="37" spans="1:2" x14ac:dyDescent="0.3">
      <c r="A37">
        <v>36</v>
      </c>
      <c r="B37" s="5">
        <v>394.7</v>
      </c>
    </row>
    <row r="38" spans="1:2" x14ac:dyDescent="0.3">
      <c r="A38">
        <v>37</v>
      </c>
      <c r="B38" s="5">
        <v>243.8</v>
      </c>
    </row>
    <row r="39" spans="1:2" x14ac:dyDescent="0.3">
      <c r="A39">
        <v>38</v>
      </c>
      <c r="B39" s="5">
        <v>175.8</v>
      </c>
    </row>
    <row r="40" spans="1:2" x14ac:dyDescent="0.3">
      <c r="A40">
        <v>39</v>
      </c>
      <c r="B40" s="5">
        <v>173</v>
      </c>
    </row>
    <row r="41" spans="1:2" x14ac:dyDescent="0.3">
      <c r="A41">
        <v>40</v>
      </c>
      <c r="B41" s="5"/>
    </row>
    <row r="42" spans="1:2" x14ac:dyDescent="0.3">
      <c r="A42">
        <v>41</v>
      </c>
      <c r="B42" s="5">
        <v>324.39999999999998</v>
      </c>
    </row>
    <row r="43" spans="1:2" x14ac:dyDescent="0.3">
      <c r="A43">
        <v>42</v>
      </c>
      <c r="B43" s="5">
        <v>392.4</v>
      </c>
    </row>
    <row r="44" spans="1:2" x14ac:dyDescent="0.3">
      <c r="A44">
        <v>43</v>
      </c>
      <c r="B44" s="5">
        <v>449.4</v>
      </c>
    </row>
    <row r="45" spans="1:2" x14ac:dyDescent="0.3">
      <c r="A45">
        <v>44</v>
      </c>
      <c r="B45" s="5">
        <v>443.4</v>
      </c>
    </row>
    <row r="46" spans="1:2" x14ac:dyDescent="0.3">
      <c r="A46">
        <v>45</v>
      </c>
      <c r="B46" s="5">
        <v>400.8</v>
      </c>
    </row>
    <row r="47" spans="1:2" x14ac:dyDescent="0.3">
      <c r="A47">
        <v>46</v>
      </c>
      <c r="B47" s="5">
        <v>467.7</v>
      </c>
    </row>
    <row r="48" spans="1:2" x14ac:dyDescent="0.3">
      <c r="A48">
        <v>47</v>
      </c>
      <c r="B48" s="5">
        <v>518</v>
      </c>
    </row>
    <row r="49" spans="1:2" x14ac:dyDescent="0.3">
      <c r="A49">
        <v>48</v>
      </c>
      <c r="B49" s="5">
        <v>566.4</v>
      </c>
    </row>
    <row r="50" spans="1:2" x14ac:dyDescent="0.3">
      <c r="A50">
        <v>49</v>
      </c>
      <c r="B50" s="5">
        <v>474.6</v>
      </c>
    </row>
    <row r="51" spans="1:2" x14ac:dyDescent="0.3">
      <c r="A51">
        <v>50</v>
      </c>
      <c r="B51" s="5">
        <v>220.1</v>
      </c>
    </row>
    <row r="52" spans="1:2" x14ac:dyDescent="0.3">
      <c r="A52">
        <v>51</v>
      </c>
      <c r="B52" s="5">
        <v>125.6</v>
      </c>
    </row>
    <row r="53" spans="1:2" x14ac:dyDescent="0.3">
      <c r="A53">
        <v>52</v>
      </c>
      <c r="B53" s="5">
        <v>159.30000000000001</v>
      </c>
    </row>
    <row r="54" spans="1:2" x14ac:dyDescent="0.3">
      <c r="A54">
        <v>53</v>
      </c>
      <c r="B54" s="5">
        <v>349.9</v>
      </c>
    </row>
    <row r="55" spans="1:2" x14ac:dyDescent="0.3">
      <c r="A55">
        <v>54</v>
      </c>
      <c r="B55" s="5">
        <v>431.1</v>
      </c>
    </row>
    <row r="56" spans="1:2" x14ac:dyDescent="0.3">
      <c r="A56">
        <v>55</v>
      </c>
      <c r="B56" s="5">
        <v>380</v>
      </c>
    </row>
    <row r="57" spans="1:2" x14ac:dyDescent="0.3">
      <c r="A57">
        <v>56</v>
      </c>
      <c r="B57" s="5">
        <v>381.1</v>
      </c>
    </row>
    <row r="58" spans="1:2" x14ac:dyDescent="0.3">
      <c r="A58">
        <v>57</v>
      </c>
      <c r="B58" s="5">
        <v>401</v>
      </c>
    </row>
    <row r="59" spans="1:2" x14ac:dyDescent="0.3">
      <c r="A59">
        <v>58</v>
      </c>
      <c r="B59" s="5">
        <v>458.3</v>
      </c>
    </row>
    <row r="60" spans="1:2" x14ac:dyDescent="0.3">
      <c r="A60">
        <v>59</v>
      </c>
      <c r="B60" s="5">
        <v>540.70000000000005</v>
      </c>
    </row>
    <row r="61" spans="1:2" x14ac:dyDescent="0.3">
      <c r="A61">
        <v>60</v>
      </c>
      <c r="B61" s="5">
        <v>527.70000000000005</v>
      </c>
    </row>
    <row r="62" spans="1:2" x14ac:dyDescent="0.3">
      <c r="A62">
        <v>61</v>
      </c>
      <c r="B62" s="5">
        <v>432.7</v>
      </c>
    </row>
    <row r="63" spans="1:2" x14ac:dyDescent="0.3">
      <c r="A63">
        <v>62</v>
      </c>
      <c r="B63" s="5">
        <v>291.2</v>
      </c>
    </row>
    <row r="64" spans="1:2" x14ac:dyDescent="0.3">
      <c r="A64">
        <v>63</v>
      </c>
      <c r="B64" s="5">
        <v>219.8</v>
      </c>
    </row>
    <row r="65" spans="1:2" x14ac:dyDescent="0.3">
      <c r="A65">
        <v>64</v>
      </c>
      <c r="B65" s="5">
        <v>255.8</v>
      </c>
    </row>
    <row r="66" spans="1:2" x14ac:dyDescent="0.3">
      <c r="A66">
        <v>65</v>
      </c>
      <c r="B66" s="5">
        <v>380.2</v>
      </c>
    </row>
    <row r="67" spans="1:2" x14ac:dyDescent="0.3">
      <c r="A67">
        <v>66</v>
      </c>
      <c r="B67" s="5">
        <v>463.6</v>
      </c>
    </row>
    <row r="68" spans="1:2" x14ac:dyDescent="0.3">
      <c r="A68">
        <v>67</v>
      </c>
      <c r="B68" s="5">
        <v>466.4</v>
      </c>
    </row>
    <row r="69" spans="1:2" x14ac:dyDescent="0.3">
      <c r="A69">
        <v>68</v>
      </c>
      <c r="B69" s="5">
        <v>397.4</v>
      </c>
    </row>
    <row r="70" spans="1:2" x14ac:dyDescent="0.3">
      <c r="A70">
        <v>69</v>
      </c>
      <c r="B70" s="5">
        <v>389.9</v>
      </c>
    </row>
    <row r="71" spans="1:2" x14ac:dyDescent="0.3">
      <c r="A71">
        <v>70</v>
      </c>
      <c r="B71" s="5">
        <v>442.1</v>
      </c>
    </row>
    <row r="72" spans="1:2" x14ac:dyDescent="0.3">
      <c r="A72">
        <v>71</v>
      </c>
      <c r="B72" s="5">
        <v>519.70000000000005</v>
      </c>
    </row>
    <row r="73" spans="1:2" x14ac:dyDescent="0.3">
      <c r="A73">
        <v>72</v>
      </c>
      <c r="B73" s="5">
        <v>562.79999999999995</v>
      </c>
    </row>
    <row r="74" spans="1:2" x14ac:dyDescent="0.3">
      <c r="A74">
        <v>73</v>
      </c>
      <c r="B74" s="5">
        <v>508.5</v>
      </c>
    </row>
    <row r="75" spans="1:2" x14ac:dyDescent="0.3">
      <c r="A75">
        <v>74</v>
      </c>
      <c r="B75" s="5">
        <v>388.1</v>
      </c>
    </row>
    <row r="76" spans="1:2" x14ac:dyDescent="0.3">
      <c r="A76">
        <v>75</v>
      </c>
      <c r="B76" s="5">
        <v>277.7</v>
      </c>
    </row>
    <row r="77" spans="1:2" x14ac:dyDescent="0.3">
      <c r="A77">
        <v>76</v>
      </c>
      <c r="B77" s="5">
        <v>383.4</v>
      </c>
    </row>
    <row r="78" spans="1:2" x14ac:dyDescent="0.3">
      <c r="A78">
        <v>77</v>
      </c>
      <c r="B78" s="5">
        <v>510.2</v>
      </c>
    </row>
    <row r="79" spans="1:2" x14ac:dyDescent="0.3">
      <c r="A79">
        <v>78</v>
      </c>
      <c r="B79" s="5">
        <v>592.9</v>
      </c>
    </row>
    <row r="80" spans="1:2" x14ac:dyDescent="0.3">
      <c r="A80">
        <v>79</v>
      </c>
      <c r="B80" s="5">
        <v>579.9</v>
      </c>
    </row>
    <row r="81" spans="1:2" x14ac:dyDescent="0.3">
      <c r="A81">
        <v>80</v>
      </c>
      <c r="B81" s="5">
        <v>484.6</v>
      </c>
    </row>
    <row r="82" spans="1:2" x14ac:dyDescent="0.3">
      <c r="A82">
        <v>81</v>
      </c>
      <c r="B82" s="5">
        <v>474.7</v>
      </c>
    </row>
    <row r="83" spans="1:2" x14ac:dyDescent="0.3">
      <c r="A83">
        <v>82</v>
      </c>
      <c r="B83" s="5">
        <v>472.9</v>
      </c>
    </row>
    <row r="84" spans="1:2" x14ac:dyDescent="0.3">
      <c r="A84">
        <v>83</v>
      </c>
      <c r="B84" s="5">
        <v>527.4</v>
      </c>
    </row>
    <row r="85" spans="1:2" x14ac:dyDescent="0.3">
      <c r="A85">
        <v>84</v>
      </c>
      <c r="B85" s="5">
        <v>588.6</v>
      </c>
    </row>
    <row r="86" spans="1:2" x14ac:dyDescent="0.3">
      <c r="A86">
        <v>85</v>
      </c>
      <c r="B86" s="5">
        <v>540.29999999999995</v>
      </c>
    </row>
    <row r="87" spans="1:2" x14ac:dyDescent="0.3">
      <c r="A87">
        <v>86</v>
      </c>
      <c r="B87" s="5"/>
    </row>
    <row r="88" spans="1:2" x14ac:dyDescent="0.3">
      <c r="A88">
        <v>87</v>
      </c>
      <c r="B88" s="5">
        <v>190.1</v>
      </c>
    </row>
    <row r="89" spans="1:2" x14ac:dyDescent="0.3">
      <c r="A89">
        <v>88</v>
      </c>
      <c r="B89" s="5">
        <v>346.9</v>
      </c>
    </row>
    <row r="90" spans="1:2" x14ac:dyDescent="0.3">
      <c r="A90">
        <v>89</v>
      </c>
      <c r="B90" s="5">
        <v>478.1</v>
      </c>
    </row>
    <row r="91" spans="1:2" x14ac:dyDescent="0.3">
      <c r="A91">
        <v>90</v>
      </c>
      <c r="B91" s="5">
        <v>581.79999999999995</v>
      </c>
    </row>
    <row r="92" spans="1:2" x14ac:dyDescent="0.3">
      <c r="A92">
        <v>91</v>
      </c>
      <c r="B92" s="5">
        <v>601.1</v>
      </c>
    </row>
    <row r="93" spans="1:2" x14ac:dyDescent="0.3">
      <c r="A93">
        <v>92</v>
      </c>
      <c r="B93" s="5">
        <v>569.9</v>
      </c>
    </row>
    <row r="94" spans="1:2" x14ac:dyDescent="0.3">
      <c r="A94">
        <v>93</v>
      </c>
      <c r="B94" s="5">
        <v>595.6</v>
      </c>
    </row>
    <row r="95" spans="1:2" x14ac:dyDescent="0.3">
      <c r="A95">
        <v>94</v>
      </c>
      <c r="B95" s="5">
        <v>604.4</v>
      </c>
    </row>
    <row r="96" spans="1:2" x14ac:dyDescent="0.3">
      <c r="A96">
        <v>95</v>
      </c>
      <c r="B96" s="5">
        <v>635.79999999999995</v>
      </c>
    </row>
    <row r="97" spans="1:2" x14ac:dyDescent="0.3">
      <c r="A97">
        <v>96</v>
      </c>
      <c r="B97" s="5">
        <v>637.9</v>
      </c>
    </row>
    <row r="98" spans="1:2" x14ac:dyDescent="0.3">
      <c r="A98">
        <v>97</v>
      </c>
      <c r="B98" s="5">
        <v>556.6</v>
      </c>
    </row>
    <row r="99" spans="1:2" x14ac:dyDescent="0.3">
      <c r="A99">
        <v>98</v>
      </c>
      <c r="B99" s="5">
        <v>434.3</v>
      </c>
    </row>
    <row r="100" spans="1:2" x14ac:dyDescent="0.3">
      <c r="A100">
        <v>99</v>
      </c>
      <c r="B100" s="5">
        <v>380.6</v>
      </c>
    </row>
    <row r="101" spans="1:2" x14ac:dyDescent="0.3">
      <c r="A101">
        <v>100</v>
      </c>
      <c r="B101" s="5">
        <v>374.5</v>
      </c>
    </row>
    <row r="102" spans="1:2" x14ac:dyDescent="0.3">
      <c r="A102">
        <v>101</v>
      </c>
      <c r="B102" s="5">
        <v>475.4</v>
      </c>
    </row>
    <row r="103" spans="1:2" x14ac:dyDescent="0.3">
      <c r="A103">
        <v>102</v>
      </c>
      <c r="B103" s="5">
        <v>578.70000000000005</v>
      </c>
    </row>
    <row r="104" spans="1:2" x14ac:dyDescent="0.3">
      <c r="A104">
        <v>103</v>
      </c>
      <c r="B104" s="5">
        <v>633.70000000000005</v>
      </c>
    </row>
    <row r="105" spans="1:2" x14ac:dyDescent="0.3">
      <c r="A105">
        <v>104</v>
      </c>
      <c r="B105" s="5">
        <v>641</v>
      </c>
    </row>
    <row r="106" spans="1:2" x14ac:dyDescent="0.3">
      <c r="A106">
        <v>105</v>
      </c>
      <c r="B106" s="5">
        <v>649.79999999999995</v>
      </c>
    </row>
    <row r="107" spans="1:2" x14ac:dyDescent="0.3">
      <c r="A107">
        <v>106</v>
      </c>
      <c r="B107" s="5">
        <v>653.4</v>
      </c>
    </row>
    <row r="108" spans="1:2" x14ac:dyDescent="0.3">
      <c r="A108">
        <v>107</v>
      </c>
      <c r="B108" s="5">
        <v>679.9</v>
      </c>
    </row>
    <row r="109" spans="1:2" x14ac:dyDescent="0.3">
      <c r="A109">
        <v>108</v>
      </c>
      <c r="B109" s="5">
        <v>668.1</v>
      </c>
    </row>
    <row r="110" spans="1:2" x14ac:dyDescent="0.3">
      <c r="A110">
        <v>109</v>
      </c>
      <c r="B110" s="5">
        <v>589.6</v>
      </c>
    </row>
    <row r="111" spans="1:2" x14ac:dyDescent="0.3">
      <c r="A111">
        <v>110</v>
      </c>
      <c r="B111" s="5">
        <v>479.6</v>
      </c>
    </row>
    <row r="112" spans="1:2" x14ac:dyDescent="0.3">
      <c r="A112">
        <v>111</v>
      </c>
      <c r="B112" s="5">
        <v>359.6</v>
      </c>
    </row>
    <row r="113" spans="1:2" x14ac:dyDescent="0.3">
      <c r="A113">
        <v>112</v>
      </c>
      <c r="B113" s="5">
        <v>394.5</v>
      </c>
    </row>
    <row r="114" spans="1:2" x14ac:dyDescent="0.3">
      <c r="A114">
        <v>113</v>
      </c>
      <c r="B114" s="5">
        <v>454.6</v>
      </c>
    </row>
    <row r="115" spans="1:2" x14ac:dyDescent="0.3">
      <c r="A115">
        <v>114</v>
      </c>
      <c r="B115" s="5">
        <v>476.9</v>
      </c>
    </row>
    <row r="116" spans="1:2" x14ac:dyDescent="0.3">
      <c r="A116">
        <v>115</v>
      </c>
      <c r="B116" s="5">
        <v>460.8</v>
      </c>
    </row>
    <row r="117" spans="1:2" x14ac:dyDescent="0.3">
      <c r="A117">
        <v>116</v>
      </c>
      <c r="B117" s="5">
        <v>369.3</v>
      </c>
    </row>
    <row r="118" spans="1:2" x14ac:dyDescent="0.3">
      <c r="A118">
        <v>117</v>
      </c>
      <c r="B118" s="5">
        <v>369.2</v>
      </c>
    </row>
    <row r="119" spans="1:2" x14ac:dyDescent="0.3">
      <c r="A119">
        <v>118</v>
      </c>
      <c r="B119" s="5">
        <v>323.7</v>
      </c>
    </row>
    <row r="120" spans="1:2" x14ac:dyDescent="0.3">
      <c r="A120">
        <v>119</v>
      </c>
      <c r="B120" s="5">
        <v>418.1</v>
      </c>
    </row>
    <row r="121" spans="1:2" x14ac:dyDescent="0.3">
      <c r="A121">
        <v>120</v>
      </c>
      <c r="B121" s="5">
        <v>335.2</v>
      </c>
    </row>
    <row r="122" spans="1:2" x14ac:dyDescent="0.3">
      <c r="A122">
        <v>121</v>
      </c>
      <c r="B122" s="5">
        <v>186.5</v>
      </c>
    </row>
    <row r="123" spans="1:2" x14ac:dyDescent="0.3">
      <c r="A123">
        <v>122</v>
      </c>
      <c r="B123" s="5">
        <v>144.69999999999999</v>
      </c>
    </row>
    <row r="124" spans="1:2" x14ac:dyDescent="0.3">
      <c r="A124">
        <v>123</v>
      </c>
      <c r="B124" s="5">
        <v>163.9</v>
      </c>
    </row>
    <row r="125" spans="1:2" x14ac:dyDescent="0.3">
      <c r="A125">
        <v>124</v>
      </c>
      <c r="B125" s="5">
        <v>211.5</v>
      </c>
    </row>
    <row r="126" spans="1:2" x14ac:dyDescent="0.3">
      <c r="A126">
        <v>125</v>
      </c>
      <c r="B126" s="5">
        <v>341.9</v>
      </c>
    </row>
    <row r="127" spans="1:2" x14ac:dyDescent="0.3">
      <c r="A127">
        <v>126</v>
      </c>
      <c r="B127" s="5">
        <v>470.4</v>
      </c>
    </row>
    <row r="128" spans="1:2" x14ac:dyDescent="0.3">
      <c r="A128">
        <v>127</v>
      </c>
      <c r="B128" s="5">
        <v>587.70000000000005</v>
      </c>
    </row>
    <row r="129" spans="1:2" x14ac:dyDescent="0.3">
      <c r="A129">
        <v>128</v>
      </c>
      <c r="B129" s="5">
        <v>641.20000000000005</v>
      </c>
    </row>
    <row r="130" spans="1:2" x14ac:dyDescent="0.3">
      <c r="A130">
        <v>129</v>
      </c>
      <c r="B130" s="5">
        <v>633.5</v>
      </c>
    </row>
    <row r="131" spans="1:2" x14ac:dyDescent="0.3">
      <c r="A131">
        <v>130</v>
      </c>
      <c r="B131" s="5">
        <v>668.4</v>
      </c>
    </row>
    <row r="132" spans="1:2" x14ac:dyDescent="0.3">
      <c r="A132">
        <v>131</v>
      </c>
      <c r="B132" s="5">
        <v>699.3</v>
      </c>
    </row>
    <row r="133" spans="1:2" x14ac:dyDescent="0.3">
      <c r="A133">
        <v>132</v>
      </c>
      <c r="B133" s="5">
        <v>835.1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/>
  <dimension ref="A1:B12"/>
  <sheetViews>
    <sheetView workbookViewId="0"/>
  </sheetViews>
  <sheetFormatPr baseColWidth="10" defaultColWidth="11.44140625" defaultRowHeight="14.4" x14ac:dyDescent="0.3"/>
  <sheetData>
    <row r="1" spans="1:2" x14ac:dyDescent="0.3">
      <c r="A1" t="s">
        <v>13</v>
      </c>
      <c r="B1" s="4" t="s">
        <v>12</v>
      </c>
    </row>
    <row r="2" spans="1:2" x14ac:dyDescent="0.3">
      <c r="A2">
        <v>2000</v>
      </c>
      <c r="B2" s="5">
        <v>511.77499999999992</v>
      </c>
    </row>
    <row r="3" spans="1:2" x14ac:dyDescent="0.3">
      <c r="A3">
        <v>2001</v>
      </c>
      <c r="B3" s="5">
        <v>284.85000000000002</v>
      </c>
    </row>
    <row r="4" spans="1:2" x14ac:dyDescent="0.3">
      <c r="A4">
        <v>2002</v>
      </c>
      <c r="B4" s="5">
        <v>361.55833333333334</v>
      </c>
    </row>
    <row r="5" spans="1:2" x14ac:dyDescent="0.3">
      <c r="A5">
        <v>2003</v>
      </c>
      <c r="B5" s="5">
        <v>377.73636363636365</v>
      </c>
    </row>
    <row r="6" spans="1:2" x14ac:dyDescent="0.3">
      <c r="A6">
        <v>2004</v>
      </c>
      <c r="B6" s="5">
        <v>370.7833333333333</v>
      </c>
    </row>
    <row r="7" spans="1:2" x14ac:dyDescent="0.3">
      <c r="A7">
        <v>2005</v>
      </c>
      <c r="B7" s="5">
        <v>401.8</v>
      </c>
    </row>
    <row r="8" spans="1:2" x14ac:dyDescent="0.3">
      <c r="A8">
        <v>2006</v>
      </c>
      <c r="B8" s="5">
        <v>482.4083333333333</v>
      </c>
    </row>
    <row r="9" spans="1:2" x14ac:dyDescent="0.3">
      <c r="A9">
        <v>2007</v>
      </c>
      <c r="B9" s="5">
        <v>525.62727272727273</v>
      </c>
    </row>
    <row r="10" spans="1:2" x14ac:dyDescent="0.3">
      <c r="A10">
        <v>2008</v>
      </c>
      <c r="B10" s="5">
        <v>560.5</v>
      </c>
    </row>
    <row r="11" spans="1:2" x14ac:dyDescent="0.3">
      <c r="A11">
        <v>2009</v>
      </c>
      <c r="B11" s="5">
        <v>419.25833333333338</v>
      </c>
    </row>
    <row r="12" spans="1:2" x14ac:dyDescent="0.3">
      <c r="A12">
        <v>2010</v>
      </c>
      <c r="B12" s="5">
        <v>465.3416666666667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7"/>
  <dimension ref="A1:B12"/>
  <sheetViews>
    <sheetView workbookViewId="0"/>
  </sheetViews>
  <sheetFormatPr baseColWidth="10" defaultColWidth="11.44140625" defaultRowHeight="14.4" x14ac:dyDescent="0.3"/>
  <sheetData>
    <row r="1" spans="1:2" x14ac:dyDescent="0.3">
      <c r="A1" t="s">
        <v>13</v>
      </c>
      <c r="B1" s="4" t="s">
        <v>12</v>
      </c>
    </row>
    <row r="2" spans="1:2" x14ac:dyDescent="0.3">
      <c r="A2">
        <v>1</v>
      </c>
      <c r="B2" s="5">
        <v>511.77499999999992</v>
      </c>
    </row>
    <row r="3" spans="1:2" x14ac:dyDescent="0.3">
      <c r="A3">
        <v>2</v>
      </c>
      <c r="B3" s="5">
        <v>284.85000000000002</v>
      </c>
    </row>
    <row r="4" spans="1:2" x14ac:dyDescent="0.3">
      <c r="A4">
        <v>3</v>
      </c>
      <c r="B4" s="5">
        <v>361.55833333333334</v>
      </c>
    </row>
    <row r="5" spans="1:2" x14ac:dyDescent="0.3">
      <c r="A5">
        <v>4</v>
      </c>
      <c r="B5" s="5">
        <v>377.73636363636365</v>
      </c>
    </row>
    <row r="6" spans="1:2" x14ac:dyDescent="0.3">
      <c r="A6">
        <v>5</v>
      </c>
      <c r="B6" s="5">
        <v>370.7833333333333</v>
      </c>
    </row>
    <row r="7" spans="1:2" x14ac:dyDescent="0.3">
      <c r="A7">
        <v>6</v>
      </c>
      <c r="B7" s="5">
        <v>401.8</v>
      </c>
    </row>
    <row r="8" spans="1:2" x14ac:dyDescent="0.3">
      <c r="A8">
        <v>7</v>
      </c>
      <c r="B8" s="5">
        <v>482.4083333333333</v>
      </c>
    </row>
    <row r="9" spans="1:2" x14ac:dyDescent="0.3">
      <c r="A9">
        <v>8</v>
      </c>
      <c r="B9" s="5">
        <v>525.62727272727273</v>
      </c>
    </row>
    <row r="10" spans="1:2" x14ac:dyDescent="0.3">
      <c r="A10">
        <v>9</v>
      </c>
      <c r="B10" s="5">
        <v>560.5</v>
      </c>
    </row>
    <row r="11" spans="1:2" x14ac:dyDescent="0.3">
      <c r="A11">
        <v>10</v>
      </c>
      <c r="B11" s="5">
        <v>419.25833333333338</v>
      </c>
    </row>
    <row r="12" spans="1:2" x14ac:dyDescent="0.3">
      <c r="A12">
        <v>11</v>
      </c>
      <c r="B12" s="5">
        <v>465.3416666666667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8"/>
  <dimension ref="A1:B12"/>
  <sheetViews>
    <sheetView workbookViewId="0"/>
  </sheetViews>
  <sheetFormatPr baseColWidth="10" defaultColWidth="11.44140625" defaultRowHeight="14.4" x14ac:dyDescent="0.3"/>
  <sheetData>
    <row r="1" spans="1:2" x14ac:dyDescent="0.3">
      <c r="A1" t="s">
        <v>13</v>
      </c>
      <c r="B1" s="4" t="s">
        <v>12</v>
      </c>
    </row>
    <row r="2" spans="1:2" x14ac:dyDescent="0.3">
      <c r="A2">
        <v>2000</v>
      </c>
      <c r="B2" s="5">
        <v>511.77499999999992</v>
      </c>
    </row>
    <row r="3" spans="1:2" x14ac:dyDescent="0.3">
      <c r="A3">
        <v>2001</v>
      </c>
      <c r="B3" s="5">
        <v>284.85000000000002</v>
      </c>
    </row>
    <row r="4" spans="1:2" x14ac:dyDescent="0.3">
      <c r="A4">
        <v>2002</v>
      </c>
      <c r="B4" s="5">
        <v>361.55833333333334</v>
      </c>
    </row>
    <row r="5" spans="1:2" x14ac:dyDescent="0.3">
      <c r="A5">
        <v>2003</v>
      </c>
      <c r="B5" s="5">
        <v>377.73636363636365</v>
      </c>
    </row>
    <row r="6" spans="1:2" x14ac:dyDescent="0.3">
      <c r="A6">
        <v>2004</v>
      </c>
      <c r="B6" s="5">
        <v>370.7833333333333</v>
      </c>
    </row>
    <row r="7" spans="1:2" x14ac:dyDescent="0.3">
      <c r="A7">
        <v>2005</v>
      </c>
      <c r="B7" s="5">
        <v>401.8</v>
      </c>
    </row>
    <row r="8" spans="1:2" x14ac:dyDescent="0.3">
      <c r="A8">
        <v>2006</v>
      </c>
      <c r="B8" s="5">
        <v>482.4083333333333</v>
      </c>
    </row>
    <row r="9" spans="1:2" x14ac:dyDescent="0.3">
      <c r="A9">
        <v>2007</v>
      </c>
      <c r="B9" s="5">
        <v>525.62727272727273</v>
      </c>
    </row>
    <row r="10" spans="1:2" x14ac:dyDescent="0.3">
      <c r="A10">
        <v>2008</v>
      </c>
      <c r="B10" s="5">
        <v>560.5</v>
      </c>
    </row>
    <row r="11" spans="1:2" x14ac:dyDescent="0.3">
      <c r="A11">
        <v>2009</v>
      </c>
      <c r="B11" s="5">
        <v>419.25833333333338</v>
      </c>
    </row>
    <row r="12" spans="1:2" x14ac:dyDescent="0.3">
      <c r="A12">
        <v>2010</v>
      </c>
      <c r="B12" s="5">
        <v>465.3416666666667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9"/>
  <dimension ref="A1:B12"/>
  <sheetViews>
    <sheetView workbookViewId="0"/>
  </sheetViews>
  <sheetFormatPr baseColWidth="10" defaultColWidth="11.44140625" defaultRowHeight="14.4" x14ac:dyDescent="0.3"/>
  <sheetData>
    <row r="1" spans="1:2" x14ac:dyDescent="0.3">
      <c r="A1" t="s">
        <v>13</v>
      </c>
      <c r="B1" s="4" t="s">
        <v>12</v>
      </c>
    </row>
    <row r="2" spans="1:2" x14ac:dyDescent="0.3">
      <c r="A2">
        <v>2000</v>
      </c>
      <c r="B2" s="5">
        <v>511.77499999999992</v>
      </c>
    </row>
    <row r="3" spans="1:2" x14ac:dyDescent="0.3">
      <c r="A3">
        <v>2001</v>
      </c>
      <c r="B3" s="5">
        <v>284.85000000000002</v>
      </c>
    </row>
    <row r="4" spans="1:2" x14ac:dyDescent="0.3">
      <c r="A4">
        <v>2002</v>
      </c>
      <c r="B4" s="5">
        <v>361.55833333333334</v>
      </c>
    </row>
    <row r="5" spans="1:2" x14ac:dyDescent="0.3">
      <c r="A5">
        <v>2003</v>
      </c>
      <c r="B5" s="5">
        <v>377.73636363636365</v>
      </c>
    </row>
    <row r="6" spans="1:2" x14ac:dyDescent="0.3">
      <c r="A6">
        <v>2004</v>
      </c>
      <c r="B6" s="5">
        <v>370.7833333333333</v>
      </c>
    </row>
    <row r="7" spans="1:2" x14ac:dyDescent="0.3">
      <c r="A7">
        <v>2005</v>
      </c>
      <c r="B7" s="5">
        <v>401.8</v>
      </c>
    </row>
    <row r="8" spans="1:2" x14ac:dyDescent="0.3">
      <c r="A8">
        <v>2006</v>
      </c>
      <c r="B8" s="5">
        <v>482.4083333333333</v>
      </c>
    </row>
    <row r="9" spans="1:2" x14ac:dyDescent="0.3">
      <c r="A9">
        <v>2007</v>
      </c>
      <c r="B9" s="5">
        <v>525.62727272727273</v>
      </c>
    </row>
    <row r="10" spans="1:2" x14ac:dyDescent="0.3">
      <c r="A10">
        <v>2008</v>
      </c>
      <c r="B10" s="5">
        <v>560.5</v>
      </c>
    </row>
    <row r="11" spans="1:2" x14ac:dyDescent="0.3">
      <c r="A11">
        <v>2009</v>
      </c>
      <c r="B11" s="5">
        <v>419.25833333333338</v>
      </c>
    </row>
    <row r="12" spans="1:2" x14ac:dyDescent="0.3">
      <c r="A12">
        <v>2010</v>
      </c>
      <c r="B12" s="5">
        <v>465.3416666666667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3"/>
  <dimension ref="A1:B372"/>
  <sheetViews>
    <sheetView workbookViewId="0"/>
  </sheetViews>
  <sheetFormatPr baseColWidth="10" defaultColWidth="11.44140625" defaultRowHeight="14.4" x14ac:dyDescent="0.3"/>
  <sheetData>
    <row r="1" spans="1:2" x14ac:dyDescent="0.3">
      <c r="A1" s="3" t="s">
        <v>13</v>
      </c>
      <c r="B1" s="4" t="s">
        <v>12</v>
      </c>
    </row>
    <row r="2" spans="1:2" x14ac:dyDescent="0.3">
      <c r="A2" s="3">
        <v>30713</v>
      </c>
      <c r="B2" s="5">
        <v>197.4</v>
      </c>
    </row>
    <row r="3" spans="1:2" x14ac:dyDescent="0.3">
      <c r="A3" s="3">
        <v>30742</v>
      </c>
      <c r="B3" s="5">
        <v>232.1</v>
      </c>
    </row>
    <row r="4" spans="1:2" x14ac:dyDescent="0.3">
      <c r="A4" s="3">
        <v>30773</v>
      </c>
      <c r="B4" s="5">
        <v>176.2</v>
      </c>
    </row>
    <row r="5" spans="1:2" x14ac:dyDescent="0.3">
      <c r="A5" s="3">
        <v>30803</v>
      </c>
      <c r="B5" s="5">
        <v>285.89999999999998</v>
      </c>
    </row>
    <row r="6" spans="1:2" x14ac:dyDescent="0.3">
      <c r="A6" s="3">
        <v>30834</v>
      </c>
      <c r="B6" s="5">
        <v>388.3</v>
      </c>
    </row>
    <row r="7" spans="1:2" x14ac:dyDescent="0.3">
      <c r="A7" s="3">
        <v>30864</v>
      </c>
      <c r="B7" s="5">
        <v>475.7</v>
      </c>
    </row>
    <row r="8" spans="1:2" x14ac:dyDescent="0.3">
      <c r="A8" s="3">
        <v>30895</v>
      </c>
      <c r="B8" s="5">
        <v>527.70000000000005</v>
      </c>
    </row>
    <row r="9" spans="1:2" x14ac:dyDescent="0.3">
      <c r="A9" s="3">
        <v>30926</v>
      </c>
      <c r="B9" s="5">
        <v>497.4</v>
      </c>
    </row>
    <row r="10" spans="1:2" x14ac:dyDescent="0.3">
      <c r="A10" s="3">
        <v>30956</v>
      </c>
      <c r="B10" s="5">
        <v>564.5</v>
      </c>
    </row>
    <row r="11" spans="1:2" x14ac:dyDescent="0.3">
      <c r="A11" s="3">
        <v>30987</v>
      </c>
      <c r="B11" s="5">
        <v>648.29999999999995</v>
      </c>
    </row>
    <row r="12" spans="1:2" x14ac:dyDescent="0.3">
      <c r="A12" s="3">
        <v>31017</v>
      </c>
      <c r="B12" s="5">
        <v>722.7</v>
      </c>
    </row>
    <row r="13" spans="1:2" x14ac:dyDescent="0.3">
      <c r="A13" s="3">
        <v>31048</v>
      </c>
      <c r="B13" s="5">
        <v>523.6</v>
      </c>
    </row>
    <row r="14" spans="1:2" x14ac:dyDescent="0.3">
      <c r="A14" s="3">
        <v>31079</v>
      </c>
      <c r="B14" s="5">
        <v>266.10000000000002</v>
      </c>
    </row>
    <row r="15" spans="1:2" x14ac:dyDescent="0.3">
      <c r="A15" s="3">
        <v>31107</v>
      </c>
      <c r="B15" s="5">
        <v>195.5</v>
      </c>
    </row>
    <row r="16" spans="1:2" x14ac:dyDescent="0.3">
      <c r="A16" s="3">
        <v>31138</v>
      </c>
      <c r="B16" s="5">
        <v>216.5</v>
      </c>
    </row>
    <row r="17" spans="1:2" x14ac:dyDescent="0.3">
      <c r="A17" s="3">
        <v>31168</v>
      </c>
      <c r="B17" s="5">
        <v>295.5</v>
      </c>
    </row>
    <row r="18" spans="1:2" x14ac:dyDescent="0.3">
      <c r="A18" s="3">
        <v>31199</v>
      </c>
      <c r="B18" s="5">
        <v>343.8</v>
      </c>
    </row>
    <row r="19" spans="1:2" x14ac:dyDescent="0.3">
      <c r="A19" s="3">
        <v>31229</v>
      </c>
      <c r="B19" s="5">
        <v>281</v>
      </c>
    </row>
    <row r="20" spans="1:2" x14ac:dyDescent="0.3">
      <c r="A20" s="3">
        <v>31260</v>
      </c>
      <c r="B20" s="5">
        <v>339</v>
      </c>
    </row>
    <row r="21" spans="1:2" x14ac:dyDescent="0.3">
      <c r="A21" s="3">
        <v>31291</v>
      </c>
      <c r="B21" s="5">
        <v>413.2</v>
      </c>
    </row>
    <row r="22" spans="1:2" x14ac:dyDescent="0.3">
      <c r="A22" s="3">
        <v>31321</v>
      </c>
      <c r="B22" s="5">
        <v>492.7</v>
      </c>
    </row>
    <row r="23" spans="1:2" x14ac:dyDescent="0.3">
      <c r="A23" s="3">
        <v>31352</v>
      </c>
      <c r="B23" s="5">
        <v>531.29999999999995</v>
      </c>
    </row>
    <row r="24" spans="1:2" x14ac:dyDescent="0.3">
      <c r="A24" s="3">
        <v>31382</v>
      </c>
      <c r="B24" s="5">
        <v>568.79999999999995</v>
      </c>
    </row>
    <row r="25" spans="1:2" x14ac:dyDescent="0.3">
      <c r="A25" s="3">
        <v>31413</v>
      </c>
      <c r="B25" s="5">
        <v>384.6</v>
      </c>
    </row>
    <row r="26" spans="1:2" x14ac:dyDescent="0.3">
      <c r="A26" s="3">
        <v>31444</v>
      </c>
      <c r="B26" s="5">
        <v>218.4</v>
      </c>
    </row>
    <row r="27" spans="1:2" x14ac:dyDescent="0.3">
      <c r="A27" s="3">
        <v>31472</v>
      </c>
      <c r="B27" s="5">
        <v>255.2</v>
      </c>
    </row>
    <row r="28" spans="1:2" x14ac:dyDescent="0.3">
      <c r="A28" s="3">
        <v>31503</v>
      </c>
      <c r="B28" s="5">
        <v>292.2</v>
      </c>
    </row>
    <row r="29" spans="1:2" x14ac:dyDescent="0.3">
      <c r="A29" s="3">
        <v>31533</v>
      </c>
      <c r="B29" s="5">
        <v>406.7</v>
      </c>
    </row>
    <row r="30" spans="1:2" x14ac:dyDescent="0.3">
      <c r="A30" s="3">
        <v>31564</v>
      </c>
      <c r="B30" s="5">
        <v>456.3</v>
      </c>
    </row>
    <row r="31" spans="1:2" x14ac:dyDescent="0.3">
      <c r="A31" s="3">
        <v>31594</v>
      </c>
      <c r="B31" s="5">
        <v>474.5</v>
      </c>
    </row>
    <row r="32" spans="1:2" x14ac:dyDescent="0.3">
      <c r="A32" s="3">
        <v>31625</v>
      </c>
      <c r="B32" s="5">
        <v>344.1</v>
      </c>
    </row>
    <row r="33" spans="1:2" x14ac:dyDescent="0.3">
      <c r="A33" s="3">
        <v>31656</v>
      </c>
      <c r="B33" s="5">
        <v>306</v>
      </c>
    </row>
    <row r="34" spans="1:2" x14ac:dyDescent="0.3">
      <c r="A34" s="3">
        <v>31686</v>
      </c>
      <c r="B34" s="5">
        <v>418.2</v>
      </c>
    </row>
    <row r="35" spans="1:2" x14ac:dyDescent="0.3">
      <c r="A35" s="3">
        <v>31717</v>
      </c>
      <c r="B35" s="5">
        <v>532.29999999999995</v>
      </c>
    </row>
    <row r="36" spans="1:2" x14ac:dyDescent="0.3">
      <c r="A36" s="3">
        <v>31747</v>
      </c>
      <c r="B36" s="5">
        <v>566.6</v>
      </c>
    </row>
    <row r="37" spans="1:2" x14ac:dyDescent="0.3">
      <c r="A37" s="3">
        <v>31778</v>
      </c>
      <c r="B37" s="5">
        <v>324.39999999999998</v>
      </c>
    </row>
    <row r="38" spans="1:2" x14ac:dyDescent="0.3">
      <c r="A38" s="3">
        <v>31809</v>
      </c>
      <c r="B38" s="5">
        <v>135.9</v>
      </c>
    </row>
    <row r="39" spans="1:2" x14ac:dyDescent="0.3">
      <c r="A39" s="3">
        <v>31837</v>
      </c>
      <c r="B39" s="5">
        <v>116.5</v>
      </c>
    </row>
    <row r="40" spans="1:2" x14ac:dyDescent="0.3">
      <c r="A40" s="3">
        <v>31868</v>
      </c>
      <c r="B40" s="5">
        <v>161.19999999999999</v>
      </c>
    </row>
    <row r="41" spans="1:2" x14ac:dyDescent="0.3">
      <c r="A41" s="3">
        <v>31898</v>
      </c>
      <c r="B41" s="5">
        <v>318.5</v>
      </c>
    </row>
    <row r="42" spans="1:2" x14ac:dyDescent="0.3">
      <c r="A42" s="3">
        <v>31929</v>
      </c>
      <c r="B42" s="5">
        <v>387.9</v>
      </c>
    </row>
    <row r="43" spans="1:2" x14ac:dyDescent="0.3">
      <c r="A43" s="3">
        <v>31959</v>
      </c>
      <c r="B43" s="5">
        <v>354.7</v>
      </c>
    </row>
    <row r="44" spans="1:2" x14ac:dyDescent="0.3">
      <c r="A44" s="3">
        <v>31990</v>
      </c>
      <c r="B44" s="5">
        <v>433</v>
      </c>
    </row>
    <row r="45" spans="1:2" x14ac:dyDescent="0.3">
      <c r="A45" s="3">
        <v>32021</v>
      </c>
      <c r="B45" s="5">
        <v>455.2</v>
      </c>
    </row>
    <row r="46" spans="1:2" x14ac:dyDescent="0.3">
      <c r="A46" s="3">
        <v>32051</v>
      </c>
      <c r="B46" s="5">
        <v>546.20000000000005</v>
      </c>
    </row>
    <row r="47" spans="1:2" x14ac:dyDescent="0.3">
      <c r="A47" s="3">
        <v>32082</v>
      </c>
      <c r="B47" s="5">
        <v>619.70000000000005</v>
      </c>
    </row>
    <row r="48" spans="1:2" x14ac:dyDescent="0.3">
      <c r="A48" s="3">
        <v>32112</v>
      </c>
      <c r="B48" s="5">
        <v>697.7</v>
      </c>
    </row>
    <row r="49" spans="1:2" x14ac:dyDescent="0.3">
      <c r="A49" s="3">
        <v>32143</v>
      </c>
      <c r="B49" s="5">
        <v>525.9</v>
      </c>
    </row>
    <row r="50" spans="1:2" x14ac:dyDescent="0.3">
      <c r="A50" s="3">
        <v>32174</v>
      </c>
      <c r="B50" s="5">
        <v>238.2</v>
      </c>
    </row>
    <row r="51" spans="1:2" x14ac:dyDescent="0.3">
      <c r="A51" s="3">
        <v>32203</v>
      </c>
      <c r="B51" s="5">
        <v>172.6</v>
      </c>
    </row>
    <row r="52" spans="1:2" x14ac:dyDescent="0.3">
      <c r="A52" s="3">
        <v>32234</v>
      </c>
      <c r="B52" s="5">
        <v>226.1</v>
      </c>
    </row>
    <row r="53" spans="1:2" x14ac:dyDescent="0.3">
      <c r="A53" s="3">
        <v>32264</v>
      </c>
      <c r="B53" s="5">
        <v>361.9</v>
      </c>
    </row>
    <row r="54" spans="1:2" x14ac:dyDescent="0.3">
      <c r="A54" s="3">
        <v>32295</v>
      </c>
      <c r="B54" s="5">
        <v>414.8</v>
      </c>
    </row>
    <row r="55" spans="1:2" x14ac:dyDescent="0.3">
      <c r="A55" s="3">
        <v>32325</v>
      </c>
      <c r="B55" s="5">
        <v>563.79999999999995</v>
      </c>
    </row>
    <row r="56" spans="1:2" x14ac:dyDescent="0.3">
      <c r="A56" s="3">
        <v>32356</v>
      </c>
      <c r="B56" s="5">
        <v>648.6</v>
      </c>
    </row>
    <row r="57" spans="1:2" x14ac:dyDescent="0.3">
      <c r="A57" s="3">
        <v>32387</v>
      </c>
      <c r="B57" s="5">
        <v>695.4</v>
      </c>
    </row>
    <row r="58" spans="1:2" x14ac:dyDescent="0.3">
      <c r="A58" s="3">
        <v>32417</v>
      </c>
      <c r="B58" s="5">
        <v>778.8</v>
      </c>
    </row>
    <row r="59" spans="1:2" x14ac:dyDescent="0.3">
      <c r="A59" s="3">
        <v>32448</v>
      </c>
      <c r="B59" s="5">
        <v>747.4</v>
      </c>
    </row>
    <row r="60" spans="1:2" x14ac:dyDescent="0.3">
      <c r="A60" s="3">
        <v>32478</v>
      </c>
      <c r="B60" s="5">
        <v>765.2</v>
      </c>
    </row>
    <row r="61" spans="1:2" x14ac:dyDescent="0.3">
      <c r="A61" s="3">
        <v>32509</v>
      </c>
      <c r="B61" s="5">
        <v>639.9</v>
      </c>
    </row>
    <row r="62" spans="1:2" x14ac:dyDescent="0.3">
      <c r="A62" s="3">
        <v>32540</v>
      </c>
      <c r="B62" s="5">
        <v>413.2</v>
      </c>
    </row>
    <row r="63" spans="1:2" x14ac:dyDescent="0.3">
      <c r="A63" s="3">
        <v>32568</v>
      </c>
      <c r="B63" s="5">
        <v>326.89999999999998</v>
      </c>
    </row>
    <row r="64" spans="1:2" x14ac:dyDescent="0.3">
      <c r="A64" s="3">
        <v>32599</v>
      </c>
      <c r="B64" s="5">
        <v>277.2</v>
      </c>
    </row>
    <row r="65" spans="1:2" x14ac:dyDescent="0.3">
      <c r="A65" s="3">
        <v>32629</v>
      </c>
      <c r="B65" s="5">
        <v>306.5</v>
      </c>
    </row>
    <row r="66" spans="1:2" x14ac:dyDescent="0.3">
      <c r="A66" s="3">
        <v>32660</v>
      </c>
      <c r="B66" s="5">
        <v>379</v>
      </c>
    </row>
    <row r="67" spans="1:2" x14ac:dyDescent="0.3">
      <c r="A67" s="3">
        <v>32690</v>
      </c>
      <c r="B67" s="5">
        <v>397.4</v>
      </c>
    </row>
    <row r="68" spans="1:2" x14ac:dyDescent="0.3">
      <c r="A68" s="3">
        <v>32721</v>
      </c>
      <c r="B68" s="5">
        <v>383.6</v>
      </c>
    </row>
    <row r="69" spans="1:2" x14ac:dyDescent="0.3">
      <c r="A69" s="3">
        <v>32752</v>
      </c>
      <c r="B69" s="5">
        <v>425</v>
      </c>
    </row>
    <row r="70" spans="1:2" x14ac:dyDescent="0.3">
      <c r="A70" s="3">
        <v>32782</v>
      </c>
      <c r="B70" s="5">
        <v>542.9</v>
      </c>
    </row>
    <row r="71" spans="1:2" x14ac:dyDescent="0.3">
      <c r="A71" s="3">
        <v>32813</v>
      </c>
      <c r="B71" s="5">
        <v>601.9</v>
      </c>
    </row>
    <row r="72" spans="1:2" x14ac:dyDescent="0.3">
      <c r="A72" s="3">
        <v>32843</v>
      </c>
      <c r="B72" s="5">
        <v>614.6</v>
      </c>
    </row>
    <row r="73" spans="1:2" x14ac:dyDescent="0.3">
      <c r="A73" s="3">
        <v>32874</v>
      </c>
      <c r="B73" s="5">
        <v>409.9</v>
      </c>
    </row>
    <row r="74" spans="1:2" x14ac:dyDescent="0.3">
      <c r="A74" s="3">
        <v>32905</v>
      </c>
      <c r="B74" s="5">
        <v>247.8</v>
      </c>
    </row>
    <row r="75" spans="1:2" x14ac:dyDescent="0.3">
      <c r="A75" s="3">
        <v>32933</v>
      </c>
      <c r="B75" s="5">
        <v>245.5</v>
      </c>
    </row>
    <row r="76" spans="1:2" x14ac:dyDescent="0.3">
      <c r="A76" s="3">
        <v>32964</v>
      </c>
      <c r="B76" s="5">
        <v>260.39999999999998</v>
      </c>
    </row>
    <row r="77" spans="1:2" x14ac:dyDescent="0.3">
      <c r="A77" s="3">
        <v>32994</v>
      </c>
      <c r="B77" s="5">
        <v>384.8</v>
      </c>
    </row>
    <row r="78" spans="1:2" x14ac:dyDescent="0.3">
      <c r="A78" s="3">
        <v>33025</v>
      </c>
      <c r="B78" s="5">
        <v>402.5</v>
      </c>
    </row>
    <row r="79" spans="1:2" x14ac:dyDescent="0.3">
      <c r="A79" s="3">
        <v>33055</v>
      </c>
      <c r="B79" s="5">
        <v>404.9</v>
      </c>
    </row>
    <row r="80" spans="1:2" x14ac:dyDescent="0.3">
      <c r="A80" s="3">
        <v>33086</v>
      </c>
      <c r="B80" s="5">
        <v>371.6</v>
      </c>
    </row>
    <row r="81" spans="1:2" x14ac:dyDescent="0.3">
      <c r="A81" s="3">
        <v>33117</v>
      </c>
      <c r="B81" s="5">
        <v>369.5</v>
      </c>
    </row>
    <row r="82" spans="1:2" x14ac:dyDescent="0.3">
      <c r="A82" s="3">
        <v>33147</v>
      </c>
      <c r="B82" s="5">
        <v>448.8</v>
      </c>
    </row>
    <row r="83" spans="1:2" x14ac:dyDescent="0.3">
      <c r="A83" s="3">
        <v>33178</v>
      </c>
      <c r="B83" s="5">
        <v>526.79999999999995</v>
      </c>
    </row>
    <row r="84" spans="1:2" x14ac:dyDescent="0.3">
      <c r="A84" s="3">
        <v>33208</v>
      </c>
      <c r="B84" s="5">
        <v>569.6</v>
      </c>
    </row>
    <row r="85" spans="1:2" x14ac:dyDescent="0.3">
      <c r="A85" s="3">
        <v>33239</v>
      </c>
      <c r="B85" s="5">
        <v>431.35</v>
      </c>
    </row>
    <row r="86" spans="1:2" x14ac:dyDescent="0.3">
      <c r="A86" s="3">
        <v>33270</v>
      </c>
      <c r="B86" s="5">
        <v>362.22500000000002</v>
      </c>
    </row>
    <row r="87" spans="1:2" x14ac:dyDescent="0.3">
      <c r="A87" s="3">
        <v>33298</v>
      </c>
      <c r="B87" s="5">
        <v>327.66250000000002</v>
      </c>
    </row>
    <row r="88" spans="1:2" x14ac:dyDescent="0.3">
      <c r="A88" s="3">
        <v>33329</v>
      </c>
      <c r="B88" s="5">
        <v>310.38125000000002</v>
      </c>
    </row>
    <row r="89" spans="1:2" x14ac:dyDescent="0.3">
      <c r="A89" s="3">
        <v>33359</v>
      </c>
      <c r="B89" s="5">
        <v>301.74062500000002</v>
      </c>
    </row>
    <row r="90" spans="1:2" x14ac:dyDescent="0.3">
      <c r="A90" s="3">
        <v>33390</v>
      </c>
      <c r="B90" s="5">
        <v>297.42031250000002</v>
      </c>
    </row>
    <row r="91" spans="1:2" x14ac:dyDescent="0.3">
      <c r="A91" s="3">
        <v>33420</v>
      </c>
      <c r="B91" s="5">
        <v>295.26015625000002</v>
      </c>
    </row>
    <row r="92" spans="1:2" x14ac:dyDescent="0.3">
      <c r="A92" s="3">
        <v>33451</v>
      </c>
      <c r="B92" s="5">
        <v>294.18007812500002</v>
      </c>
    </row>
    <row r="93" spans="1:2" x14ac:dyDescent="0.3">
      <c r="A93" s="3">
        <v>33482</v>
      </c>
      <c r="B93" s="5">
        <v>293.64003906250002</v>
      </c>
    </row>
    <row r="94" spans="1:2" x14ac:dyDescent="0.3">
      <c r="A94" s="3">
        <v>33512</v>
      </c>
      <c r="B94" s="5">
        <v>293.37001953125002</v>
      </c>
    </row>
    <row r="95" spans="1:2" x14ac:dyDescent="0.3">
      <c r="A95" s="3">
        <v>33543</v>
      </c>
      <c r="B95" s="5">
        <v>293.23500976562502</v>
      </c>
    </row>
    <row r="96" spans="1:2" x14ac:dyDescent="0.3">
      <c r="A96" s="3">
        <v>33573</v>
      </c>
      <c r="B96" s="5">
        <v>293.16750488281252</v>
      </c>
    </row>
    <row r="97" spans="1:2" x14ac:dyDescent="0.3">
      <c r="A97" s="3">
        <v>33604</v>
      </c>
      <c r="B97" s="5">
        <v>293.10000000000002</v>
      </c>
    </row>
    <row r="98" spans="1:2" x14ac:dyDescent="0.3">
      <c r="A98" s="3">
        <v>33635</v>
      </c>
      <c r="B98" s="5">
        <v>180.3</v>
      </c>
    </row>
    <row r="99" spans="1:2" x14ac:dyDescent="0.3">
      <c r="A99" s="3">
        <v>33664</v>
      </c>
      <c r="B99" s="5">
        <v>180.4</v>
      </c>
    </row>
    <row r="100" spans="1:2" x14ac:dyDescent="0.3">
      <c r="A100" s="3">
        <v>33695</v>
      </c>
      <c r="B100" s="5">
        <v>176</v>
      </c>
    </row>
    <row r="101" spans="1:2" x14ac:dyDescent="0.3">
      <c r="A101" s="3">
        <v>33725</v>
      </c>
      <c r="B101" s="5">
        <v>255.1</v>
      </c>
    </row>
    <row r="102" spans="1:2" x14ac:dyDescent="0.3">
      <c r="A102" s="3">
        <v>33756</v>
      </c>
      <c r="B102" s="5">
        <v>308.39999999999998</v>
      </c>
    </row>
    <row r="103" spans="1:2" x14ac:dyDescent="0.3">
      <c r="A103" s="3">
        <v>33786</v>
      </c>
      <c r="B103" s="5">
        <v>281.2</v>
      </c>
    </row>
    <row r="104" spans="1:2" x14ac:dyDescent="0.3">
      <c r="A104" s="3">
        <v>33817</v>
      </c>
      <c r="B104" s="5">
        <v>328.2</v>
      </c>
    </row>
    <row r="105" spans="1:2" x14ac:dyDescent="0.3">
      <c r="A105" s="3">
        <v>33848</v>
      </c>
      <c r="B105" s="5">
        <v>346.8</v>
      </c>
    </row>
    <row r="106" spans="1:2" x14ac:dyDescent="0.3">
      <c r="A106" s="3">
        <v>33878</v>
      </c>
      <c r="B106" s="5">
        <v>432</v>
      </c>
    </row>
    <row r="107" spans="1:2" x14ac:dyDescent="0.3">
      <c r="A107" s="3">
        <v>33909</v>
      </c>
      <c r="B107" s="5">
        <v>388</v>
      </c>
    </row>
    <row r="108" spans="1:2" x14ac:dyDescent="0.3">
      <c r="A108" s="3">
        <v>33939</v>
      </c>
      <c r="B108" s="5">
        <v>398.6</v>
      </c>
    </row>
    <row r="109" spans="1:2" x14ac:dyDescent="0.3">
      <c r="A109" s="3">
        <v>33970</v>
      </c>
      <c r="B109" s="5">
        <v>308.2</v>
      </c>
    </row>
    <row r="110" spans="1:2" x14ac:dyDescent="0.3">
      <c r="A110" s="3">
        <v>34001</v>
      </c>
      <c r="B110" s="5">
        <v>202.6</v>
      </c>
    </row>
    <row r="111" spans="1:2" x14ac:dyDescent="0.3">
      <c r="A111" s="3">
        <v>34029</v>
      </c>
      <c r="B111" s="5">
        <v>196.8</v>
      </c>
    </row>
    <row r="112" spans="1:2" x14ac:dyDescent="0.3">
      <c r="A112" s="3">
        <v>34060</v>
      </c>
      <c r="B112" s="5">
        <v>270.89999999999998</v>
      </c>
    </row>
    <row r="113" spans="1:2" x14ac:dyDescent="0.3">
      <c r="A113" s="3">
        <v>34090</v>
      </c>
      <c r="B113" s="5">
        <v>391.3</v>
      </c>
    </row>
    <row r="114" spans="1:2" x14ac:dyDescent="0.3">
      <c r="A114" s="3">
        <v>34121</v>
      </c>
      <c r="B114" s="5">
        <v>428.8</v>
      </c>
    </row>
    <row r="115" spans="1:2" x14ac:dyDescent="0.3">
      <c r="A115" s="3">
        <v>34151</v>
      </c>
      <c r="B115" s="5">
        <v>432.7</v>
      </c>
    </row>
    <row r="116" spans="1:2" x14ac:dyDescent="0.3">
      <c r="A116" s="3">
        <v>34182</v>
      </c>
      <c r="B116" s="5">
        <v>380.7</v>
      </c>
    </row>
    <row r="117" spans="1:2" x14ac:dyDescent="0.3">
      <c r="A117" s="3">
        <v>34213</v>
      </c>
      <c r="B117" s="5">
        <v>388.8</v>
      </c>
    </row>
    <row r="118" spans="1:2" x14ac:dyDescent="0.3">
      <c r="A118" s="3">
        <v>34243</v>
      </c>
      <c r="B118" s="5">
        <v>452</v>
      </c>
    </row>
    <row r="119" spans="1:2" x14ac:dyDescent="0.3">
      <c r="A119" s="3">
        <v>34274</v>
      </c>
      <c r="B119" s="5">
        <v>458.4</v>
      </c>
    </row>
    <row r="120" spans="1:2" x14ac:dyDescent="0.3">
      <c r="A120" s="3">
        <v>34304</v>
      </c>
      <c r="B120" s="5">
        <v>494.9</v>
      </c>
    </row>
    <row r="121" spans="1:2" x14ac:dyDescent="0.3">
      <c r="A121" s="3">
        <v>34335</v>
      </c>
      <c r="B121" s="5">
        <v>668.1</v>
      </c>
    </row>
    <row r="122" spans="1:2" x14ac:dyDescent="0.3">
      <c r="A122" s="3">
        <v>34366</v>
      </c>
      <c r="B122" s="5">
        <v>305.5</v>
      </c>
    </row>
    <row r="123" spans="1:2" x14ac:dyDescent="0.3">
      <c r="A123" s="3">
        <v>34394</v>
      </c>
      <c r="B123" s="5">
        <v>273.2</v>
      </c>
    </row>
    <row r="124" spans="1:2" x14ac:dyDescent="0.3">
      <c r="A124" s="3">
        <v>34425</v>
      </c>
      <c r="B124" s="5">
        <v>385.3</v>
      </c>
    </row>
    <row r="125" spans="1:2" x14ac:dyDescent="0.3">
      <c r="A125" s="3">
        <v>34455</v>
      </c>
      <c r="B125" s="5">
        <v>537.9</v>
      </c>
    </row>
    <row r="126" spans="1:2" x14ac:dyDescent="0.3">
      <c r="A126" s="3">
        <v>34486</v>
      </c>
      <c r="B126" s="5">
        <v>646.20000000000005</v>
      </c>
    </row>
    <row r="127" spans="1:2" x14ac:dyDescent="0.3">
      <c r="A127" s="3">
        <v>34516</v>
      </c>
      <c r="B127" s="5">
        <v>671.7</v>
      </c>
    </row>
    <row r="128" spans="1:2" x14ac:dyDescent="0.3">
      <c r="A128" s="3">
        <v>34547</v>
      </c>
      <c r="B128" s="5">
        <v>532.70000000000005</v>
      </c>
    </row>
    <row r="129" spans="1:2" x14ac:dyDescent="0.3">
      <c r="A129" s="3">
        <v>34578</v>
      </c>
      <c r="B129" s="5">
        <v>465.6</v>
      </c>
    </row>
    <row r="130" spans="1:2" x14ac:dyDescent="0.3">
      <c r="A130" s="3">
        <v>34608</v>
      </c>
      <c r="B130" s="5">
        <v>604.1</v>
      </c>
    </row>
    <row r="131" spans="1:2" x14ac:dyDescent="0.3">
      <c r="A131" s="3">
        <v>34639</v>
      </c>
      <c r="B131" s="5">
        <v>705.2</v>
      </c>
    </row>
    <row r="132" spans="1:2" x14ac:dyDescent="0.3">
      <c r="A132" s="3">
        <v>34669</v>
      </c>
      <c r="B132" s="5">
        <v>753.6</v>
      </c>
    </row>
    <row r="133" spans="1:2" x14ac:dyDescent="0.3">
      <c r="A133" s="3">
        <v>34700</v>
      </c>
      <c r="B133" s="5">
        <v>477.6</v>
      </c>
    </row>
    <row r="134" spans="1:2" x14ac:dyDescent="0.3">
      <c r="A134" s="3">
        <v>34731</v>
      </c>
      <c r="B134" s="5">
        <v>133.4</v>
      </c>
    </row>
    <row r="135" spans="1:2" x14ac:dyDescent="0.3">
      <c r="A135" s="3">
        <v>34759</v>
      </c>
      <c r="B135" s="5">
        <v>129</v>
      </c>
    </row>
    <row r="136" spans="1:2" x14ac:dyDescent="0.3">
      <c r="A136" s="3">
        <v>34790</v>
      </c>
      <c r="B136" s="5">
        <v>189.2</v>
      </c>
    </row>
    <row r="137" spans="1:2" x14ac:dyDescent="0.3">
      <c r="A137" s="3">
        <v>34820</v>
      </c>
      <c r="B137" s="5">
        <v>369.3</v>
      </c>
    </row>
    <row r="138" spans="1:2" x14ac:dyDescent="0.3">
      <c r="A138" s="3">
        <v>34851</v>
      </c>
      <c r="B138" s="5">
        <v>501.2</v>
      </c>
    </row>
    <row r="139" spans="1:2" x14ac:dyDescent="0.3">
      <c r="A139" s="3">
        <v>34881</v>
      </c>
      <c r="B139" s="5">
        <v>656.3</v>
      </c>
    </row>
    <row r="140" spans="1:2" x14ac:dyDescent="0.3">
      <c r="A140" s="3">
        <v>34912</v>
      </c>
      <c r="B140" s="5">
        <v>845.7</v>
      </c>
    </row>
    <row r="141" spans="1:2" x14ac:dyDescent="0.3">
      <c r="A141" s="3">
        <v>34943</v>
      </c>
      <c r="B141" s="5">
        <v>923.4</v>
      </c>
    </row>
    <row r="142" spans="1:2" x14ac:dyDescent="0.3">
      <c r="A142" s="3">
        <v>34973</v>
      </c>
      <c r="B142" s="5">
        <v>925.6</v>
      </c>
    </row>
    <row r="143" spans="1:2" x14ac:dyDescent="0.3">
      <c r="A143" s="3">
        <v>35004</v>
      </c>
      <c r="B143" s="5">
        <v>909.5</v>
      </c>
    </row>
    <row r="144" spans="1:2" x14ac:dyDescent="0.3">
      <c r="A144" s="3">
        <v>35034</v>
      </c>
      <c r="B144" s="5">
        <v>878.7</v>
      </c>
    </row>
    <row r="145" spans="1:2" x14ac:dyDescent="0.3">
      <c r="A145" s="3">
        <v>35065</v>
      </c>
      <c r="B145" s="5">
        <v>537.6</v>
      </c>
    </row>
    <row r="146" spans="1:2" x14ac:dyDescent="0.3">
      <c r="A146" s="3">
        <v>35096</v>
      </c>
      <c r="B146" s="5">
        <v>358.9</v>
      </c>
    </row>
    <row r="147" spans="1:2" x14ac:dyDescent="0.3">
      <c r="A147" s="3">
        <v>35125</v>
      </c>
      <c r="B147" s="5">
        <v>411.4</v>
      </c>
    </row>
    <row r="148" spans="1:2" x14ac:dyDescent="0.3">
      <c r="A148" s="3">
        <v>35156</v>
      </c>
      <c r="B148" s="5">
        <v>461.3</v>
      </c>
    </row>
    <row r="149" spans="1:2" x14ac:dyDescent="0.3">
      <c r="A149" s="3">
        <v>35186</v>
      </c>
      <c r="B149" s="5">
        <v>513.9</v>
      </c>
    </row>
    <row r="150" spans="1:2" x14ac:dyDescent="0.3">
      <c r="A150" s="3">
        <v>35217</v>
      </c>
      <c r="B150" s="5">
        <v>611.4</v>
      </c>
    </row>
    <row r="151" spans="1:2" x14ac:dyDescent="0.3">
      <c r="A151" s="3">
        <v>35247</v>
      </c>
      <c r="B151" s="5">
        <v>705.5</v>
      </c>
    </row>
    <row r="152" spans="1:2" x14ac:dyDescent="0.3">
      <c r="A152" s="3">
        <v>35278</v>
      </c>
      <c r="B152" s="5">
        <v>735.8</v>
      </c>
    </row>
    <row r="153" spans="1:2" x14ac:dyDescent="0.3">
      <c r="A153" s="3">
        <v>35309</v>
      </c>
      <c r="B153" s="5">
        <v>675.1</v>
      </c>
    </row>
    <row r="154" spans="1:2" x14ac:dyDescent="0.3">
      <c r="A154" s="3">
        <v>35339</v>
      </c>
      <c r="B154" s="5">
        <v>682.2</v>
      </c>
    </row>
    <row r="155" spans="1:2" x14ac:dyDescent="0.3">
      <c r="A155" s="3">
        <v>35370</v>
      </c>
      <c r="B155" s="5">
        <v>667.2</v>
      </c>
    </row>
    <row r="156" spans="1:2" x14ac:dyDescent="0.3">
      <c r="A156" s="3">
        <v>35400</v>
      </c>
      <c r="B156" s="5">
        <v>653</v>
      </c>
    </row>
    <row r="157" spans="1:2" x14ac:dyDescent="0.3">
      <c r="A157" s="3">
        <v>35431</v>
      </c>
      <c r="B157" s="5">
        <v>369.6</v>
      </c>
    </row>
    <row r="158" spans="1:2" x14ac:dyDescent="0.3">
      <c r="A158" s="3">
        <v>35462</v>
      </c>
      <c r="B158" s="5">
        <v>225.2</v>
      </c>
    </row>
    <row r="159" spans="1:2" x14ac:dyDescent="0.3">
      <c r="A159" s="3">
        <v>35490</v>
      </c>
      <c r="B159" s="5">
        <v>126.5</v>
      </c>
    </row>
    <row r="160" spans="1:2" x14ac:dyDescent="0.3">
      <c r="A160" s="3">
        <v>35521</v>
      </c>
      <c r="B160" s="5">
        <v>121.2</v>
      </c>
    </row>
    <row r="161" spans="1:2" x14ac:dyDescent="0.3">
      <c r="A161" s="3">
        <v>35551</v>
      </c>
      <c r="B161" s="5">
        <v>181.8</v>
      </c>
    </row>
    <row r="162" spans="1:2" x14ac:dyDescent="0.3">
      <c r="A162" s="3">
        <v>35582</v>
      </c>
      <c r="B162" s="5">
        <v>244.6</v>
      </c>
    </row>
    <row r="163" spans="1:2" x14ac:dyDescent="0.3">
      <c r="A163" s="3">
        <v>35612</v>
      </c>
      <c r="B163" s="5">
        <v>303.5</v>
      </c>
    </row>
    <row r="164" spans="1:2" x14ac:dyDescent="0.3">
      <c r="A164" s="3">
        <v>35643</v>
      </c>
      <c r="B164" s="5">
        <v>204.4</v>
      </c>
    </row>
    <row r="165" spans="1:2" x14ac:dyDescent="0.3">
      <c r="A165" s="3">
        <v>35674</v>
      </c>
      <c r="B165" s="5">
        <v>198</v>
      </c>
    </row>
    <row r="166" spans="1:2" x14ac:dyDescent="0.3">
      <c r="A166" s="3">
        <v>35704</v>
      </c>
      <c r="B166" s="5">
        <v>302.5</v>
      </c>
    </row>
    <row r="167" spans="1:2" x14ac:dyDescent="0.3">
      <c r="A167" s="3">
        <v>35735</v>
      </c>
      <c r="B167" s="5">
        <v>341.7</v>
      </c>
    </row>
    <row r="168" spans="1:2" x14ac:dyDescent="0.3">
      <c r="A168" s="3">
        <v>35765</v>
      </c>
      <c r="B168" s="5">
        <v>305.8</v>
      </c>
    </row>
    <row r="169" spans="1:2" x14ac:dyDescent="0.3">
      <c r="A169" s="3">
        <v>35796</v>
      </c>
      <c r="B169" s="5">
        <v>140.1</v>
      </c>
    </row>
    <row r="170" spans="1:2" x14ac:dyDescent="0.3">
      <c r="A170" s="3">
        <v>35827</v>
      </c>
      <c r="B170" s="5">
        <v>117.2</v>
      </c>
    </row>
    <row r="171" spans="1:2" x14ac:dyDescent="0.3">
      <c r="A171" s="3">
        <v>35855</v>
      </c>
      <c r="B171" s="5">
        <v>138.19999999999999</v>
      </c>
    </row>
    <row r="172" spans="1:2" x14ac:dyDescent="0.3">
      <c r="A172" s="3">
        <v>35886</v>
      </c>
      <c r="B172" s="5">
        <v>222.1</v>
      </c>
    </row>
    <row r="173" spans="1:2" x14ac:dyDescent="0.3">
      <c r="A173" s="3">
        <v>35916</v>
      </c>
      <c r="B173" s="5">
        <v>422.1</v>
      </c>
    </row>
    <row r="174" spans="1:2" x14ac:dyDescent="0.3">
      <c r="A174" s="3">
        <v>35947</v>
      </c>
      <c r="B174" s="5">
        <v>561.9</v>
      </c>
    </row>
    <row r="175" spans="1:2" x14ac:dyDescent="0.3">
      <c r="A175" s="3">
        <v>35977</v>
      </c>
      <c r="B175" s="5">
        <v>674.7</v>
      </c>
    </row>
    <row r="176" spans="1:2" x14ac:dyDescent="0.3">
      <c r="A176" s="3">
        <v>36008</v>
      </c>
      <c r="B176" s="5">
        <v>707.5</v>
      </c>
    </row>
    <row r="177" spans="1:2" x14ac:dyDescent="0.3">
      <c r="A177" s="3">
        <v>36039</v>
      </c>
      <c r="B177" s="5">
        <v>710.6</v>
      </c>
    </row>
    <row r="178" spans="1:2" x14ac:dyDescent="0.3">
      <c r="A178" s="3">
        <v>36069</v>
      </c>
      <c r="B178" s="5">
        <v>528.9</v>
      </c>
    </row>
    <row r="179" spans="1:2" x14ac:dyDescent="0.3">
      <c r="A179" s="3">
        <v>36100</v>
      </c>
      <c r="B179" s="5">
        <v>560.9</v>
      </c>
    </row>
    <row r="180" spans="1:2" x14ac:dyDescent="0.3">
      <c r="A180" s="3">
        <v>36130</v>
      </c>
      <c r="B180" s="5">
        <v>868.9</v>
      </c>
    </row>
    <row r="181" spans="1:2" x14ac:dyDescent="0.3">
      <c r="A181" s="3">
        <v>36161</v>
      </c>
      <c r="B181" s="5">
        <v>862.2</v>
      </c>
    </row>
    <row r="182" spans="1:2" x14ac:dyDescent="0.3">
      <c r="A182" s="3">
        <v>36192</v>
      </c>
      <c r="B182" s="5">
        <v>858.85</v>
      </c>
    </row>
    <row r="183" spans="1:2" x14ac:dyDescent="0.3">
      <c r="A183" s="3">
        <v>36220</v>
      </c>
      <c r="B183" s="5">
        <v>857.17499999999995</v>
      </c>
    </row>
    <row r="184" spans="1:2" x14ac:dyDescent="0.3">
      <c r="A184" s="3">
        <v>36251</v>
      </c>
      <c r="B184" s="5">
        <v>856.33749999999998</v>
      </c>
    </row>
    <row r="185" spans="1:2" x14ac:dyDescent="0.3">
      <c r="A185" s="3">
        <v>36281</v>
      </c>
      <c r="B185" s="5">
        <v>855.91875000000005</v>
      </c>
    </row>
    <row r="186" spans="1:2" x14ac:dyDescent="0.3">
      <c r="A186" s="3">
        <v>36312</v>
      </c>
      <c r="B186" s="5">
        <v>855.70937500000002</v>
      </c>
    </row>
    <row r="187" spans="1:2" x14ac:dyDescent="0.3">
      <c r="A187" s="3">
        <v>36342</v>
      </c>
      <c r="B187" s="5">
        <v>855.60468749999995</v>
      </c>
    </row>
    <row r="188" spans="1:2" x14ac:dyDescent="0.3">
      <c r="A188" s="3">
        <v>36373</v>
      </c>
      <c r="B188" s="5">
        <v>855.55234374999998</v>
      </c>
    </row>
    <row r="189" spans="1:2" x14ac:dyDescent="0.3">
      <c r="A189" s="3">
        <v>36404</v>
      </c>
      <c r="B189" s="5">
        <v>855.52617187500005</v>
      </c>
    </row>
    <row r="190" spans="1:2" x14ac:dyDescent="0.3">
      <c r="A190" s="3">
        <v>36434</v>
      </c>
      <c r="B190" s="5">
        <v>855.51308593750002</v>
      </c>
    </row>
    <row r="191" spans="1:2" x14ac:dyDescent="0.3">
      <c r="A191" s="3">
        <v>36465</v>
      </c>
      <c r="B191" s="5">
        <v>855.50654296874995</v>
      </c>
    </row>
    <row r="192" spans="1:2" x14ac:dyDescent="0.3">
      <c r="A192" s="3">
        <v>36495</v>
      </c>
      <c r="B192" s="5">
        <v>855.50327148437498</v>
      </c>
    </row>
    <row r="193" spans="1:2" x14ac:dyDescent="0.3">
      <c r="A193" s="3">
        <v>36526</v>
      </c>
      <c r="B193" s="5">
        <v>855.5</v>
      </c>
    </row>
    <row r="194" spans="1:2" x14ac:dyDescent="0.3">
      <c r="A194" s="3">
        <v>36557</v>
      </c>
      <c r="B194" s="5">
        <v>622.6</v>
      </c>
    </row>
    <row r="195" spans="1:2" x14ac:dyDescent="0.3">
      <c r="A195" s="3">
        <v>36586</v>
      </c>
      <c r="B195" s="5">
        <v>534.79999999999995</v>
      </c>
    </row>
    <row r="196" spans="1:2" x14ac:dyDescent="0.3">
      <c r="A196" s="3">
        <v>36617</v>
      </c>
      <c r="B196" s="5">
        <v>466.2</v>
      </c>
    </row>
    <row r="197" spans="1:2" x14ac:dyDescent="0.3">
      <c r="A197" s="3">
        <v>36647</v>
      </c>
      <c r="B197" s="5">
        <v>575.1</v>
      </c>
    </row>
    <row r="198" spans="1:2" x14ac:dyDescent="0.3">
      <c r="A198" s="3">
        <v>36678</v>
      </c>
      <c r="B198" s="5">
        <v>701.2</v>
      </c>
    </row>
    <row r="199" spans="1:2" x14ac:dyDescent="0.3">
      <c r="A199" s="3">
        <v>36708</v>
      </c>
      <c r="B199" s="5">
        <v>823.9</v>
      </c>
    </row>
    <row r="200" spans="1:2" x14ac:dyDescent="0.3">
      <c r="A200" s="3">
        <v>36739</v>
      </c>
      <c r="B200" s="5">
        <v>798.9</v>
      </c>
    </row>
    <row r="201" spans="1:2" x14ac:dyDescent="0.3">
      <c r="A201" s="3">
        <v>36770</v>
      </c>
      <c r="B201" s="5">
        <v>721.2</v>
      </c>
    </row>
    <row r="202" spans="1:2" x14ac:dyDescent="0.3">
      <c r="A202" s="3">
        <v>36800</v>
      </c>
      <c r="B202" s="5">
        <v>821.9</v>
      </c>
    </row>
    <row r="203" spans="1:2" x14ac:dyDescent="0.3">
      <c r="A203" s="3">
        <v>36831</v>
      </c>
      <c r="B203" s="5">
        <v>827.2</v>
      </c>
    </row>
    <row r="204" spans="1:2" x14ac:dyDescent="0.3">
      <c r="A204" s="3">
        <v>36861</v>
      </c>
      <c r="B204" s="5">
        <v>802</v>
      </c>
    </row>
    <row r="205" spans="1:2" x14ac:dyDescent="0.3">
      <c r="A205" s="3">
        <v>36892</v>
      </c>
      <c r="B205" s="5">
        <v>466.7</v>
      </c>
    </row>
    <row r="206" spans="1:2" x14ac:dyDescent="0.3">
      <c r="A206" s="3">
        <v>36923</v>
      </c>
      <c r="B206" s="5">
        <v>202.6</v>
      </c>
    </row>
    <row r="207" spans="1:2" x14ac:dyDescent="0.3">
      <c r="A207" s="3">
        <v>36951</v>
      </c>
      <c r="B207" s="5">
        <v>217.4</v>
      </c>
    </row>
    <row r="208" spans="1:2" x14ac:dyDescent="0.3">
      <c r="A208" s="3">
        <v>36982</v>
      </c>
      <c r="B208" s="5">
        <v>211.9</v>
      </c>
    </row>
    <row r="209" spans="1:2" x14ac:dyDescent="0.3">
      <c r="A209" s="3">
        <v>37012</v>
      </c>
      <c r="B209" s="5">
        <v>274.89999999999998</v>
      </c>
    </row>
    <row r="210" spans="1:2" x14ac:dyDescent="0.3">
      <c r="A210" s="3">
        <v>37043</v>
      </c>
      <c r="B210" s="5">
        <v>392.4</v>
      </c>
    </row>
    <row r="211" spans="1:2" x14ac:dyDescent="0.3">
      <c r="A211" s="3">
        <v>37073</v>
      </c>
      <c r="B211" s="5">
        <v>374</v>
      </c>
    </row>
    <row r="212" spans="1:2" x14ac:dyDescent="0.3">
      <c r="A212" s="3">
        <v>37104</v>
      </c>
      <c r="B212" s="5">
        <v>328.9</v>
      </c>
    </row>
    <row r="213" spans="1:2" x14ac:dyDescent="0.3">
      <c r="A213" s="3">
        <v>37135</v>
      </c>
      <c r="B213" s="5">
        <v>337.7</v>
      </c>
    </row>
    <row r="214" spans="1:2" x14ac:dyDescent="0.3">
      <c r="A214" s="3">
        <v>37165</v>
      </c>
      <c r="B214" s="5">
        <v>433.7</v>
      </c>
    </row>
    <row r="215" spans="1:2" x14ac:dyDescent="0.3">
      <c r="A215" s="3">
        <v>37196</v>
      </c>
      <c r="B215" s="5">
        <v>509.5</v>
      </c>
    </row>
    <row r="216" spans="1:2" x14ac:dyDescent="0.3">
      <c r="A216" s="3">
        <v>37226</v>
      </c>
      <c r="B216" s="5">
        <v>592.4</v>
      </c>
    </row>
    <row r="217" spans="1:2" x14ac:dyDescent="0.3">
      <c r="A217" s="3">
        <v>37257</v>
      </c>
      <c r="B217" s="5">
        <v>528.70000000000005</v>
      </c>
    </row>
    <row r="218" spans="1:2" x14ac:dyDescent="0.3">
      <c r="A218" s="3">
        <v>37288</v>
      </c>
      <c r="B218" s="5">
        <v>240.9</v>
      </c>
    </row>
    <row r="219" spans="1:2" x14ac:dyDescent="0.3">
      <c r="A219" s="3">
        <v>37316</v>
      </c>
      <c r="B219" s="5">
        <v>237.8</v>
      </c>
    </row>
    <row r="220" spans="1:2" x14ac:dyDescent="0.3">
      <c r="A220" s="3">
        <v>37347</v>
      </c>
      <c r="B220" s="5">
        <v>370.2</v>
      </c>
    </row>
    <row r="221" spans="1:2" x14ac:dyDescent="0.3">
      <c r="A221" s="3">
        <v>37377</v>
      </c>
      <c r="B221" s="5">
        <v>540.20000000000005</v>
      </c>
    </row>
    <row r="222" spans="1:2" x14ac:dyDescent="0.3">
      <c r="A222" s="3">
        <v>37408</v>
      </c>
      <c r="B222" s="5">
        <v>592.6</v>
      </c>
    </row>
    <row r="223" spans="1:2" x14ac:dyDescent="0.3">
      <c r="A223" s="3">
        <v>37438</v>
      </c>
      <c r="B223" s="5">
        <v>592</v>
      </c>
    </row>
    <row r="224" spans="1:2" x14ac:dyDescent="0.3">
      <c r="A224" s="3">
        <v>37469</v>
      </c>
      <c r="B224" s="5">
        <v>442.9</v>
      </c>
    </row>
    <row r="225" spans="1:2" x14ac:dyDescent="0.3">
      <c r="A225" s="3">
        <v>37500</v>
      </c>
      <c r="B225" s="5">
        <v>442.7</v>
      </c>
    </row>
    <row r="226" spans="1:2" x14ac:dyDescent="0.3">
      <c r="A226" s="3">
        <v>37530</v>
      </c>
      <c r="B226" s="5">
        <v>528.29999999999995</v>
      </c>
    </row>
    <row r="227" spans="1:2" x14ac:dyDescent="0.3">
      <c r="A227" s="3">
        <v>37561</v>
      </c>
      <c r="B227" s="5">
        <v>625.6</v>
      </c>
    </row>
    <row r="228" spans="1:2" x14ac:dyDescent="0.3">
      <c r="A228" s="3">
        <v>37591</v>
      </c>
      <c r="B228" s="5">
        <v>530.5</v>
      </c>
    </row>
    <row r="229" spans="1:2" x14ac:dyDescent="0.3">
      <c r="A229" s="3">
        <v>37622</v>
      </c>
      <c r="B229" s="5">
        <v>299.5</v>
      </c>
    </row>
    <row r="230" spans="1:2" x14ac:dyDescent="0.3">
      <c r="A230" s="3">
        <v>37653</v>
      </c>
      <c r="B230" s="5">
        <v>181.2</v>
      </c>
    </row>
    <row r="231" spans="1:2" x14ac:dyDescent="0.3">
      <c r="A231" s="3">
        <v>37681</v>
      </c>
      <c r="B231" s="5">
        <v>196.7</v>
      </c>
    </row>
    <row r="232" spans="1:2" x14ac:dyDescent="0.3">
      <c r="A232" s="3">
        <v>37712</v>
      </c>
      <c r="B232" s="5">
        <v>307.95</v>
      </c>
    </row>
    <row r="233" spans="1:2" x14ac:dyDescent="0.3">
      <c r="A233" s="3">
        <v>37742</v>
      </c>
      <c r="B233" s="5">
        <v>419.2</v>
      </c>
    </row>
    <row r="234" spans="1:2" x14ac:dyDescent="0.3">
      <c r="A234" s="3">
        <v>37773</v>
      </c>
      <c r="B234" s="5">
        <v>509.9</v>
      </c>
    </row>
    <row r="235" spans="1:2" x14ac:dyDescent="0.3">
      <c r="A235" s="3">
        <v>37803</v>
      </c>
      <c r="B235" s="5">
        <v>619.5</v>
      </c>
    </row>
    <row r="236" spans="1:2" x14ac:dyDescent="0.3">
      <c r="A236" s="3">
        <v>37834</v>
      </c>
      <c r="B236" s="5">
        <v>609.70000000000005</v>
      </c>
    </row>
    <row r="237" spans="1:2" x14ac:dyDescent="0.3">
      <c r="A237" s="3">
        <v>37865</v>
      </c>
      <c r="B237" s="5">
        <v>522.6</v>
      </c>
    </row>
    <row r="238" spans="1:2" x14ac:dyDescent="0.3">
      <c r="A238" s="3">
        <v>37895</v>
      </c>
      <c r="B238" s="5">
        <v>650.20000000000005</v>
      </c>
    </row>
    <row r="239" spans="1:2" x14ac:dyDescent="0.3">
      <c r="A239" s="3">
        <v>37926</v>
      </c>
      <c r="B239" s="5">
        <v>710.9</v>
      </c>
    </row>
    <row r="240" spans="1:2" x14ac:dyDescent="0.3">
      <c r="A240" s="3">
        <v>37956</v>
      </c>
      <c r="B240" s="5">
        <v>817.7</v>
      </c>
    </row>
    <row r="241" spans="1:2" x14ac:dyDescent="0.3">
      <c r="A241" s="3">
        <v>37987</v>
      </c>
      <c r="B241" s="5">
        <v>470.7</v>
      </c>
    </row>
    <row r="242" spans="1:2" x14ac:dyDescent="0.3">
      <c r="A242" s="3">
        <v>38018</v>
      </c>
      <c r="B242" s="5">
        <v>191.3</v>
      </c>
    </row>
    <row r="243" spans="1:2" x14ac:dyDescent="0.3">
      <c r="A243" s="3">
        <v>38047</v>
      </c>
      <c r="B243" s="5">
        <v>158.5</v>
      </c>
    </row>
    <row r="244" spans="1:2" x14ac:dyDescent="0.3">
      <c r="A244" s="3">
        <v>38078</v>
      </c>
      <c r="B244" s="5">
        <v>125.7</v>
      </c>
    </row>
    <row r="245" spans="1:2" x14ac:dyDescent="0.3">
      <c r="A245" s="3">
        <v>38108</v>
      </c>
      <c r="B245" s="5">
        <v>337.1</v>
      </c>
    </row>
    <row r="246" spans="1:2" x14ac:dyDescent="0.3">
      <c r="A246" s="3">
        <v>38139</v>
      </c>
      <c r="B246" s="5">
        <v>410.1</v>
      </c>
    </row>
    <row r="247" spans="1:2" x14ac:dyDescent="0.3">
      <c r="A247" s="3">
        <v>38169</v>
      </c>
      <c r="B247" s="5">
        <v>370.4</v>
      </c>
    </row>
    <row r="248" spans="1:2" x14ac:dyDescent="0.3">
      <c r="A248" s="3">
        <v>38200</v>
      </c>
      <c r="B248" s="5">
        <v>371.1</v>
      </c>
    </row>
    <row r="249" spans="1:2" x14ac:dyDescent="0.3">
      <c r="A249" s="3">
        <v>38231</v>
      </c>
      <c r="B249" s="5">
        <v>379.3</v>
      </c>
    </row>
    <row r="250" spans="1:2" x14ac:dyDescent="0.3">
      <c r="A250" s="3">
        <v>38261</v>
      </c>
      <c r="B250" s="5">
        <v>453</v>
      </c>
    </row>
    <row r="251" spans="1:2" x14ac:dyDescent="0.3">
      <c r="A251" s="3">
        <v>38292</v>
      </c>
      <c r="B251" s="5">
        <v>524.1</v>
      </c>
    </row>
    <row r="252" spans="1:2" x14ac:dyDescent="0.3">
      <c r="A252" s="3">
        <v>38322</v>
      </c>
      <c r="B252" s="5">
        <v>528</v>
      </c>
    </row>
    <row r="253" spans="1:2" x14ac:dyDescent="0.3">
      <c r="A253" s="3">
        <v>38353</v>
      </c>
      <c r="B253" s="5">
        <v>425.9</v>
      </c>
    </row>
    <row r="254" spans="1:2" x14ac:dyDescent="0.3">
      <c r="A254" s="3">
        <v>38384</v>
      </c>
      <c r="B254" s="5">
        <v>249.2</v>
      </c>
    </row>
    <row r="255" spans="1:2" x14ac:dyDescent="0.3">
      <c r="A255" s="3">
        <v>38412</v>
      </c>
      <c r="B255" s="5">
        <v>202.8</v>
      </c>
    </row>
    <row r="256" spans="1:2" x14ac:dyDescent="0.3">
      <c r="A256" s="3">
        <v>38443</v>
      </c>
      <c r="B256" s="5">
        <v>231.9</v>
      </c>
    </row>
    <row r="257" spans="1:2" x14ac:dyDescent="0.3">
      <c r="A257" s="3">
        <v>38473</v>
      </c>
      <c r="B257" s="5">
        <v>368.9</v>
      </c>
    </row>
    <row r="258" spans="1:2" x14ac:dyDescent="0.3">
      <c r="A258" s="3">
        <v>38504</v>
      </c>
      <c r="B258" s="5">
        <v>444</v>
      </c>
    </row>
    <row r="259" spans="1:2" x14ac:dyDescent="0.3">
      <c r="A259" s="3">
        <v>38534</v>
      </c>
      <c r="B259" s="5">
        <v>462</v>
      </c>
    </row>
    <row r="260" spans="1:2" x14ac:dyDescent="0.3">
      <c r="A260" s="3">
        <v>38565</v>
      </c>
      <c r="B260" s="5">
        <v>388.5</v>
      </c>
    </row>
    <row r="261" spans="1:2" x14ac:dyDescent="0.3">
      <c r="A261" s="3">
        <v>38596</v>
      </c>
      <c r="B261" s="5">
        <v>368.3</v>
      </c>
    </row>
    <row r="262" spans="1:2" x14ac:dyDescent="0.3">
      <c r="A262" s="3">
        <v>38626</v>
      </c>
      <c r="B262" s="5">
        <v>434.8</v>
      </c>
    </row>
    <row r="263" spans="1:2" x14ac:dyDescent="0.3">
      <c r="A263" s="3">
        <v>38657</v>
      </c>
      <c r="B263" s="5">
        <v>575.85</v>
      </c>
    </row>
    <row r="264" spans="1:2" x14ac:dyDescent="0.3">
      <c r="A264" s="3">
        <v>38687</v>
      </c>
      <c r="B264" s="5">
        <v>646.375</v>
      </c>
    </row>
    <row r="265" spans="1:2" x14ac:dyDescent="0.3">
      <c r="A265" s="3">
        <v>38718</v>
      </c>
      <c r="B265" s="5">
        <v>716.9</v>
      </c>
    </row>
    <row r="266" spans="1:2" x14ac:dyDescent="0.3">
      <c r="A266" s="3">
        <v>38749</v>
      </c>
      <c r="B266" s="5">
        <v>473.2</v>
      </c>
    </row>
    <row r="267" spans="1:2" x14ac:dyDescent="0.3">
      <c r="A267" s="3">
        <v>38777</v>
      </c>
      <c r="B267" s="5">
        <v>354.3</v>
      </c>
    </row>
    <row r="268" spans="1:2" x14ac:dyDescent="0.3">
      <c r="A268" s="3">
        <v>38808</v>
      </c>
      <c r="B268" s="5">
        <v>499.1</v>
      </c>
    </row>
    <row r="269" spans="1:2" x14ac:dyDescent="0.3">
      <c r="A269" s="3">
        <v>38838</v>
      </c>
      <c r="B269" s="5">
        <v>719.9</v>
      </c>
    </row>
    <row r="270" spans="1:2" x14ac:dyDescent="0.3">
      <c r="A270" s="3">
        <v>38869</v>
      </c>
      <c r="B270" s="5">
        <v>829.4</v>
      </c>
    </row>
    <row r="271" spans="1:2" x14ac:dyDescent="0.3">
      <c r="A271" s="3">
        <v>38899</v>
      </c>
      <c r="B271" s="5">
        <v>835.3</v>
      </c>
    </row>
    <row r="272" spans="1:2" x14ac:dyDescent="0.3">
      <c r="A272" s="3">
        <v>38930</v>
      </c>
      <c r="B272" s="5">
        <v>677.6</v>
      </c>
    </row>
    <row r="273" spans="1:2" x14ac:dyDescent="0.3">
      <c r="A273" s="3">
        <v>38961</v>
      </c>
      <c r="B273" s="5">
        <v>640.1</v>
      </c>
    </row>
    <row r="274" spans="1:2" x14ac:dyDescent="0.3">
      <c r="A274" s="3">
        <v>38991</v>
      </c>
      <c r="B274" s="5">
        <v>658.4</v>
      </c>
    </row>
    <row r="275" spans="1:2" x14ac:dyDescent="0.3">
      <c r="A275" s="3">
        <v>39022</v>
      </c>
      <c r="B275" s="5">
        <v>723.9</v>
      </c>
    </row>
    <row r="276" spans="1:2" x14ac:dyDescent="0.3">
      <c r="A276" s="3">
        <v>39052</v>
      </c>
      <c r="B276" s="5">
        <v>850</v>
      </c>
    </row>
    <row r="277" spans="1:2" x14ac:dyDescent="0.3">
      <c r="A277" s="3">
        <v>39083</v>
      </c>
      <c r="B277" s="5">
        <v>545.9</v>
      </c>
    </row>
    <row r="278" spans="1:2" x14ac:dyDescent="0.3">
      <c r="A278" s="3">
        <v>39114</v>
      </c>
      <c r="B278" s="5">
        <v>386.79999999999995</v>
      </c>
    </row>
    <row r="279" spans="1:2" x14ac:dyDescent="0.3">
      <c r="A279" s="3">
        <v>39142</v>
      </c>
      <c r="B279" s="5">
        <v>227.7</v>
      </c>
    </row>
    <row r="280" spans="1:2" x14ac:dyDescent="0.3">
      <c r="A280" s="3">
        <v>39173</v>
      </c>
      <c r="B280" s="5">
        <v>444.7</v>
      </c>
    </row>
    <row r="281" spans="1:2" x14ac:dyDescent="0.3">
      <c r="A281" s="3">
        <v>39203</v>
      </c>
      <c r="B281" s="5">
        <v>667.3</v>
      </c>
    </row>
    <row r="282" spans="1:2" x14ac:dyDescent="0.3">
      <c r="A282" s="3">
        <v>39234</v>
      </c>
      <c r="B282" s="5">
        <v>811.4</v>
      </c>
    </row>
    <row r="283" spans="1:2" x14ac:dyDescent="0.3">
      <c r="A283" s="3">
        <v>39264</v>
      </c>
      <c r="B283" s="5">
        <v>870.9</v>
      </c>
    </row>
    <row r="284" spans="1:2" x14ac:dyDescent="0.3">
      <c r="A284" s="3">
        <v>39295</v>
      </c>
      <c r="B284" s="5">
        <v>818.3</v>
      </c>
    </row>
    <row r="285" spans="1:2" x14ac:dyDescent="0.3">
      <c r="A285" s="3">
        <v>39326</v>
      </c>
      <c r="B285" s="5">
        <v>833.8</v>
      </c>
    </row>
    <row r="286" spans="1:2" x14ac:dyDescent="0.3">
      <c r="A286" s="3">
        <v>39356</v>
      </c>
      <c r="B286" s="5">
        <v>876.4</v>
      </c>
    </row>
    <row r="287" spans="1:2" x14ac:dyDescent="0.3">
      <c r="A287" s="3">
        <v>39387</v>
      </c>
      <c r="B287" s="5">
        <v>899.9</v>
      </c>
    </row>
    <row r="288" spans="1:2" x14ac:dyDescent="0.3">
      <c r="A288" s="3">
        <v>39417</v>
      </c>
      <c r="B288" s="5">
        <v>933.4</v>
      </c>
    </row>
    <row r="289" spans="1:2" x14ac:dyDescent="0.3">
      <c r="A289" s="3">
        <v>39448</v>
      </c>
      <c r="B289" s="5">
        <v>796.5</v>
      </c>
    </row>
    <row r="290" spans="1:2" x14ac:dyDescent="0.3">
      <c r="A290" s="3">
        <v>39479</v>
      </c>
      <c r="B290" s="5">
        <v>558.1</v>
      </c>
    </row>
    <row r="291" spans="1:2" x14ac:dyDescent="0.3">
      <c r="A291" s="3">
        <v>39508</v>
      </c>
      <c r="B291" s="5">
        <v>511.3</v>
      </c>
    </row>
    <row r="292" spans="1:2" x14ac:dyDescent="0.3">
      <c r="A292" s="3">
        <v>39539</v>
      </c>
      <c r="B292" s="5">
        <v>485.5</v>
      </c>
    </row>
    <row r="293" spans="1:2" x14ac:dyDescent="0.3">
      <c r="A293" s="3">
        <v>39569</v>
      </c>
      <c r="B293" s="5">
        <v>662.8</v>
      </c>
    </row>
    <row r="294" spans="1:2" x14ac:dyDescent="0.3">
      <c r="A294" s="3">
        <v>39600</v>
      </c>
      <c r="B294" s="5">
        <v>806.4</v>
      </c>
    </row>
    <row r="295" spans="1:2" x14ac:dyDescent="0.3">
      <c r="A295" s="3">
        <v>39630</v>
      </c>
      <c r="B295" s="5">
        <v>926.2</v>
      </c>
    </row>
    <row r="296" spans="1:2" x14ac:dyDescent="0.3">
      <c r="A296" s="3">
        <v>39661</v>
      </c>
      <c r="B296" s="5">
        <v>938.6</v>
      </c>
    </row>
    <row r="297" spans="1:2" x14ac:dyDescent="0.3">
      <c r="A297" s="3">
        <v>39692</v>
      </c>
      <c r="B297" s="5">
        <v>923</v>
      </c>
    </row>
    <row r="298" spans="1:2" x14ac:dyDescent="0.3">
      <c r="A298" s="3">
        <v>39722</v>
      </c>
      <c r="B298" s="5">
        <v>650.20000000000005</v>
      </c>
    </row>
    <row r="299" spans="1:2" x14ac:dyDescent="0.3">
      <c r="A299" s="3">
        <v>39753</v>
      </c>
      <c r="B299" s="5">
        <v>817.65000000000009</v>
      </c>
    </row>
    <row r="300" spans="1:2" x14ac:dyDescent="0.3">
      <c r="A300" s="3">
        <v>39783</v>
      </c>
      <c r="B300" s="5">
        <v>985.1</v>
      </c>
    </row>
    <row r="301" spans="1:2" x14ac:dyDescent="0.3">
      <c r="A301" s="3">
        <v>39814</v>
      </c>
      <c r="B301" s="5">
        <v>851.6</v>
      </c>
    </row>
    <row r="302" spans="1:2" x14ac:dyDescent="0.3">
      <c r="A302" s="3">
        <v>39845</v>
      </c>
      <c r="B302" s="5">
        <v>605.20000000000005</v>
      </c>
    </row>
    <row r="303" spans="1:2" x14ac:dyDescent="0.3">
      <c r="A303" s="3">
        <v>39873</v>
      </c>
      <c r="B303" s="5">
        <v>478.7</v>
      </c>
    </row>
    <row r="304" spans="1:2" x14ac:dyDescent="0.3">
      <c r="A304" s="3">
        <v>39904</v>
      </c>
      <c r="B304" s="5">
        <v>515.9</v>
      </c>
    </row>
    <row r="305" spans="1:2" x14ac:dyDescent="0.3">
      <c r="A305" s="3">
        <v>39934</v>
      </c>
      <c r="B305" s="5">
        <v>628.9</v>
      </c>
    </row>
    <row r="306" spans="1:2" x14ac:dyDescent="0.3">
      <c r="A306" s="3">
        <v>39965</v>
      </c>
      <c r="B306" s="5">
        <v>643.6</v>
      </c>
    </row>
    <row r="307" spans="1:2" x14ac:dyDescent="0.3">
      <c r="A307" s="3">
        <v>39995</v>
      </c>
      <c r="B307" s="5">
        <v>639.20000000000005</v>
      </c>
    </row>
    <row r="308" spans="1:2" x14ac:dyDescent="0.3">
      <c r="A308" s="3">
        <v>40026</v>
      </c>
      <c r="B308" s="5">
        <v>493.5</v>
      </c>
    </row>
    <row r="309" spans="1:2" x14ac:dyDescent="0.3">
      <c r="A309" s="3">
        <v>40057</v>
      </c>
      <c r="B309" s="5">
        <v>477.5</v>
      </c>
    </row>
    <row r="310" spans="1:2" x14ac:dyDescent="0.3">
      <c r="A310" s="3">
        <v>40087</v>
      </c>
      <c r="B310" s="5">
        <v>423.3</v>
      </c>
    </row>
    <row r="311" spans="1:2" x14ac:dyDescent="0.3">
      <c r="A311" s="3">
        <v>40118</v>
      </c>
      <c r="B311" s="5">
        <v>552.20000000000005</v>
      </c>
    </row>
    <row r="312" spans="1:2" x14ac:dyDescent="0.3">
      <c r="A312" s="3">
        <v>40148</v>
      </c>
      <c r="B312" s="5">
        <v>442.3</v>
      </c>
    </row>
    <row r="313" spans="1:2" x14ac:dyDescent="0.3">
      <c r="A313" s="3">
        <v>40179</v>
      </c>
      <c r="B313" s="5">
        <v>223.6</v>
      </c>
    </row>
    <row r="314" spans="1:2" x14ac:dyDescent="0.3">
      <c r="A314" s="3">
        <v>40210</v>
      </c>
      <c r="B314" s="5">
        <v>149.5</v>
      </c>
    </row>
    <row r="315" spans="1:2" x14ac:dyDescent="0.3">
      <c r="A315" s="3">
        <v>40238</v>
      </c>
      <c r="B315" s="5">
        <v>191.4</v>
      </c>
    </row>
    <row r="316" spans="1:2" x14ac:dyDescent="0.3">
      <c r="A316" s="3">
        <v>40269</v>
      </c>
      <c r="B316" s="5">
        <v>250.3</v>
      </c>
    </row>
    <row r="317" spans="1:2" x14ac:dyDescent="0.3">
      <c r="A317" s="3">
        <v>40299</v>
      </c>
      <c r="B317" s="5">
        <v>451.5</v>
      </c>
    </row>
    <row r="318" spans="1:2" x14ac:dyDescent="0.3">
      <c r="A318" s="3">
        <v>40330</v>
      </c>
      <c r="B318" s="5">
        <v>633.9</v>
      </c>
    </row>
    <row r="319" spans="1:2" x14ac:dyDescent="0.3">
      <c r="A319" s="3">
        <v>40360</v>
      </c>
      <c r="B319" s="5">
        <v>848.4</v>
      </c>
    </row>
    <row r="320" spans="1:2" x14ac:dyDescent="0.3">
      <c r="A320" s="3">
        <v>40391</v>
      </c>
      <c r="B320" s="5">
        <v>939</v>
      </c>
    </row>
    <row r="321" spans="1:2" x14ac:dyDescent="0.3">
      <c r="A321" s="3">
        <v>40422</v>
      </c>
      <c r="B321" s="5">
        <v>896</v>
      </c>
    </row>
    <row r="322" spans="1:2" x14ac:dyDescent="0.3">
      <c r="A322" s="3">
        <v>40452</v>
      </c>
      <c r="B322" s="5">
        <v>985.7</v>
      </c>
    </row>
    <row r="323" spans="1:2" x14ac:dyDescent="0.3">
      <c r="A323" s="3">
        <v>40483</v>
      </c>
      <c r="B323" s="5">
        <v>1005</v>
      </c>
    </row>
    <row r="324" spans="1:2" x14ac:dyDescent="0.3">
      <c r="A324" s="3">
        <v>40513</v>
      </c>
      <c r="B324" s="5">
        <v>1280</v>
      </c>
    </row>
    <row r="325" spans="1:2" x14ac:dyDescent="0.3">
      <c r="A325" s="3">
        <v>40544</v>
      </c>
      <c r="B325" s="5">
        <v>1079</v>
      </c>
    </row>
    <row r="326" spans="1:2" x14ac:dyDescent="0.3">
      <c r="A326" s="3">
        <v>40575</v>
      </c>
      <c r="B326" s="5">
        <v>502.8</v>
      </c>
    </row>
    <row r="327" spans="1:2" x14ac:dyDescent="0.3">
      <c r="A327" s="3">
        <v>40603</v>
      </c>
      <c r="B327" s="5">
        <v>443</v>
      </c>
    </row>
    <row r="328" spans="1:2" x14ac:dyDescent="0.3">
      <c r="A328" s="3">
        <v>40634</v>
      </c>
      <c r="B328" s="5">
        <v>518.1</v>
      </c>
    </row>
    <row r="329" spans="1:2" x14ac:dyDescent="0.3">
      <c r="A329" s="3">
        <v>40664</v>
      </c>
      <c r="B329" s="5">
        <v>861</v>
      </c>
    </row>
    <row r="330" spans="1:2" x14ac:dyDescent="0.3">
      <c r="A330" s="3">
        <v>40695</v>
      </c>
      <c r="B330" s="5">
        <v>885.5</v>
      </c>
    </row>
    <row r="331" spans="1:2" x14ac:dyDescent="0.3">
      <c r="A331" s="3">
        <v>40725</v>
      </c>
      <c r="B331" s="5">
        <v>780.9</v>
      </c>
    </row>
    <row r="332" spans="1:2" x14ac:dyDescent="0.3">
      <c r="A332" s="3">
        <v>40756</v>
      </c>
      <c r="B332" s="5">
        <v>683.8</v>
      </c>
    </row>
    <row r="333" spans="1:2" x14ac:dyDescent="0.3">
      <c r="A333" s="3">
        <v>40787</v>
      </c>
      <c r="B333" s="5">
        <v>578.4</v>
      </c>
    </row>
    <row r="334" spans="1:2" x14ac:dyDescent="0.3">
      <c r="A334" s="3">
        <v>40817</v>
      </c>
      <c r="B334" s="5">
        <v>439.3</v>
      </c>
    </row>
    <row r="335" spans="1:2" x14ac:dyDescent="0.3">
      <c r="A335" s="3">
        <v>40848</v>
      </c>
      <c r="B335" s="5">
        <v>730.7</v>
      </c>
    </row>
    <row r="336" spans="1:2" x14ac:dyDescent="0.3">
      <c r="A336" s="3">
        <v>40878</v>
      </c>
      <c r="B336" s="5">
        <v>887.5</v>
      </c>
    </row>
    <row r="337" spans="1:2" x14ac:dyDescent="0.3">
      <c r="A337" s="3">
        <v>40909</v>
      </c>
      <c r="B337" s="5">
        <v>829.6</v>
      </c>
    </row>
    <row r="338" spans="1:2" x14ac:dyDescent="0.3">
      <c r="A338" s="3">
        <v>40940</v>
      </c>
      <c r="B338" s="5">
        <v>501.6</v>
      </c>
    </row>
    <row r="339" spans="1:2" x14ac:dyDescent="0.3">
      <c r="A339" s="3">
        <v>40969</v>
      </c>
      <c r="B339" s="5">
        <v>265.7</v>
      </c>
    </row>
    <row r="340" spans="1:2" x14ac:dyDescent="0.3">
      <c r="A340" s="3">
        <v>41000</v>
      </c>
      <c r="B340" s="5">
        <v>339.4</v>
      </c>
    </row>
    <row r="341" spans="1:2" x14ac:dyDescent="0.3">
      <c r="A341" s="3">
        <v>41030</v>
      </c>
      <c r="B341" s="5">
        <v>586.20000000000005</v>
      </c>
    </row>
    <row r="342" spans="1:2" x14ac:dyDescent="0.3">
      <c r="A342" s="3">
        <v>41061</v>
      </c>
      <c r="B342" s="5">
        <v>566.5</v>
      </c>
    </row>
    <row r="343" spans="1:2" x14ac:dyDescent="0.3">
      <c r="A343" s="3">
        <v>41091</v>
      </c>
      <c r="B343" s="5">
        <v>408.2</v>
      </c>
    </row>
    <row r="344" spans="1:2" x14ac:dyDescent="0.3">
      <c r="A344" s="3">
        <v>41122</v>
      </c>
      <c r="B344" s="5">
        <v>376.8</v>
      </c>
    </row>
    <row r="345" spans="1:2" x14ac:dyDescent="0.3">
      <c r="A345" s="3">
        <v>41153</v>
      </c>
      <c r="B345" s="5">
        <v>396.1</v>
      </c>
    </row>
    <row r="346" spans="1:2" x14ac:dyDescent="0.3">
      <c r="A346" s="3">
        <v>41183</v>
      </c>
      <c r="B346" s="5">
        <v>415</v>
      </c>
    </row>
    <row r="347" spans="1:2" x14ac:dyDescent="0.3">
      <c r="A347" s="3">
        <v>41214</v>
      </c>
      <c r="B347" s="5">
        <v>490.5</v>
      </c>
    </row>
    <row r="348" spans="1:2" x14ac:dyDescent="0.3">
      <c r="A348" s="3">
        <v>41244</v>
      </c>
      <c r="B348" s="5">
        <v>451.4</v>
      </c>
    </row>
    <row r="349" spans="1:2" x14ac:dyDescent="0.3">
      <c r="A349" s="3">
        <v>41275</v>
      </c>
      <c r="B349" s="5">
        <v>449.6</v>
      </c>
    </row>
    <row r="350" spans="1:2" x14ac:dyDescent="0.3">
      <c r="A350" s="3">
        <v>41306</v>
      </c>
      <c r="B350" s="5">
        <v>448.70000000000005</v>
      </c>
    </row>
    <row r="351" spans="1:2" x14ac:dyDescent="0.3">
      <c r="A351" s="3">
        <v>41334</v>
      </c>
      <c r="B351" s="5">
        <v>448.25</v>
      </c>
    </row>
    <row r="352" spans="1:2" x14ac:dyDescent="0.3">
      <c r="A352" s="3">
        <v>41365</v>
      </c>
      <c r="B352" s="5">
        <v>448.02499999999998</v>
      </c>
    </row>
    <row r="353" spans="1:2" x14ac:dyDescent="0.3">
      <c r="A353" s="3">
        <v>41395</v>
      </c>
      <c r="B353" s="5">
        <v>447.91250000000002</v>
      </c>
    </row>
    <row r="354" spans="1:2" x14ac:dyDescent="0.3">
      <c r="A354" s="3">
        <v>41426</v>
      </c>
      <c r="B354" s="5">
        <v>447.85625000000005</v>
      </c>
    </row>
    <row r="355" spans="1:2" x14ac:dyDescent="0.3">
      <c r="A355" s="3">
        <v>41456</v>
      </c>
      <c r="B355" s="5">
        <v>447.828125</v>
      </c>
    </row>
    <row r="356" spans="1:2" x14ac:dyDescent="0.3">
      <c r="A356" s="3">
        <v>41487</v>
      </c>
      <c r="B356" s="5">
        <v>447.81406249999998</v>
      </c>
    </row>
    <row r="357" spans="1:2" x14ac:dyDescent="0.3">
      <c r="A357" s="3">
        <v>41518</v>
      </c>
      <c r="B357" s="5">
        <v>447.80703125000002</v>
      </c>
    </row>
    <row r="358" spans="1:2" x14ac:dyDescent="0.3">
      <c r="A358" s="3">
        <v>41548</v>
      </c>
      <c r="B358" s="5">
        <v>447.80351562500005</v>
      </c>
    </row>
    <row r="359" spans="1:2" x14ac:dyDescent="0.3">
      <c r="A359" s="3">
        <v>41579</v>
      </c>
      <c r="B359" s="5">
        <v>447.8017578125</v>
      </c>
    </row>
    <row r="360" spans="1:2" x14ac:dyDescent="0.3">
      <c r="A360" s="3">
        <v>41609</v>
      </c>
      <c r="B360" s="5">
        <v>447.80087890624998</v>
      </c>
    </row>
    <row r="361" spans="1:2" x14ac:dyDescent="0.3">
      <c r="A361" s="3">
        <v>41640</v>
      </c>
      <c r="B361" s="5">
        <v>447.8</v>
      </c>
    </row>
    <row r="362" spans="1:2" x14ac:dyDescent="0.3">
      <c r="A362" s="3">
        <v>41671</v>
      </c>
      <c r="B362" s="5">
        <v>216.2</v>
      </c>
    </row>
    <row r="363" spans="1:2" x14ac:dyDescent="0.3">
      <c r="A363" s="3">
        <v>41699</v>
      </c>
      <c r="B363" s="5">
        <v>264.89999999999998</v>
      </c>
    </row>
    <row r="364" spans="1:2" x14ac:dyDescent="0.3">
      <c r="A364" s="3">
        <v>41730</v>
      </c>
      <c r="B364" s="5">
        <v>230</v>
      </c>
    </row>
    <row r="365" spans="1:2" x14ac:dyDescent="0.3">
      <c r="A365" s="3">
        <v>41760</v>
      </c>
      <c r="B365" s="5">
        <v>448</v>
      </c>
    </row>
    <row r="366" spans="1:2" x14ac:dyDescent="0.3">
      <c r="A366" s="3">
        <v>41791</v>
      </c>
      <c r="B366" s="5">
        <v>477.6</v>
      </c>
    </row>
    <row r="367" spans="1:2" x14ac:dyDescent="0.3">
      <c r="A367" s="3">
        <v>41821</v>
      </c>
      <c r="B367" s="5">
        <v>359</v>
      </c>
    </row>
    <row r="368" spans="1:2" x14ac:dyDescent="0.3">
      <c r="A368" s="3">
        <v>41852</v>
      </c>
      <c r="B368" s="5">
        <v>285</v>
      </c>
    </row>
    <row r="369" spans="1:2" x14ac:dyDescent="0.3">
      <c r="A369" s="3">
        <v>41883</v>
      </c>
      <c r="B369" s="5">
        <v>394.5</v>
      </c>
    </row>
    <row r="370" spans="1:2" x14ac:dyDescent="0.3">
      <c r="A370" s="3">
        <v>41913</v>
      </c>
      <c r="B370" s="5">
        <v>560.70000000000005</v>
      </c>
    </row>
    <row r="371" spans="1:2" x14ac:dyDescent="0.3">
      <c r="A371" s="3">
        <v>41944</v>
      </c>
      <c r="B371" s="5">
        <v>675</v>
      </c>
    </row>
    <row r="372" spans="1:2" x14ac:dyDescent="0.3">
      <c r="A372" s="3">
        <v>41974</v>
      </c>
      <c r="B372" s="5">
        <v>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1</vt:i4>
      </vt:variant>
    </vt:vector>
  </HeadingPairs>
  <TitlesOfParts>
    <vt:vector size="13" baseType="lpstr">
      <vt:lpstr>Monthly</vt:lpstr>
      <vt:lpstr>Annual</vt:lpstr>
      <vt:lpstr>Climatology</vt:lpstr>
      <vt:lpstr>Pruebas de tendencia de Mann-K2</vt:lpstr>
      <vt:lpstr>Pruebas de tendencia de Mann-K3</vt:lpstr>
      <vt:lpstr>Pruebas de tendencia de Mann-K4</vt:lpstr>
      <vt:lpstr>Pruebas de tendencia de Mann-K5</vt:lpstr>
      <vt:lpstr>Pruebas de tendencia de Mann-K6</vt:lpstr>
      <vt:lpstr>Pruebas de tendencia de Mann-K7</vt:lpstr>
      <vt:lpstr>Pruebas de tendencia de Mann-K8</vt:lpstr>
      <vt:lpstr>Pruebas de tendencia de Mann-K9</vt:lpstr>
      <vt:lpstr>Pruebas de tendencia de Mann-K1</vt:lpstr>
      <vt:lpstr>Annual!_FilterDatabase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David</dc:creator>
  <cp:lastModifiedBy>Luis Lizcano</cp:lastModifiedBy>
  <dcterms:created xsi:type="dcterms:W3CDTF">2017-05-02T14:44:10Z</dcterms:created>
  <dcterms:modified xsi:type="dcterms:W3CDTF">2026-09-15T22:21:17Z</dcterms:modified>
</cp:coreProperties>
</file>